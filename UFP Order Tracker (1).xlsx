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ulkholdingsfze.sharepoint.com/sites/AlubondTransportationMarketGalvanizedCompositePanels/Shared Documents/General/UFP/"/>
    </mc:Choice>
  </mc:AlternateContent>
  <xr:revisionPtr revIDLastSave="7832" documentId="13_ncr:1_{3FEFD90B-E902-4920-9625-3FE137FF27CA}" xr6:coauthVersionLast="47" xr6:coauthVersionMax="47" xr10:uidLastSave="{B5C4EC79-4E3E-49D1-9921-67741DD68190}"/>
  <bookViews>
    <workbookView xWindow="-108" yWindow="-108" windowWidth="23256" windowHeight="12456" firstSheet="1" activeTab="2" xr2:uid="{DF2E09E8-6E17-4CA2-912D-DFDCC52A3626}"/>
  </bookViews>
  <sheets>
    <sheet name="2nd Batch rcvd 08.2025" sheetId="6" state="hidden" r:id="rId1"/>
    <sheet name="Dashboard" sheetId="11" r:id="rId2"/>
    <sheet name="Item Summary" sheetId="13" r:id="rId3"/>
    <sheet name="Order Summary" sheetId="10" r:id="rId4"/>
    <sheet name="Order Details" sheetId="7" r:id="rId5"/>
    <sheet name="Pricing Table - eff 27-Jan-2026" sheetId="12" r:id="rId6"/>
    <sheet name="Master Data" sheetId="8" r:id="rId7"/>
    <sheet name="Old Pricing - end 26-Jan-2026" sheetId="5" r:id="rId8"/>
  </sheets>
  <definedNames>
    <definedName name="_xlnm._FilterDatabase" localSheetId="7" hidden="1">'Old Pricing - end 26-Jan-2026'!$A$1:$R$60</definedName>
    <definedName name="_xlnm._FilterDatabase" localSheetId="4" hidden="1">'Order Details'!$A$1:$AA$997</definedName>
    <definedName name="_xlnm._FilterDatabase" localSheetId="3" hidden="1">'Order Summary'!$A$3:$AP$300</definedName>
    <definedName name="_xlnm._FilterDatabase" localSheetId="5" hidden="1">'Pricing Table - eff 27-Jan-2026'!$A$1:$R$65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6" i="10" l="1"/>
  <c r="U176" i="10" s="1"/>
  <c r="R176" i="10"/>
  <c r="P176" i="10"/>
  <c r="O176" i="10"/>
  <c r="L176" i="10"/>
  <c r="K176" i="10"/>
  <c r="J176" i="10"/>
  <c r="H176" i="10"/>
  <c r="G176" i="10"/>
  <c r="Q682" i="7"/>
  <c r="Q681" i="7"/>
  <c r="Q680" i="7"/>
  <c r="Q689" i="7" l="1"/>
  <c r="Q688" i="7"/>
  <c r="Q687" i="7"/>
  <c r="Q686" i="7"/>
  <c r="Q685" i="7"/>
  <c r="Q684" i="7"/>
  <c r="Q683" i="7"/>
  <c r="Q679" i="7"/>
  <c r="Q678" i="7"/>
  <c r="A166" i="10" l="1" a="1"/>
  <c r="A166" i="10" s="1"/>
  <c r="A167" i="10" a="1"/>
  <c r="A167" i="10" s="1"/>
  <c r="A168" i="10" a="1"/>
  <c r="A168" i="10" s="1"/>
  <c r="A169" i="10" a="1"/>
  <c r="A169" i="10" s="1"/>
  <c r="A170" i="10" a="1"/>
  <c r="A170" i="10" s="1"/>
  <c r="A171" i="10" a="1"/>
  <c r="A171" i="10" s="1"/>
  <c r="A172" i="10" a="1"/>
  <c r="A172" i="10" s="1"/>
  <c r="A173" i="10" a="1"/>
  <c r="A173" i="10" s="1"/>
  <c r="A174" i="10" a="1"/>
  <c r="A174" i="10" s="1"/>
  <c r="A175" i="10" a="1"/>
  <c r="A175" i="10" s="1"/>
  <c r="A164" i="10" l="1" a="1"/>
  <c r="A164" i="10" s="1"/>
  <c r="A165" i="10" a="1"/>
  <c r="A165" i="10" s="1"/>
  <c r="AB300" i="10" l="1"/>
  <c r="AB299" i="10"/>
  <c r="AB298" i="10"/>
  <c r="AB297" i="10"/>
  <c r="AB296" i="10"/>
  <c r="AB295" i="10"/>
  <c r="AB294" i="10"/>
  <c r="AB293" i="10"/>
  <c r="AB292" i="10"/>
  <c r="AB291" i="10"/>
  <c r="AB290" i="10"/>
  <c r="AB289" i="10"/>
  <c r="AB288" i="10"/>
  <c r="AB287" i="10"/>
  <c r="AB286" i="10"/>
  <c r="AB285" i="10"/>
  <c r="AB284" i="10"/>
  <c r="AB283" i="10"/>
  <c r="AB282" i="10"/>
  <c r="AB281" i="10"/>
  <c r="AB280" i="10"/>
  <c r="AB279" i="10"/>
  <c r="AB278" i="10"/>
  <c r="AB277" i="10"/>
  <c r="AB276" i="10"/>
  <c r="AB275" i="10"/>
  <c r="AB274" i="10"/>
  <c r="AB273" i="10"/>
  <c r="AB272" i="10"/>
  <c r="AB271" i="10"/>
  <c r="AB270" i="10"/>
  <c r="AB269" i="10"/>
  <c r="AB268" i="10"/>
  <c r="AB267" i="10"/>
  <c r="AB266" i="10"/>
  <c r="AB265" i="10"/>
  <c r="AB264" i="10"/>
  <c r="AB263" i="10"/>
  <c r="AB262" i="10"/>
  <c r="AB261" i="10"/>
  <c r="AB260" i="10"/>
  <c r="AB259" i="10"/>
  <c r="AB258" i="10"/>
  <c r="AB257" i="10"/>
  <c r="AB256" i="10"/>
  <c r="AB255" i="10"/>
  <c r="AB254" i="10"/>
  <c r="AB253" i="10"/>
  <c r="AB252" i="10"/>
  <c r="AB251" i="10"/>
  <c r="AB250" i="10"/>
  <c r="AB249" i="10"/>
  <c r="AB248" i="10"/>
  <c r="AB247" i="10"/>
  <c r="AB246" i="10"/>
  <c r="AB245" i="10"/>
  <c r="AB244" i="10"/>
  <c r="AB243" i="10"/>
  <c r="AB242" i="10"/>
  <c r="AB241" i="10"/>
  <c r="AB240" i="10"/>
  <c r="AB239" i="10"/>
  <c r="AB238" i="10"/>
  <c r="AB237" i="10"/>
  <c r="AB236" i="10"/>
  <c r="AB235" i="10"/>
  <c r="AB234" i="10"/>
  <c r="AB233" i="10"/>
  <c r="AB232" i="10"/>
  <c r="AB231" i="10"/>
  <c r="AB230" i="10"/>
  <c r="AB229" i="10"/>
  <c r="AB228" i="10"/>
  <c r="AB227" i="10"/>
  <c r="AB226" i="10"/>
  <c r="AB225" i="10"/>
  <c r="AB224" i="10"/>
  <c r="AB223" i="10"/>
  <c r="AB222" i="10"/>
  <c r="AB221" i="10"/>
  <c r="AB220" i="10"/>
  <c r="AB219" i="10"/>
  <c r="AB218" i="10"/>
  <c r="AB217" i="10"/>
  <c r="AB216" i="10"/>
  <c r="AB215" i="10"/>
  <c r="AB214" i="10"/>
  <c r="AB213" i="10"/>
  <c r="AB212" i="10"/>
  <c r="AB211" i="10"/>
  <c r="AB210" i="10"/>
  <c r="AB209" i="10"/>
  <c r="AB208" i="10"/>
  <c r="AB207" i="10"/>
  <c r="AB206" i="10"/>
  <c r="AB205" i="10"/>
  <c r="AB204" i="10"/>
  <c r="AB203" i="10"/>
  <c r="AB202" i="10"/>
  <c r="AB201" i="10"/>
  <c r="AB200" i="10"/>
  <c r="AB199" i="10"/>
  <c r="AB198" i="10"/>
  <c r="AB197" i="10"/>
  <c r="AB196" i="10"/>
  <c r="AB195" i="10"/>
  <c r="AB194" i="10"/>
  <c r="AB193" i="10"/>
  <c r="AB192" i="10"/>
  <c r="AB191" i="10"/>
  <c r="AB190" i="10"/>
  <c r="AB189" i="10"/>
  <c r="AB188" i="10"/>
  <c r="AB187" i="10"/>
  <c r="AB186" i="10"/>
  <c r="AB185" i="10"/>
  <c r="AB184" i="10"/>
  <c r="AB183" i="10"/>
  <c r="AB182" i="10"/>
  <c r="AB181" i="10"/>
  <c r="AB180" i="10"/>
  <c r="AB179" i="10"/>
  <c r="AB178" i="10"/>
  <c r="AB177" i="10"/>
  <c r="AB176" i="10"/>
  <c r="AB175" i="10"/>
  <c r="AB174" i="10"/>
  <c r="AB173" i="10"/>
  <c r="AB172" i="10"/>
  <c r="AB171" i="10"/>
  <c r="AB170" i="10"/>
  <c r="AB169" i="10"/>
  <c r="AB168" i="10"/>
  <c r="AB167" i="10"/>
  <c r="AB166" i="10"/>
  <c r="AB165" i="10"/>
  <c r="AB164" i="10"/>
  <c r="AB163" i="10"/>
  <c r="AB162" i="10"/>
  <c r="AB161" i="10"/>
  <c r="AB160" i="10"/>
  <c r="AB159" i="10"/>
  <c r="AB158" i="10"/>
  <c r="AB157" i="10"/>
  <c r="AB156" i="10"/>
  <c r="AB155" i="10"/>
  <c r="AB154" i="10"/>
  <c r="AB153" i="10"/>
  <c r="AB152" i="10"/>
  <c r="AB151" i="10"/>
  <c r="AB150" i="10"/>
  <c r="AB149" i="10"/>
  <c r="AB148" i="10"/>
  <c r="AB147" i="10"/>
  <c r="AB146" i="10"/>
  <c r="AB145" i="10"/>
  <c r="AB144" i="10"/>
  <c r="AB143" i="10"/>
  <c r="AB142" i="10"/>
  <c r="AB141" i="10"/>
  <c r="AB140" i="10"/>
  <c r="AB139" i="10"/>
  <c r="AB138" i="10"/>
  <c r="AB137" i="10"/>
  <c r="AB136" i="10"/>
  <c r="AB135" i="10"/>
  <c r="AB134" i="10"/>
  <c r="AB133" i="10"/>
  <c r="AB132" i="10"/>
  <c r="AB131" i="10"/>
  <c r="AB130" i="10"/>
  <c r="AB129" i="10"/>
  <c r="AB128" i="10"/>
  <c r="AB127" i="10"/>
  <c r="AB126" i="10"/>
  <c r="AB125" i="10"/>
  <c r="AB124" i="10"/>
  <c r="AB123" i="10"/>
  <c r="AB122" i="10"/>
  <c r="AB121" i="10"/>
  <c r="AB120" i="10"/>
  <c r="AB119" i="10"/>
  <c r="AB118" i="10"/>
  <c r="AB117" i="10"/>
  <c r="AB116" i="10"/>
  <c r="AB115" i="10"/>
  <c r="AB114" i="10"/>
  <c r="AB113" i="10"/>
  <c r="AB112" i="10"/>
  <c r="AB111" i="10"/>
  <c r="AB110" i="10"/>
  <c r="AB109" i="10"/>
  <c r="AB108" i="10"/>
  <c r="AB107" i="10"/>
  <c r="AB106" i="10"/>
  <c r="AB105" i="10"/>
  <c r="AB104" i="10"/>
  <c r="AB103" i="10"/>
  <c r="AB102" i="10"/>
  <c r="AB101" i="10"/>
  <c r="AB100" i="10"/>
  <c r="AB99" i="10"/>
  <c r="AB98" i="10"/>
  <c r="AB97" i="10"/>
  <c r="AB96" i="10"/>
  <c r="AB95" i="10"/>
  <c r="AB94" i="10"/>
  <c r="AB93" i="10"/>
  <c r="AB92" i="10"/>
  <c r="AB91" i="10"/>
  <c r="AB90" i="10"/>
  <c r="AB89" i="10"/>
  <c r="AB88" i="10"/>
  <c r="AB87" i="10"/>
  <c r="AB86" i="10"/>
  <c r="AB85" i="10"/>
  <c r="AB84" i="10"/>
  <c r="AB83" i="10"/>
  <c r="AB82" i="10"/>
  <c r="AB81" i="10"/>
  <c r="AB80" i="10"/>
  <c r="AB79" i="10"/>
  <c r="AB78" i="10"/>
  <c r="AB77" i="10"/>
  <c r="AB76" i="10"/>
  <c r="AB75" i="10"/>
  <c r="AB74" i="10"/>
  <c r="AB73" i="10"/>
  <c r="AB72" i="10"/>
  <c r="AB71" i="10"/>
  <c r="AB70" i="10"/>
  <c r="AB69" i="10"/>
  <c r="AB68" i="10"/>
  <c r="AB67" i="10"/>
  <c r="AB66" i="10"/>
  <c r="AB65" i="10"/>
  <c r="AB64" i="10"/>
  <c r="AB63" i="10"/>
  <c r="AB62" i="10"/>
  <c r="AB61" i="10"/>
  <c r="AB60" i="10"/>
  <c r="AB59" i="10"/>
  <c r="AB58" i="10"/>
  <c r="AB57" i="10"/>
  <c r="AB56" i="10"/>
  <c r="AB55" i="10"/>
  <c r="AB54" i="10"/>
  <c r="AB53" i="10"/>
  <c r="AB52" i="10"/>
  <c r="AB51" i="10"/>
  <c r="AB50" i="10"/>
  <c r="AB49" i="10"/>
  <c r="AB48" i="10"/>
  <c r="AB47" i="10"/>
  <c r="AB46" i="10"/>
  <c r="AB45" i="10"/>
  <c r="AB44" i="10"/>
  <c r="AB40" i="10"/>
  <c r="AB39" i="10"/>
  <c r="AB38" i="10"/>
  <c r="AB37" i="10"/>
  <c r="AB36" i="10"/>
  <c r="AB35" i="10"/>
  <c r="AB34" i="10"/>
  <c r="AB33" i="10"/>
  <c r="AB32" i="10"/>
  <c r="AB31" i="10"/>
  <c r="AB30" i="10"/>
  <c r="AB29" i="10"/>
  <c r="AB28" i="10"/>
  <c r="AB27" i="10"/>
  <c r="AB26" i="10"/>
  <c r="AB25" i="10"/>
  <c r="AB24" i="10"/>
  <c r="AB23" i="10"/>
  <c r="AB22" i="10"/>
  <c r="AB21" i="10"/>
  <c r="AB20" i="10"/>
  <c r="AB19" i="10"/>
  <c r="AB16" i="10"/>
  <c r="AB12" i="10"/>
  <c r="AB11" i="10"/>
  <c r="AB10" i="10"/>
  <c r="O158" i="10"/>
  <c r="J158" i="10"/>
  <c r="G158" i="10"/>
  <c r="G159" i="10"/>
  <c r="J159" i="10"/>
  <c r="O159" i="10"/>
  <c r="G160" i="10"/>
  <c r="J160" i="10"/>
  <c r="O160" i="10"/>
  <c r="L293" i="7"/>
  <c r="Z37" i="10" l="1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3" i="10"/>
  <c r="Z224" i="10"/>
  <c r="Z225" i="10"/>
  <c r="Z226" i="10"/>
  <c r="Z227" i="10"/>
  <c r="Z228" i="10"/>
  <c r="Z229" i="10"/>
  <c r="Z230" i="10"/>
  <c r="Z231" i="10"/>
  <c r="Z232" i="10"/>
  <c r="Z233" i="10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Z246" i="10"/>
  <c r="Z247" i="10"/>
  <c r="Z248" i="10"/>
  <c r="Z249" i="10"/>
  <c r="Z250" i="10"/>
  <c r="Z251" i="10"/>
  <c r="Z252" i="10"/>
  <c r="Z253" i="10"/>
  <c r="Z254" i="10"/>
  <c r="Z255" i="10"/>
  <c r="Z256" i="10"/>
  <c r="Z257" i="10"/>
  <c r="Z258" i="10"/>
  <c r="Z259" i="10"/>
  <c r="Z260" i="10"/>
  <c r="Z261" i="10"/>
  <c r="Z262" i="10"/>
  <c r="Z263" i="10"/>
  <c r="Z264" i="10"/>
  <c r="Z265" i="10"/>
  <c r="Z266" i="10"/>
  <c r="Z267" i="10"/>
  <c r="Z268" i="10"/>
  <c r="Z269" i="10"/>
  <c r="Z270" i="10"/>
  <c r="Z271" i="10"/>
  <c r="Z272" i="10"/>
  <c r="Z273" i="10"/>
  <c r="Z274" i="10"/>
  <c r="Z275" i="10"/>
  <c r="Z276" i="10"/>
  <c r="Z277" i="10"/>
  <c r="Z278" i="10"/>
  <c r="Z279" i="10"/>
  <c r="Z280" i="10"/>
  <c r="Z281" i="10"/>
  <c r="Z282" i="10"/>
  <c r="Z283" i="10"/>
  <c r="Z284" i="10"/>
  <c r="Z285" i="10"/>
  <c r="Z286" i="10"/>
  <c r="Z287" i="10"/>
  <c r="Z288" i="10"/>
  <c r="Z289" i="10"/>
  <c r="Z290" i="10"/>
  <c r="Z291" i="10"/>
  <c r="Z292" i="10"/>
  <c r="Z293" i="10"/>
  <c r="Z294" i="10"/>
  <c r="Z295" i="10"/>
  <c r="Z296" i="10"/>
  <c r="Z297" i="10"/>
  <c r="Z298" i="10"/>
  <c r="Z299" i="10"/>
  <c r="Z300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J104" i="10"/>
  <c r="D201" i="10"/>
  <c r="G201" i="10"/>
  <c r="H201" i="10"/>
  <c r="J201" i="10"/>
  <c r="K201" i="10"/>
  <c r="L201" i="10"/>
  <c r="O201" i="10"/>
  <c r="P201" i="10"/>
  <c r="AH201" i="10" s="1"/>
  <c r="AI201" i="10" s="1"/>
  <c r="R201" i="10"/>
  <c r="T201" i="10"/>
  <c r="U201" i="10" s="1"/>
  <c r="AK201" i="10"/>
  <c r="D202" i="10"/>
  <c r="G202" i="10"/>
  <c r="H202" i="10"/>
  <c r="J202" i="10"/>
  <c r="K202" i="10"/>
  <c r="L202" i="10"/>
  <c r="O202" i="10"/>
  <c r="P202" i="10"/>
  <c r="AH202" i="10" s="1"/>
  <c r="AI202" i="10" s="1"/>
  <c r="R202" i="10"/>
  <c r="T202" i="10"/>
  <c r="U202" i="10" s="1"/>
  <c r="AM202" i="10" s="1"/>
  <c r="AN202" i="10" s="1"/>
  <c r="AK202" i="10"/>
  <c r="D203" i="10"/>
  <c r="G203" i="10"/>
  <c r="H203" i="10"/>
  <c r="J203" i="10"/>
  <c r="K203" i="10"/>
  <c r="L203" i="10"/>
  <c r="O203" i="10"/>
  <c r="P203" i="10"/>
  <c r="AH203" i="10" s="1"/>
  <c r="AI203" i="10" s="1"/>
  <c r="R203" i="10"/>
  <c r="T203" i="10"/>
  <c r="U203" i="10" s="1"/>
  <c r="AK203" i="10"/>
  <c r="D204" i="10"/>
  <c r="G204" i="10"/>
  <c r="H204" i="10"/>
  <c r="J204" i="10"/>
  <c r="K204" i="10"/>
  <c r="L204" i="10"/>
  <c r="O204" i="10"/>
  <c r="P204" i="10"/>
  <c r="AH204" i="10" s="1"/>
  <c r="AI204" i="10" s="1"/>
  <c r="R204" i="10"/>
  <c r="T204" i="10"/>
  <c r="U204" i="10" s="1"/>
  <c r="AK204" i="10"/>
  <c r="D205" i="10"/>
  <c r="G205" i="10"/>
  <c r="H205" i="10"/>
  <c r="J205" i="10"/>
  <c r="K205" i="10"/>
  <c r="L205" i="10"/>
  <c r="O205" i="10"/>
  <c r="P205" i="10"/>
  <c r="AH205" i="10" s="1"/>
  <c r="AI205" i="10" s="1"/>
  <c r="R205" i="10"/>
  <c r="T205" i="10"/>
  <c r="U205" i="10" s="1"/>
  <c r="AK205" i="10"/>
  <c r="D206" i="10"/>
  <c r="G206" i="10"/>
  <c r="H206" i="10"/>
  <c r="J206" i="10"/>
  <c r="K206" i="10"/>
  <c r="L206" i="10"/>
  <c r="O206" i="10"/>
  <c r="P206" i="10"/>
  <c r="AH206" i="10" s="1"/>
  <c r="AI206" i="10" s="1"/>
  <c r="R206" i="10"/>
  <c r="T206" i="10"/>
  <c r="U206" i="10" s="1"/>
  <c r="AK206" i="10"/>
  <c r="D207" i="10"/>
  <c r="G207" i="10"/>
  <c r="H207" i="10"/>
  <c r="J207" i="10"/>
  <c r="K207" i="10"/>
  <c r="L207" i="10"/>
  <c r="O207" i="10"/>
  <c r="P207" i="10"/>
  <c r="AH207" i="10" s="1"/>
  <c r="AI207" i="10" s="1"/>
  <c r="R207" i="10"/>
  <c r="T207" i="10"/>
  <c r="U207" i="10" s="1"/>
  <c r="AK207" i="10"/>
  <c r="D208" i="10"/>
  <c r="G208" i="10"/>
  <c r="H208" i="10"/>
  <c r="J208" i="10"/>
  <c r="K208" i="10"/>
  <c r="L208" i="10"/>
  <c r="O208" i="10"/>
  <c r="P208" i="10"/>
  <c r="AH208" i="10" s="1"/>
  <c r="AI208" i="10" s="1"/>
  <c r="R208" i="10"/>
  <c r="T208" i="10"/>
  <c r="U208" i="10" s="1"/>
  <c r="AM208" i="10" s="1"/>
  <c r="AN208" i="10" s="1"/>
  <c r="AK208" i="10"/>
  <c r="D209" i="10"/>
  <c r="G209" i="10"/>
  <c r="H209" i="10"/>
  <c r="J209" i="10"/>
  <c r="K209" i="10"/>
  <c r="L209" i="10"/>
  <c r="O209" i="10"/>
  <c r="P209" i="10"/>
  <c r="AH209" i="10" s="1"/>
  <c r="AI209" i="10" s="1"/>
  <c r="R209" i="10"/>
  <c r="T209" i="10"/>
  <c r="U209" i="10" s="1"/>
  <c r="AK209" i="10"/>
  <c r="D210" i="10"/>
  <c r="G210" i="10"/>
  <c r="H210" i="10"/>
  <c r="J210" i="10"/>
  <c r="K210" i="10"/>
  <c r="L210" i="10"/>
  <c r="O210" i="10"/>
  <c r="P210" i="10"/>
  <c r="AH210" i="10" s="1"/>
  <c r="AI210" i="10" s="1"/>
  <c r="R210" i="10"/>
  <c r="T210" i="10"/>
  <c r="U210" i="10" s="1"/>
  <c r="AM210" i="10" s="1"/>
  <c r="AN210" i="10" s="1"/>
  <c r="AK210" i="10"/>
  <c r="D211" i="10"/>
  <c r="G211" i="10"/>
  <c r="H211" i="10"/>
  <c r="J211" i="10"/>
  <c r="K211" i="10"/>
  <c r="L211" i="10"/>
  <c r="O211" i="10"/>
  <c r="P211" i="10"/>
  <c r="AH211" i="10" s="1"/>
  <c r="AI211" i="10" s="1"/>
  <c r="R211" i="10"/>
  <c r="T211" i="10"/>
  <c r="U211" i="10" s="1"/>
  <c r="AK211" i="10"/>
  <c r="D212" i="10"/>
  <c r="G212" i="10"/>
  <c r="H212" i="10"/>
  <c r="J212" i="10"/>
  <c r="K212" i="10"/>
  <c r="L212" i="10"/>
  <c r="O212" i="10"/>
  <c r="P212" i="10"/>
  <c r="AH212" i="10" s="1"/>
  <c r="AI212" i="10" s="1"/>
  <c r="R212" i="10"/>
  <c r="T212" i="10"/>
  <c r="U212" i="10" s="1"/>
  <c r="AM212" i="10" s="1"/>
  <c r="AN212" i="10" s="1"/>
  <c r="AK212" i="10"/>
  <c r="D213" i="10"/>
  <c r="G213" i="10"/>
  <c r="H213" i="10"/>
  <c r="J213" i="10"/>
  <c r="K213" i="10"/>
  <c r="L213" i="10"/>
  <c r="O213" i="10"/>
  <c r="P213" i="10"/>
  <c r="AH213" i="10" s="1"/>
  <c r="AI213" i="10" s="1"/>
  <c r="R213" i="10"/>
  <c r="T213" i="10"/>
  <c r="U213" i="10" s="1"/>
  <c r="AK213" i="10"/>
  <c r="D214" i="10"/>
  <c r="G214" i="10"/>
  <c r="H214" i="10"/>
  <c r="J214" i="10"/>
  <c r="K214" i="10"/>
  <c r="L214" i="10"/>
  <c r="O214" i="10"/>
  <c r="P214" i="10"/>
  <c r="AH214" i="10" s="1"/>
  <c r="AI214" i="10" s="1"/>
  <c r="R214" i="10"/>
  <c r="T214" i="10"/>
  <c r="U214" i="10" s="1"/>
  <c r="AM214" i="10" s="1"/>
  <c r="AN214" i="10" s="1"/>
  <c r="AK214" i="10"/>
  <c r="D215" i="10"/>
  <c r="G215" i="10"/>
  <c r="H215" i="10"/>
  <c r="J215" i="10"/>
  <c r="K215" i="10"/>
  <c r="L215" i="10"/>
  <c r="O215" i="10"/>
  <c r="P215" i="10"/>
  <c r="AH215" i="10" s="1"/>
  <c r="AI215" i="10" s="1"/>
  <c r="R215" i="10"/>
  <c r="T215" i="10"/>
  <c r="U215" i="10" s="1"/>
  <c r="AK215" i="10"/>
  <c r="D216" i="10"/>
  <c r="G216" i="10"/>
  <c r="H216" i="10"/>
  <c r="J216" i="10"/>
  <c r="K216" i="10"/>
  <c r="L216" i="10"/>
  <c r="O216" i="10"/>
  <c r="P216" i="10"/>
  <c r="AH216" i="10" s="1"/>
  <c r="AI216" i="10" s="1"/>
  <c r="R216" i="10"/>
  <c r="T216" i="10"/>
  <c r="U216" i="10" s="1"/>
  <c r="AK216" i="10"/>
  <c r="D217" i="10"/>
  <c r="G217" i="10"/>
  <c r="H217" i="10"/>
  <c r="J217" i="10"/>
  <c r="K217" i="10"/>
  <c r="L217" i="10"/>
  <c r="O217" i="10"/>
  <c r="P217" i="10"/>
  <c r="AH217" i="10" s="1"/>
  <c r="AI217" i="10" s="1"/>
  <c r="R217" i="10"/>
  <c r="T217" i="10"/>
  <c r="U217" i="10" s="1"/>
  <c r="AK217" i="10"/>
  <c r="D218" i="10"/>
  <c r="G218" i="10"/>
  <c r="H218" i="10"/>
  <c r="J218" i="10"/>
  <c r="K218" i="10"/>
  <c r="L218" i="10"/>
  <c r="O218" i="10"/>
  <c r="P218" i="10"/>
  <c r="AH218" i="10" s="1"/>
  <c r="AI218" i="10" s="1"/>
  <c r="R218" i="10"/>
  <c r="T218" i="10"/>
  <c r="U218" i="10" s="1"/>
  <c r="AK218" i="10"/>
  <c r="D219" i="10"/>
  <c r="G219" i="10"/>
  <c r="H219" i="10"/>
  <c r="J219" i="10"/>
  <c r="K219" i="10"/>
  <c r="L219" i="10"/>
  <c r="O219" i="10"/>
  <c r="P219" i="10"/>
  <c r="AH219" i="10" s="1"/>
  <c r="AI219" i="10" s="1"/>
  <c r="R219" i="10"/>
  <c r="T219" i="10"/>
  <c r="U219" i="10" s="1"/>
  <c r="AK219" i="10"/>
  <c r="D220" i="10"/>
  <c r="G220" i="10"/>
  <c r="H220" i="10"/>
  <c r="J220" i="10"/>
  <c r="K220" i="10"/>
  <c r="L220" i="10"/>
  <c r="O220" i="10"/>
  <c r="P220" i="10"/>
  <c r="AH220" i="10" s="1"/>
  <c r="AI220" i="10" s="1"/>
  <c r="R220" i="10"/>
  <c r="T220" i="10"/>
  <c r="U220" i="10" s="1"/>
  <c r="AM220" i="10" s="1"/>
  <c r="AN220" i="10" s="1"/>
  <c r="AK220" i="10"/>
  <c r="D221" i="10"/>
  <c r="G221" i="10"/>
  <c r="H221" i="10"/>
  <c r="J221" i="10"/>
  <c r="K221" i="10"/>
  <c r="L221" i="10"/>
  <c r="O221" i="10"/>
  <c r="P221" i="10"/>
  <c r="AH221" i="10" s="1"/>
  <c r="AI221" i="10" s="1"/>
  <c r="R221" i="10"/>
  <c r="T221" i="10"/>
  <c r="U221" i="10" s="1"/>
  <c r="AK221" i="10"/>
  <c r="D222" i="10"/>
  <c r="G222" i="10"/>
  <c r="H222" i="10"/>
  <c r="J222" i="10"/>
  <c r="K222" i="10"/>
  <c r="L222" i="10"/>
  <c r="O222" i="10"/>
  <c r="P222" i="10"/>
  <c r="AH222" i="10" s="1"/>
  <c r="AI222" i="10" s="1"/>
  <c r="R222" i="10"/>
  <c r="T222" i="10"/>
  <c r="U222" i="10" s="1"/>
  <c r="AK222" i="10"/>
  <c r="D223" i="10"/>
  <c r="G223" i="10"/>
  <c r="H223" i="10"/>
  <c r="J223" i="10"/>
  <c r="K223" i="10"/>
  <c r="L223" i="10"/>
  <c r="O223" i="10"/>
  <c r="P223" i="10"/>
  <c r="AH223" i="10" s="1"/>
  <c r="AI223" i="10" s="1"/>
  <c r="R223" i="10"/>
  <c r="T223" i="10"/>
  <c r="U223" i="10" s="1"/>
  <c r="AK223" i="10"/>
  <c r="D224" i="10"/>
  <c r="G224" i="10"/>
  <c r="H224" i="10"/>
  <c r="J224" i="10"/>
  <c r="K224" i="10"/>
  <c r="L224" i="10"/>
  <c r="O224" i="10"/>
  <c r="P224" i="10"/>
  <c r="AH224" i="10" s="1"/>
  <c r="AI224" i="10" s="1"/>
  <c r="R224" i="10"/>
  <c r="T224" i="10"/>
  <c r="U224" i="10" s="1"/>
  <c r="AM224" i="10" s="1"/>
  <c r="AN224" i="10" s="1"/>
  <c r="AK224" i="10"/>
  <c r="D225" i="10"/>
  <c r="G225" i="10"/>
  <c r="H225" i="10"/>
  <c r="J225" i="10"/>
  <c r="K225" i="10"/>
  <c r="L225" i="10"/>
  <c r="O225" i="10"/>
  <c r="P225" i="10"/>
  <c r="AH225" i="10" s="1"/>
  <c r="AI225" i="10" s="1"/>
  <c r="R225" i="10"/>
  <c r="T225" i="10"/>
  <c r="U225" i="10" s="1"/>
  <c r="AK225" i="10"/>
  <c r="D226" i="10"/>
  <c r="G226" i="10"/>
  <c r="H226" i="10"/>
  <c r="J226" i="10"/>
  <c r="K226" i="10"/>
  <c r="L226" i="10"/>
  <c r="O226" i="10"/>
  <c r="P226" i="10"/>
  <c r="AH226" i="10" s="1"/>
  <c r="AI226" i="10" s="1"/>
  <c r="R226" i="10"/>
  <c r="T226" i="10"/>
  <c r="U226" i="10" s="1"/>
  <c r="AM226" i="10" s="1"/>
  <c r="AN226" i="10" s="1"/>
  <c r="AK226" i="10"/>
  <c r="D227" i="10"/>
  <c r="G227" i="10"/>
  <c r="H227" i="10"/>
  <c r="J227" i="10"/>
  <c r="K227" i="10"/>
  <c r="L227" i="10"/>
  <c r="O227" i="10"/>
  <c r="P227" i="10"/>
  <c r="AH227" i="10" s="1"/>
  <c r="AI227" i="10" s="1"/>
  <c r="R227" i="10"/>
  <c r="T227" i="10"/>
  <c r="U227" i="10" s="1"/>
  <c r="AK227" i="10"/>
  <c r="D228" i="10"/>
  <c r="G228" i="10"/>
  <c r="H228" i="10"/>
  <c r="J228" i="10"/>
  <c r="K228" i="10"/>
  <c r="L228" i="10"/>
  <c r="O228" i="10"/>
  <c r="P228" i="10"/>
  <c r="AH228" i="10" s="1"/>
  <c r="AI228" i="10" s="1"/>
  <c r="R228" i="10"/>
  <c r="T228" i="10"/>
  <c r="U228" i="10" s="1"/>
  <c r="AM228" i="10" s="1"/>
  <c r="AN228" i="10" s="1"/>
  <c r="AK228" i="10"/>
  <c r="D229" i="10"/>
  <c r="G229" i="10"/>
  <c r="H229" i="10"/>
  <c r="J229" i="10"/>
  <c r="K229" i="10"/>
  <c r="L229" i="10"/>
  <c r="O229" i="10"/>
  <c r="P229" i="10"/>
  <c r="AH229" i="10" s="1"/>
  <c r="AI229" i="10" s="1"/>
  <c r="R229" i="10"/>
  <c r="T229" i="10"/>
  <c r="U229" i="10" s="1"/>
  <c r="AK229" i="10"/>
  <c r="D230" i="10"/>
  <c r="G230" i="10"/>
  <c r="H230" i="10"/>
  <c r="J230" i="10"/>
  <c r="K230" i="10"/>
  <c r="L230" i="10"/>
  <c r="O230" i="10"/>
  <c r="P230" i="10"/>
  <c r="AH230" i="10" s="1"/>
  <c r="AI230" i="10" s="1"/>
  <c r="R230" i="10"/>
  <c r="T230" i="10"/>
  <c r="U230" i="10" s="1"/>
  <c r="AK230" i="10"/>
  <c r="D231" i="10"/>
  <c r="G231" i="10"/>
  <c r="H231" i="10"/>
  <c r="J231" i="10"/>
  <c r="K231" i="10"/>
  <c r="L231" i="10"/>
  <c r="O231" i="10"/>
  <c r="P231" i="10"/>
  <c r="AH231" i="10" s="1"/>
  <c r="AI231" i="10" s="1"/>
  <c r="R231" i="10"/>
  <c r="T231" i="10"/>
  <c r="U231" i="10" s="1"/>
  <c r="AK231" i="10"/>
  <c r="D232" i="10"/>
  <c r="G232" i="10"/>
  <c r="H232" i="10"/>
  <c r="J232" i="10"/>
  <c r="K232" i="10"/>
  <c r="L232" i="10"/>
  <c r="O232" i="10"/>
  <c r="P232" i="10"/>
  <c r="AH232" i="10" s="1"/>
  <c r="AI232" i="10" s="1"/>
  <c r="R232" i="10"/>
  <c r="T232" i="10"/>
  <c r="U232" i="10" s="1"/>
  <c r="AM232" i="10" s="1"/>
  <c r="AN232" i="10" s="1"/>
  <c r="AK232" i="10"/>
  <c r="D233" i="10"/>
  <c r="G233" i="10"/>
  <c r="H233" i="10"/>
  <c r="J233" i="10"/>
  <c r="K233" i="10"/>
  <c r="L233" i="10"/>
  <c r="O233" i="10"/>
  <c r="P233" i="10"/>
  <c r="AH233" i="10" s="1"/>
  <c r="AI233" i="10" s="1"/>
  <c r="R233" i="10"/>
  <c r="T233" i="10"/>
  <c r="U233" i="10" s="1"/>
  <c r="AK233" i="10"/>
  <c r="D234" i="10"/>
  <c r="G234" i="10"/>
  <c r="H234" i="10"/>
  <c r="J234" i="10"/>
  <c r="K234" i="10"/>
  <c r="L234" i="10"/>
  <c r="O234" i="10"/>
  <c r="P234" i="10"/>
  <c r="AH234" i="10" s="1"/>
  <c r="AI234" i="10" s="1"/>
  <c r="R234" i="10"/>
  <c r="T234" i="10"/>
  <c r="U234" i="10" s="1"/>
  <c r="AM234" i="10" s="1"/>
  <c r="AN234" i="10" s="1"/>
  <c r="AK234" i="10"/>
  <c r="D235" i="10"/>
  <c r="G235" i="10"/>
  <c r="H235" i="10"/>
  <c r="J235" i="10"/>
  <c r="K235" i="10"/>
  <c r="L235" i="10"/>
  <c r="O235" i="10"/>
  <c r="P235" i="10"/>
  <c r="AH235" i="10" s="1"/>
  <c r="AI235" i="10" s="1"/>
  <c r="R235" i="10"/>
  <c r="T235" i="10"/>
  <c r="U235" i="10" s="1"/>
  <c r="AK235" i="10"/>
  <c r="D236" i="10"/>
  <c r="G236" i="10"/>
  <c r="H236" i="10"/>
  <c r="J236" i="10"/>
  <c r="K236" i="10"/>
  <c r="L236" i="10"/>
  <c r="O236" i="10"/>
  <c r="P236" i="10"/>
  <c r="AH236" i="10" s="1"/>
  <c r="AI236" i="10" s="1"/>
  <c r="R236" i="10"/>
  <c r="T236" i="10"/>
  <c r="U236" i="10" s="1"/>
  <c r="AK236" i="10"/>
  <c r="D237" i="10"/>
  <c r="G237" i="10"/>
  <c r="H237" i="10"/>
  <c r="J237" i="10"/>
  <c r="K237" i="10"/>
  <c r="L237" i="10"/>
  <c r="O237" i="10"/>
  <c r="P237" i="10"/>
  <c r="AH237" i="10" s="1"/>
  <c r="AI237" i="10" s="1"/>
  <c r="R237" i="10"/>
  <c r="T237" i="10"/>
  <c r="U237" i="10" s="1"/>
  <c r="AK237" i="10"/>
  <c r="D238" i="10"/>
  <c r="G238" i="10"/>
  <c r="H238" i="10"/>
  <c r="J238" i="10"/>
  <c r="K238" i="10"/>
  <c r="L238" i="10"/>
  <c r="O238" i="10"/>
  <c r="P238" i="10"/>
  <c r="AH238" i="10" s="1"/>
  <c r="AI238" i="10" s="1"/>
  <c r="R238" i="10"/>
  <c r="T238" i="10"/>
  <c r="U238" i="10" s="1"/>
  <c r="AM238" i="10" s="1"/>
  <c r="AN238" i="10" s="1"/>
  <c r="AK238" i="10"/>
  <c r="D239" i="10"/>
  <c r="G239" i="10"/>
  <c r="H239" i="10"/>
  <c r="J239" i="10"/>
  <c r="K239" i="10"/>
  <c r="L239" i="10"/>
  <c r="O239" i="10"/>
  <c r="P239" i="10"/>
  <c r="AH239" i="10" s="1"/>
  <c r="AI239" i="10" s="1"/>
  <c r="R239" i="10"/>
  <c r="T239" i="10"/>
  <c r="U239" i="10" s="1"/>
  <c r="AK239" i="10"/>
  <c r="D240" i="10"/>
  <c r="G240" i="10"/>
  <c r="H240" i="10"/>
  <c r="J240" i="10"/>
  <c r="K240" i="10"/>
  <c r="L240" i="10"/>
  <c r="O240" i="10"/>
  <c r="P240" i="10"/>
  <c r="AH240" i="10" s="1"/>
  <c r="AI240" i="10" s="1"/>
  <c r="R240" i="10"/>
  <c r="T240" i="10"/>
  <c r="U240" i="10" s="1"/>
  <c r="AM240" i="10" s="1"/>
  <c r="AN240" i="10" s="1"/>
  <c r="AK240" i="10"/>
  <c r="D241" i="10"/>
  <c r="G241" i="10"/>
  <c r="H241" i="10"/>
  <c r="J241" i="10"/>
  <c r="K241" i="10"/>
  <c r="L241" i="10"/>
  <c r="O241" i="10"/>
  <c r="P241" i="10"/>
  <c r="AH241" i="10" s="1"/>
  <c r="AI241" i="10" s="1"/>
  <c r="R241" i="10"/>
  <c r="T241" i="10"/>
  <c r="U241" i="10" s="1"/>
  <c r="AK241" i="10"/>
  <c r="D242" i="10"/>
  <c r="G242" i="10"/>
  <c r="H242" i="10"/>
  <c r="J242" i="10"/>
  <c r="K242" i="10"/>
  <c r="L242" i="10"/>
  <c r="O242" i="10"/>
  <c r="P242" i="10"/>
  <c r="AH242" i="10" s="1"/>
  <c r="AI242" i="10" s="1"/>
  <c r="R242" i="10"/>
  <c r="T242" i="10"/>
  <c r="U242" i="10" s="1"/>
  <c r="AM242" i="10" s="1"/>
  <c r="AN242" i="10" s="1"/>
  <c r="AK242" i="10"/>
  <c r="D243" i="10"/>
  <c r="G243" i="10"/>
  <c r="H243" i="10"/>
  <c r="J243" i="10"/>
  <c r="K243" i="10"/>
  <c r="L243" i="10"/>
  <c r="O243" i="10"/>
  <c r="P243" i="10"/>
  <c r="AH243" i="10" s="1"/>
  <c r="AI243" i="10" s="1"/>
  <c r="R243" i="10"/>
  <c r="T243" i="10"/>
  <c r="U243" i="10" s="1"/>
  <c r="AK243" i="10"/>
  <c r="D244" i="10"/>
  <c r="G244" i="10"/>
  <c r="H244" i="10"/>
  <c r="J244" i="10"/>
  <c r="K244" i="10"/>
  <c r="L244" i="10"/>
  <c r="O244" i="10"/>
  <c r="P244" i="10"/>
  <c r="AH244" i="10" s="1"/>
  <c r="AI244" i="10" s="1"/>
  <c r="R244" i="10"/>
  <c r="T244" i="10"/>
  <c r="U244" i="10" s="1"/>
  <c r="AM244" i="10" s="1"/>
  <c r="AN244" i="10" s="1"/>
  <c r="AK244" i="10"/>
  <c r="D245" i="10"/>
  <c r="G245" i="10"/>
  <c r="H245" i="10"/>
  <c r="J245" i="10"/>
  <c r="K245" i="10"/>
  <c r="L245" i="10"/>
  <c r="O245" i="10"/>
  <c r="P245" i="10"/>
  <c r="AH245" i="10" s="1"/>
  <c r="AI245" i="10" s="1"/>
  <c r="R245" i="10"/>
  <c r="T245" i="10"/>
  <c r="U245" i="10" s="1"/>
  <c r="AK245" i="10"/>
  <c r="D246" i="10"/>
  <c r="G246" i="10"/>
  <c r="H246" i="10"/>
  <c r="J246" i="10"/>
  <c r="K246" i="10"/>
  <c r="L246" i="10"/>
  <c r="O246" i="10"/>
  <c r="P246" i="10"/>
  <c r="AH246" i="10" s="1"/>
  <c r="AI246" i="10" s="1"/>
  <c r="R246" i="10"/>
  <c r="T246" i="10"/>
  <c r="U246" i="10" s="1"/>
  <c r="AK246" i="10"/>
  <c r="D247" i="10"/>
  <c r="G247" i="10"/>
  <c r="H247" i="10"/>
  <c r="J247" i="10"/>
  <c r="K247" i="10"/>
  <c r="L247" i="10"/>
  <c r="O247" i="10"/>
  <c r="P247" i="10"/>
  <c r="AH247" i="10" s="1"/>
  <c r="AI247" i="10" s="1"/>
  <c r="R247" i="10"/>
  <c r="T247" i="10"/>
  <c r="U247" i="10" s="1"/>
  <c r="AK247" i="10"/>
  <c r="D248" i="10"/>
  <c r="G248" i="10"/>
  <c r="H248" i="10"/>
  <c r="J248" i="10"/>
  <c r="K248" i="10"/>
  <c r="L248" i="10"/>
  <c r="O248" i="10"/>
  <c r="P248" i="10"/>
  <c r="AH248" i="10" s="1"/>
  <c r="AI248" i="10" s="1"/>
  <c r="R248" i="10"/>
  <c r="T248" i="10"/>
  <c r="U248" i="10" s="1"/>
  <c r="AK248" i="10"/>
  <c r="D249" i="10"/>
  <c r="G249" i="10"/>
  <c r="H249" i="10"/>
  <c r="J249" i="10"/>
  <c r="K249" i="10"/>
  <c r="L249" i="10"/>
  <c r="O249" i="10"/>
  <c r="P249" i="10"/>
  <c r="AH249" i="10" s="1"/>
  <c r="AI249" i="10" s="1"/>
  <c r="R249" i="10"/>
  <c r="T249" i="10"/>
  <c r="U249" i="10" s="1"/>
  <c r="AK249" i="10"/>
  <c r="D250" i="10"/>
  <c r="G250" i="10"/>
  <c r="H250" i="10"/>
  <c r="J250" i="10"/>
  <c r="K250" i="10"/>
  <c r="L250" i="10"/>
  <c r="O250" i="10"/>
  <c r="P250" i="10"/>
  <c r="AH250" i="10" s="1"/>
  <c r="AI250" i="10" s="1"/>
  <c r="R250" i="10"/>
  <c r="T250" i="10"/>
  <c r="U250" i="10" s="1"/>
  <c r="AM250" i="10" s="1"/>
  <c r="AN250" i="10" s="1"/>
  <c r="AK250" i="10"/>
  <c r="D251" i="10"/>
  <c r="G251" i="10"/>
  <c r="H251" i="10"/>
  <c r="J251" i="10"/>
  <c r="K251" i="10"/>
  <c r="L251" i="10"/>
  <c r="O251" i="10"/>
  <c r="P251" i="10"/>
  <c r="AH251" i="10" s="1"/>
  <c r="AI251" i="10" s="1"/>
  <c r="R251" i="10"/>
  <c r="T251" i="10"/>
  <c r="U251" i="10" s="1"/>
  <c r="AK251" i="10"/>
  <c r="D252" i="10"/>
  <c r="G252" i="10"/>
  <c r="H252" i="10"/>
  <c r="J252" i="10"/>
  <c r="K252" i="10"/>
  <c r="L252" i="10"/>
  <c r="O252" i="10"/>
  <c r="P252" i="10"/>
  <c r="AH252" i="10" s="1"/>
  <c r="AI252" i="10" s="1"/>
  <c r="R252" i="10"/>
  <c r="T252" i="10"/>
  <c r="U252" i="10" s="1"/>
  <c r="AM252" i="10" s="1"/>
  <c r="AN252" i="10" s="1"/>
  <c r="AK252" i="10"/>
  <c r="D253" i="10"/>
  <c r="G253" i="10"/>
  <c r="H253" i="10"/>
  <c r="J253" i="10"/>
  <c r="K253" i="10"/>
  <c r="L253" i="10"/>
  <c r="O253" i="10"/>
  <c r="P253" i="10"/>
  <c r="AH253" i="10" s="1"/>
  <c r="AI253" i="10" s="1"/>
  <c r="R253" i="10"/>
  <c r="T253" i="10"/>
  <c r="U253" i="10" s="1"/>
  <c r="AK253" i="10"/>
  <c r="D254" i="10"/>
  <c r="G254" i="10"/>
  <c r="H254" i="10"/>
  <c r="J254" i="10"/>
  <c r="K254" i="10"/>
  <c r="L254" i="10"/>
  <c r="O254" i="10"/>
  <c r="P254" i="10"/>
  <c r="AH254" i="10" s="1"/>
  <c r="AI254" i="10" s="1"/>
  <c r="R254" i="10"/>
  <c r="T254" i="10"/>
  <c r="U254" i="10" s="1"/>
  <c r="AK254" i="10"/>
  <c r="D255" i="10"/>
  <c r="G255" i="10"/>
  <c r="H255" i="10"/>
  <c r="J255" i="10"/>
  <c r="K255" i="10"/>
  <c r="L255" i="10"/>
  <c r="O255" i="10"/>
  <c r="P255" i="10"/>
  <c r="AH255" i="10" s="1"/>
  <c r="AI255" i="10" s="1"/>
  <c r="R255" i="10"/>
  <c r="T255" i="10"/>
  <c r="U255" i="10" s="1"/>
  <c r="AK255" i="10"/>
  <c r="D256" i="10"/>
  <c r="G256" i="10"/>
  <c r="H256" i="10"/>
  <c r="J256" i="10"/>
  <c r="K256" i="10"/>
  <c r="L256" i="10"/>
  <c r="O256" i="10"/>
  <c r="P256" i="10"/>
  <c r="AH256" i="10" s="1"/>
  <c r="AI256" i="10" s="1"/>
  <c r="R256" i="10"/>
  <c r="T256" i="10"/>
  <c r="U256" i="10" s="1"/>
  <c r="AK256" i="10"/>
  <c r="D257" i="10"/>
  <c r="G257" i="10"/>
  <c r="H257" i="10"/>
  <c r="J257" i="10"/>
  <c r="K257" i="10"/>
  <c r="L257" i="10"/>
  <c r="O257" i="10"/>
  <c r="P257" i="10"/>
  <c r="AH257" i="10" s="1"/>
  <c r="AI257" i="10" s="1"/>
  <c r="R257" i="10"/>
  <c r="T257" i="10"/>
  <c r="U257" i="10" s="1"/>
  <c r="AK257" i="10"/>
  <c r="D258" i="10"/>
  <c r="G258" i="10"/>
  <c r="H258" i="10"/>
  <c r="J258" i="10"/>
  <c r="K258" i="10"/>
  <c r="L258" i="10"/>
  <c r="O258" i="10"/>
  <c r="P258" i="10"/>
  <c r="AH258" i="10" s="1"/>
  <c r="AI258" i="10" s="1"/>
  <c r="R258" i="10"/>
  <c r="T258" i="10"/>
  <c r="U258" i="10" s="1"/>
  <c r="AK258" i="10"/>
  <c r="D259" i="10"/>
  <c r="G259" i="10"/>
  <c r="H259" i="10"/>
  <c r="J259" i="10"/>
  <c r="K259" i="10"/>
  <c r="L259" i="10"/>
  <c r="O259" i="10"/>
  <c r="P259" i="10"/>
  <c r="AH259" i="10" s="1"/>
  <c r="AI259" i="10" s="1"/>
  <c r="R259" i="10"/>
  <c r="T259" i="10"/>
  <c r="U259" i="10" s="1"/>
  <c r="AK259" i="10"/>
  <c r="D260" i="10"/>
  <c r="G260" i="10"/>
  <c r="H260" i="10"/>
  <c r="J260" i="10"/>
  <c r="K260" i="10"/>
  <c r="L260" i="10"/>
  <c r="O260" i="10"/>
  <c r="P260" i="10"/>
  <c r="AH260" i="10" s="1"/>
  <c r="AI260" i="10" s="1"/>
  <c r="R260" i="10"/>
  <c r="T260" i="10"/>
  <c r="U260" i="10" s="1"/>
  <c r="AK260" i="10"/>
  <c r="D261" i="10"/>
  <c r="G261" i="10"/>
  <c r="H261" i="10"/>
  <c r="J261" i="10"/>
  <c r="K261" i="10"/>
  <c r="L261" i="10"/>
  <c r="O261" i="10"/>
  <c r="P261" i="10"/>
  <c r="AH261" i="10" s="1"/>
  <c r="AI261" i="10" s="1"/>
  <c r="R261" i="10"/>
  <c r="T261" i="10"/>
  <c r="U261" i="10" s="1"/>
  <c r="AK261" i="10"/>
  <c r="D262" i="10"/>
  <c r="G262" i="10"/>
  <c r="H262" i="10"/>
  <c r="J262" i="10"/>
  <c r="K262" i="10"/>
  <c r="L262" i="10"/>
  <c r="O262" i="10"/>
  <c r="P262" i="10"/>
  <c r="AH262" i="10" s="1"/>
  <c r="AI262" i="10" s="1"/>
  <c r="R262" i="10"/>
  <c r="T262" i="10"/>
  <c r="U262" i="10" s="1"/>
  <c r="AK262" i="10"/>
  <c r="D263" i="10"/>
  <c r="G263" i="10"/>
  <c r="H263" i="10"/>
  <c r="J263" i="10"/>
  <c r="K263" i="10"/>
  <c r="L263" i="10"/>
  <c r="O263" i="10"/>
  <c r="P263" i="10"/>
  <c r="AH263" i="10" s="1"/>
  <c r="AI263" i="10" s="1"/>
  <c r="R263" i="10"/>
  <c r="T263" i="10"/>
  <c r="U263" i="10" s="1"/>
  <c r="AK263" i="10"/>
  <c r="D264" i="10"/>
  <c r="G264" i="10"/>
  <c r="H264" i="10"/>
  <c r="J264" i="10"/>
  <c r="K264" i="10"/>
  <c r="L264" i="10"/>
  <c r="O264" i="10"/>
  <c r="P264" i="10"/>
  <c r="AH264" i="10" s="1"/>
  <c r="AI264" i="10" s="1"/>
  <c r="R264" i="10"/>
  <c r="T264" i="10"/>
  <c r="U264" i="10" s="1"/>
  <c r="AK264" i="10"/>
  <c r="D265" i="10"/>
  <c r="G265" i="10"/>
  <c r="H265" i="10"/>
  <c r="J265" i="10"/>
  <c r="K265" i="10"/>
  <c r="L265" i="10"/>
  <c r="O265" i="10"/>
  <c r="P265" i="10"/>
  <c r="AH265" i="10" s="1"/>
  <c r="AI265" i="10" s="1"/>
  <c r="R265" i="10"/>
  <c r="T265" i="10"/>
  <c r="U265" i="10" s="1"/>
  <c r="AK265" i="10"/>
  <c r="D266" i="10"/>
  <c r="G266" i="10"/>
  <c r="H266" i="10"/>
  <c r="J266" i="10"/>
  <c r="K266" i="10"/>
  <c r="L266" i="10"/>
  <c r="O266" i="10"/>
  <c r="P266" i="10"/>
  <c r="AH266" i="10" s="1"/>
  <c r="AI266" i="10" s="1"/>
  <c r="R266" i="10"/>
  <c r="T266" i="10"/>
  <c r="U266" i="10" s="1"/>
  <c r="AK266" i="10"/>
  <c r="D267" i="10"/>
  <c r="G267" i="10"/>
  <c r="H267" i="10"/>
  <c r="J267" i="10"/>
  <c r="K267" i="10"/>
  <c r="L267" i="10"/>
  <c r="O267" i="10"/>
  <c r="P267" i="10"/>
  <c r="AH267" i="10" s="1"/>
  <c r="AI267" i="10" s="1"/>
  <c r="R267" i="10"/>
  <c r="T267" i="10"/>
  <c r="U267" i="10" s="1"/>
  <c r="AK267" i="10"/>
  <c r="D268" i="10"/>
  <c r="G268" i="10"/>
  <c r="H268" i="10"/>
  <c r="J268" i="10"/>
  <c r="K268" i="10"/>
  <c r="L268" i="10"/>
  <c r="O268" i="10"/>
  <c r="P268" i="10"/>
  <c r="AH268" i="10" s="1"/>
  <c r="AI268" i="10" s="1"/>
  <c r="R268" i="10"/>
  <c r="T268" i="10"/>
  <c r="U268" i="10" s="1"/>
  <c r="AK268" i="10"/>
  <c r="D269" i="10"/>
  <c r="G269" i="10"/>
  <c r="H269" i="10"/>
  <c r="J269" i="10"/>
  <c r="K269" i="10"/>
  <c r="L269" i="10"/>
  <c r="O269" i="10"/>
  <c r="P269" i="10"/>
  <c r="AH269" i="10" s="1"/>
  <c r="AI269" i="10" s="1"/>
  <c r="R269" i="10"/>
  <c r="T269" i="10"/>
  <c r="U269" i="10" s="1"/>
  <c r="AK269" i="10"/>
  <c r="D270" i="10"/>
  <c r="G270" i="10"/>
  <c r="H270" i="10"/>
  <c r="J270" i="10"/>
  <c r="K270" i="10"/>
  <c r="L270" i="10"/>
  <c r="O270" i="10"/>
  <c r="P270" i="10"/>
  <c r="AH270" i="10" s="1"/>
  <c r="AI270" i="10" s="1"/>
  <c r="R270" i="10"/>
  <c r="T270" i="10"/>
  <c r="U270" i="10" s="1"/>
  <c r="AK270" i="10"/>
  <c r="D271" i="10"/>
  <c r="G271" i="10"/>
  <c r="H271" i="10"/>
  <c r="J271" i="10"/>
  <c r="K271" i="10"/>
  <c r="L271" i="10"/>
  <c r="O271" i="10"/>
  <c r="P271" i="10"/>
  <c r="AH271" i="10" s="1"/>
  <c r="AI271" i="10" s="1"/>
  <c r="R271" i="10"/>
  <c r="T271" i="10"/>
  <c r="U271" i="10" s="1"/>
  <c r="AK271" i="10"/>
  <c r="D272" i="10"/>
  <c r="G272" i="10"/>
  <c r="H272" i="10"/>
  <c r="J272" i="10"/>
  <c r="K272" i="10"/>
  <c r="L272" i="10"/>
  <c r="O272" i="10"/>
  <c r="P272" i="10"/>
  <c r="AH272" i="10" s="1"/>
  <c r="AI272" i="10" s="1"/>
  <c r="R272" i="10"/>
  <c r="T272" i="10"/>
  <c r="U272" i="10" s="1"/>
  <c r="AK272" i="10"/>
  <c r="D273" i="10"/>
  <c r="G273" i="10"/>
  <c r="H273" i="10"/>
  <c r="J273" i="10"/>
  <c r="K273" i="10"/>
  <c r="L273" i="10"/>
  <c r="O273" i="10"/>
  <c r="P273" i="10"/>
  <c r="AH273" i="10" s="1"/>
  <c r="AI273" i="10" s="1"/>
  <c r="R273" i="10"/>
  <c r="T273" i="10"/>
  <c r="U273" i="10" s="1"/>
  <c r="AK273" i="10"/>
  <c r="D274" i="10"/>
  <c r="G274" i="10"/>
  <c r="H274" i="10"/>
  <c r="J274" i="10"/>
  <c r="K274" i="10"/>
  <c r="L274" i="10"/>
  <c r="O274" i="10"/>
  <c r="P274" i="10"/>
  <c r="AH274" i="10" s="1"/>
  <c r="AI274" i="10" s="1"/>
  <c r="R274" i="10"/>
  <c r="T274" i="10"/>
  <c r="U274" i="10" s="1"/>
  <c r="AK274" i="10"/>
  <c r="D275" i="10"/>
  <c r="G275" i="10"/>
  <c r="H275" i="10"/>
  <c r="J275" i="10"/>
  <c r="K275" i="10"/>
  <c r="L275" i="10"/>
  <c r="O275" i="10"/>
  <c r="P275" i="10"/>
  <c r="AH275" i="10" s="1"/>
  <c r="AI275" i="10" s="1"/>
  <c r="R275" i="10"/>
  <c r="T275" i="10"/>
  <c r="U275" i="10" s="1"/>
  <c r="AK275" i="10"/>
  <c r="D276" i="10"/>
  <c r="G276" i="10"/>
  <c r="H276" i="10"/>
  <c r="J276" i="10"/>
  <c r="K276" i="10"/>
  <c r="L276" i="10"/>
  <c r="O276" i="10"/>
  <c r="P276" i="10"/>
  <c r="AH276" i="10" s="1"/>
  <c r="AI276" i="10" s="1"/>
  <c r="R276" i="10"/>
  <c r="T276" i="10"/>
  <c r="U276" i="10" s="1"/>
  <c r="AK276" i="10"/>
  <c r="D277" i="10"/>
  <c r="G277" i="10"/>
  <c r="H277" i="10"/>
  <c r="J277" i="10"/>
  <c r="K277" i="10"/>
  <c r="L277" i="10"/>
  <c r="O277" i="10"/>
  <c r="P277" i="10"/>
  <c r="AH277" i="10" s="1"/>
  <c r="AI277" i="10" s="1"/>
  <c r="R277" i="10"/>
  <c r="T277" i="10"/>
  <c r="U277" i="10" s="1"/>
  <c r="AK277" i="10"/>
  <c r="D278" i="10"/>
  <c r="G278" i="10"/>
  <c r="H278" i="10"/>
  <c r="J278" i="10"/>
  <c r="K278" i="10"/>
  <c r="L278" i="10"/>
  <c r="O278" i="10"/>
  <c r="P278" i="10"/>
  <c r="AH278" i="10" s="1"/>
  <c r="AI278" i="10" s="1"/>
  <c r="R278" i="10"/>
  <c r="T278" i="10"/>
  <c r="U278" i="10" s="1"/>
  <c r="AM278" i="10" s="1"/>
  <c r="AN278" i="10" s="1"/>
  <c r="AK278" i="10"/>
  <c r="D279" i="10"/>
  <c r="G279" i="10"/>
  <c r="H279" i="10"/>
  <c r="J279" i="10"/>
  <c r="K279" i="10"/>
  <c r="L279" i="10"/>
  <c r="O279" i="10"/>
  <c r="P279" i="10"/>
  <c r="AH279" i="10" s="1"/>
  <c r="AI279" i="10" s="1"/>
  <c r="R279" i="10"/>
  <c r="T279" i="10"/>
  <c r="U279" i="10" s="1"/>
  <c r="AK279" i="10"/>
  <c r="D280" i="10"/>
  <c r="G280" i="10"/>
  <c r="H280" i="10"/>
  <c r="J280" i="10"/>
  <c r="K280" i="10"/>
  <c r="L280" i="10"/>
  <c r="O280" i="10"/>
  <c r="P280" i="10"/>
  <c r="AH280" i="10" s="1"/>
  <c r="AI280" i="10" s="1"/>
  <c r="R280" i="10"/>
  <c r="T280" i="10"/>
  <c r="U280" i="10" s="1"/>
  <c r="AK280" i="10"/>
  <c r="D281" i="10"/>
  <c r="G281" i="10"/>
  <c r="H281" i="10"/>
  <c r="J281" i="10"/>
  <c r="K281" i="10"/>
  <c r="L281" i="10"/>
  <c r="O281" i="10"/>
  <c r="P281" i="10"/>
  <c r="AH281" i="10" s="1"/>
  <c r="AI281" i="10" s="1"/>
  <c r="R281" i="10"/>
  <c r="T281" i="10"/>
  <c r="U281" i="10" s="1"/>
  <c r="AK281" i="10"/>
  <c r="D282" i="10"/>
  <c r="G282" i="10"/>
  <c r="H282" i="10"/>
  <c r="J282" i="10"/>
  <c r="K282" i="10"/>
  <c r="L282" i="10"/>
  <c r="O282" i="10"/>
  <c r="P282" i="10"/>
  <c r="AH282" i="10" s="1"/>
  <c r="AI282" i="10" s="1"/>
  <c r="R282" i="10"/>
  <c r="T282" i="10"/>
  <c r="U282" i="10" s="1"/>
  <c r="AK282" i="10"/>
  <c r="D283" i="10"/>
  <c r="G283" i="10"/>
  <c r="H283" i="10"/>
  <c r="J283" i="10"/>
  <c r="K283" i="10"/>
  <c r="L283" i="10"/>
  <c r="O283" i="10"/>
  <c r="P283" i="10"/>
  <c r="AH283" i="10" s="1"/>
  <c r="AI283" i="10" s="1"/>
  <c r="R283" i="10"/>
  <c r="T283" i="10"/>
  <c r="U283" i="10" s="1"/>
  <c r="AK283" i="10"/>
  <c r="D284" i="10"/>
  <c r="G284" i="10"/>
  <c r="H284" i="10"/>
  <c r="J284" i="10"/>
  <c r="K284" i="10"/>
  <c r="L284" i="10"/>
  <c r="O284" i="10"/>
  <c r="P284" i="10"/>
  <c r="AH284" i="10" s="1"/>
  <c r="AI284" i="10" s="1"/>
  <c r="R284" i="10"/>
  <c r="T284" i="10"/>
  <c r="U284" i="10" s="1"/>
  <c r="AK284" i="10"/>
  <c r="D285" i="10"/>
  <c r="G285" i="10"/>
  <c r="H285" i="10"/>
  <c r="J285" i="10"/>
  <c r="K285" i="10"/>
  <c r="L285" i="10"/>
  <c r="O285" i="10"/>
  <c r="P285" i="10"/>
  <c r="AH285" i="10" s="1"/>
  <c r="AI285" i="10" s="1"/>
  <c r="R285" i="10"/>
  <c r="T285" i="10"/>
  <c r="U285" i="10" s="1"/>
  <c r="AK285" i="10"/>
  <c r="D286" i="10"/>
  <c r="G286" i="10"/>
  <c r="H286" i="10"/>
  <c r="J286" i="10"/>
  <c r="K286" i="10"/>
  <c r="L286" i="10"/>
  <c r="O286" i="10"/>
  <c r="P286" i="10"/>
  <c r="AH286" i="10" s="1"/>
  <c r="AI286" i="10" s="1"/>
  <c r="R286" i="10"/>
  <c r="T286" i="10"/>
  <c r="U286" i="10" s="1"/>
  <c r="AK286" i="10"/>
  <c r="D287" i="10"/>
  <c r="G287" i="10"/>
  <c r="H287" i="10"/>
  <c r="J287" i="10"/>
  <c r="K287" i="10"/>
  <c r="L287" i="10"/>
  <c r="O287" i="10"/>
  <c r="P287" i="10"/>
  <c r="AH287" i="10" s="1"/>
  <c r="AI287" i="10" s="1"/>
  <c r="R287" i="10"/>
  <c r="T287" i="10"/>
  <c r="U287" i="10" s="1"/>
  <c r="AK287" i="10"/>
  <c r="D288" i="10"/>
  <c r="G288" i="10"/>
  <c r="H288" i="10"/>
  <c r="J288" i="10"/>
  <c r="K288" i="10"/>
  <c r="L288" i="10"/>
  <c r="O288" i="10"/>
  <c r="P288" i="10"/>
  <c r="AH288" i="10" s="1"/>
  <c r="AI288" i="10" s="1"/>
  <c r="R288" i="10"/>
  <c r="T288" i="10"/>
  <c r="U288" i="10" s="1"/>
  <c r="AK288" i="10"/>
  <c r="D289" i="10"/>
  <c r="G289" i="10"/>
  <c r="H289" i="10"/>
  <c r="J289" i="10"/>
  <c r="K289" i="10"/>
  <c r="L289" i="10"/>
  <c r="O289" i="10"/>
  <c r="P289" i="10"/>
  <c r="AH289" i="10" s="1"/>
  <c r="AI289" i="10" s="1"/>
  <c r="R289" i="10"/>
  <c r="T289" i="10"/>
  <c r="U289" i="10" s="1"/>
  <c r="AK289" i="10"/>
  <c r="D290" i="10"/>
  <c r="G290" i="10"/>
  <c r="H290" i="10"/>
  <c r="J290" i="10"/>
  <c r="K290" i="10"/>
  <c r="L290" i="10"/>
  <c r="O290" i="10"/>
  <c r="P290" i="10"/>
  <c r="AH290" i="10" s="1"/>
  <c r="AI290" i="10" s="1"/>
  <c r="R290" i="10"/>
  <c r="T290" i="10"/>
  <c r="U290" i="10" s="1"/>
  <c r="AK290" i="10"/>
  <c r="D291" i="10"/>
  <c r="G291" i="10"/>
  <c r="H291" i="10"/>
  <c r="J291" i="10"/>
  <c r="K291" i="10"/>
  <c r="L291" i="10"/>
  <c r="O291" i="10"/>
  <c r="P291" i="10"/>
  <c r="AH291" i="10" s="1"/>
  <c r="AI291" i="10" s="1"/>
  <c r="R291" i="10"/>
  <c r="T291" i="10"/>
  <c r="U291" i="10" s="1"/>
  <c r="AK291" i="10"/>
  <c r="D292" i="10"/>
  <c r="G292" i="10"/>
  <c r="H292" i="10"/>
  <c r="J292" i="10"/>
  <c r="K292" i="10"/>
  <c r="L292" i="10"/>
  <c r="O292" i="10"/>
  <c r="P292" i="10"/>
  <c r="AH292" i="10" s="1"/>
  <c r="AI292" i="10" s="1"/>
  <c r="R292" i="10"/>
  <c r="T292" i="10"/>
  <c r="U292" i="10" s="1"/>
  <c r="AM292" i="10" s="1"/>
  <c r="AN292" i="10" s="1"/>
  <c r="AK292" i="10"/>
  <c r="D293" i="10"/>
  <c r="G293" i="10"/>
  <c r="H293" i="10"/>
  <c r="J293" i="10"/>
  <c r="K293" i="10"/>
  <c r="L293" i="10"/>
  <c r="O293" i="10"/>
  <c r="P293" i="10"/>
  <c r="AH293" i="10" s="1"/>
  <c r="AI293" i="10" s="1"/>
  <c r="R293" i="10"/>
  <c r="T293" i="10"/>
  <c r="U293" i="10" s="1"/>
  <c r="AK293" i="10"/>
  <c r="D294" i="10"/>
  <c r="G294" i="10"/>
  <c r="H294" i="10"/>
  <c r="J294" i="10"/>
  <c r="K294" i="10"/>
  <c r="L294" i="10"/>
  <c r="O294" i="10"/>
  <c r="P294" i="10"/>
  <c r="AH294" i="10" s="1"/>
  <c r="AI294" i="10" s="1"/>
  <c r="R294" i="10"/>
  <c r="T294" i="10"/>
  <c r="U294" i="10" s="1"/>
  <c r="AK294" i="10"/>
  <c r="D295" i="10"/>
  <c r="G295" i="10"/>
  <c r="H295" i="10"/>
  <c r="J295" i="10"/>
  <c r="K295" i="10"/>
  <c r="L295" i="10"/>
  <c r="O295" i="10"/>
  <c r="P295" i="10"/>
  <c r="AH295" i="10" s="1"/>
  <c r="AI295" i="10" s="1"/>
  <c r="R295" i="10"/>
  <c r="T295" i="10"/>
  <c r="U295" i="10" s="1"/>
  <c r="AK295" i="10"/>
  <c r="D296" i="10"/>
  <c r="G296" i="10"/>
  <c r="H296" i="10"/>
  <c r="J296" i="10"/>
  <c r="K296" i="10"/>
  <c r="L296" i="10"/>
  <c r="O296" i="10"/>
  <c r="P296" i="10"/>
  <c r="AH296" i="10" s="1"/>
  <c r="AI296" i="10" s="1"/>
  <c r="R296" i="10"/>
  <c r="T296" i="10"/>
  <c r="U296" i="10" s="1"/>
  <c r="AK296" i="10"/>
  <c r="D297" i="10"/>
  <c r="G297" i="10"/>
  <c r="H297" i="10"/>
  <c r="J297" i="10"/>
  <c r="K297" i="10"/>
  <c r="L297" i="10"/>
  <c r="O297" i="10"/>
  <c r="P297" i="10"/>
  <c r="AH297" i="10" s="1"/>
  <c r="AI297" i="10" s="1"/>
  <c r="R297" i="10"/>
  <c r="T297" i="10"/>
  <c r="U297" i="10" s="1"/>
  <c r="AK297" i="10"/>
  <c r="D298" i="10"/>
  <c r="G298" i="10"/>
  <c r="H298" i="10"/>
  <c r="J298" i="10"/>
  <c r="K298" i="10"/>
  <c r="L298" i="10"/>
  <c r="O298" i="10"/>
  <c r="P298" i="10"/>
  <c r="AH298" i="10" s="1"/>
  <c r="AI298" i="10" s="1"/>
  <c r="R298" i="10"/>
  <c r="T298" i="10"/>
  <c r="U298" i="10" s="1"/>
  <c r="AM298" i="10" s="1"/>
  <c r="AN298" i="10" s="1"/>
  <c r="AK298" i="10"/>
  <c r="D299" i="10"/>
  <c r="G299" i="10"/>
  <c r="H299" i="10"/>
  <c r="J299" i="10"/>
  <c r="K299" i="10"/>
  <c r="L299" i="10"/>
  <c r="O299" i="10"/>
  <c r="P299" i="10"/>
  <c r="AH299" i="10" s="1"/>
  <c r="AI299" i="10" s="1"/>
  <c r="R299" i="10"/>
  <c r="T299" i="10"/>
  <c r="U299" i="10" s="1"/>
  <c r="AK299" i="10"/>
  <c r="D300" i="10"/>
  <c r="G300" i="10"/>
  <c r="H300" i="10"/>
  <c r="J300" i="10"/>
  <c r="K300" i="10"/>
  <c r="L300" i="10"/>
  <c r="O300" i="10"/>
  <c r="P300" i="10"/>
  <c r="AH300" i="10" s="1"/>
  <c r="AI300" i="10" s="1"/>
  <c r="R300" i="10"/>
  <c r="T300" i="10"/>
  <c r="U300" i="10" s="1"/>
  <c r="AK300" i="10"/>
  <c r="R343" i="7"/>
  <c r="R64" i="13"/>
  <c r="R63" i="13"/>
  <c r="R62" i="13"/>
  <c r="R61" i="13"/>
  <c r="R60" i="13"/>
  <c r="C64" i="13"/>
  <c r="C63" i="13"/>
  <c r="C62" i="13"/>
  <c r="C61" i="13"/>
  <c r="C60" i="13"/>
  <c r="R67" i="13"/>
  <c r="R66" i="13"/>
  <c r="R65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C67" i="13"/>
  <c r="C66" i="13"/>
  <c r="C65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R5" i="13"/>
  <c r="C5" i="13"/>
  <c r="T58" i="12"/>
  <c r="N57" i="12"/>
  <c r="Q57" i="12" s="1"/>
  <c r="N56" i="12"/>
  <c r="N55" i="12"/>
  <c r="Q55" i="12" s="1"/>
  <c r="N54" i="12"/>
  <c r="Q54" i="12" s="1"/>
  <c r="R57" i="12"/>
  <c r="P57" i="12"/>
  <c r="B57" i="12"/>
  <c r="R56" i="12"/>
  <c r="Q56" i="12"/>
  <c r="P56" i="12"/>
  <c r="B56" i="12"/>
  <c r="R55" i="12"/>
  <c r="P55" i="12"/>
  <c r="B55" i="12"/>
  <c r="R54" i="12"/>
  <c r="B54" i="12"/>
  <c r="J135" i="10"/>
  <c r="A163" i="10" a="1"/>
  <c r="A163" i="10" s="1"/>
  <c r="A162" i="10" a="1"/>
  <c r="A162" i="10" s="1"/>
  <c r="A161" i="10" a="1"/>
  <c r="A161" i="10" s="1"/>
  <c r="A160" i="10" a="1"/>
  <c r="A160" i="10" s="1"/>
  <c r="A159" i="10" a="1"/>
  <c r="A159" i="10" s="1"/>
  <c r="A158" i="10" a="1"/>
  <c r="A158" i="10" s="1"/>
  <c r="A157" i="10" a="1"/>
  <c r="A157" i="10" s="1"/>
  <c r="A156" i="10" a="1"/>
  <c r="A156" i="10" s="1"/>
  <c r="A155" i="10" a="1"/>
  <c r="A155" i="10" s="1"/>
  <c r="A154" i="10" a="1"/>
  <c r="A154" i="10" s="1"/>
  <c r="A153" i="10" a="1"/>
  <c r="A153" i="10" s="1"/>
  <c r="A152" i="10" a="1"/>
  <c r="A152" i="10" s="1"/>
  <c r="A151" i="10" a="1"/>
  <c r="A151" i="10" s="1"/>
  <c r="A150" i="10" a="1"/>
  <c r="A150" i="10" s="1"/>
  <c r="A149" i="10" a="1"/>
  <c r="A149" i="10" s="1"/>
  <c r="A148" i="10" a="1"/>
  <c r="A148" i="10" s="1"/>
  <c r="A147" i="10" a="1"/>
  <c r="A147" i="10" s="1"/>
  <c r="A146" i="10" a="1"/>
  <c r="A146" i="10" s="1"/>
  <c r="A145" i="10" a="1"/>
  <c r="A145" i="10" s="1"/>
  <c r="A144" i="10" a="1"/>
  <c r="A144" i="10" s="1"/>
  <c r="A143" i="10" a="1"/>
  <c r="A143" i="10" s="1"/>
  <c r="A142" i="10" a="1"/>
  <c r="A142" i="10" s="1"/>
  <c r="A141" i="10" a="1"/>
  <c r="A141" i="10" s="1"/>
  <c r="A140" i="10" a="1"/>
  <c r="A140" i="10" s="1"/>
  <c r="A139" i="10" a="1"/>
  <c r="A139" i="10" s="1"/>
  <c r="A138" i="10" a="1"/>
  <c r="A138" i="10" s="1"/>
  <c r="A137" i="10" a="1"/>
  <c r="A137" i="10" s="1"/>
  <c r="A136" i="10" a="1"/>
  <c r="A136" i="10" s="1"/>
  <c r="A135" i="10" a="1"/>
  <c r="A135" i="10" s="1"/>
  <c r="A134" i="10" a="1"/>
  <c r="A134" i="10" s="1"/>
  <c r="A133" i="10" a="1"/>
  <c r="A133" i="10" s="1"/>
  <c r="A132" i="10" a="1"/>
  <c r="A132" i="10" s="1"/>
  <c r="A131" i="10" a="1"/>
  <c r="A131" i="10" s="1"/>
  <c r="A130" i="10" a="1"/>
  <c r="A130" i="10" s="1"/>
  <c r="A129" i="10" a="1"/>
  <c r="A129" i="10" s="1"/>
  <c r="A128" i="10" a="1"/>
  <c r="A128" i="10" s="1"/>
  <c r="A127" i="10" a="1"/>
  <c r="A127" i="10" s="1"/>
  <c r="A126" i="10" a="1"/>
  <c r="A126" i="10" s="1"/>
  <c r="A125" i="10" a="1"/>
  <c r="A125" i="10" s="1"/>
  <c r="A124" i="10" a="1"/>
  <c r="A124" i="10" s="1"/>
  <c r="A123" i="10" a="1"/>
  <c r="A123" i="10" s="1"/>
  <c r="A122" i="10" a="1"/>
  <c r="A122" i="10" s="1"/>
  <c r="A121" i="10" a="1"/>
  <c r="A121" i="10" s="1"/>
  <c r="A120" i="10" a="1"/>
  <c r="A120" i="10" s="1"/>
  <c r="A119" i="10" a="1"/>
  <c r="A119" i="10" s="1"/>
  <c r="A118" i="10" a="1"/>
  <c r="A118" i="10" s="1"/>
  <c r="A117" i="10" a="1"/>
  <c r="A117" i="10" s="1"/>
  <c r="A116" i="10" a="1"/>
  <c r="A116" i="10" s="1"/>
  <c r="A115" i="10" a="1"/>
  <c r="A115" i="10" s="1"/>
  <c r="A114" i="10" a="1"/>
  <c r="A114" i="10" s="1"/>
  <c r="A113" i="10" a="1"/>
  <c r="A113" i="10" s="1"/>
  <c r="A112" i="10" a="1"/>
  <c r="A112" i="10" s="1"/>
  <c r="A111" i="10" a="1"/>
  <c r="A111" i="10" s="1"/>
  <c r="A110" i="10" a="1"/>
  <c r="A110" i="10" s="1"/>
  <c r="A109" i="10" a="1"/>
  <c r="A109" i="10" s="1"/>
  <c r="A108" i="10" a="1"/>
  <c r="A108" i="10" s="1"/>
  <c r="A107" i="10" a="1"/>
  <c r="A107" i="10" s="1"/>
  <c r="A106" i="10" a="1"/>
  <c r="A106" i="10" s="1"/>
  <c r="A105" i="10" a="1"/>
  <c r="A105" i="10" s="1"/>
  <c r="A104" i="10" a="1"/>
  <c r="A104" i="10" s="1"/>
  <c r="A103" i="10" a="1"/>
  <c r="A103" i="10" s="1"/>
  <c r="A102" i="10" a="1"/>
  <c r="A102" i="10" s="1"/>
  <c r="A101" i="10" a="1"/>
  <c r="A101" i="10" s="1"/>
  <c r="A100" i="10" a="1"/>
  <c r="A100" i="10" s="1"/>
  <c r="A99" i="10" a="1"/>
  <c r="A99" i="10" s="1"/>
  <c r="A98" i="10" a="1"/>
  <c r="A98" i="10" s="1"/>
  <c r="A97" i="10" a="1"/>
  <c r="A97" i="10" s="1"/>
  <c r="A96" i="10" a="1"/>
  <c r="A96" i="10" s="1"/>
  <c r="A95" i="10" a="1"/>
  <c r="A95" i="10" s="1"/>
  <c r="A94" i="10" a="1"/>
  <c r="A94" i="10" s="1"/>
  <c r="A93" i="10" a="1"/>
  <c r="A93" i="10" s="1"/>
  <c r="A92" i="10" a="1"/>
  <c r="A92" i="10" s="1"/>
  <c r="A91" i="10" a="1"/>
  <c r="A91" i="10" s="1"/>
  <c r="A90" i="10" a="1"/>
  <c r="A90" i="10" s="1"/>
  <c r="A89" i="10" a="1"/>
  <c r="A89" i="10" s="1"/>
  <c r="A88" i="10" a="1"/>
  <c r="A88" i="10" s="1"/>
  <c r="A87" i="10" a="1"/>
  <c r="A87" i="10" s="1"/>
  <c r="A86" i="10" a="1"/>
  <c r="A86" i="10" s="1"/>
  <c r="A85" i="10" a="1"/>
  <c r="A85" i="10" s="1"/>
  <c r="A84" i="10" a="1"/>
  <c r="A84" i="10" s="1"/>
  <c r="A83" i="10" a="1"/>
  <c r="A83" i="10" s="1"/>
  <c r="A82" i="10" a="1"/>
  <c r="A82" i="10" s="1"/>
  <c r="A81" i="10" a="1"/>
  <c r="A81" i="10" s="1"/>
  <c r="A80" i="10" a="1"/>
  <c r="A80" i="10" s="1"/>
  <c r="A79" i="10" a="1"/>
  <c r="A79" i="10" s="1"/>
  <c r="A78" i="10" a="1"/>
  <c r="A78" i="10" s="1"/>
  <c r="A77" i="10" a="1"/>
  <c r="A77" i="10" s="1"/>
  <c r="A76" i="10" a="1"/>
  <c r="A76" i="10" s="1"/>
  <c r="A75" i="10" a="1"/>
  <c r="A75" i="10" s="1"/>
  <c r="A74" i="10" a="1"/>
  <c r="A74" i="10" s="1"/>
  <c r="A73" i="10" a="1"/>
  <c r="A73" i="10" s="1"/>
  <c r="A72" i="10" a="1"/>
  <c r="A72" i="10" s="1"/>
  <c r="A71" i="10" a="1"/>
  <c r="A71" i="10" s="1"/>
  <c r="A70" i="10" a="1"/>
  <c r="A70" i="10" s="1"/>
  <c r="A69" i="10" a="1"/>
  <c r="A69" i="10" s="1"/>
  <c r="A68" i="10" a="1"/>
  <c r="A68" i="10" s="1"/>
  <c r="A67" i="10" a="1"/>
  <c r="A67" i="10" s="1"/>
  <c r="A66" i="10" a="1"/>
  <c r="A66" i="10" s="1"/>
  <c r="A65" i="10" a="1"/>
  <c r="A65" i="10" s="1"/>
  <c r="A64" i="10" a="1"/>
  <c r="A64" i="10" s="1"/>
  <c r="A63" i="10" a="1"/>
  <c r="A63" i="10" s="1"/>
  <c r="A62" i="10" a="1"/>
  <c r="A62" i="10" s="1"/>
  <c r="A61" i="10" a="1"/>
  <c r="A61" i="10" s="1"/>
  <c r="A60" i="10" a="1"/>
  <c r="A60" i="10" s="1"/>
  <c r="A59" i="10" a="1"/>
  <c r="A59" i="10" s="1"/>
  <c r="A58" i="10" a="1"/>
  <c r="A58" i="10" s="1"/>
  <c r="A57" i="10" a="1"/>
  <c r="A57" i="10" s="1"/>
  <c r="A56" i="10" a="1"/>
  <c r="A56" i="10" s="1"/>
  <c r="A55" i="10" a="1"/>
  <c r="A55" i="10" s="1"/>
  <c r="A54" i="10" a="1"/>
  <c r="A54" i="10" s="1"/>
  <c r="A53" i="10" a="1"/>
  <c r="A53" i="10" s="1"/>
  <c r="A52" i="10" a="1"/>
  <c r="A52" i="10" s="1"/>
  <c r="A51" i="10" a="1"/>
  <c r="A51" i="10" s="1"/>
  <c r="A50" i="10" a="1"/>
  <c r="A50" i="10" s="1"/>
  <c r="A48" i="10" a="1"/>
  <c r="A48" i="10" s="1"/>
  <c r="A47" i="10" a="1"/>
  <c r="A47" i="10" s="1"/>
  <c r="A46" i="10" a="1"/>
  <c r="A46" i="10" s="1"/>
  <c r="A45" i="10" a="1"/>
  <c r="A45" i="10" s="1"/>
  <c r="A39" i="10" a="1"/>
  <c r="A39" i="10" s="1"/>
  <c r="A38" i="10" a="1"/>
  <c r="A38" i="10" s="1"/>
  <c r="A37" i="10" a="1"/>
  <c r="A37" i="10" s="1"/>
  <c r="A36" i="10" a="1"/>
  <c r="A36" i="10" s="1"/>
  <c r="A35" i="10" a="1"/>
  <c r="A35" i="10" s="1"/>
  <c r="A34" i="10" a="1"/>
  <c r="A34" i="10" s="1"/>
  <c r="A33" i="10" a="1"/>
  <c r="A33" i="10" s="1"/>
  <c r="A32" i="10" a="1"/>
  <c r="A32" i="10" s="1"/>
  <c r="A31" i="10" a="1"/>
  <c r="A31" i="10" s="1"/>
  <c r="A30" i="10" a="1"/>
  <c r="A30" i="10" s="1"/>
  <c r="A29" i="10" a="1"/>
  <c r="A29" i="10" s="1"/>
  <c r="A28" i="10" a="1"/>
  <c r="A28" i="10" s="1"/>
  <c r="A27" i="10" a="1"/>
  <c r="A27" i="10" s="1"/>
  <c r="A26" i="10" a="1"/>
  <c r="A26" i="10" s="1"/>
  <c r="A25" i="10" a="1"/>
  <c r="A25" i="10" s="1"/>
  <c r="A24" i="10" a="1"/>
  <c r="A24" i="10" s="1"/>
  <c r="A23" i="10" a="1"/>
  <c r="A23" i="10" s="1"/>
  <c r="A22" i="10" a="1"/>
  <c r="A22" i="10" s="1"/>
  <c r="A21" i="10" a="1"/>
  <c r="A21" i="10" s="1"/>
  <c r="A20" i="10" a="1"/>
  <c r="A20" i="10" s="1"/>
  <c r="A19" i="10" a="1"/>
  <c r="A19" i="10" s="1"/>
  <c r="A18" i="10" a="1"/>
  <c r="A18" i="10" s="1"/>
  <c r="A17" i="10" a="1"/>
  <c r="A17" i="10" s="1"/>
  <c r="A16" i="10" a="1"/>
  <c r="A16" i="10" s="1"/>
  <c r="A15" i="10" a="1"/>
  <c r="A15" i="10" s="1"/>
  <c r="A14" i="10" a="1"/>
  <c r="A14" i="10" s="1"/>
  <c r="A13" i="10" a="1"/>
  <c r="A13" i="10" s="1"/>
  <c r="A12" i="10" a="1"/>
  <c r="A12" i="10" s="1"/>
  <c r="A11" i="10" a="1"/>
  <c r="A11" i="10" s="1"/>
  <c r="A10" i="10" a="1"/>
  <c r="A10" i="10" s="1"/>
  <c r="A9" i="10" a="1"/>
  <c r="A9" i="10" s="1"/>
  <c r="A8" i="10" a="1"/>
  <c r="A8" i="10" s="1"/>
  <c r="A7" i="10" a="1"/>
  <c r="A7" i="10" s="1"/>
  <c r="A6" i="10" a="1"/>
  <c r="A6" i="10" s="1"/>
  <c r="A5" i="10" a="1"/>
  <c r="A5" i="10" s="1"/>
  <c r="A4" i="10" a="1"/>
  <c r="A4" i="10" s="1"/>
  <c r="AF64" i="10"/>
  <c r="AF63" i="10"/>
  <c r="AF60" i="10"/>
  <c r="AF77" i="10"/>
  <c r="AF75" i="10"/>
  <c r="AF76" i="10"/>
  <c r="AF74" i="10"/>
  <c r="AM201" i="10" l="1"/>
  <c r="AN201" i="10" s="1"/>
  <c r="AM237" i="10"/>
  <c r="AN237" i="10" s="1"/>
  <c r="AM223" i="10"/>
  <c r="AN223" i="10" s="1"/>
  <c r="AM231" i="10"/>
  <c r="AN231" i="10" s="1"/>
  <c r="AM297" i="10"/>
  <c r="AN297" i="10" s="1"/>
  <c r="AM300" i="10"/>
  <c r="AN300" i="10" s="1"/>
  <c r="AM204" i="10"/>
  <c r="AN204" i="10" s="1"/>
  <c r="AM206" i="10"/>
  <c r="AN206" i="10" s="1"/>
  <c r="AM291" i="10"/>
  <c r="AN291" i="10" s="1"/>
  <c r="AM289" i="10"/>
  <c r="AN289" i="10" s="1"/>
  <c r="AM246" i="10"/>
  <c r="AN246" i="10" s="1"/>
  <c r="AM254" i="10"/>
  <c r="AN254" i="10" s="1"/>
  <c r="AM249" i="10"/>
  <c r="AN249" i="10" s="1"/>
  <c r="AM243" i="10"/>
  <c r="AN243" i="10" s="1"/>
  <c r="AM230" i="10"/>
  <c r="AN230" i="10" s="1"/>
  <c r="AM270" i="10"/>
  <c r="AN270" i="10" s="1"/>
  <c r="AM262" i="10"/>
  <c r="AN262" i="10" s="1"/>
  <c r="AM222" i="10"/>
  <c r="AN222" i="10" s="1"/>
  <c r="AM288" i="10"/>
  <c r="AN288" i="10" s="1"/>
  <c r="AM286" i="10"/>
  <c r="AN286" i="10" s="1"/>
  <c r="AM225" i="10"/>
  <c r="AN225" i="10" s="1"/>
  <c r="AM295" i="10"/>
  <c r="AN295" i="10" s="1"/>
  <c r="AM219" i="10"/>
  <c r="AN219" i="10" s="1"/>
  <c r="AM217" i="10"/>
  <c r="AN217" i="10" s="1"/>
  <c r="AM211" i="10"/>
  <c r="AN211" i="10" s="1"/>
  <c r="AM294" i="10"/>
  <c r="AN294" i="10" s="1"/>
  <c r="AM218" i="10"/>
  <c r="AN218" i="10" s="1"/>
  <c r="AM248" i="10"/>
  <c r="AN248" i="10" s="1"/>
  <c r="AM274" i="10"/>
  <c r="AN274" i="10" s="1"/>
  <c r="AM266" i="10"/>
  <c r="AN266" i="10" s="1"/>
  <c r="AM236" i="10"/>
  <c r="AN236" i="10" s="1"/>
  <c r="AM282" i="10"/>
  <c r="AN282" i="10" s="1"/>
  <c r="AM258" i="10"/>
  <c r="AN258" i="10" s="1"/>
  <c r="AM216" i="10"/>
  <c r="AN216" i="10" s="1"/>
  <c r="AM285" i="10"/>
  <c r="AN285" i="10" s="1"/>
  <c r="AM253" i="10"/>
  <c r="AN253" i="10" s="1"/>
  <c r="AM241" i="10"/>
  <c r="AN241" i="10" s="1"/>
  <c r="AM229" i="10"/>
  <c r="AN229" i="10" s="1"/>
  <c r="AM207" i="10"/>
  <c r="AN207" i="10" s="1"/>
  <c r="AM277" i="10"/>
  <c r="AN277" i="10" s="1"/>
  <c r="AM269" i="10"/>
  <c r="AN269" i="10" s="1"/>
  <c r="AM261" i="10"/>
  <c r="AN261" i="10" s="1"/>
  <c r="AM205" i="10"/>
  <c r="AN205" i="10" s="1"/>
  <c r="AM213" i="10"/>
  <c r="AN213" i="10" s="1"/>
  <c r="AM281" i="10"/>
  <c r="AN281" i="10" s="1"/>
  <c r="AM273" i="10"/>
  <c r="AN273" i="10" s="1"/>
  <c r="AM265" i="10"/>
  <c r="AN265" i="10" s="1"/>
  <c r="AM257" i="10"/>
  <c r="AN257" i="10" s="1"/>
  <c r="AM247" i="10"/>
  <c r="AN247" i="10" s="1"/>
  <c r="AM235" i="10"/>
  <c r="AN235" i="10" s="1"/>
  <c r="AM280" i="10"/>
  <c r="AN280" i="10" s="1"/>
  <c r="AM272" i="10"/>
  <c r="AN272" i="10" s="1"/>
  <c r="AM264" i="10"/>
  <c r="AN264" i="10" s="1"/>
  <c r="AM256" i="10"/>
  <c r="AN256" i="10" s="1"/>
  <c r="AM284" i="10"/>
  <c r="AN284" i="10" s="1"/>
  <c r="AM276" i="10"/>
  <c r="AN276" i="10" s="1"/>
  <c r="AM268" i="10"/>
  <c r="AN268" i="10" s="1"/>
  <c r="AM260" i="10"/>
  <c r="AN260" i="10" s="1"/>
  <c r="AM299" i="10"/>
  <c r="AN299" i="10" s="1"/>
  <c r="AM296" i="10"/>
  <c r="AN296" i="10" s="1"/>
  <c r="AM287" i="10"/>
  <c r="AN287" i="10" s="1"/>
  <c r="AM251" i="10"/>
  <c r="AN251" i="10" s="1"/>
  <c r="AM245" i="10"/>
  <c r="AN245" i="10" s="1"/>
  <c r="AM239" i="10"/>
  <c r="AN239" i="10" s="1"/>
  <c r="AM233" i="10"/>
  <c r="AN233" i="10" s="1"/>
  <c r="AM227" i="10"/>
  <c r="AN227" i="10" s="1"/>
  <c r="AM221" i="10"/>
  <c r="AN221" i="10" s="1"/>
  <c r="AM215" i="10"/>
  <c r="AN215" i="10" s="1"/>
  <c r="AM209" i="10"/>
  <c r="AN209" i="10" s="1"/>
  <c r="AM203" i="10"/>
  <c r="AN203" i="10" s="1"/>
  <c r="AM293" i="10"/>
  <c r="AN293" i="10" s="1"/>
  <c r="AM290" i="10"/>
  <c r="AN290" i="10" s="1"/>
  <c r="AM283" i="10"/>
  <c r="AN283" i="10" s="1"/>
  <c r="AM279" i="10"/>
  <c r="AN279" i="10" s="1"/>
  <c r="AM275" i="10"/>
  <c r="AN275" i="10" s="1"/>
  <c r="AM271" i="10"/>
  <c r="AN271" i="10" s="1"/>
  <c r="AM267" i="10"/>
  <c r="AN267" i="10" s="1"/>
  <c r="AM263" i="10"/>
  <c r="AN263" i="10" s="1"/>
  <c r="AM259" i="10"/>
  <c r="AN259" i="10" s="1"/>
  <c r="AM255" i="10"/>
  <c r="AN255" i="10" s="1"/>
  <c r="P54" i="12"/>
  <c r="J27" i="10"/>
  <c r="AA18" i="10"/>
  <c r="AB18" i="10" s="1"/>
  <c r="W391" i="7"/>
  <c r="W420" i="7"/>
  <c r="W465" i="7"/>
  <c r="W56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S391" i="7"/>
  <c r="S465" i="7"/>
  <c r="S56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Q368" i="7"/>
  <c r="P368" i="7" s="1"/>
  <c r="Q369" i="7"/>
  <c r="Q370" i="7"/>
  <c r="P370" i="7" s="1"/>
  <c r="Q371" i="7"/>
  <c r="P371" i="7" s="1"/>
  <c r="Q372" i="7"/>
  <c r="Q373" i="7"/>
  <c r="Q374" i="7"/>
  <c r="Q375" i="7"/>
  <c r="P375" i="7" s="1"/>
  <c r="Q376" i="7"/>
  <c r="P376" i="7" s="1"/>
  <c r="Q377" i="7"/>
  <c r="P377" i="7" s="1"/>
  <c r="Q378" i="7"/>
  <c r="P378" i="7" s="1"/>
  <c r="Q379" i="7"/>
  <c r="P379" i="7" s="1"/>
  <c r="Q380" i="7"/>
  <c r="P380" i="7" s="1"/>
  <c r="Q381" i="7"/>
  <c r="P381" i="7" s="1"/>
  <c r="Q382" i="7"/>
  <c r="P382" i="7" s="1"/>
  <c r="Q383" i="7"/>
  <c r="P383" i="7" s="1"/>
  <c r="Q384" i="7"/>
  <c r="P384" i="7" s="1"/>
  <c r="Q385" i="7"/>
  <c r="P385" i="7" s="1"/>
  <c r="Q386" i="7"/>
  <c r="P386" i="7" s="1"/>
  <c r="Q387" i="7"/>
  <c r="P387" i="7" s="1"/>
  <c r="Q388" i="7"/>
  <c r="P388" i="7" s="1"/>
  <c r="Q389" i="7"/>
  <c r="P389" i="7" s="1"/>
  <c r="Q390" i="7"/>
  <c r="P390" i="7" s="1"/>
  <c r="Q391" i="7"/>
  <c r="P391" i="7" s="1"/>
  <c r="Q392" i="7"/>
  <c r="P392" i="7" s="1"/>
  <c r="Q393" i="7"/>
  <c r="P393" i="7" s="1"/>
  <c r="Q394" i="7"/>
  <c r="P394" i="7" s="1"/>
  <c r="Q395" i="7"/>
  <c r="P395" i="7" s="1"/>
  <c r="Q396" i="7"/>
  <c r="P396" i="7" s="1"/>
  <c r="Q397" i="7"/>
  <c r="P397" i="7" s="1"/>
  <c r="Q398" i="7"/>
  <c r="P398" i="7" s="1"/>
  <c r="Q399" i="7"/>
  <c r="P399" i="7" s="1"/>
  <c r="Q400" i="7"/>
  <c r="P400" i="7" s="1"/>
  <c r="Q401" i="7"/>
  <c r="P401" i="7" s="1"/>
  <c r="Q402" i="7"/>
  <c r="P402" i="7" s="1"/>
  <c r="Q403" i="7"/>
  <c r="P403" i="7" s="1"/>
  <c r="Q404" i="7"/>
  <c r="P404" i="7" s="1"/>
  <c r="Q405" i="7"/>
  <c r="P405" i="7" s="1"/>
  <c r="Q406" i="7"/>
  <c r="P406" i="7" s="1"/>
  <c r="Q407" i="7"/>
  <c r="P407" i="7" s="1"/>
  <c r="Q408" i="7"/>
  <c r="P408" i="7" s="1"/>
  <c r="Q409" i="7"/>
  <c r="P409" i="7" s="1"/>
  <c r="Q410" i="7"/>
  <c r="P410" i="7" s="1"/>
  <c r="Q411" i="7"/>
  <c r="P411" i="7" s="1"/>
  <c r="Q412" i="7"/>
  <c r="P412" i="7" s="1"/>
  <c r="Q413" i="7"/>
  <c r="P413" i="7" s="1"/>
  <c r="Q414" i="7"/>
  <c r="P414" i="7" s="1"/>
  <c r="Q415" i="7"/>
  <c r="P415" i="7" s="1"/>
  <c r="Q416" i="7"/>
  <c r="P416" i="7" s="1"/>
  <c r="Q417" i="7"/>
  <c r="P417" i="7" s="1"/>
  <c r="Q418" i="7"/>
  <c r="P418" i="7" s="1"/>
  <c r="Q419" i="7"/>
  <c r="P419" i="7" s="1"/>
  <c r="Q420" i="7"/>
  <c r="P420" i="7" s="1"/>
  <c r="Q421" i="7"/>
  <c r="P421" i="7" s="1"/>
  <c r="Q422" i="7"/>
  <c r="P422" i="7" s="1"/>
  <c r="Q423" i="7"/>
  <c r="P423" i="7" s="1"/>
  <c r="Q424" i="7"/>
  <c r="P424" i="7" s="1"/>
  <c r="Q425" i="7"/>
  <c r="P425" i="7" s="1"/>
  <c r="Q426" i="7"/>
  <c r="P426" i="7" s="1"/>
  <c r="Q427" i="7"/>
  <c r="P427" i="7" s="1"/>
  <c r="Q428" i="7"/>
  <c r="P428" i="7" s="1"/>
  <c r="Q429" i="7"/>
  <c r="P429" i="7" s="1"/>
  <c r="Q430" i="7"/>
  <c r="P430" i="7" s="1"/>
  <c r="Q431" i="7"/>
  <c r="P431" i="7" s="1"/>
  <c r="Q432" i="7"/>
  <c r="P432" i="7" s="1"/>
  <c r="Q433" i="7"/>
  <c r="P433" i="7" s="1"/>
  <c r="Q434" i="7"/>
  <c r="P434" i="7" s="1"/>
  <c r="Q435" i="7"/>
  <c r="P435" i="7" s="1"/>
  <c r="Q436" i="7"/>
  <c r="P436" i="7" s="1"/>
  <c r="Q437" i="7"/>
  <c r="P437" i="7" s="1"/>
  <c r="Q438" i="7"/>
  <c r="P438" i="7" s="1"/>
  <c r="Q439" i="7"/>
  <c r="P439" i="7" s="1"/>
  <c r="Q440" i="7"/>
  <c r="P440" i="7" s="1"/>
  <c r="Q441" i="7"/>
  <c r="P441" i="7" s="1"/>
  <c r="Q442" i="7"/>
  <c r="P442" i="7" s="1"/>
  <c r="Q443" i="7"/>
  <c r="P443" i="7" s="1"/>
  <c r="Q444" i="7"/>
  <c r="P444" i="7" s="1"/>
  <c r="Q445" i="7"/>
  <c r="P445" i="7" s="1"/>
  <c r="Q446" i="7"/>
  <c r="P446" i="7" s="1"/>
  <c r="Q447" i="7"/>
  <c r="P447" i="7" s="1"/>
  <c r="Q448" i="7"/>
  <c r="P448" i="7" s="1"/>
  <c r="Q449" i="7"/>
  <c r="P449" i="7" s="1"/>
  <c r="Q450" i="7"/>
  <c r="P450" i="7" s="1"/>
  <c r="Q451" i="7"/>
  <c r="P451" i="7" s="1"/>
  <c r="Q452" i="7"/>
  <c r="P452" i="7" s="1"/>
  <c r="Q453" i="7"/>
  <c r="P453" i="7" s="1"/>
  <c r="Q454" i="7"/>
  <c r="P454" i="7" s="1"/>
  <c r="Q455" i="7"/>
  <c r="P455" i="7" s="1"/>
  <c r="Q456" i="7"/>
  <c r="P456" i="7" s="1"/>
  <c r="Q457" i="7"/>
  <c r="P457" i="7" s="1"/>
  <c r="Q458" i="7"/>
  <c r="Q459" i="7"/>
  <c r="P459" i="7" s="1"/>
  <c r="Q460" i="7"/>
  <c r="P460" i="7" s="1"/>
  <c r="Q461" i="7"/>
  <c r="Q462" i="7"/>
  <c r="Q463" i="7"/>
  <c r="P463" i="7" s="1"/>
  <c r="Q464" i="7"/>
  <c r="P464" i="7" s="1"/>
  <c r="Q465" i="7"/>
  <c r="P465" i="7" s="1"/>
  <c r="Q466" i="7"/>
  <c r="P466" i="7" s="1"/>
  <c r="Q467" i="7"/>
  <c r="P467" i="7" s="1"/>
  <c r="Q468" i="7"/>
  <c r="P468" i="7" s="1"/>
  <c r="Q469" i="7"/>
  <c r="P469" i="7" s="1"/>
  <c r="Q470" i="7"/>
  <c r="P470" i="7" s="1"/>
  <c r="Q471" i="7"/>
  <c r="P471" i="7" s="1"/>
  <c r="Q472" i="7"/>
  <c r="P472" i="7" s="1"/>
  <c r="Q473" i="7"/>
  <c r="P473" i="7" s="1"/>
  <c r="Q474" i="7"/>
  <c r="P474" i="7" s="1"/>
  <c r="Q475" i="7"/>
  <c r="P475" i="7" s="1"/>
  <c r="Q476" i="7"/>
  <c r="P476" i="7" s="1"/>
  <c r="Q477" i="7"/>
  <c r="P477" i="7" s="1"/>
  <c r="Q478" i="7"/>
  <c r="P478" i="7" s="1"/>
  <c r="Q479" i="7"/>
  <c r="P479" i="7" s="1"/>
  <c r="Q480" i="7"/>
  <c r="P480" i="7" s="1"/>
  <c r="Q481" i="7"/>
  <c r="P481" i="7" s="1"/>
  <c r="Q482" i="7"/>
  <c r="P482" i="7" s="1"/>
  <c r="Q483" i="7"/>
  <c r="P483" i="7" s="1"/>
  <c r="Q484" i="7"/>
  <c r="P484" i="7" s="1"/>
  <c r="Q485" i="7"/>
  <c r="P485" i="7" s="1"/>
  <c r="Q486" i="7"/>
  <c r="P486" i="7" s="1"/>
  <c r="Q487" i="7"/>
  <c r="P487" i="7" s="1"/>
  <c r="Q488" i="7"/>
  <c r="P488" i="7" s="1"/>
  <c r="Q489" i="7"/>
  <c r="P489" i="7" s="1"/>
  <c r="Q490" i="7"/>
  <c r="P490" i="7" s="1"/>
  <c r="Q491" i="7"/>
  <c r="P491" i="7" s="1"/>
  <c r="Q492" i="7"/>
  <c r="P492" i="7" s="1"/>
  <c r="Q493" i="7"/>
  <c r="Q494" i="7"/>
  <c r="Q495" i="7"/>
  <c r="Q496" i="7"/>
  <c r="P496" i="7" s="1"/>
  <c r="Q497" i="7"/>
  <c r="Q498" i="7"/>
  <c r="P498" i="7" s="1"/>
  <c r="Q499" i="7"/>
  <c r="P499" i="7" s="1"/>
  <c r="Q500" i="7"/>
  <c r="P500" i="7" s="1"/>
  <c r="Q501" i="7"/>
  <c r="P501" i="7" s="1"/>
  <c r="Q502" i="7"/>
  <c r="P502" i="7" s="1"/>
  <c r="Q503" i="7"/>
  <c r="P503" i="7" s="1"/>
  <c r="Q504" i="7"/>
  <c r="P504" i="7" s="1"/>
  <c r="Q505" i="7"/>
  <c r="P505" i="7" s="1"/>
  <c r="Q506" i="7"/>
  <c r="P506" i="7" s="1"/>
  <c r="Q507" i="7"/>
  <c r="P507" i="7" s="1"/>
  <c r="Q508" i="7"/>
  <c r="P508" i="7" s="1"/>
  <c r="Q509" i="7"/>
  <c r="P509" i="7" s="1"/>
  <c r="Q510" i="7"/>
  <c r="P510" i="7" s="1"/>
  <c r="Q511" i="7"/>
  <c r="P511" i="7" s="1"/>
  <c r="Q512" i="7"/>
  <c r="P512" i="7" s="1"/>
  <c r="Q513" i="7"/>
  <c r="P513" i="7" s="1"/>
  <c r="Q514" i="7"/>
  <c r="P514" i="7" s="1"/>
  <c r="Q515" i="7"/>
  <c r="P515" i="7" s="1"/>
  <c r="Q516" i="7"/>
  <c r="P516" i="7" s="1"/>
  <c r="Q517" i="7"/>
  <c r="P517" i="7" s="1"/>
  <c r="Q518" i="7"/>
  <c r="P518" i="7" s="1"/>
  <c r="Q519" i="7"/>
  <c r="P519" i="7" s="1"/>
  <c r="Q520" i="7"/>
  <c r="P520" i="7" s="1"/>
  <c r="Q521" i="7"/>
  <c r="P521" i="7" s="1"/>
  <c r="Q522" i="7"/>
  <c r="P522" i="7" s="1"/>
  <c r="Q523" i="7"/>
  <c r="P523" i="7" s="1"/>
  <c r="Q524" i="7"/>
  <c r="P524" i="7" s="1"/>
  <c r="Q525" i="7"/>
  <c r="P525" i="7" s="1"/>
  <c r="Q526" i="7"/>
  <c r="P526" i="7" s="1"/>
  <c r="Q527" i="7"/>
  <c r="P527" i="7" s="1"/>
  <c r="Q528" i="7"/>
  <c r="P528" i="7" s="1"/>
  <c r="Q529" i="7"/>
  <c r="P529" i="7" s="1"/>
  <c r="Q530" i="7"/>
  <c r="P530" i="7" s="1"/>
  <c r="Q531" i="7"/>
  <c r="P531" i="7" s="1"/>
  <c r="Q532" i="7"/>
  <c r="P532" i="7" s="1"/>
  <c r="Q533" i="7"/>
  <c r="P533" i="7" s="1"/>
  <c r="Q534" i="7"/>
  <c r="P534" i="7" s="1"/>
  <c r="Q535" i="7"/>
  <c r="P535" i="7" s="1"/>
  <c r="Q536" i="7"/>
  <c r="P536" i="7" s="1"/>
  <c r="Q537" i="7"/>
  <c r="P537" i="7" s="1"/>
  <c r="Q538" i="7"/>
  <c r="P538" i="7" s="1"/>
  <c r="Q539" i="7"/>
  <c r="P539" i="7" s="1"/>
  <c r="Q540" i="7"/>
  <c r="P540" i="7" s="1"/>
  <c r="Q541" i="7"/>
  <c r="P541" i="7" s="1"/>
  <c r="Q542" i="7"/>
  <c r="P542" i="7" s="1"/>
  <c r="Q543" i="7"/>
  <c r="P543" i="7" s="1"/>
  <c r="Q544" i="7"/>
  <c r="P544" i="7" s="1"/>
  <c r="Q545" i="7"/>
  <c r="P545" i="7" s="1"/>
  <c r="Q546" i="7"/>
  <c r="P546" i="7" s="1"/>
  <c r="Q547" i="7"/>
  <c r="P547" i="7" s="1"/>
  <c r="Q548" i="7"/>
  <c r="P548" i="7" s="1"/>
  <c r="Q549" i="7"/>
  <c r="P549" i="7" s="1"/>
  <c r="Q550" i="7"/>
  <c r="P550" i="7" s="1"/>
  <c r="Q551" i="7"/>
  <c r="P551" i="7" s="1"/>
  <c r="Q552" i="7"/>
  <c r="P552" i="7" s="1"/>
  <c r="Q553" i="7"/>
  <c r="P553" i="7" s="1"/>
  <c r="Q554" i="7"/>
  <c r="P554" i="7" s="1"/>
  <c r="Q555" i="7"/>
  <c r="P555" i="7" s="1"/>
  <c r="Q556" i="7"/>
  <c r="P556" i="7" s="1"/>
  <c r="Q557" i="7"/>
  <c r="P557" i="7" s="1"/>
  <c r="Q558" i="7"/>
  <c r="P558" i="7" s="1"/>
  <c r="Q559" i="7"/>
  <c r="P559" i="7" s="1"/>
  <c r="Q560" i="7"/>
  <c r="P560" i="7" s="1"/>
  <c r="Q561" i="7"/>
  <c r="P561" i="7" s="1"/>
  <c r="Q562" i="7"/>
  <c r="P562" i="7" s="1"/>
  <c r="Q563" i="7"/>
  <c r="P563" i="7" s="1"/>
  <c r="Q564" i="7"/>
  <c r="P564" i="7" s="1"/>
  <c r="Q565" i="7"/>
  <c r="P565" i="7" s="1"/>
  <c r="Q566" i="7"/>
  <c r="P566" i="7" s="1"/>
  <c r="Q567" i="7"/>
  <c r="P567" i="7" s="1"/>
  <c r="Q568" i="7"/>
  <c r="P568" i="7" s="1"/>
  <c r="Q569" i="7"/>
  <c r="P569" i="7" s="1"/>
  <c r="Q570" i="7"/>
  <c r="P570" i="7" s="1"/>
  <c r="Q571" i="7"/>
  <c r="P571" i="7" s="1"/>
  <c r="Q572" i="7"/>
  <c r="P572" i="7" s="1"/>
  <c r="Q573" i="7"/>
  <c r="P573" i="7" s="1"/>
  <c r="Q574" i="7"/>
  <c r="P574" i="7" s="1"/>
  <c r="Q575" i="7"/>
  <c r="P575" i="7" s="1"/>
  <c r="Q576" i="7"/>
  <c r="P576" i="7" s="1"/>
  <c r="Q577" i="7"/>
  <c r="P577" i="7" s="1"/>
  <c r="Q578" i="7"/>
  <c r="P578" i="7" s="1"/>
  <c r="Q579" i="7"/>
  <c r="P579" i="7" s="1"/>
  <c r="Q580" i="7"/>
  <c r="P580" i="7" s="1"/>
  <c r="Q581" i="7"/>
  <c r="P581" i="7" s="1"/>
  <c r="Q582" i="7"/>
  <c r="P582" i="7" s="1"/>
  <c r="Q583" i="7"/>
  <c r="P583" i="7" s="1"/>
  <c r="Q584" i="7"/>
  <c r="P584" i="7" s="1"/>
  <c r="Q585" i="7"/>
  <c r="P585" i="7" s="1"/>
  <c r="Q586" i="7"/>
  <c r="P586" i="7" s="1"/>
  <c r="Q587" i="7"/>
  <c r="P587" i="7" s="1"/>
  <c r="Q588" i="7"/>
  <c r="P588" i="7" s="1"/>
  <c r="Q589" i="7"/>
  <c r="P589" i="7" s="1"/>
  <c r="Q590" i="7"/>
  <c r="P590" i="7" s="1"/>
  <c r="Q591" i="7"/>
  <c r="P591" i="7" s="1"/>
  <c r="Q592" i="7"/>
  <c r="P592" i="7" s="1"/>
  <c r="Q593" i="7"/>
  <c r="P593" i="7" s="1"/>
  <c r="Q594" i="7"/>
  <c r="P594" i="7" s="1"/>
  <c r="Q595" i="7"/>
  <c r="P595" i="7" s="1"/>
  <c r="Q596" i="7"/>
  <c r="P596" i="7" s="1"/>
  <c r="Q597" i="7"/>
  <c r="P597" i="7" s="1"/>
  <c r="Q598" i="7"/>
  <c r="P598" i="7" s="1"/>
  <c r="Q599" i="7"/>
  <c r="P599" i="7" s="1"/>
  <c r="Q600" i="7"/>
  <c r="P600" i="7" s="1"/>
  <c r="Q601" i="7"/>
  <c r="P601" i="7" s="1"/>
  <c r="Q602" i="7"/>
  <c r="P602" i="7" s="1"/>
  <c r="Q603" i="7"/>
  <c r="P603" i="7" s="1"/>
  <c r="Q604" i="7"/>
  <c r="P604" i="7" s="1"/>
  <c r="Q605" i="7"/>
  <c r="P605" i="7" s="1"/>
  <c r="Q606" i="7"/>
  <c r="P606" i="7" s="1"/>
  <c r="Q607" i="7"/>
  <c r="P607" i="7" s="1"/>
  <c r="Q608" i="7"/>
  <c r="P608" i="7" s="1"/>
  <c r="Q609" i="7"/>
  <c r="P609" i="7" s="1"/>
  <c r="Q610" i="7"/>
  <c r="P610" i="7" s="1"/>
  <c r="Q611" i="7"/>
  <c r="P611" i="7" s="1"/>
  <c r="Q612" i="7"/>
  <c r="P612" i="7" s="1"/>
  <c r="Q613" i="7"/>
  <c r="P613" i="7" s="1"/>
  <c r="Q614" i="7"/>
  <c r="P614" i="7" s="1"/>
  <c r="Q615" i="7"/>
  <c r="P615" i="7" s="1"/>
  <c r="Q616" i="7"/>
  <c r="P616" i="7" s="1"/>
  <c r="Q617" i="7"/>
  <c r="P617" i="7" s="1"/>
  <c r="Q618" i="7"/>
  <c r="P618" i="7" s="1"/>
  <c r="Q619" i="7"/>
  <c r="P619" i="7" s="1"/>
  <c r="Q620" i="7"/>
  <c r="P620" i="7" s="1"/>
  <c r="Q621" i="7"/>
  <c r="P621" i="7" s="1"/>
  <c r="Q622" i="7"/>
  <c r="P622" i="7" s="1"/>
  <c r="Q623" i="7"/>
  <c r="P623" i="7" s="1"/>
  <c r="Q624" i="7"/>
  <c r="P624" i="7" s="1"/>
  <c r="Q625" i="7"/>
  <c r="P625" i="7" s="1"/>
  <c r="Q626" i="7"/>
  <c r="P626" i="7" s="1"/>
  <c r="Q627" i="7"/>
  <c r="P627" i="7" s="1"/>
  <c r="Q628" i="7"/>
  <c r="P628" i="7" s="1"/>
  <c r="Q629" i="7"/>
  <c r="P629" i="7" s="1"/>
  <c r="Q630" i="7"/>
  <c r="P630" i="7" s="1"/>
  <c r="Q631" i="7"/>
  <c r="P631" i="7" s="1"/>
  <c r="Q632" i="7"/>
  <c r="P632" i="7" s="1"/>
  <c r="Q633" i="7"/>
  <c r="P633" i="7" s="1"/>
  <c r="Q634" i="7"/>
  <c r="P634" i="7" s="1"/>
  <c r="Q635" i="7"/>
  <c r="P635" i="7" s="1"/>
  <c r="Q636" i="7"/>
  <c r="P636" i="7" s="1"/>
  <c r="Q637" i="7"/>
  <c r="P637" i="7" s="1"/>
  <c r="Q638" i="7"/>
  <c r="P638" i="7" s="1"/>
  <c r="Q639" i="7"/>
  <c r="P639" i="7" s="1"/>
  <c r="Q640" i="7"/>
  <c r="P640" i="7" s="1"/>
  <c r="Q641" i="7"/>
  <c r="P641" i="7" s="1"/>
  <c r="Q642" i="7"/>
  <c r="P642" i="7" s="1"/>
  <c r="Q643" i="7"/>
  <c r="P643" i="7" s="1"/>
  <c r="Q644" i="7"/>
  <c r="P644" i="7" s="1"/>
  <c r="Q645" i="7"/>
  <c r="P645" i="7" s="1"/>
  <c r="Q646" i="7"/>
  <c r="P646" i="7" s="1"/>
  <c r="Q647" i="7"/>
  <c r="P647" i="7" s="1"/>
  <c r="Q648" i="7"/>
  <c r="P648" i="7" s="1"/>
  <c r="Q649" i="7"/>
  <c r="P649" i="7" s="1"/>
  <c r="Q650" i="7"/>
  <c r="P650" i="7" s="1"/>
  <c r="Q651" i="7"/>
  <c r="P651" i="7" s="1"/>
  <c r="Q652" i="7"/>
  <c r="P652" i="7" s="1"/>
  <c r="Q653" i="7"/>
  <c r="P653" i="7" s="1"/>
  <c r="Q654" i="7"/>
  <c r="P654" i="7" s="1"/>
  <c r="Q655" i="7"/>
  <c r="P655" i="7" s="1"/>
  <c r="Q656" i="7"/>
  <c r="P656" i="7" s="1"/>
  <c r="Q657" i="7"/>
  <c r="P657" i="7" s="1"/>
  <c r="Q658" i="7"/>
  <c r="P658" i="7" s="1"/>
  <c r="Q659" i="7"/>
  <c r="P659" i="7" s="1"/>
  <c r="Q660" i="7"/>
  <c r="P660" i="7" s="1"/>
  <c r="Q661" i="7"/>
  <c r="P661" i="7" s="1"/>
  <c r="Q662" i="7"/>
  <c r="P662" i="7" s="1"/>
  <c r="Q663" i="7"/>
  <c r="P663" i="7" s="1"/>
  <c r="Q664" i="7"/>
  <c r="P664" i="7" s="1"/>
  <c r="Q665" i="7"/>
  <c r="P665" i="7" s="1"/>
  <c r="Q666" i="7"/>
  <c r="P666" i="7" s="1"/>
  <c r="Q667" i="7"/>
  <c r="P667" i="7" s="1"/>
  <c r="Q668" i="7"/>
  <c r="P668" i="7" s="1"/>
  <c r="Q669" i="7"/>
  <c r="P669" i="7" s="1"/>
  <c r="Q670" i="7"/>
  <c r="P670" i="7" s="1"/>
  <c r="Q671" i="7"/>
  <c r="P671" i="7" s="1"/>
  <c r="Q672" i="7"/>
  <c r="P672" i="7" s="1"/>
  <c r="Q673" i="7"/>
  <c r="P673" i="7" s="1"/>
  <c r="Q674" i="7"/>
  <c r="P674" i="7" s="1"/>
  <c r="Q675" i="7"/>
  <c r="P675" i="7" s="1"/>
  <c r="Q676" i="7"/>
  <c r="P676" i="7" s="1"/>
  <c r="Q677" i="7"/>
  <c r="P677" i="7" s="1"/>
  <c r="P678" i="7"/>
  <c r="P679" i="7"/>
  <c r="P680" i="7"/>
  <c r="P681" i="7"/>
  <c r="P682" i="7"/>
  <c r="P683" i="7"/>
  <c r="P684" i="7"/>
  <c r="P685" i="7"/>
  <c r="P686" i="7"/>
  <c r="P687" i="7"/>
  <c r="P688" i="7"/>
  <c r="P689" i="7"/>
  <c r="Q690" i="7"/>
  <c r="P690" i="7" s="1"/>
  <c r="Q691" i="7"/>
  <c r="P691" i="7" s="1"/>
  <c r="Q692" i="7"/>
  <c r="P692" i="7" s="1"/>
  <c r="Q693" i="7"/>
  <c r="P693" i="7" s="1"/>
  <c r="Q694" i="7"/>
  <c r="P694" i="7" s="1"/>
  <c r="Q695" i="7"/>
  <c r="P695" i="7" s="1"/>
  <c r="Q696" i="7"/>
  <c r="P696" i="7" s="1"/>
  <c r="Q697" i="7"/>
  <c r="P697" i="7" s="1"/>
  <c r="Q698" i="7"/>
  <c r="P698" i="7" s="1"/>
  <c r="Q699" i="7"/>
  <c r="P699" i="7" s="1"/>
  <c r="Q700" i="7"/>
  <c r="P700" i="7" s="1"/>
  <c r="Q701" i="7"/>
  <c r="P701" i="7" s="1"/>
  <c r="Q702" i="7"/>
  <c r="P702" i="7" s="1"/>
  <c r="Q703" i="7"/>
  <c r="P703" i="7" s="1"/>
  <c r="Q704" i="7"/>
  <c r="P704" i="7" s="1"/>
  <c r="Q705" i="7"/>
  <c r="P705" i="7" s="1"/>
  <c r="Q706" i="7"/>
  <c r="P706" i="7" s="1"/>
  <c r="Q707" i="7"/>
  <c r="P707" i="7" s="1"/>
  <c r="Q708" i="7"/>
  <c r="P708" i="7" s="1"/>
  <c r="Q709" i="7"/>
  <c r="P709" i="7" s="1"/>
  <c r="Q710" i="7"/>
  <c r="P710" i="7" s="1"/>
  <c r="Q711" i="7"/>
  <c r="P711" i="7" s="1"/>
  <c r="Q712" i="7"/>
  <c r="P712" i="7" s="1"/>
  <c r="Q713" i="7"/>
  <c r="P713" i="7" s="1"/>
  <c r="Q714" i="7"/>
  <c r="P714" i="7" s="1"/>
  <c r="Q715" i="7"/>
  <c r="P715" i="7" s="1"/>
  <c r="Q716" i="7"/>
  <c r="P716" i="7" s="1"/>
  <c r="Q717" i="7"/>
  <c r="P717" i="7" s="1"/>
  <c r="Q718" i="7"/>
  <c r="P718" i="7" s="1"/>
  <c r="Q719" i="7"/>
  <c r="P719" i="7" s="1"/>
  <c r="Q720" i="7"/>
  <c r="P720" i="7" s="1"/>
  <c r="Q721" i="7"/>
  <c r="P721" i="7" s="1"/>
  <c r="Q722" i="7"/>
  <c r="P722" i="7" s="1"/>
  <c r="Q723" i="7"/>
  <c r="P723" i="7" s="1"/>
  <c r="Q724" i="7"/>
  <c r="P724" i="7" s="1"/>
  <c r="Q725" i="7"/>
  <c r="P725" i="7" s="1"/>
  <c r="Q726" i="7"/>
  <c r="P726" i="7" s="1"/>
  <c r="Q727" i="7"/>
  <c r="P727" i="7" s="1"/>
  <c r="Q728" i="7"/>
  <c r="P728" i="7" s="1"/>
  <c r="Q729" i="7"/>
  <c r="P729" i="7" s="1"/>
  <c r="Q730" i="7"/>
  <c r="P730" i="7" s="1"/>
  <c r="Q731" i="7"/>
  <c r="P731" i="7" s="1"/>
  <c r="Q732" i="7"/>
  <c r="P732" i="7" s="1"/>
  <c r="Q733" i="7"/>
  <c r="P733" i="7" s="1"/>
  <c r="Q734" i="7"/>
  <c r="P734" i="7" s="1"/>
  <c r="Q735" i="7"/>
  <c r="P735" i="7" s="1"/>
  <c r="Q736" i="7"/>
  <c r="P736" i="7" s="1"/>
  <c r="Q737" i="7"/>
  <c r="P737" i="7" s="1"/>
  <c r="Q738" i="7"/>
  <c r="P738" i="7" s="1"/>
  <c r="Q739" i="7"/>
  <c r="P739" i="7" s="1"/>
  <c r="Q740" i="7"/>
  <c r="P740" i="7" s="1"/>
  <c r="Q741" i="7"/>
  <c r="P741" i="7" s="1"/>
  <c r="Q742" i="7"/>
  <c r="P742" i="7" s="1"/>
  <c r="Q743" i="7"/>
  <c r="P743" i="7" s="1"/>
  <c r="Q744" i="7"/>
  <c r="P744" i="7" s="1"/>
  <c r="Q745" i="7"/>
  <c r="P745" i="7" s="1"/>
  <c r="Q746" i="7"/>
  <c r="P746" i="7" s="1"/>
  <c r="Q747" i="7"/>
  <c r="P747" i="7" s="1"/>
  <c r="Q748" i="7"/>
  <c r="P748" i="7" s="1"/>
  <c r="Q749" i="7"/>
  <c r="P749" i="7" s="1"/>
  <c r="Q750" i="7"/>
  <c r="P750" i="7" s="1"/>
  <c r="Q751" i="7"/>
  <c r="P751" i="7" s="1"/>
  <c r="Q752" i="7"/>
  <c r="P752" i="7" s="1"/>
  <c r="Q753" i="7"/>
  <c r="P753" i="7" s="1"/>
  <c r="Q754" i="7"/>
  <c r="P754" i="7" s="1"/>
  <c r="Q755" i="7"/>
  <c r="P755" i="7" s="1"/>
  <c r="Q756" i="7"/>
  <c r="P756" i="7" s="1"/>
  <c r="Q757" i="7"/>
  <c r="P757" i="7" s="1"/>
  <c r="Q758" i="7"/>
  <c r="P758" i="7" s="1"/>
  <c r="Q759" i="7"/>
  <c r="P759" i="7" s="1"/>
  <c r="Q760" i="7"/>
  <c r="P760" i="7" s="1"/>
  <c r="Q761" i="7"/>
  <c r="P761" i="7" s="1"/>
  <c r="Q762" i="7"/>
  <c r="P762" i="7" s="1"/>
  <c r="Q763" i="7"/>
  <c r="P763" i="7" s="1"/>
  <c r="Q764" i="7"/>
  <c r="P764" i="7" s="1"/>
  <c r="Q765" i="7"/>
  <c r="P765" i="7" s="1"/>
  <c r="Q766" i="7"/>
  <c r="P766" i="7" s="1"/>
  <c r="Q767" i="7"/>
  <c r="P767" i="7" s="1"/>
  <c r="Q768" i="7"/>
  <c r="P768" i="7" s="1"/>
  <c r="Q769" i="7"/>
  <c r="P769" i="7" s="1"/>
  <c r="Q770" i="7"/>
  <c r="P770" i="7" s="1"/>
  <c r="Q771" i="7"/>
  <c r="P771" i="7" s="1"/>
  <c r="Q772" i="7"/>
  <c r="P772" i="7" s="1"/>
  <c r="Q773" i="7"/>
  <c r="P773" i="7" s="1"/>
  <c r="Q774" i="7"/>
  <c r="P774" i="7" s="1"/>
  <c r="Q775" i="7"/>
  <c r="P775" i="7" s="1"/>
  <c r="Q776" i="7"/>
  <c r="P776" i="7" s="1"/>
  <c r="Q777" i="7"/>
  <c r="P777" i="7" s="1"/>
  <c r="Q778" i="7"/>
  <c r="P778" i="7" s="1"/>
  <c r="Q779" i="7"/>
  <c r="P779" i="7" s="1"/>
  <c r="Q780" i="7"/>
  <c r="P780" i="7" s="1"/>
  <c r="Q781" i="7"/>
  <c r="P781" i="7" s="1"/>
  <c r="Q782" i="7"/>
  <c r="P782" i="7" s="1"/>
  <c r="Q783" i="7"/>
  <c r="P783" i="7" s="1"/>
  <c r="Q784" i="7"/>
  <c r="P784" i="7" s="1"/>
  <c r="Q785" i="7"/>
  <c r="P785" i="7" s="1"/>
  <c r="Q786" i="7"/>
  <c r="P786" i="7" s="1"/>
  <c r="Q787" i="7"/>
  <c r="P787" i="7" s="1"/>
  <c r="Q788" i="7"/>
  <c r="P788" i="7" s="1"/>
  <c r="Q789" i="7"/>
  <c r="P789" i="7" s="1"/>
  <c r="Q790" i="7"/>
  <c r="P790" i="7" s="1"/>
  <c r="Q791" i="7"/>
  <c r="P791" i="7" s="1"/>
  <c r="Q792" i="7"/>
  <c r="P792" i="7" s="1"/>
  <c r="Q793" i="7"/>
  <c r="P793" i="7" s="1"/>
  <c r="Q794" i="7"/>
  <c r="P794" i="7" s="1"/>
  <c r="Q795" i="7"/>
  <c r="P795" i="7" s="1"/>
  <c r="Q796" i="7"/>
  <c r="P796" i="7" s="1"/>
  <c r="Q797" i="7"/>
  <c r="P797" i="7" s="1"/>
  <c r="Q798" i="7"/>
  <c r="P798" i="7" s="1"/>
  <c r="Q799" i="7"/>
  <c r="P799" i="7" s="1"/>
  <c r="Q800" i="7"/>
  <c r="P800" i="7" s="1"/>
  <c r="Q801" i="7"/>
  <c r="P801" i="7" s="1"/>
  <c r="Q802" i="7"/>
  <c r="P802" i="7" s="1"/>
  <c r="Q803" i="7"/>
  <c r="P803" i="7" s="1"/>
  <c r="Q804" i="7"/>
  <c r="P804" i="7" s="1"/>
  <c r="Q805" i="7"/>
  <c r="P805" i="7" s="1"/>
  <c r="Q806" i="7"/>
  <c r="P806" i="7" s="1"/>
  <c r="Q807" i="7"/>
  <c r="P807" i="7" s="1"/>
  <c r="Q808" i="7"/>
  <c r="P808" i="7" s="1"/>
  <c r="Q809" i="7"/>
  <c r="P809" i="7" s="1"/>
  <c r="Q810" i="7"/>
  <c r="P810" i="7" s="1"/>
  <c r="Q811" i="7"/>
  <c r="P811" i="7" s="1"/>
  <c r="Q812" i="7"/>
  <c r="P812" i="7" s="1"/>
  <c r="Q813" i="7"/>
  <c r="P813" i="7" s="1"/>
  <c r="Q814" i="7"/>
  <c r="P814" i="7" s="1"/>
  <c r="Q815" i="7"/>
  <c r="P815" i="7" s="1"/>
  <c r="Q816" i="7"/>
  <c r="P816" i="7" s="1"/>
  <c r="Q817" i="7"/>
  <c r="P817" i="7" s="1"/>
  <c r="Q818" i="7"/>
  <c r="P818" i="7" s="1"/>
  <c r="Q819" i="7"/>
  <c r="P819" i="7" s="1"/>
  <c r="Q820" i="7"/>
  <c r="P820" i="7" s="1"/>
  <c r="Q821" i="7"/>
  <c r="P821" i="7" s="1"/>
  <c r="Q822" i="7"/>
  <c r="P822" i="7" s="1"/>
  <c r="Q823" i="7"/>
  <c r="P823" i="7" s="1"/>
  <c r="Q824" i="7"/>
  <c r="P824" i="7" s="1"/>
  <c r="Q825" i="7"/>
  <c r="P825" i="7" s="1"/>
  <c r="Q826" i="7"/>
  <c r="P826" i="7" s="1"/>
  <c r="Q827" i="7"/>
  <c r="P827" i="7" s="1"/>
  <c r="Q828" i="7"/>
  <c r="P828" i="7" s="1"/>
  <c r="Q829" i="7"/>
  <c r="P829" i="7" s="1"/>
  <c r="Q830" i="7"/>
  <c r="P830" i="7" s="1"/>
  <c r="Q831" i="7"/>
  <c r="P831" i="7" s="1"/>
  <c r="Q832" i="7"/>
  <c r="P832" i="7" s="1"/>
  <c r="Q833" i="7"/>
  <c r="P833" i="7" s="1"/>
  <c r="Q834" i="7"/>
  <c r="P834" i="7" s="1"/>
  <c r="Q835" i="7"/>
  <c r="P835" i="7" s="1"/>
  <c r="Q836" i="7"/>
  <c r="P836" i="7" s="1"/>
  <c r="Q837" i="7"/>
  <c r="P837" i="7" s="1"/>
  <c r="Q838" i="7"/>
  <c r="P838" i="7" s="1"/>
  <c r="Q839" i="7"/>
  <c r="P839" i="7" s="1"/>
  <c r="Q840" i="7"/>
  <c r="P840" i="7" s="1"/>
  <c r="Q841" i="7"/>
  <c r="P841" i="7" s="1"/>
  <c r="Q842" i="7"/>
  <c r="P842" i="7" s="1"/>
  <c r="Q843" i="7"/>
  <c r="P843" i="7" s="1"/>
  <c r="Q844" i="7"/>
  <c r="P844" i="7" s="1"/>
  <c r="Q845" i="7"/>
  <c r="P845" i="7" s="1"/>
  <c r="Q846" i="7"/>
  <c r="P846" i="7" s="1"/>
  <c r="Q847" i="7"/>
  <c r="P847" i="7" s="1"/>
  <c r="Q848" i="7"/>
  <c r="P848" i="7" s="1"/>
  <c r="Q849" i="7"/>
  <c r="P849" i="7" s="1"/>
  <c r="Q850" i="7"/>
  <c r="P850" i="7" s="1"/>
  <c r="Q851" i="7"/>
  <c r="P851" i="7" s="1"/>
  <c r="Q852" i="7"/>
  <c r="P852" i="7" s="1"/>
  <c r="Q853" i="7"/>
  <c r="P853" i="7" s="1"/>
  <c r="Q854" i="7"/>
  <c r="P854" i="7" s="1"/>
  <c r="Q855" i="7"/>
  <c r="P855" i="7" s="1"/>
  <c r="Q856" i="7"/>
  <c r="P856" i="7" s="1"/>
  <c r="Q857" i="7"/>
  <c r="P857" i="7" s="1"/>
  <c r="Q858" i="7"/>
  <c r="P858" i="7" s="1"/>
  <c r="Q859" i="7"/>
  <c r="P859" i="7" s="1"/>
  <c r="Q860" i="7"/>
  <c r="P860" i="7" s="1"/>
  <c r="Q861" i="7"/>
  <c r="P861" i="7" s="1"/>
  <c r="Q862" i="7"/>
  <c r="P862" i="7" s="1"/>
  <c r="Q863" i="7"/>
  <c r="P863" i="7" s="1"/>
  <c r="Q864" i="7"/>
  <c r="P864" i="7" s="1"/>
  <c r="Q865" i="7"/>
  <c r="P865" i="7" s="1"/>
  <c r="Q866" i="7"/>
  <c r="P866" i="7" s="1"/>
  <c r="Q867" i="7"/>
  <c r="P867" i="7" s="1"/>
  <c r="Q868" i="7"/>
  <c r="P868" i="7" s="1"/>
  <c r="Q869" i="7"/>
  <c r="P869" i="7" s="1"/>
  <c r="Q870" i="7"/>
  <c r="P870" i="7" s="1"/>
  <c r="Q871" i="7"/>
  <c r="P871" i="7" s="1"/>
  <c r="Q872" i="7"/>
  <c r="P872" i="7" s="1"/>
  <c r="Q873" i="7"/>
  <c r="P873" i="7" s="1"/>
  <c r="Q874" i="7"/>
  <c r="P874" i="7" s="1"/>
  <c r="Q875" i="7"/>
  <c r="P875" i="7" s="1"/>
  <c r="Q876" i="7"/>
  <c r="P876" i="7" s="1"/>
  <c r="Q877" i="7"/>
  <c r="P877" i="7" s="1"/>
  <c r="Q878" i="7"/>
  <c r="P878" i="7" s="1"/>
  <c r="Q879" i="7"/>
  <c r="P879" i="7" s="1"/>
  <c r="Q880" i="7"/>
  <c r="P880" i="7" s="1"/>
  <c r="Q881" i="7"/>
  <c r="P881" i="7" s="1"/>
  <c r="Q882" i="7"/>
  <c r="P882" i="7" s="1"/>
  <c r="Q883" i="7"/>
  <c r="P883" i="7" s="1"/>
  <c r="Q884" i="7"/>
  <c r="P884" i="7" s="1"/>
  <c r="Q885" i="7"/>
  <c r="P885" i="7" s="1"/>
  <c r="Q886" i="7"/>
  <c r="P886" i="7" s="1"/>
  <c r="Q887" i="7"/>
  <c r="P887" i="7" s="1"/>
  <c r="Q888" i="7"/>
  <c r="P888" i="7" s="1"/>
  <c r="Q889" i="7"/>
  <c r="P889" i="7" s="1"/>
  <c r="Q890" i="7"/>
  <c r="P890" i="7" s="1"/>
  <c r="Q891" i="7"/>
  <c r="P891" i="7" s="1"/>
  <c r="Q892" i="7"/>
  <c r="P892" i="7" s="1"/>
  <c r="Q893" i="7"/>
  <c r="P893" i="7" s="1"/>
  <c r="Q894" i="7"/>
  <c r="P894" i="7" s="1"/>
  <c r="Q895" i="7"/>
  <c r="P895" i="7" s="1"/>
  <c r="Q896" i="7"/>
  <c r="P896" i="7" s="1"/>
  <c r="Q897" i="7"/>
  <c r="P897" i="7" s="1"/>
  <c r="Q898" i="7"/>
  <c r="P898" i="7" s="1"/>
  <c r="Q899" i="7"/>
  <c r="P899" i="7" s="1"/>
  <c r="Q900" i="7"/>
  <c r="P900" i="7" s="1"/>
  <c r="Q901" i="7"/>
  <c r="P901" i="7" s="1"/>
  <c r="Q902" i="7"/>
  <c r="P902" i="7" s="1"/>
  <c r="Q903" i="7"/>
  <c r="P903" i="7" s="1"/>
  <c r="Q904" i="7"/>
  <c r="P904" i="7" s="1"/>
  <c r="Q905" i="7"/>
  <c r="P905" i="7" s="1"/>
  <c r="Q906" i="7"/>
  <c r="P906" i="7" s="1"/>
  <c r="Q907" i="7"/>
  <c r="P907" i="7" s="1"/>
  <c r="Q908" i="7"/>
  <c r="P908" i="7" s="1"/>
  <c r="Q909" i="7"/>
  <c r="P909" i="7" s="1"/>
  <c r="Q910" i="7"/>
  <c r="P910" i="7" s="1"/>
  <c r="Q911" i="7"/>
  <c r="P911" i="7" s="1"/>
  <c r="Q912" i="7"/>
  <c r="P912" i="7" s="1"/>
  <c r="Q913" i="7"/>
  <c r="P913" i="7" s="1"/>
  <c r="Q914" i="7"/>
  <c r="P914" i="7" s="1"/>
  <c r="Q915" i="7"/>
  <c r="P915" i="7" s="1"/>
  <c r="Q916" i="7"/>
  <c r="P916" i="7" s="1"/>
  <c r="Q917" i="7"/>
  <c r="P917" i="7" s="1"/>
  <c r="Q918" i="7"/>
  <c r="P918" i="7" s="1"/>
  <c r="Q919" i="7"/>
  <c r="P919" i="7" s="1"/>
  <c r="Q920" i="7"/>
  <c r="P920" i="7" s="1"/>
  <c r="Q921" i="7"/>
  <c r="P921" i="7" s="1"/>
  <c r="Q922" i="7"/>
  <c r="P922" i="7" s="1"/>
  <c r="Q923" i="7"/>
  <c r="P923" i="7" s="1"/>
  <c r="Q924" i="7"/>
  <c r="P924" i="7" s="1"/>
  <c r="Q925" i="7"/>
  <c r="P925" i="7" s="1"/>
  <c r="Q926" i="7"/>
  <c r="P926" i="7" s="1"/>
  <c r="Q927" i="7"/>
  <c r="P927" i="7" s="1"/>
  <c r="Q928" i="7"/>
  <c r="P928" i="7" s="1"/>
  <c r="Q929" i="7"/>
  <c r="P929" i="7" s="1"/>
  <c r="Q930" i="7"/>
  <c r="P930" i="7" s="1"/>
  <c r="Q931" i="7"/>
  <c r="P931" i="7" s="1"/>
  <c r="Q932" i="7"/>
  <c r="P932" i="7" s="1"/>
  <c r="Q933" i="7"/>
  <c r="P933" i="7" s="1"/>
  <c r="Q934" i="7"/>
  <c r="P934" i="7" s="1"/>
  <c r="Q935" i="7"/>
  <c r="P935" i="7" s="1"/>
  <c r="Q936" i="7"/>
  <c r="P936" i="7" s="1"/>
  <c r="Q937" i="7"/>
  <c r="P937" i="7" s="1"/>
  <c r="Q938" i="7"/>
  <c r="P938" i="7" s="1"/>
  <c r="Q939" i="7"/>
  <c r="P939" i="7" s="1"/>
  <c r="Q940" i="7"/>
  <c r="P940" i="7" s="1"/>
  <c r="Q941" i="7"/>
  <c r="P941" i="7" s="1"/>
  <c r="Q942" i="7"/>
  <c r="P942" i="7" s="1"/>
  <c r="Q943" i="7"/>
  <c r="P943" i="7" s="1"/>
  <c r="Q944" i="7"/>
  <c r="P944" i="7" s="1"/>
  <c r="Q945" i="7"/>
  <c r="P945" i="7" s="1"/>
  <c r="Q946" i="7"/>
  <c r="P946" i="7" s="1"/>
  <c r="Q947" i="7"/>
  <c r="P947" i="7" s="1"/>
  <c r="Q948" i="7"/>
  <c r="P948" i="7" s="1"/>
  <c r="Q949" i="7"/>
  <c r="P949" i="7" s="1"/>
  <c r="Q950" i="7"/>
  <c r="P950" i="7" s="1"/>
  <c r="Q951" i="7"/>
  <c r="P951" i="7" s="1"/>
  <c r="Q952" i="7"/>
  <c r="P952" i="7" s="1"/>
  <c r="Q953" i="7"/>
  <c r="P953" i="7" s="1"/>
  <c r="Q954" i="7"/>
  <c r="P954" i="7" s="1"/>
  <c r="Q955" i="7"/>
  <c r="P955" i="7" s="1"/>
  <c r="Q956" i="7"/>
  <c r="P956" i="7" s="1"/>
  <c r="Q957" i="7"/>
  <c r="P957" i="7" s="1"/>
  <c r="Q958" i="7"/>
  <c r="P958" i="7" s="1"/>
  <c r="Q959" i="7"/>
  <c r="P959" i="7" s="1"/>
  <c r="Q960" i="7"/>
  <c r="P960" i="7" s="1"/>
  <c r="Q961" i="7"/>
  <c r="P961" i="7" s="1"/>
  <c r="Q962" i="7"/>
  <c r="P962" i="7" s="1"/>
  <c r="Q963" i="7"/>
  <c r="P963" i="7" s="1"/>
  <c r="Q964" i="7"/>
  <c r="P964" i="7" s="1"/>
  <c r="Q965" i="7"/>
  <c r="P965" i="7" s="1"/>
  <c r="Q966" i="7"/>
  <c r="P966" i="7" s="1"/>
  <c r="Q967" i="7"/>
  <c r="P967" i="7" s="1"/>
  <c r="Q968" i="7"/>
  <c r="P968" i="7" s="1"/>
  <c r="Q969" i="7"/>
  <c r="P969" i="7" s="1"/>
  <c r="Q970" i="7"/>
  <c r="P970" i="7" s="1"/>
  <c r="Q971" i="7"/>
  <c r="P971" i="7" s="1"/>
  <c r="Q972" i="7"/>
  <c r="P972" i="7" s="1"/>
  <c r="Q973" i="7"/>
  <c r="P973" i="7" s="1"/>
  <c r="Q974" i="7"/>
  <c r="P974" i="7" s="1"/>
  <c r="Q975" i="7"/>
  <c r="P975" i="7" s="1"/>
  <c r="Q976" i="7"/>
  <c r="P976" i="7" s="1"/>
  <c r="Q977" i="7"/>
  <c r="P977" i="7" s="1"/>
  <c r="Q978" i="7"/>
  <c r="P978" i="7" s="1"/>
  <c r="Q979" i="7"/>
  <c r="P979" i="7" s="1"/>
  <c r="Q980" i="7"/>
  <c r="P980" i="7" s="1"/>
  <c r="Q981" i="7"/>
  <c r="P981" i="7" s="1"/>
  <c r="Q982" i="7"/>
  <c r="P982" i="7" s="1"/>
  <c r="Q983" i="7"/>
  <c r="P983" i="7" s="1"/>
  <c r="Q984" i="7"/>
  <c r="P984" i="7" s="1"/>
  <c r="Q985" i="7"/>
  <c r="P985" i="7" s="1"/>
  <c r="Q986" i="7"/>
  <c r="P986" i="7" s="1"/>
  <c r="Q987" i="7"/>
  <c r="P987" i="7" s="1"/>
  <c r="Q988" i="7"/>
  <c r="P988" i="7" s="1"/>
  <c r="Q989" i="7"/>
  <c r="P989" i="7" s="1"/>
  <c r="Q990" i="7"/>
  <c r="P990" i="7" s="1"/>
  <c r="Q991" i="7"/>
  <c r="P991" i="7" s="1"/>
  <c r="Q992" i="7"/>
  <c r="P992" i="7" s="1"/>
  <c r="Q993" i="7"/>
  <c r="P993" i="7" s="1"/>
  <c r="Q994" i="7"/>
  <c r="P994" i="7" s="1"/>
  <c r="Q995" i="7"/>
  <c r="P995" i="7" s="1"/>
  <c r="Q996" i="7"/>
  <c r="P996" i="7" s="1"/>
  <c r="Q997" i="7"/>
  <c r="P997" i="7" s="1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J391" i="7"/>
  <c r="J420" i="7"/>
  <c r="J465" i="7"/>
  <c r="J56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Q50" i="12"/>
  <c r="N51" i="12"/>
  <c r="N50" i="12"/>
  <c r="P50" i="12" s="1"/>
  <c r="S420" i="7" s="1"/>
  <c r="T40" i="10"/>
  <c r="T41" i="10"/>
  <c r="T42" i="10"/>
  <c r="T43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3" i="10"/>
  <c r="T154" i="10"/>
  <c r="T156" i="10"/>
  <c r="T157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W96" i="7"/>
  <c r="T96" i="7"/>
  <c r="S96" i="7"/>
  <c r="U96" i="7" s="1"/>
  <c r="Q96" i="7"/>
  <c r="P96" i="7" s="1"/>
  <c r="N96" i="7"/>
  <c r="M96" i="7"/>
  <c r="L96" i="7"/>
  <c r="K96" i="7"/>
  <c r="J96" i="7"/>
  <c r="F96" i="7"/>
  <c r="W49" i="7"/>
  <c r="T49" i="7"/>
  <c r="S49" i="7"/>
  <c r="U49" i="7" s="1"/>
  <c r="Q49" i="7"/>
  <c r="N49" i="7"/>
  <c r="M49" i="7"/>
  <c r="L49" i="7"/>
  <c r="K49" i="7"/>
  <c r="J49" i="7"/>
  <c r="F49" i="7"/>
  <c r="P497" i="7" l="1"/>
  <c r="R497" i="7"/>
  <c r="P369" i="7"/>
  <c r="R369" i="7"/>
  <c r="P495" i="7"/>
  <c r="R495" i="7"/>
  <c r="P494" i="7"/>
  <c r="R494" i="7"/>
  <c r="P462" i="7"/>
  <c r="R462" i="7"/>
  <c r="P374" i="7"/>
  <c r="R374" i="7"/>
  <c r="P493" i="7"/>
  <c r="R493" i="7"/>
  <c r="P461" i="7"/>
  <c r="R461" i="7"/>
  <c r="P373" i="7"/>
  <c r="R373" i="7"/>
  <c r="P372" i="7"/>
  <c r="R372" i="7"/>
  <c r="P458" i="7"/>
  <c r="R458" i="7"/>
  <c r="V517" i="7"/>
  <c r="V516" i="7"/>
  <c r="V521" i="7"/>
  <c r="V520" i="7"/>
  <c r="V519" i="7"/>
  <c r="V518" i="7"/>
  <c r="V96" i="7"/>
  <c r="R96" i="7"/>
  <c r="R49" i="7"/>
  <c r="P49" i="7"/>
  <c r="V49" i="7" s="1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107" i="10"/>
  <c r="J106" i="10"/>
  <c r="J105" i="10"/>
  <c r="J103" i="10"/>
  <c r="J102" i="10"/>
  <c r="J101" i="10"/>
  <c r="J98" i="10"/>
  <c r="J99" i="10"/>
  <c r="F377" i="7"/>
  <c r="F378" i="7"/>
  <c r="F379" i="7"/>
  <c r="F380" i="7"/>
  <c r="F381" i="7"/>
  <c r="AN10" i="10" l="1"/>
  <c r="AN11" i="10"/>
  <c r="AN6" i="10"/>
  <c r="AN7" i="10"/>
  <c r="AN14" i="10"/>
  <c r="AN12" i="10"/>
  <c r="AN4" i="10"/>
  <c r="AN5" i="10"/>
  <c r="AN8" i="10"/>
  <c r="AN13" i="10"/>
  <c r="AN9" i="10"/>
  <c r="AN19" i="10"/>
  <c r="AN15" i="10"/>
  <c r="AN30" i="10"/>
  <c r="AN24" i="10"/>
  <c r="AN20" i="10"/>
  <c r="AN21" i="10"/>
  <c r="AN31" i="10"/>
  <c r="AN41" i="10"/>
  <c r="AN17" i="10"/>
  <c r="AN42" i="10"/>
  <c r="AN26" i="10"/>
  <c r="AN43" i="10"/>
  <c r="AN18" i="10"/>
  <c r="AN16" i="10"/>
  <c r="AN27" i="10"/>
  <c r="AN28" i="10"/>
  <c r="AN32" i="10"/>
  <c r="AN29" i="10"/>
  <c r="AN22" i="10"/>
  <c r="AN23" i="10"/>
  <c r="AN25" i="10"/>
  <c r="AN33" i="10"/>
  <c r="AN44" i="10"/>
  <c r="AN45" i="10"/>
  <c r="AN46" i="10"/>
  <c r="AN34" i="10"/>
  <c r="AN35" i="10"/>
  <c r="AN36" i="10"/>
  <c r="AN39" i="10"/>
  <c r="AN37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38" i="10"/>
  <c r="AN80" i="10"/>
  <c r="AN81" i="10"/>
  <c r="AN82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25" i="10"/>
  <c r="AN126" i="10"/>
  <c r="AN127" i="10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AN142" i="10"/>
  <c r="AN143" i="10"/>
  <c r="AN144" i="10"/>
  <c r="AN145" i="10"/>
  <c r="AN146" i="10"/>
  <c r="AN147" i="10"/>
  <c r="AN148" i="10"/>
  <c r="AN149" i="10"/>
  <c r="AN150" i="10"/>
  <c r="AN151" i="10"/>
  <c r="AN152" i="10"/>
  <c r="AN153" i="10"/>
  <c r="AN154" i="10"/>
  <c r="AN155" i="10"/>
  <c r="AN156" i="10"/>
  <c r="AN157" i="10"/>
  <c r="AN159" i="10"/>
  <c r="AN160" i="10"/>
  <c r="AN161" i="10"/>
  <c r="AN162" i="10"/>
  <c r="AN163" i="10"/>
  <c r="AN164" i="10"/>
  <c r="AN165" i="10"/>
  <c r="AN166" i="10"/>
  <c r="AN167" i="10"/>
  <c r="AN168" i="10"/>
  <c r="AN169" i="10"/>
  <c r="AN170" i="10"/>
  <c r="AN171" i="10"/>
  <c r="AN172" i="10"/>
  <c r="AN173" i="10"/>
  <c r="AN174" i="10"/>
  <c r="AN175" i="10"/>
  <c r="AN176" i="10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6" i="12"/>
  <c r="Q47" i="12"/>
  <c r="Q48" i="12"/>
  <c r="Q49" i="12"/>
  <c r="Q51" i="12"/>
  <c r="Q52" i="12"/>
  <c r="Q53" i="12"/>
  <c r="Q58" i="12"/>
  <c r="Q60" i="12"/>
  <c r="Q61" i="12"/>
  <c r="Q62" i="12"/>
  <c r="Q63" i="12"/>
  <c r="Q64" i="12"/>
  <c r="Q65" i="12"/>
  <c r="Q3" i="12"/>
  <c r="Q4" i="12"/>
  <c r="N4" i="12"/>
  <c r="P4" i="12" s="1"/>
  <c r="N5" i="12"/>
  <c r="P5" i="12" s="1"/>
  <c r="N6" i="12"/>
  <c r="P6" i="12" s="1"/>
  <c r="S570" i="7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S580" i="7" s="1"/>
  <c r="N15" i="12"/>
  <c r="P15" i="12" s="1"/>
  <c r="N16" i="12"/>
  <c r="N17" i="12"/>
  <c r="P17" i="12" s="1"/>
  <c r="N18" i="12"/>
  <c r="P18" i="12" s="1"/>
  <c r="S565" i="7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S575" i="7" s="1"/>
  <c r="N36" i="12"/>
  <c r="P36" i="12" s="1"/>
  <c r="N37" i="12"/>
  <c r="P37" i="12" s="1"/>
  <c r="N38" i="12"/>
  <c r="P38" i="12" s="1"/>
  <c r="S576" i="7" s="1"/>
  <c r="N39" i="12"/>
  <c r="P39" i="12" s="1"/>
  <c r="N40" i="12"/>
  <c r="P40" i="12" s="1"/>
  <c r="S577" i="7" s="1"/>
  <c r="N41" i="12"/>
  <c r="P41" i="12" s="1"/>
  <c r="S582" i="7" s="1"/>
  <c r="N42" i="12"/>
  <c r="P42" i="12" s="1"/>
  <c r="N43" i="12"/>
  <c r="P43" i="12" s="1"/>
  <c r="N44" i="12"/>
  <c r="P44" i="12" s="1"/>
  <c r="N46" i="12"/>
  <c r="P46" i="12" s="1"/>
  <c r="N47" i="12"/>
  <c r="P47" i="12" s="1"/>
  <c r="N48" i="12"/>
  <c r="P48" i="12" s="1"/>
  <c r="N49" i="12"/>
  <c r="P49" i="12" s="1"/>
  <c r="P51" i="12"/>
  <c r="S421" i="7" s="1"/>
  <c r="N52" i="12"/>
  <c r="P52" i="12" s="1"/>
  <c r="S422" i="7" s="1"/>
  <c r="N53" i="12"/>
  <c r="P53" i="12" s="1"/>
  <c r="N58" i="12"/>
  <c r="P58" i="12" s="1"/>
  <c r="N60" i="12"/>
  <c r="P60" i="12" s="1"/>
  <c r="S563" i="7" s="1"/>
  <c r="N61" i="12"/>
  <c r="P61" i="12" s="1"/>
  <c r="S564" i="7" s="1"/>
  <c r="N62" i="12"/>
  <c r="P62" i="12" s="1"/>
  <c r="N63" i="12"/>
  <c r="P63" i="12" s="1"/>
  <c r="N64" i="12"/>
  <c r="P64" i="12" s="1"/>
  <c r="N65" i="12"/>
  <c r="P65" i="12" s="1"/>
  <c r="N3" i="12"/>
  <c r="P3" i="12" s="1"/>
  <c r="B3" i="12"/>
  <c r="R3" i="12"/>
  <c r="B4" i="12"/>
  <c r="R4" i="12"/>
  <c r="B5" i="12"/>
  <c r="R5" i="12"/>
  <c r="B6" i="12"/>
  <c r="J570" i="7" s="1"/>
  <c r="R6" i="12"/>
  <c r="W570" i="7" s="1"/>
  <c r="B7" i="12"/>
  <c r="R7" i="12"/>
  <c r="B8" i="12"/>
  <c r="R8" i="12"/>
  <c r="B9" i="12"/>
  <c r="R9" i="12"/>
  <c r="B10" i="12"/>
  <c r="R10" i="12"/>
  <c r="B11" i="12"/>
  <c r="R11" i="12"/>
  <c r="B12" i="12"/>
  <c r="R12" i="12"/>
  <c r="B13" i="12"/>
  <c r="R13" i="12"/>
  <c r="B14" i="12"/>
  <c r="J580" i="7" s="1"/>
  <c r="R14" i="12"/>
  <c r="W580" i="7" s="1"/>
  <c r="B15" i="12"/>
  <c r="R15" i="12"/>
  <c r="B16" i="12"/>
  <c r="P16" i="12"/>
  <c r="R16" i="12"/>
  <c r="B17" i="12"/>
  <c r="R17" i="12"/>
  <c r="B18" i="12"/>
  <c r="J565" i="7" s="1"/>
  <c r="R18" i="12"/>
  <c r="W565" i="7" s="1"/>
  <c r="B19" i="12"/>
  <c r="R19" i="12"/>
  <c r="B20" i="12"/>
  <c r="R20" i="12"/>
  <c r="B21" i="12"/>
  <c r="R21" i="12"/>
  <c r="B22" i="12"/>
  <c r="R22" i="12"/>
  <c r="B23" i="12"/>
  <c r="R23" i="12"/>
  <c r="B24" i="12"/>
  <c r="R24" i="12"/>
  <c r="B25" i="12"/>
  <c r="R25" i="12"/>
  <c r="B26" i="12"/>
  <c r="R26" i="12"/>
  <c r="B27" i="12"/>
  <c r="R27" i="12"/>
  <c r="B28" i="12"/>
  <c r="R28" i="12"/>
  <c r="B29" i="12"/>
  <c r="R29" i="12"/>
  <c r="B30" i="12"/>
  <c r="R30" i="12"/>
  <c r="B31" i="12"/>
  <c r="R31" i="12"/>
  <c r="B32" i="12"/>
  <c r="R32" i="12"/>
  <c r="B33" i="12"/>
  <c r="R33" i="12"/>
  <c r="B34" i="12"/>
  <c r="R34" i="12"/>
  <c r="B35" i="12"/>
  <c r="J575" i="7" s="1"/>
  <c r="R35" i="12"/>
  <c r="W575" i="7" s="1"/>
  <c r="B36" i="12"/>
  <c r="R36" i="12"/>
  <c r="B37" i="12"/>
  <c r="R37" i="12"/>
  <c r="B38" i="12"/>
  <c r="J576" i="7" s="1"/>
  <c r="R38" i="12"/>
  <c r="W576" i="7" s="1"/>
  <c r="B39" i="12"/>
  <c r="R39" i="12"/>
  <c r="B40" i="12"/>
  <c r="J577" i="7" s="1"/>
  <c r="R40" i="12"/>
  <c r="W577" i="7" s="1"/>
  <c r="B41" i="12"/>
  <c r="J582" i="7" s="1"/>
  <c r="R41" i="12"/>
  <c r="W582" i="7" s="1"/>
  <c r="B42" i="12"/>
  <c r="R42" i="12"/>
  <c r="B43" i="12"/>
  <c r="R43" i="12"/>
  <c r="B44" i="12"/>
  <c r="R44" i="12"/>
  <c r="B46" i="12"/>
  <c r="R46" i="12"/>
  <c r="B47" i="12"/>
  <c r="R47" i="12"/>
  <c r="B48" i="12"/>
  <c r="R48" i="12"/>
  <c r="B49" i="12"/>
  <c r="R49" i="12"/>
  <c r="B51" i="12"/>
  <c r="J421" i="7" s="1"/>
  <c r="R51" i="12"/>
  <c r="W421" i="7" s="1"/>
  <c r="B52" i="12"/>
  <c r="J422" i="7" s="1"/>
  <c r="R52" i="12"/>
  <c r="W422" i="7" s="1"/>
  <c r="B53" i="12"/>
  <c r="R53" i="12"/>
  <c r="B58" i="12"/>
  <c r="R58" i="12"/>
  <c r="B60" i="12"/>
  <c r="J563" i="7" s="1"/>
  <c r="R60" i="12"/>
  <c r="W563" i="7" s="1"/>
  <c r="B61" i="12"/>
  <c r="J564" i="7" s="1"/>
  <c r="R61" i="12"/>
  <c r="W564" i="7" s="1"/>
  <c r="B62" i="12"/>
  <c r="R62" i="12"/>
  <c r="B63" i="12"/>
  <c r="R63" i="12"/>
  <c r="B64" i="12"/>
  <c r="R64" i="12"/>
  <c r="B65" i="12"/>
  <c r="R65" i="12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60" i="10"/>
  <c r="K338" i="7"/>
  <c r="L338" i="7"/>
  <c r="M338" i="7"/>
  <c r="N338" i="7"/>
  <c r="K339" i="7"/>
  <c r="L339" i="7"/>
  <c r="M339" i="7"/>
  <c r="N339" i="7"/>
  <c r="K340" i="7"/>
  <c r="L340" i="7"/>
  <c r="M340" i="7"/>
  <c r="N340" i="7"/>
  <c r="K341" i="7"/>
  <c r="L341" i="7"/>
  <c r="M341" i="7"/>
  <c r="N341" i="7"/>
  <c r="K342" i="7"/>
  <c r="L342" i="7"/>
  <c r="M342" i="7"/>
  <c r="N342" i="7"/>
  <c r="K329" i="7"/>
  <c r="L329" i="7"/>
  <c r="M329" i="7"/>
  <c r="N329" i="7"/>
  <c r="K330" i="7"/>
  <c r="L330" i="7"/>
  <c r="M330" i="7"/>
  <c r="N330" i="7"/>
  <c r="K331" i="7"/>
  <c r="L331" i="7"/>
  <c r="M331" i="7"/>
  <c r="N331" i="7"/>
  <c r="K332" i="7"/>
  <c r="L332" i="7"/>
  <c r="M332" i="7"/>
  <c r="N332" i="7"/>
  <c r="K333" i="7"/>
  <c r="L333" i="7"/>
  <c r="M333" i="7"/>
  <c r="N333" i="7"/>
  <c r="K334" i="7"/>
  <c r="L334" i="7"/>
  <c r="M334" i="7"/>
  <c r="N334" i="7"/>
  <c r="K335" i="7"/>
  <c r="L335" i="7"/>
  <c r="M335" i="7"/>
  <c r="N335" i="7"/>
  <c r="K336" i="7"/>
  <c r="L336" i="7"/>
  <c r="M336" i="7"/>
  <c r="N336" i="7"/>
  <c r="K337" i="7"/>
  <c r="L337" i="7"/>
  <c r="M337" i="7"/>
  <c r="N337" i="7"/>
  <c r="AK80" i="10"/>
  <c r="D80" i="10"/>
  <c r="G80" i="10"/>
  <c r="J80" i="10"/>
  <c r="O80" i="10"/>
  <c r="R80" i="10"/>
  <c r="AK38" i="10"/>
  <c r="O38" i="10"/>
  <c r="R38" i="10"/>
  <c r="J38" i="10"/>
  <c r="G38" i="10"/>
  <c r="D38" i="10"/>
  <c r="F319" i="7"/>
  <c r="N319" i="7"/>
  <c r="N317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R15" i="5"/>
  <c r="Q15" i="5"/>
  <c r="P15" i="5"/>
  <c r="B15" i="5"/>
  <c r="J320" i="7" s="1"/>
  <c r="R21" i="5"/>
  <c r="Q21" i="5"/>
  <c r="P21" i="5"/>
  <c r="B21" i="5"/>
  <c r="J561" i="7" l="1"/>
  <c r="J566" i="7"/>
  <c r="W559" i="7"/>
  <c r="W571" i="7"/>
  <c r="J578" i="7"/>
  <c r="J572" i="7"/>
  <c r="W496" i="7"/>
  <c r="W574" i="7"/>
  <c r="J559" i="7"/>
  <c r="J571" i="7"/>
  <c r="S560" i="7"/>
  <c r="S569" i="7"/>
  <c r="S559" i="7"/>
  <c r="S571" i="7"/>
  <c r="J496" i="7"/>
  <c r="J574" i="7"/>
  <c r="S581" i="7"/>
  <c r="S567" i="7"/>
  <c r="S579" i="7"/>
  <c r="S568" i="7"/>
  <c r="W558" i="7"/>
  <c r="W573" i="7"/>
  <c r="S561" i="7"/>
  <c r="S566" i="7"/>
  <c r="W561" i="7"/>
  <c r="W566" i="7"/>
  <c r="J558" i="7"/>
  <c r="J573" i="7"/>
  <c r="W560" i="7"/>
  <c r="W569" i="7"/>
  <c r="S496" i="7"/>
  <c r="S574" i="7"/>
  <c r="J568" i="7"/>
  <c r="J579" i="7"/>
  <c r="W567" i="7"/>
  <c r="W581" i="7"/>
  <c r="J560" i="7"/>
  <c r="J569" i="7"/>
  <c r="S558" i="7"/>
  <c r="S573" i="7"/>
  <c r="J567" i="7"/>
  <c r="J581" i="7"/>
  <c r="W568" i="7"/>
  <c r="W579" i="7"/>
  <c r="W578" i="7"/>
  <c r="W572" i="7"/>
  <c r="S572" i="7"/>
  <c r="S578" i="7"/>
  <c r="S410" i="7"/>
  <c r="S536" i="7"/>
  <c r="S550" i="7"/>
  <c r="S522" i="7"/>
  <c r="W517" i="7"/>
  <c r="W531" i="7"/>
  <c r="W545" i="7"/>
  <c r="W548" i="7"/>
  <c r="W534" i="7"/>
  <c r="W520" i="7"/>
  <c r="J542" i="7"/>
  <c r="J556" i="7"/>
  <c r="J528" i="7"/>
  <c r="S524" i="7"/>
  <c r="S538" i="7"/>
  <c r="S552" i="7"/>
  <c r="W538" i="7"/>
  <c r="W524" i="7"/>
  <c r="W552" i="7"/>
  <c r="J531" i="7"/>
  <c r="J545" i="7"/>
  <c r="J517" i="7"/>
  <c r="J520" i="7"/>
  <c r="J534" i="7"/>
  <c r="J548" i="7"/>
  <c r="W541" i="7"/>
  <c r="W555" i="7"/>
  <c r="W527" i="7"/>
  <c r="J524" i="7"/>
  <c r="J538" i="7"/>
  <c r="J552" i="7"/>
  <c r="S535" i="7"/>
  <c r="S525" i="7"/>
  <c r="S549" i="7"/>
  <c r="S539" i="7"/>
  <c r="S553" i="7"/>
  <c r="S521" i="7"/>
  <c r="W535" i="7"/>
  <c r="W525" i="7"/>
  <c r="W549" i="7"/>
  <c r="W553" i="7"/>
  <c r="W539" i="7"/>
  <c r="W521" i="7"/>
  <c r="S414" i="7"/>
  <c r="S516" i="7"/>
  <c r="S530" i="7"/>
  <c r="S544" i="7"/>
  <c r="J555" i="7"/>
  <c r="J541" i="7"/>
  <c r="J527" i="7"/>
  <c r="W523" i="7"/>
  <c r="W537" i="7"/>
  <c r="W551" i="7"/>
  <c r="S548" i="7"/>
  <c r="S534" i="7"/>
  <c r="S520" i="7"/>
  <c r="S523" i="7"/>
  <c r="S537" i="7"/>
  <c r="S551" i="7"/>
  <c r="W529" i="7"/>
  <c r="W518" i="7"/>
  <c r="W543" i="7"/>
  <c r="W557" i="7"/>
  <c r="W532" i="7"/>
  <c r="W546" i="7"/>
  <c r="J523" i="7"/>
  <c r="J537" i="7"/>
  <c r="J551" i="7"/>
  <c r="S527" i="7"/>
  <c r="S541" i="7"/>
  <c r="S555" i="7"/>
  <c r="S406" i="7"/>
  <c r="S526" i="7"/>
  <c r="S540" i="7"/>
  <c r="S554" i="7"/>
  <c r="J518" i="7"/>
  <c r="J543" i="7"/>
  <c r="J532" i="7"/>
  <c r="J557" i="7"/>
  <c r="J546" i="7"/>
  <c r="J529" i="7"/>
  <c r="J414" i="7"/>
  <c r="J530" i="7"/>
  <c r="J544" i="7"/>
  <c r="J516" i="7"/>
  <c r="J521" i="7"/>
  <c r="J535" i="7"/>
  <c r="J525" i="7"/>
  <c r="J549" i="7"/>
  <c r="J539" i="7"/>
  <c r="J553" i="7"/>
  <c r="W417" i="7"/>
  <c r="W547" i="7"/>
  <c r="W519" i="7"/>
  <c r="W533" i="7"/>
  <c r="W406" i="7"/>
  <c r="W526" i="7"/>
  <c r="W554" i="7"/>
  <c r="W540" i="7"/>
  <c r="J417" i="7"/>
  <c r="J519" i="7"/>
  <c r="J533" i="7"/>
  <c r="J547" i="7"/>
  <c r="J406" i="7"/>
  <c r="J554" i="7"/>
  <c r="J540" i="7"/>
  <c r="J526" i="7"/>
  <c r="W410" i="7"/>
  <c r="W550" i="7"/>
  <c r="W536" i="7"/>
  <c r="W522" i="7"/>
  <c r="S517" i="7"/>
  <c r="S531" i="7"/>
  <c r="S545" i="7"/>
  <c r="W542" i="7"/>
  <c r="W528" i="7"/>
  <c r="W556" i="7"/>
  <c r="W414" i="7"/>
  <c r="W530" i="7"/>
  <c r="W516" i="7"/>
  <c r="W544" i="7"/>
  <c r="S417" i="7"/>
  <c r="S547" i="7"/>
  <c r="S533" i="7"/>
  <c r="S519" i="7"/>
  <c r="J410" i="7"/>
  <c r="J522" i="7"/>
  <c r="J536" i="7"/>
  <c r="J550" i="7"/>
  <c r="S529" i="7"/>
  <c r="S518" i="7"/>
  <c r="S532" i="7"/>
  <c r="S543" i="7"/>
  <c r="S557" i="7"/>
  <c r="S546" i="7"/>
  <c r="S528" i="7"/>
  <c r="S542" i="7"/>
  <c r="S556" i="7"/>
  <c r="J448" i="7"/>
  <c r="J390" i="7"/>
  <c r="J393" i="7"/>
  <c r="S474" i="7"/>
  <c r="S443" i="7"/>
  <c r="S458" i="7"/>
  <c r="S446" i="7"/>
  <c r="S472" i="7"/>
  <c r="S405" i="7"/>
  <c r="S381" i="7"/>
  <c r="S369" i="7"/>
  <c r="S493" i="7"/>
  <c r="S452" i="7"/>
  <c r="S489" i="7"/>
  <c r="W435" i="7"/>
  <c r="W438" i="7"/>
  <c r="W385" i="7"/>
  <c r="W400" i="7"/>
  <c r="W415" i="7"/>
  <c r="J381" i="7"/>
  <c r="J446" i="7"/>
  <c r="J472" i="7"/>
  <c r="J369" i="7"/>
  <c r="J474" i="7"/>
  <c r="J489" i="7"/>
  <c r="J458" i="7"/>
  <c r="J405" i="7"/>
  <c r="J443" i="7"/>
  <c r="J493" i="7"/>
  <c r="J452" i="7"/>
  <c r="S392" i="7"/>
  <c r="S466" i="7"/>
  <c r="S449" i="7"/>
  <c r="J382" i="7"/>
  <c r="J429" i="7"/>
  <c r="J397" i="7"/>
  <c r="J432" i="7"/>
  <c r="J418" i="7"/>
  <c r="J488" i="7"/>
  <c r="J504" i="7"/>
  <c r="J482" i="7"/>
  <c r="J514" i="7"/>
  <c r="J368" i="7"/>
  <c r="J498" i="7"/>
  <c r="J404" i="7"/>
  <c r="J457" i="7"/>
  <c r="J506" i="7"/>
  <c r="J469" i="7"/>
  <c r="J475" i="7"/>
  <c r="J442" i="7"/>
  <c r="J445" i="7"/>
  <c r="J483" i="7"/>
  <c r="J412" i="7"/>
  <c r="J479" i="7"/>
  <c r="J380" i="7"/>
  <c r="J467" i="7"/>
  <c r="J451" i="7"/>
  <c r="W388" i="7"/>
  <c r="W463" i="7"/>
  <c r="W411" i="7"/>
  <c r="W379" i="7"/>
  <c r="W441" i="7"/>
  <c r="W444" i="7"/>
  <c r="W403" i="7"/>
  <c r="S390" i="7"/>
  <c r="S393" i="7"/>
  <c r="S448" i="7"/>
  <c r="S432" i="7"/>
  <c r="S418" i="7"/>
  <c r="S382" i="7"/>
  <c r="S429" i="7"/>
  <c r="S397" i="7"/>
  <c r="S379" i="7"/>
  <c r="S444" i="7"/>
  <c r="S411" i="7"/>
  <c r="S403" i="7"/>
  <c r="S441" i="7"/>
  <c r="W428" i="7"/>
  <c r="W372" i="7"/>
  <c r="W471" i="7"/>
  <c r="W378" i="7"/>
  <c r="W395" i="7"/>
  <c r="W425" i="7"/>
  <c r="W454" i="7"/>
  <c r="W473" i="7"/>
  <c r="W461" i="7"/>
  <c r="W490" i="7"/>
  <c r="W494" i="7"/>
  <c r="W464" i="7"/>
  <c r="W375" i="7"/>
  <c r="W447" i="7"/>
  <c r="W515" i="7"/>
  <c r="W487" i="7"/>
  <c r="W389" i="7"/>
  <c r="W505" i="7"/>
  <c r="S450" i="7"/>
  <c r="S497" i="7"/>
  <c r="W488" i="7"/>
  <c r="W482" i="7"/>
  <c r="W514" i="7"/>
  <c r="W504" i="7"/>
  <c r="J388" i="7"/>
  <c r="J463" i="7"/>
  <c r="J403" i="7"/>
  <c r="J441" i="7"/>
  <c r="J411" i="7"/>
  <c r="J444" i="7"/>
  <c r="J379" i="7"/>
  <c r="S426" i="7"/>
  <c r="S407" i="7"/>
  <c r="S396" i="7"/>
  <c r="S376" i="7"/>
  <c r="S423" i="7"/>
  <c r="J425" i="7"/>
  <c r="J461" i="7"/>
  <c r="J395" i="7"/>
  <c r="J473" i="7"/>
  <c r="J454" i="7"/>
  <c r="J471" i="7"/>
  <c r="J372" i="7"/>
  <c r="J490" i="7"/>
  <c r="J378" i="7"/>
  <c r="J428" i="7"/>
  <c r="J494" i="7"/>
  <c r="S447" i="7"/>
  <c r="S487" i="7"/>
  <c r="S464" i="7"/>
  <c r="S375" i="7"/>
  <c r="S505" i="7"/>
  <c r="S515" i="7"/>
  <c r="S389" i="7"/>
  <c r="W476" i="7"/>
  <c r="W371" i="7"/>
  <c r="W507" i="7"/>
  <c r="W377" i="7"/>
  <c r="W424" i="7"/>
  <c r="W453" i="7"/>
  <c r="W470" i="7"/>
  <c r="W499" i="7"/>
  <c r="W468" i="7"/>
  <c r="W427" i="7"/>
  <c r="W484" i="7"/>
  <c r="W460" i="7"/>
  <c r="W394" i="7"/>
  <c r="W408" i="7"/>
  <c r="W480" i="7"/>
  <c r="J449" i="7"/>
  <c r="J392" i="7"/>
  <c r="J466" i="7"/>
  <c r="J389" i="7"/>
  <c r="J447" i="7"/>
  <c r="J505" i="7"/>
  <c r="J375" i="7"/>
  <c r="J464" i="7"/>
  <c r="J515" i="7"/>
  <c r="J487" i="7"/>
  <c r="J435" i="7"/>
  <c r="J438" i="7"/>
  <c r="J400" i="7"/>
  <c r="J385" i="7"/>
  <c r="J415" i="7"/>
  <c r="J377" i="7"/>
  <c r="J394" i="7"/>
  <c r="J484" i="7"/>
  <c r="J408" i="7"/>
  <c r="J460" i="7"/>
  <c r="J470" i="7"/>
  <c r="J468" i="7"/>
  <c r="J371" i="7"/>
  <c r="J424" i="7"/>
  <c r="J507" i="7"/>
  <c r="J476" i="7"/>
  <c r="J453" i="7"/>
  <c r="J427" i="7"/>
  <c r="J480" i="7"/>
  <c r="J499" i="7"/>
  <c r="S459" i="7"/>
  <c r="S370" i="7"/>
  <c r="W423" i="7"/>
  <c r="W376" i="7"/>
  <c r="W396" i="7"/>
  <c r="W426" i="7"/>
  <c r="W407" i="7"/>
  <c r="S462" i="7"/>
  <c r="S495" i="7"/>
  <c r="S511" i="7"/>
  <c r="S431" i="7"/>
  <c r="S434" i="7"/>
  <c r="S501" i="7"/>
  <c r="S373" i="7"/>
  <c r="S384" i="7"/>
  <c r="S491" i="7"/>
  <c r="S455" i="7"/>
  <c r="S399" i="7"/>
  <c r="J407" i="7"/>
  <c r="J396" i="7"/>
  <c r="J426" i="7"/>
  <c r="J423" i="7"/>
  <c r="J376" i="7"/>
  <c r="W416" i="7"/>
  <c r="W512" i="7"/>
  <c r="W409" i="7"/>
  <c r="W481" i="7"/>
  <c r="W439" i="7"/>
  <c r="W486" i="7"/>
  <c r="W386" i="7"/>
  <c r="W401" i="7"/>
  <c r="W502" i="7"/>
  <c r="W509" i="7"/>
  <c r="W478" i="7"/>
  <c r="W436" i="7"/>
  <c r="J497" i="7"/>
  <c r="J450" i="7"/>
  <c r="S463" i="7"/>
  <c r="S388" i="7"/>
  <c r="W497" i="7"/>
  <c r="W450" i="7"/>
  <c r="J462" i="7"/>
  <c r="J434" i="7"/>
  <c r="J455" i="7"/>
  <c r="J491" i="7"/>
  <c r="J373" i="7"/>
  <c r="J495" i="7"/>
  <c r="J511" i="7"/>
  <c r="J431" i="7"/>
  <c r="J399" i="7"/>
  <c r="J384" i="7"/>
  <c r="J501" i="7"/>
  <c r="S438" i="7"/>
  <c r="S435" i="7"/>
  <c r="S385" i="7"/>
  <c r="S400" i="7"/>
  <c r="S415" i="7"/>
  <c r="J401" i="7"/>
  <c r="J409" i="7"/>
  <c r="J486" i="7"/>
  <c r="J509" i="7"/>
  <c r="J386" i="7"/>
  <c r="J502" i="7"/>
  <c r="J439" i="7"/>
  <c r="J416" i="7"/>
  <c r="J478" i="7"/>
  <c r="J436" i="7"/>
  <c r="J512" i="7"/>
  <c r="J481" i="7"/>
  <c r="W382" i="7"/>
  <c r="W397" i="7"/>
  <c r="W429" i="7"/>
  <c r="W418" i="7"/>
  <c r="W432" i="7"/>
  <c r="S510" i="7"/>
  <c r="S430" i="7"/>
  <c r="S508" i="7"/>
  <c r="S419" i="7"/>
  <c r="S433" i="7"/>
  <c r="S485" i="7"/>
  <c r="S500" i="7"/>
  <c r="S383" i="7"/>
  <c r="S398" i="7"/>
  <c r="S477" i="7"/>
  <c r="S413" i="7"/>
  <c r="W440" i="7"/>
  <c r="W374" i="7"/>
  <c r="W387" i="7"/>
  <c r="W456" i="7"/>
  <c r="W513" i="7"/>
  <c r="W402" i="7"/>
  <c r="W503" i="7"/>
  <c r="W492" i="7"/>
  <c r="W437" i="7"/>
  <c r="W370" i="7"/>
  <c r="W459" i="7"/>
  <c r="S402" i="7"/>
  <c r="S456" i="7"/>
  <c r="S513" i="7"/>
  <c r="S437" i="7"/>
  <c r="S503" i="7"/>
  <c r="S374" i="7"/>
  <c r="S440" i="7"/>
  <c r="S492" i="7"/>
  <c r="S387" i="7"/>
  <c r="S378" i="7"/>
  <c r="S471" i="7"/>
  <c r="S395" i="7"/>
  <c r="S473" i="7"/>
  <c r="S461" i="7"/>
  <c r="S372" i="7"/>
  <c r="S490" i="7"/>
  <c r="S494" i="7"/>
  <c r="S428" i="7"/>
  <c r="S425" i="7"/>
  <c r="S454" i="7"/>
  <c r="W452" i="7"/>
  <c r="W369" i="7"/>
  <c r="W381" i="7"/>
  <c r="W443" i="7"/>
  <c r="W472" i="7"/>
  <c r="W458" i="7"/>
  <c r="W474" i="7"/>
  <c r="W489" i="7"/>
  <c r="W446" i="7"/>
  <c r="W405" i="7"/>
  <c r="W493" i="7"/>
  <c r="W500" i="7"/>
  <c r="W510" i="7"/>
  <c r="W413" i="7"/>
  <c r="W398" i="7"/>
  <c r="W485" i="7"/>
  <c r="W383" i="7"/>
  <c r="W430" i="7"/>
  <c r="W419" i="7"/>
  <c r="W433" i="7"/>
  <c r="W477" i="7"/>
  <c r="W508" i="7"/>
  <c r="W392" i="7"/>
  <c r="W466" i="7"/>
  <c r="W449" i="7"/>
  <c r="J413" i="7"/>
  <c r="J433" i="7"/>
  <c r="J508" i="7"/>
  <c r="J383" i="7"/>
  <c r="J510" i="7"/>
  <c r="J485" i="7"/>
  <c r="J419" i="7"/>
  <c r="J477" i="7"/>
  <c r="J500" i="7"/>
  <c r="J398" i="7"/>
  <c r="J430" i="7"/>
  <c r="S482" i="7"/>
  <c r="S488" i="7"/>
  <c r="S514" i="7"/>
  <c r="S504" i="7"/>
  <c r="W368" i="7"/>
  <c r="W380" i="7"/>
  <c r="W404" i="7"/>
  <c r="W483" i="7"/>
  <c r="W467" i="7"/>
  <c r="W442" i="7"/>
  <c r="W412" i="7"/>
  <c r="W469" i="7"/>
  <c r="W498" i="7"/>
  <c r="W457" i="7"/>
  <c r="W445" i="7"/>
  <c r="W475" i="7"/>
  <c r="W451" i="7"/>
  <c r="W506" i="7"/>
  <c r="W479" i="7"/>
  <c r="S498" i="7"/>
  <c r="S404" i="7"/>
  <c r="S469" i="7"/>
  <c r="S368" i="7"/>
  <c r="S457" i="7"/>
  <c r="S483" i="7"/>
  <c r="S380" i="7"/>
  <c r="S445" i="7"/>
  <c r="S475" i="7"/>
  <c r="S451" i="7"/>
  <c r="S467" i="7"/>
  <c r="S412" i="7"/>
  <c r="S442" i="7"/>
  <c r="S506" i="7"/>
  <c r="S479" i="7"/>
  <c r="W390" i="7"/>
  <c r="W448" i="7"/>
  <c r="W393" i="7"/>
  <c r="J437" i="7"/>
  <c r="J503" i="7"/>
  <c r="J402" i="7"/>
  <c r="J387" i="7"/>
  <c r="J440" i="7"/>
  <c r="J374" i="7"/>
  <c r="J456" i="7"/>
  <c r="J492" i="7"/>
  <c r="J513" i="7"/>
  <c r="W373" i="7"/>
  <c r="W399" i="7"/>
  <c r="W495" i="7"/>
  <c r="W511" i="7"/>
  <c r="W455" i="7"/>
  <c r="W384" i="7"/>
  <c r="W501" i="7"/>
  <c r="W431" i="7"/>
  <c r="W462" i="7"/>
  <c r="W491" i="7"/>
  <c r="W434" i="7"/>
  <c r="J459" i="7"/>
  <c r="J370" i="7"/>
  <c r="S486" i="7"/>
  <c r="S509" i="7"/>
  <c r="S512" i="7"/>
  <c r="S409" i="7"/>
  <c r="S401" i="7"/>
  <c r="S436" i="7"/>
  <c r="S439" i="7"/>
  <c r="S502" i="7"/>
  <c r="S386" i="7"/>
  <c r="S478" i="7"/>
  <c r="S416" i="7"/>
  <c r="S481" i="7"/>
  <c r="S377" i="7"/>
  <c r="S484" i="7"/>
  <c r="S394" i="7"/>
  <c r="S499" i="7"/>
  <c r="S470" i="7"/>
  <c r="S408" i="7"/>
  <c r="S460" i="7"/>
  <c r="S424" i="7"/>
  <c r="S468" i="7"/>
  <c r="S371" i="7"/>
  <c r="S476" i="7"/>
  <c r="S507" i="7"/>
  <c r="S427" i="7"/>
  <c r="S480" i="7"/>
  <c r="S453" i="7"/>
  <c r="K315" i="7"/>
  <c r="W326" i="7"/>
  <c r="W323" i="7"/>
  <c r="W320" i="7"/>
  <c r="W317" i="7"/>
  <c r="R60" i="5"/>
  <c r="R59" i="5"/>
  <c r="R58" i="5"/>
  <c r="R57" i="5"/>
  <c r="R56" i="5"/>
  <c r="W180" i="7" s="1"/>
  <c r="R55" i="5"/>
  <c r="W179" i="7" s="1"/>
  <c r="R54" i="5"/>
  <c r="W178" i="7" s="1"/>
  <c r="R53" i="5"/>
  <c r="R52" i="5"/>
  <c r="W181" i="7" s="1"/>
  <c r="R51" i="5"/>
  <c r="W177" i="7" s="1"/>
  <c r="R49" i="5"/>
  <c r="W176" i="7" s="1"/>
  <c r="R48" i="5"/>
  <c r="W277" i="7" s="1"/>
  <c r="R47" i="5"/>
  <c r="W276" i="7" s="1"/>
  <c r="R46" i="5"/>
  <c r="W175" i="7" s="1"/>
  <c r="R44" i="5"/>
  <c r="R43" i="5"/>
  <c r="R42" i="5"/>
  <c r="W274" i="7" s="1"/>
  <c r="R41" i="5"/>
  <c r="W282" i="7" s="1"/>
  <c r="R40" i="5"/>
  <c r="W12" i="7" s="1"/>
  <c r="R39" i="5"/>
  <c r="R38" i="5"/>
  <c r="W103" i="7" s="1"/>
  <c r="R37" i="5"/>
  <c r="R36" i="5"/>
  <c r="R35" i="5"/>
  <c r="W87" i="7" s="1"/>
  <c r="R34" i="5"/>
  <c r="R33" i="5"/>
  <c r="R32" i="5"/>
  <c r="W102" i="7" s="1"/>
  <c r="R31" i="5"/>
  <c r="R30" i="5"/>
  <c r="R29" i="5"/>
  <c r="W247" i="7" s="1"/>
  <c r="R28" i="5"/>
  <c r="W42" i="7" s="1"/>
  <c r="R27" i="5"/>
  <c r="W41" i="7" s="1"/>
  <c r="R26" i="5"/>
  <c r="W268" i="7" s="1"/>
  <c r="R25" i="5"/>
  <c r="W221" i="7" s="1"/>
  <c r="R24" i="5"/>
  <c r="W119" i="7" s="1"/>
  <c r="R23" i="5"/>
  <c r="W94" i="7" s="1"/>
  <c r="R22" i="5"/>
  <c r="W172" i="7" s="1"/>
  <c r="R20" i="5"/>
  <c r="W70" i="7" s="1"/>
  <c r="R19" i="5"/>
  <c r="W261" i="7" s="1"/>
  <c r="R18" i="5"/>
  <c r="W260" i="7" s="1"/>
  <c r="R17" i="5"/>
  <c r="W100" i="7" s="1"/>
  <c r="R16" i="5"/>
  <c r="W251" i="7" s="1"/>
  <c r="R14" i="5"/>
  <c r="W78" i="7" s="1"/>
  <c r="R13" i="5"/>
  <c r="W279" i="7" s="1"/>
  <c r="R12" i="5"/>
  <c r="W239" i="7" s="1"/>
  <c r="R11" i="5"/>
  <c r="W263" i="7" s="1"/>
  <c r="R10" i="5"/>
  <c r="W163" i="7" s="1"/>
  <c r="R9" i="5"/>
  <c r="W309" i="7" s="1"/>
  <c r="R8" i="5"/>
  <c r="W75" i="7" s="1"/>
  <c r="R7" i="5"/>
  <c r="W237" i="7" s="1"/>
  <c r="R6" i="5"/>
  <c r="W207" i="7" s="1"/>
  <c r="R5" i="5"/>
  <c r="W61" i="7" s="1"/>
  <c r="R4" i="5"/>
  <c r="W122" i="7" s="1"/>
  <c r="R3" i="5"/>
  <c r="W313" i="7" s="1"/>
  <c r="AA17" i="10"/>
  <c r="AB17" i="10" s="1"/>
  <c r="W352" i="7" l="1"/>
  <c r="W353" i="7"/>
  <c r="W327" i="7"/>
  <c r="W328" i="7"/>
  <c r="W367" i="7"/>
  <c r="W355" i="7"/>
  <c r="W356" i="7"/>
  <c r="W357" i="7"/>
  <c r="W360" i="7"/>
  <c r="W361" i="7"/>
  <c r="W358" i="7"/>
  <c r="W359" i="7"/>
  <c r="W362" i="7"/>
  <c r="W351" i="7"/>
  <c r="W363" i="7"/>
  <c r="W364" i="7"/>
  <c r="W365" i="7"/>
  <c r="W354" i="7"/>
  <c r="W366" i="7"/>
  <c r="W348" i="7"/>
  <c r="W340" i="7"/>
  <c r="W344" i="7"/>
  <c r="W347" i="7"/>
  <c r="W285" i="7"/>
  <c r="W345" i="7"/>
  <c r="W346" i="7"/>
  <c r="W349" i="7"/>
  <c r="W350" i="7"/>
  <c r="W331" i="7"/>
  <c r="W335" i="7"/>
  <c r="W338" i="7"/>
  <c r="W339" i="7"/>
  <c r="W336" i="7"/>
  <c r="W337" i="7"/>
  <c r="W329" i="7"/>
  <c r="W199" i="7"/>
  <c r="W330" i="7"/>
  <c r="W342" i="7"/>
  <c r="W150" i="7"/>
  <c r="W341" i="7"/>
  <c r="W304" i="7"/>
  <c r="W332" i="7"/>
  <c r="W305" i="7"/>
  <c r="W333" i="7"/>
  <c r="W334" i="7"/>
  <c r="W286" i="7"/>
  <c r="W287" i="7"/>
  <c r="W31" i="7"/>
  <c r="W294" i="7"/>
  <c r="W65" i="7"/>
  <c r="W295" i="7"/>
  <c r="W325" i="7"/>
  <c r="W104" i="7"/>
  <c r="W299" i="7"/>
  <c r="W301" i="7"/>
  <c r="W310" i="7"/>
  <c r="W311" i="7"/>
  <c r="W174" i="7"/>
  <c r="W288" i="7"/>
  <c r="W296" i="7"/>
  <c r="W312" i="7"/>
  <c r="W302" i="7"/>
  <c r="W289" i="7"/>
  <c r="W297" i="7"/>
  <c r="W321" i="7"/>
  <c r="W318" i="7"/>
  <c r="W319" i="7"/>
  <c r="W16" i="7"/>
  <c r="W198" i="7"/>
  <c r="W290" i="7"/>
  <c r="W298" i="7"/>
  <c r="W306" i="7"/>
  <c r="W314" i="7"/>
  <c r="W322" i="7"/>
  <c r="W293" i="7"/>
  <c r="W303" i="7"/>
  <c r="W291" i="7"/>
  <c r="W307" i="7"/>
  <c r="W315" i="7"/>
  <c r="W52" i="7"/>
  <c r="W284" i="7"/>
  <c r="W292" i="7"/>
  <c r="W300" i="7"/>
  <c r="W308" i="7"/>
  <c r="W316" i="7"/>
  <c r="W324" i="7"/>
  <c r="W64" i="7"/>
  <c r="W189" i="7"/>
  <c r="W92" i="7"/>
  <c r="W269" i="7"/>
  <c r="W22" i="7"/>
  <c r="W242" i="7"/>
  <c r="W264" i="7"/>
  <c r="W120" i="7"/>
  <c r="W128" i="7"/>
  <c r="W271" i="7"/>
  <c r="W280" i="7"/>
  <c r="W71" i="7"/>
  <c r="W159" i="7"/>
  <c r="W209" i="7"/>
  <c r="W4" i="7"/>
  <c r="W72" i="7"/>
  <c r="W160" i="7"/>
  <c r="W233" i="7"/>
  <c r="W234" i="7"/>
  <c r="W46" i="7"/>
  <c r="W6" i="7"/>
  <c r="W23" i="7"/>
  <c r="W111" i="7"/>
  <c r="W136" i="7"/>
  <c r="W218" i="7"/>
  <c r="W245" i="7"/>
  <c r="W272" i="7"/>
  <c r="W217" i="7"/>
  <c r="W13" i="7"/>
  <c r="W28" i="7"/>
  <c r="W55" i="7"/>
  <c r="W79" i="7"/>
  <c r="W112" i="7"/>
  <c r="W137" i="7"/>
  <c r="W166" i="7"/>
  <c r="W182" i="7"/>
  <c r="W201" i="7"/>
  <c r="W223" i="7"/>
  <c r="W246" i="7"/>
  <c r="W273" i="7"/>
  <c r="W14" i="7"/>
  <c r="W29" i="7"/>
  <c r="W62" i="7"/>
  <c r="W84" i="7"/>
  <c r="W114" i="7"/>
  <c r="W144" i="7"/>
  <c r="W167" i="7"/>
  <c r="W183" i="7"/>
  <c r="W206" i="7"/>
  <c r="W224" i="7"/>
  <c r="W248" i="7"/>
  <c r="W15" i="7"/>
  <c r="W30" i="7"/>
  <c r="W63" i="7"/>
  <c r="W86" i="7"/>
  <c r="W118" i="7"/>
  <c r="W146" i="7"/>
  <c r="W168" i="7"/>
  <c r="W186" i="7"/>
  <c r="W208" i="7"/>
  <c r="W230" i="7"/>
  <c r="W255" i="7"/>
  <c r="W278" i="7"/>
  <c r="W20" i="7"/>
  <c r="W38" i="7"/>
  <c r="W126" i="7"/>
  <c r="W152" i="7"/>
  <c r="W191" i="7"/>
  <c r="W215" i="7"/>
  <c r="W281" i="7"/>
  <c r="W21" i="7"/>
  <c r="W69" i="7"/>
  <c r="W95" i="7"/>
  <c r="W127" i="7"/>
  <c r="W158" i="7"/>
  <c r="W192" i="7"/>
  <c r="W216" i="7"/>
  <c r="W241" i="7"/>
  <c r="W270" i="7"/>
  <c r="W184" i="7"/>
  <c r="W7" i="7"/>
  <c r="W39" i="7"/>
  <c r="W47" i="7"/>
  <c r="W56" i="7"/>
  <c r="W80" i="7"/>
  <c r="W88" i="7"/>
  <c r="W97" i="7"/>
  <c r="W105" i="7"/>
  <c r="W113" i="7"/>
  <c r="W121" i="7"/>
  <c r="W129" i="7"/>
  <c r="W145" i="7"/>
  <c r="W153" i="7"/>
  <c r="W161" i="7"/>
  <c r="W169" i="7"/>
  <c r="W185" i="7"/>
  <c r="W193" i="7"/>
  <c r="W225" i="7"/>
  <c r="W249" i="7"/>
  <c r="W257" i="7"/>
  <c r="W265" i="7"/>
  <c r="W200" i="7"/>
  <c r="W232" i="7"/>
  <c r="W40" i="7"/>
  <c r="W81" i="7"/>
  <c r="W106" i="7"/>
  <c r="W130" i="7"/>
  <c r="W154" i="7"/>
  <c r="W170" i="7"/>
  <c r="W202" i="7"/>
  <c r="W250" i="7"/>
  <c r="W258" i="7"/>
  <c r="W8" i="7"/>
  <c r="W32" i="7"/>
  <c r="W57" i="7"/>
  <c r="W89" i="7"/>
  <c r="W138" i="7"/>
  <c r="W162" i="7"/>
  <c r="W194" i="7"/>
  <c r="W210" i="7"/>
  <c r="W226" i="7"/>
  <c r="W9" i="7"/>
  <c r="W17" i="7"/>
  <c r="W25" i="7"/>
  <c r="W33" i="7"/>
  <c r="W50" i="7"/>
  <c r="W58" i="7"/>
  <c r="W66" i="7"/>
  <c r="W74" i="7"/>
  <c r="W82" i="7"/>
  <c r="W90" i="7"/>
  <c r="W99" i="7"/>
  <c r="W107" i="7"/>
  <c r="W115" i="7"/>
  <c r="W123" i="7"/>
  <c r="W131" i="7"/>
  <c r="W139" i="7"/>
  <c r="W147" i="7"/>
  <c r="W155" i="7"/>
  <c r="W171" i="7"/>
  <c r="W187" i="7"/>
  <c r="W195" i="7"/>
  <c r="W203" i="7"/>
  <c r="W211" i="7"/>
  <c r="W219" i="7"/>
  <c r="W227" i="7"/>
  <c r="W235" i="7"/>
  <c r="W243" i="7"/>
  <c r="W259" i="7"/>
  <c r="W267" i="7"/>
  <c r="W275" i="7"/>
  <c r="W283" i="7"/>
  <c r="W240" i="7"/>
  <c r="W24" i="7"/>
  <c r="W48" i="7"/>
  <c r="W73" i="7"/>
  <c r="W98" i="7"/>
  <c r="W266" i="7"/>
  <c r="W2" i="7"/>
  <c r="W10" i="7"/>
  <c r="W18" i="7"/>
  <c r="W26" i="7"/>
  <c r="W34" i="7"/>
  <c r="W51" i="7"/>
  <c r="W59" i="7"/>
  <c r="W67" i="7"/>
  <c r="W83" i="7"/>
  <c r="W91" i="7"/>
  <c r="W108" i="7"/>
  <c r="W116" i="7"/>
  <c r="W124" i="7"/>
  <c r="W132" i="7"/>
  <c r="W140" i="7"/>
  <c r="W148" i="7"/>
  <c r="W156" i="7"/>
  <c r="W164" i="7"/>
  <c r="W188" i="7"/>
  <c r="W196" i="7"/>
  <c r="W204" i="7"/>
  <c r="W212" i="7"/>
  <c r="W220" i="7"/>
  <c r="W228" i="7"/>
  <c r="W236" i="7"/>
  <c r="W244" i="7"/>
  <c r="W252" i="7"/>
  <c r="W256" i="7"/>
  <c r="W3" i="7"/>
  <c r="W11" i="7"/>
  <c r="W19" i="7"/>
  <c r="W27" i="7"/>
  <c r="W35" i="7"/>
  <c r="W43" i="7"/>
  <c r="W60" i="7"/>
  <c r="W68" i="7"/>
  <c r="W76" i="7"/>
  <c r="W101" i="7"/>
  <c r="W109" i="7"/>
  <c r="W117" i="7"/>
  <c r="W125" i="7"/>
  <c r="W133" i="7"/>
  <c r="W141" i="7"/>
  <c r="W149" i="7"/>
  <c r="W157" i="7"/>
  <c r="W165" i="7"/>
  <c r="W173" i="7"/>
  <c r="W197" i="7"/>
  <c r="W205" i="7"/>
  <c r="W213" i="7"/>
  <c r="W229" i="7"/>
  <c r="W253" i="7"/>
  <c r="W36" i="7"/>
  <c r="W44" i="7"/>
  <c r="W53" i="7"/>
  <c r="W77" i="7"/>
  <c r="W85" i="7"/>
  <c r="W93" i="7"/>
  <c r="W110" i="7"/>
  <c r="W134" i="7"/>
  <c r="W142" i="7"/>
  <c r="W190" i="7"/>
  <c r="W214" i="7"/>
  <c r="W222" i="7"/>
  <c r="W238" i="7"/>
  <c r="W254" i="7"/>
  <c r="W262" i="7"/>
  <c r="W5" i="7"/>
  <c r="W37" i="7"/>
  <c r="W45" i="7"/>
  <c r="W54" i="7"/>
  <c r="W135" i="7"/>
  <c r="W143" i="7"/>
  <c r="W151" i="7"/>
  <c r="W231" i="7"/>
  <c r="AK200" i="10"/>
  <c r="AK199" i="10"/>
  <c r="AK198" i="10"/>
  <c r="AK197" i="10"/>
  <c r="AK196" i="10"/>
  <c r="AK195" i="10"/>
  <c r="AK194" i="10"/>
  <c r="AK193" i="10"/>
  <c r="AK192" i="10"/>
  <c r="AK191" i="10"/>
  <c r="AK190" i="10"/>
  <c r="AK189" i="10"/>
  <c r="AK188" i="10"/>
  <c r="AK187" i="10"/>
  <c r="AK186" i="10"/>
  <c r="AK185" i="10"/>
  <c r="AK184" i="10"/>
  <c r="AK183" i="10"/>
  <c r="AK182" i="10"/>
  <c r="AK181" i="10"/>
  <c r="AK180" i="10"/>
  <c r="AK179" i="10"/>
  <c r="AK178" i="10"/>
  <c r="AK177" i="10"/>
  <c r="AK176" i="10"/>
  <c r="AK175" i="10"/>
  <c r="AK174" i="10"/>
  <c r="AK173" i="10"/>
  <c r="AK172" i="10"/>
  <c r="AK171" i="10"/>
  <c r="AK170" i="10"/>
  <c r="AK169" i="10"/>
  <c r="AK168" i="10"/>
  <c r="AK167" i="10"/>
  <c r="AK166" i="10"/>
  <c r="AK165" i="10"/>
  <c r="AK164" i="10"/>
  <c r="AK163" i="10"/>
  <c r="AK162" i="10"/>
  <c r="AK161" i="10"/>
  <c r="AK160" i="10"/>
  <c r="AK159" i="10"/>
  <c r="AK157" i="10"/>
  <c r="AK156" i="10"/>
  <c r="AK155" i="10"/>
  <c r="AK154" i="10"/>
  <c r="AK153" i="10"/>
  <c r="AK152" i="10"/>
  <c r="AK151" i="10"/>
  <c r="AK150" i="10"/>
  <c r="AK149" i="10"/>
  <c r="AK148" i="10"/>
  <c r="AK147" i="10"/>
  <c r="AK146" i="10"/>
  <c r="AK145" i="10"/>
  <c r="AK144" i="10"/>
  <c r="AK143" i="10"/>
  <c r="AK142" i="10"/>
  <c r="AK141" i="10"/>
  <c r="AK140" i="10"/>
  <c r="AK139" i="10"/>
  <c r="AK138" i="10"/>
  <c r="AK137" i="10"/>
  <c r="AK136" i="10"/>
  <c r="AK135" i="10"/>
  <c r="AK134" i="10"/>
  <c r="AK133" i="10"/>
  <c r="AK132" i="10"/>
  <c r="AK131" i="10"/>
  <c r="AK130" i="10"/>
  <c r="AK129" i="10"/>
  <c r="AK128" i="10"/>
  <c r="AK127" i="10"/>
  <c r="AK126" i="10"/>
  <c r="AK125" i="10"/>
  <c r="AK124" i="10"/>
  <c r="AK123" i="10"/>
  <c r="AK122" i="10"/>
  <c r="AK121" i="10"/>
  <c r="AK120" i="10"/>
  <c r="AK119" i="10"/>
  <c r="AK118" i="10"/>
  <c r="AK117" i="10"/>
  <c r="AK116" i="10"/>
  <c r="AK115" i="10"/>
  <c r="AK114" i="10"/>
  <c r="AK113" i="10"/>
  <c r="AK112" i="10"/>
  <c r="AK111" i="10"/>
  <c r="AK110" i="10"/>
  <c r="AK109" i="10"/>
  <c r="AK108" i="10"/>
  <c r="AK107" i="10"/>
  <c r="AK106" i="10"/>
  <c r="AK105" i="10"/>
  <c r="AK104" i="10"/>
  <c r="AK103" i="10"/>
  <c r="AK102" i="10"/>
  <c r="AK101" i="10"/>
  <c r="AK100" i="10"/>
  <c r="AK99" i="10"/>
  <c r="AK98" i="10"/>
  <c r="AK97" i="10"/>
  <c r="AK96" i="10"/>
  <c r="AK95" i="10"/>
  <c r="AK94" i="10"/>
  <c r="AK93" i="10"/>
  <c r="AK92" i="10"/>
  <c r="AK91" i="10"/>
  <c r="AK90" i="10"/>
  <c r="AK89" i="10"/>
  <c r="AK88" i="10"/>
  <c r="AK87" i="10"/>
  <c r="AK86" i="10"/>
  <c r="AK85" i="10"/>
  <c r="AK84" i="10"/>
  <c r="AK83" i="10"/>
  <c r="AK82" i="10"/>
  <c r="AK81" i="10"/>
  <c r="AK79" i="10"/>
  <c r="AK78" i="10"/>
  <c r="AK77" i="10"/>
  <c r="AK76" i="10"/>
  <c r="AK75" i="10"/>
  <c r="AK74" i="10"/>
  <c r="AK73" i="10"/>
  <c r="AK72" i="10"/>
  <c r="AK71" i="10"/>
  <c r="AK70" i="10"/>
  <c r="AK69" i="10"/>
  <c r="AK68" i="10"/>
  <c r="AK67" i="10"/>
  <c r="AK66" i="10"/>
  <c r="AK65" i="10"/>
  <c r="AK64" i="10"/>
  <c r="AK63" i="10"/>
  <c r="AK62" i="10"/>
  <c r="AK61" i="10"/>
  <c r="AK60" i="10"/>
  <c r="AK59" i="10"/>
  <c r="AK58" i="10"/>
  <c r="AK57" i="10"/>
  <c r="AK56" i="10"/>
  <c r="AK55" i="10"/>
  <c r="AK54" i="10"/>
  <c r="AK53" i="10"/>
  <c r="AK29" i="10"/>
  <c r="AK32" i="10"/>
  <c r="AK28" i="10"/>
  <c r="AK27" i="10"/>
  <c r="AK16" i="10"/>
  <c r="AK18" i="10"/>
  <c r="AK43" i="10"/>
  <c r="AK26" i="10"/>
  <c r="AK42" i="10"/>
  <c r="AK17" i="10"/>
  <c r="AK41" i="10"/>
  <c r="AK31" i="10"/>
  <c r="AK40" i="10"/>
  <c r="AK21" i="10"/>
  <c r="AK20" i="10"/>
  <c r="AK24" i="10"/>
  <c r="AK30" i="10"/>
  <c r="AK15" i="10"/>
  <c r="AK19" i="10"/>
  <c r="AK9" i="10"/>
  <c r="AK13" i="10"/>
  <c r="AK8" i="10"/>
  <c r="AK12" i="10"/>
  <c r="AK14" i="10"/>
  <c r="AK7" i="10"/>
  <c r="AK6" i="10"/>
  <c r="AK25" i="10"/>
  <c r="AK52" i="10"/>
  <c r="AK51" i="10"/>
  <c r="AK50" i="10"/>
  <c r="AK49" i="10"/>
  <c r="AK48" i="10"/>
  <c r="AK47" i="10"/>
  <c r="AK37" i="10"/>
  <c r="AK39" i="10"/>
  <c r="AK36" i="10"/>
  <c r="AK35" i="10"/>
  <c r="AK34" i="10"/>
  <c r="AK46" i="10"/>
  <c r="AK11" i="10"/>
  <c r="AK45" i="10"/>
  <c r="AK10" i="10"/>
  <c r="AK44" i="10"/>
  <c r="AK33" i="10"/>
  <c r="AK23" i="10"/>
  <c r="AK22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29" i="10"/>
  <c r="R32" i="10"/>
  <c r="R28" i="10"/>
  <c r="R27" i="10"/>
  <c r="R16" i="10"/>
  <c r="R18" i="10"/>
  <c r="R43" i="10"/>
  <c r="R26" i="10"/>
  <c r="R42" i="10"/>
  <c r="R17" i="10"/>
  <c r="R41" i="10"/>
  <c r="R31" i="10"/>
  <c r="R40" i="10"/>
  <c r="R21" i="10"/>
  <c r="R20" i="10"/>
  <c r="R24" i="10"/>
  <c r="R30" i="10"/>
  <c r="R15" i="10"/>
  <c r="R19" i="10"/>
  <c r="R9" i="10"/>
  <c r="R13" i="10"/>
  <c r="R8" i="10"/>
  <c r="R5" i="10"/>
  <c r="R4" i="10"/>
  <c r="R12" i="10"/>
  <c r="R14" i="10"/>
  <c r="R7" i="10"/>
  <c r="R6" i="10"/>
  <c r="R52" i="10"/>
  <c r="R51" i="10"/>
  <c r="R50" i="10"/>
  <c r="R49" i="10"/>
  <c r="R48" i="10"/>
  <c r="R47" i="10"/>
  <c r="R37" i="10"/>
  <c r="R39" i="10"/>
  <c r="R36" i="10"/>
  <c r="R35" i="10"/>
  <c r="R34" i="10"/>
  <c r="R46" i="10"/>
  <c r="R11" i="10"/>
  <c r="R45" i="10"/>
  <c r="R10" i="10"/>
  <c r="R44" i="10"/>
  <c r="R33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29" i="10"/>
  <c r="O32" i="10"/>
  <c r="O28" i="10"/>
  <c r="O27" i="10"/>
  <c r="O16" i="10"/>
  <c r="O18" i="10"/>
  <c r="O43" i="10"/>
  <c r="O26" i="10"/>
  <c r="O42" i="10"/>
  <c r="O17" i="10"/>
  <c r="O41" i="10"/>
  <c r="O31" i="10"/>
  <c r="O40" i="10"/>
  <c r="O21" i="10"/>
  <c r="O20" i="10"/>
  <c r="O24" i="10"/>
  <c r="O30" i="10"/>
  <c r="O15" i="10"/>
  <c r="O19" i="10"/>
  <c r="O9" i="10"/>
  <c r="O13" i="10"/>
  <c r="O8" i="10"/>
  <c r="O5" i="10"/>
  <c r="O4" i="10"/>
  <c r="O12" i="10"/>
  <c r="O14" i="10"/>
  <c r="O7" i="10"/>
  <c r="O6" i="10"/>
  <c r="O52" i="10"/>
  <c r="O51" i="10"/>
  <c r="O50" i="10"/>
  <c r="O49" i="10"/>
  <c r="O48" i="10"/>
  <c r="O47" i="10"/>
  <c r="O37" i="10"/>
  <c r="O39" i="10"/>
  <c r="O36" i="10"/>
  <c r="O35" i="10"/>
  <c r="O34" i="10"/>
  <c r="O46" i="10"/>
  <c r="O11" i="10"/>
  <c r="O45" i="10"/>
  <c r="O10" i="10"/>
  <c r="O44" i="10"/>
  <c r="O33" i="10"/>
  <c r="O23" i="10"/>
  <c r="O22" i="10"/>
  <c r="G9" i="8"/>
  <c r="G8" i="8"/>
  <c r="G7" i="8"/>
  <c r="G6" i="8"/>
  <c r="AH200" i="10"/>
  <c r="AI200" i="10" s="1"/>
  <c r="AH199" i="10"/>
  <c r="AI199" i="10" s="1"/>
  <c r="AH198" i="10"/>
  <c r="AI198" i="10" s="1"/>
  <c r="AH197" i="10"/>
  <c r="AI197" i="10" s="1"/>
  <c r="AH196" i="10"/>
  <c r="AI196" i="10" s="1"/>
  <c r="AH195" i="10"/>
  <c r="AI195" i="10" s="1"/>
  <c r="AH194" i="10"/>
  <c r="AI194" i="10" s="1"/>
  <c r="AH193" i="10"/>
  <c r="AI193" i="10" s="1"/>
  <c r="AH192" i="10"/>
  <c r="AI192" i="10" s="1"/>
  <c r="AH191" i="10"/>
  <c r="AI191" i="10" s="1"/>
  <c r="AH190" i="10"/>
  <c r="AI190" i="10" s="1"/>
  <c r="AH189" i="10"/>
  <c r="AI189" i="10" s="1"/>
  <c r="AH188" i="10"/>
  <c r="AI188" i="10" s="1"/>
  <c r="AH187" i="10"/>
  <c r="AI187" i="10" s="1"/>
  <c r="AH186" i="10"/>
  <c r="AI186" i="10" s="1"/>
  <c r="AH185" i="10"/>
  <c r="AI185" i="10" s="1"/>
  <c r="AH184" i="10"/>
  <c r="AI184" i="10" s="1"/>
  <c r="AH183" i="10"/>
  <c r="AI183" i="10" s="1"/>
  <c r="AH182" i="10"/>
  <c r="AI182" i="10" s="1"/>
  <c r="AH181" i="10"/>
  <c r="AI181" i="10" s="1"/>
  <c r="AH180" i="10"/>
  <c r="AI180" i="10" s="1"/>
  <c r="AH179" i="10"/>
  <c r="AI179" i="10" s="1"/>
  <c r="AH178" i="10"/>
  <c r="AI178" i="10" s="1"/>
  <c r="O247" i="7"/>
  <c r="O246" i="7"/>
  <c r="O245" i="7"/>
  <c r="O236" i="7"/>
  <c r="O235" i="7"/>
  <c r="O234" i="7"/>
  <c r="O233" i="7"/>
  <c r="O232" i="7"/>
  <c r="O231" i="7"/>
  <c r="O230" i="7"/>
  <c r="O229" i="7"/>
  <c r="O190" i="7"/>
  <c r="O189" i="7"/>
  <c r="O188" i="7"/>
  <c r="O187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48" i="7"/>
  <c r="O147" i="7"/>
  <c r="O146" i="7"/>
  <c r="O141" i="7"/>
  <c r="O140" i="7"/>
  <c r="O139" i="7"/>
  <c r="O138" i="7"/>
  <c r="O137" i="7"/>
  <c r="O136" i="7"/>
  <c r="O135" i="7"/>
  <c r="O134" i="7"/>
  <c r="O133" i="7"/>
  <c r="O132" i="7"/>
  <c r="O43" i="7"/>
  <c r="O42" i="7"/>
  <c r="O41" i="7"/>
  <c r="O35" i="7"/>
  <c r="O34" i="7"/>
  <c r="U997" i="7"/>
  <c r="F997" i="7"/>
  <c r="U996" i="7"/>
  <c r="F996" i="7"/>
  <c r="U995" i="7"/>
  <c r="F995" i="7"/>
  <c r="U994" i="7"/>
  <c r="F994" i="7"/>
  <c r="U993" i="7"/>
  <c r="F993" i="7"/>
  <c r="U992" i="7"/>
  <c r="F992" i="7"/>
  <c r="U991" i="7"/>
  <c r="F991" i="7"/>
  <c r="U990" i="7"/>
  <c r="F990" i="7"/>
  <c r="U989" i="7"/>
  <c r="F989" i="7"/>
  <c r="U988" i="7"/>
  <c r="F988" i="7"/>
  <c r="U987" i="7"/>
  <c r="F987" i="7"/>
  <c r="U986" i="7"/>
  <c r="F986" i="7"/>
  <c r="U985" i="7"/>
  <c r="F985" i="7"/>
  <c r="U984" i="7"/>
  <c r="F984" i="7"/>
  <c r="T172" i="7"/>
  <c r="U200" i="10"/>
  <c r="AM200" i="10" s="1"/>
  <c r="AN200" i="10" s="1"/>
  <c r="J200" i="10"/>
  <c r="G200" i="10"/>
  <c r="D200" i="10"/>
  <c r="U199" i="10"/>
  <c r="J199" i="10"/>
  <c r="G199" i="10"/>
  <c r="D199" i="10"/>
  <c r="U198" i="10"/>
  <c r="J198" i="10"/>
  <c r="G198" i="10"/>
  <c r="D198" i="10"/>
  <c r="U197" i="10"/>
  <c r="J197" i="10"/>
  <c r="G197" i="10"/>
  <c r="D197" i="10"/>
  <c r="U196" i="10"/>
  <c r="AM196" i="10" s="1"/>
  <c r="AN196" i="10" s="1"/>
  <c r="J196" i="10"/>
  <c r="G196" i="10"/>
  <c r="D196" i="10"/>
  <c r="U195" i="10"/>
  <c r="J195" i="10"/>
  <c r="G195" i="10"/>
  <c r="D195" i="10"/>
  <c r="U194" i="10"/>
  <c r="J194" i="10"/>
  <c r="G194" i="10"/>
  <c r="D194" i="10"/>
  <c r="U193" i="10"/>
  <c r="J193" i="10"/>
  <c r="G193" i="10"/>
  <c r="D193" i="10"/>
  <c r="U192" i="10"/>
  <c r="J192" i="10"/>
  <c r="G192" i="10"/>
  <c r="D192" i="10"/>
  <c r="U191" i="10"/>
  <c r="J191" i="10"/>
  <c r="G191" i="10"/>
  <c r="D191" i="10"/>
  <c r="U190" i="10"/>
  <c r="J190" i="10"/>
  <c r="G190" i="10"/>
  <c r="D190" i="10"/>
  <c r="U189" i="10"/>
  <c r="J189" i="10"/>
  <c r="G189" i="10"/>
  <c r="D189" i="10"/>
  <c r="U188" i="10"/>
  <c r="AM188" i="10" s="1"/>
  <c r="AN188" i="10" s="1"/>
  <c r="J188" i="10"/>
  <c r="G188" i="10"/>
  <c r="D188" i="10"/>
  <c r="U187" i="10"/>
  <c r="AM187" i="10" s="1"/>
  <c r="AN187" i="10" s="1"/>
  <c r="J187" i="10"/>
  <c r="G187" i="10"/>
  <c r="D187" i="10"/>
  <c r="U186" i="10"/>
  <c r="J186" i="10"/>
  <c r="G186" i="10"/>
  <c r="D186" i="10"/>
  <c r="U185" i="10"/>
  <c r="J185" i="10"/>
  <c r="G185" i="10"/>
  <c r="D185" i="10"/>
  <c r="U184" i="10"/>
  <c r="J184" i="10"/>
  <c r="G184" i="10"/>
  <c r="D184" i="10"/>
  <c r="U183" i="10"/>
  <c r="J183" i="10"/>
  <c r="G183" i="10"/>
  <c r="D183" i="10"/>
  <c r="U182" i="10"/>
  <c r="J182" i="10"/>
  <c r="G182" i="10"/>
  <c r="D182" i="10"/>
  <c r="U181" i="10"/>
  <c r="J181" i="10"/>
  <c r="G181" i="10"/>
  <c r="D181" i="10"/>
  <c r="U180" i="10"/>
  <c r="AM180" i="10" s="1"/>
  <c r="AN180" i="10" s="1"/>
  <c r="J180" i="10"/>
  <c r="G180" i="10"/>
  <c r="D180" i="10"/>
  <c r="U179" i="10"/>
  <c r="AM179" i="10" s="1"/>
  <c r="AN179" i="10" s="1"/>
  <c r="J179" i="10"/>
  <c r="G179" i="10"/>
  <c r="D179" i="10"/>
  <c r="U178" i="10"/>
  <c r="J178" i="10"/>
  <c r="G178" i="10"/>
  <c r="D178" i="10"/>
  <c r="J177" i="10"/>
  <c r="G177" i="10"/>
  <c r="D177" i="10"/>
  <c r="J175" i="10"/>
  <c r="G175" i="10"/>
  <c r="D175" i="10"/>
  <c r="U174" i="10"/>
  <c r="G174" i="10"/>
  <c r="D174" i="10"/>
  <c r="U173" i="10"/>
  <c r="G173" i="10"/>
  <c r="D173" i="10"/>
  <c r="U172" i="10"/>
  <c r="J172" i="10"/>
  <c r="G172" i="10"/>
  <c r="D172" i="10"/>
  <c r="U171" i="10"/>
  <c r="J171" i="10"/>
  <c r="G171" i="10"/>
  <c r="D171" i="10"/>
  <c r="U170" i="10"/>
  <c r="J170" i="10"/>
  <c r="G170" i="10"/>
  <c r="D170" i="10"/>
  <c r="U169" i="10"/>
  <c r="J169" i="10"/>
  <c r="G169" i="10"/>
  <c r="D169" i="10"/>
  <c r="U168" i="10"/>
  <c r="J168" i="10"/>
  <c r="G168" i="10"/>
  <c r="D168" i="10"/>
  <c r="U167" i="10"/>
  <c r="J167" i="10"/>
  <c r="G167" i="10"/>
  <c r="D167" i="10"/>
  <c r="U166" i="10"/>
  <c r="J166" i="10"/>
  <c r="G166" i="10"/>
  <c r="D166" i="10"/>
  <c r="U165" i="10"/>
  <c r="J165" i="10"/>
  <c r="G165" i="10"/>
  <c r="D165" i="10"/>
  <c r="U164" i="10"/>
  <c r="J164" i="10"/>
  <c r="G164" i="10"/>
  <c r="D164" i="10"/>
  <c r="U163" i="10"/>
  <c r="J163" i="10"/>
  <c r="G163" i="10"/>
  <c r="D163" i="10"/>
  <c r="U162" i="10"/>
  <c r="J162" i="10"/>
  <c r="G162" i="10"/>
  <c r="D162" i="10"/>
  <c r="U161" i="10"/>
  <c r="J161" i="10"/>
  <c r="G161" i="10"/>
  <c r="D161" i="10"/>
  <c r="U160" i="10"/>
  <c r="D160" i="10"/>
  <c r="U159" i="10"/>
  <c r="D159" i="10"/>
  <c r="D158" i="10"/>
  <c r="U157" i="10"/>
  <c r="J157" i="10"/>
  <c r="G157" i="10"/>
  <c r="D157" i="10"/>
  <c r="U156" i="10"/>
  <c r="J156" i="10"/>
  <c r="G156" i="10"/>
  <c r="D156" i="10"/>
  <c r="J155" i="10"/>
  <c r="G155" i="10"/>
  <c r="D155" i="10"/>
  <c r="U154" i="10"/>
  <c r="J154" i="10"/>
  <c r="G154" i="10"/>
  <c r="D154" i="10"/>
  <c r="U153" i="10"/>
  <c r="J153" i="10"/>
  <c r="D153" i="10"/>
  <c r="J152" i="10"/>
  <c r="G152" i="10"/>
  <c r="D152" i="10"/>
  <c r="U151" i="10"/>
  <c r="J151" i="10"/>
  <c r="G151" i="10"/>
  <c r="D151" i="10"/>
  <c r="U150" i="10"/>
  <c r="J150" i="10"/>
  <c r="G150" i="10"/>
  <c r="D150" i="10"/>
  <c r="U149" i="10"/>
  <c r="J149" i="10"/>
  <c r="G149" i="10"/>
  <c r="D149" i="10"/>
  <c r="U148" i="10"/>
  <c r="J148" i="10"/>
  <c r="G148" i="10"/>
  <c r="D148" i="10"/>
  <c r="U147" i="10"/>
  <c r="J147" i="10"/>
  <c r="G147" i="10"/>
  <c r="D147" i="10"/>
  <c r="U146" i="10"/>
  <c r="J146" i="10"/>
  <c r="G146" i="10"/>
  <c r="D146" i="10"/>
  <c r="U145" i="10"/>
  <c r="J145" i="10"/>
  <c r="G145" i="10"/>
  <c r="D145" i="10"/>
  <c r="U144" i="10"/>
  <c r="J144" i="10"/>
  <c r="G144" i="10"/>
  <c r="D144" i="10"/>
  <c r="U143" i="10"/>
  <c r="J143" i="10"/>
  <c r="G143" i="10"/>
  <c r="D143" i="10"/>
  <c r="U142" i="10"/>
  <c r="J142" i="10"/>
  <c r="G142" i="10"/>
  <c r="D142" i="10"/>
  <c r="U141" i="10"/>
  <c r="J141" i="10"/>
  <c r="G141" i="10"/>
  <c r="D141" i="10"/>
  <c r="U140" i="10"/>
  <c r="J140" i="10"/>
  <c r="G140" i="10"/>
  <c r="D140" i="10"/>
  <c r="U139" i="10"/>
  <c r="J139" i="10"/>
  <c r="G139" i="10"/>
  <c r="D139" i="10"/>
  <c r="U138" i="10"/>
  <c r="J138" i="10"/>
  <c r="G138" i="10"/>
  <c r="D138" i="10"/>
  <c r="U137" i="10"/>
  <c r="J137" i="10"/>
  <c r="G137" i="10"/>
  <c r="D137" i="10"/>
  <c r="U136" i="10"/>
  <c r="J136" i="10"/>
  <c r="G136" i="10"/>
  <c r="D136" i="10"/>
  <c r="U135" i="10"/>
  <c r="G135" i="10"/>
  <c r="D135" i="10"/>
  <c r="U134" i="10"/>
  <c r="J134" i="10"/>
  <c r="G134" i="10"/>
  <c r="D134" i="10"/>
  <c r="U133" i="10"/>
  <c r="J133" i="10"/>
  <c r="G133" i="10"/>
  <c r="D133" i="10"/>
  <c r="U132" i="10"/>
  <c r="J132" i="10"/>
  <c r="G132" i="10"/>
  <c r="D132" i="10"/>
  <c r="U131" i="10"/>
  <c r="J131" i="10"/>
  <c r="G131" i="10"/>
  <c r="D131" i="10"/>
  <c r="U130" i="10"/>
  <c r="J130" i="10"/>
  <c r="G130" i="10"/>
  <c r="D130" i="10"/>
  <c r="U129" i="10"/>
  <c r="J129" i="10"/>
  <c r="G129" i="10"/>
  <c r="D129" i="10"/>
  <c r="U128" i="10"/>
  <c r="J128" i="10"/>
  <c r="G128" i="10"/>
  <c r="D128" i="10"/>
  <c r="U127" i="10"/>
  <c r="J127" i="10"/>
  <c r="G127" i="10"/>
  <c r="D127" i="10"/>
  <c r="U126" i="10"/>
  <c r="J126" i="10"/>
  <c r="G126" i="10"/>
  <c r="D126" i="10"/>
  <c r="U125" i="10"/>
  <c r="J125" i="10"/>
  <c r="G125" i="10"/>
  <c r="D125" i="10"/>
  <c r="U124" i="10"/>
  <c r="J124" i="10"/>
  <c r="G124" i="10"/>
  <c r="D124" i="10"/>
  <c r="U123" i="10"/>
  <c r="J123" i="10"/>
  <c r="G123" i="10"/>
  <c r="D123" i="10"/>
  <c r="U122" i="10"/>
  <c r="J122" i="10"/>
  <c r="G122" i="10"/>
  <c r="D122" i="10"/>
  <c r="J121" i="10"/>
  <c r="G121" i="10"/>
  <c r="D121" i="10"/>
  <c r="J120" i="10"/>
  <c r="G120" i="10"/>
  <c r="D120" i="10"/>
  <c r="J119" i="10"/>
  <c r="G119" i="10"/>
  <c r="D119" i="10"/>
  <c r="J118" i="10"/>
  <c r="G118" i="10"/>
  <c r="D118" i="10"/>
  <c r="J117" i="10"/>
  <c r="G117" i="10"/>
  <c r="D117" i="10"/>
  <c r="J116" i="10"/>
  <c r="G116" i="10"/>
  <c r="D116" i="10"/>
  <c r="J115" i="10"/>
  <c r="G115" i="10"/>
  <c r="D115" i="10"/>
  <c r="J114" i="10"/>
  <c r="G114" i="10"/>
  <c r="D114" i="10"/>
  <c r="J113" i="10"/>
  <c r="G113" i="10"/>
  <c r="D113" i="10"/>
  <c r="J112" i="10"/>
  <c r="G112" i="10"/>
  <c r="D112" i="10"/>
  <c r="J111" i="10"/>
  <c r="G111" i="10"/>
  <c r="D111" i="10"/>
  <c r="J110" i="10"/>
  <c r="G110" i="10"/>
  <c r="D110" i="10"/>
  <c r="G109" i="10"/>
  <c r="D109" i="10"/>
  <c r="G108" i="10"/>
  <c r="D108" i="10"/>
  <c r="G107" i="10"/>
  <c r="D107" i="10"/>
  <c r="G106" i="10"/>
  <c r="D106" i="10"/>
  <c r="G105" i="10"/>
  <c r="D105" i="10"/>
  <c r="G104" i="10"/>
  <c r="D104" i="10"/>
  <c r="G103" i="10"/>
  <c r="D103" i="10"/>
  <c r="G102" i="10"/>
  <c r="D102" i="10"/>
  <c r="G101" i="10"/>
  <c r="D101" i="10"/>
  <c r="J100" i="10"/>
  <c r="G100" i="10"/>
  <c r="D100" i="10"/>
  <c r="G99" i="10"/>
  <c r="D99" i="10"/>
  <c r="G98" i="10"/>
  <c r="D98" i="10"/>
  <c r="J97" i="10"/>
  <c r="G97" i="10"/>
  <c r="D97" i="10"/>
  <c r="V996" i="7" l="1"/>
  <c r="V994" i="7"/>
  <c r="V992" i="7"/>
  <c r="V986" i="7"/>
  <c r="V995" i="7"/>
  <c r="V984" i="7"/>
  <c r="V990" i="7"/>
  <c r="R988" i="7"/>
  <c r="R993" i="7"/>
  <c r="R991" i="7"/>
  <c r="R984" i="7"/>
  <c r="R987" i="7"/>
  <c r="R992" i="7"/>
  <c r="R985" i="7"/>
  <c r="R996" i="7"/>
  <c r="R986" i="7"/>
  <c r="V991" i="7"/>
  <c r="R994" i="7"/>
  <c r="R990" i="7"/>
  <c r="R989" i="7"/>
  <c r="V985" i="7"/>
  <c r="R997" i="7"/>
  <c r="R995" i="7"/>
  <c r="V989" i="7"/>
  <c r="V997" i="7"/>
  <c r="V987" i="7"/>
  <c r="V988" i="7"/>
  <c r="V993" i="7"/>
  <c r="AM193" i="10"/>
  <c r="AN193" i="10" s="1"/>
  <c r="AM185" i="10"/>
  <c r="AN185" i="10" s="1"/>
  <c r="AM195" i="10"/>
  <c r="AN195" i="10" s="1"/>
  <c r="AM197" i="10"/>
  <c r="AN197" i="10" s="1"/>
  <c r="AM198" i="10"/>
  <c r="AN198" i="10" s="1"/>
  <c r="AM199" i="10"/>
  <c r="AN199" i="10" s="1"/>
  <c r="AM184" i="10"/>
  <c r="AN184" i="10" s="1"/>
  <c r="AM189" i="10"/>
  <c r="AN189" i="10" s="1"/>
  <c r="AM190" i="10"/>
  <c r="AN190" i="10" s="1"/>
  <c r="AM191" i="10"/>
  <c r="AN191" i="10" s="1"/>
  <c r="AM181" i="10"/>
  <c r="AN181" i="10" s="1"/>
  <c r="AM182" i="10"/>
  <c r="AN182" i="10" s="1"/>
  <c r="AM183" i="10"/>
  <c r="AN183" i="10" s="1"/>
  <c r="AM192" i="10"/>
  <c r="AN192" i="10" s="1"/>
  <c r="AM178" i="10"/>
  <c r="AN178" i="10" s="1"/>
  <c r="AM186" i="10"/>
  <c r="AN186" i="10" s="1"/>
  <c r="AM194" i="10"/>
  <c r="AN194" i="10" s="1"/>
  <c r="AA15" i="10"/>
  <c r="AB15" i="10" s="1"/>
  <c r="AA9" i="10"/>
  <c r="AB9" i="10" s="1"/>
  <c r="AA13" i="10"/>
  <c r="AB13" i="10" s="1"/>
  <c r="AA8" i="10"/>
  <c r="AB8" i="10" s="1"/>
  <c r="AA4" i="10"/>
  <c r="AB4" i="10" s="1"/>
  <c r="AA14" i="10"/>
  <c r="AB14" i="10" s="1"/>
  <c r="AA7" i="10"/>
  <c r="AB7" i="10" s="1"/>
  <c r="AA6" i="10"/>
  <c r="AB6" i="10" s="1"/>
  <c r="AA5" i="10"/>
  <c r="AB5" i="10" s="1"/>
  <c r="Q143" i="7" l="1"/>
  <c r="F88" i="7" l="1"/>
  <c r="K89" i="7"/>
  <c r="L89" i="7"/>
  <c r="M89" i="7"/>
  <c r="N89" i="7"/>
  <c r="N88" i="7"/>
  <c r="Q51" i="7"/>
  <c r="P51" i="7" s="1"/>
  <c r="Q52" i="7"/>
  <c r="P52" i="7" s="1"/>
  <c r="Q53" i="7"/>
  <c r="P53" i="7" s="1"/>
  <c r="Q54" i="7"/>
  <c r="P54" i="7" s="1"/>
  <c r="Q55" i="7"/>
  <c r="P55" i="7" s="1"/>
  <c r="Q56" i="7"/>
  <c r="P56" i="7" s="1"/>
  <c r="Q57" i="7"/>
  <c r="P57" i="7" s="1"/>
  <c r="Q58" i="7"/>
  <c r="P58" i="7" s="1"/>
  <c r="F51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" i="7"/>
  <c r="T2" i="7"/>
  <c r="M367" i="7"/>
  <c r="L367" i="7"/>
  <c r="M366" i="7"/>
  <c r="L366" i="7"/>
  <c r="M365" i="7"/>
  <c r="L365" i="7"/>
  <c r="M364" i="7"/>
  <c r="L364" i="7"/>
  <c r="M363" i="7"/>
  <c r="L363" i="7"/>
  <c r="M362" i="7"/>
  <c r="L362" i="7"/>
  <c r="M361" i="7"/>
  <c r="L361" i="7"/>
  <c r="M360" i="7"/>
  <c r="L360" i="7"/>
  <c r="M359" i="7"/>
  <c r="L359" i="7"/>
  <c r="M358" i="7"/>
  <c r="L358" i="7"/>
  <c r="M357" i="7"/>
  <c r="L357" i="7"/>
  <c r="M356" i="7"/>
  <c r="L356" i="7"/>
  <c r="M355" i="7"/>
  <c r="L355" i="7"/>
  <c r="M354" i="7"/>
  <c r="L354" i="7"/>
  <c r="M353" i="7"/>
  <c r="L353" i="7"/>
  <c r="M352" i="7"/>
  <c r="L352" i="7"/>
  <c r="M351" i="7"/>
  <c r="L351" i="7"/>
  <c r="M350" i="7"/>
  <c r="L350" i="7"/>
  <c r="M349" i="7"/>
  <c r="L349" i="7"/>
  <c r="M348" i="7"/>
  <c r="L348" i="7"/>
  <c r="M347" i="7"/>
  <c r="L347" i="7"/>
  <c r="M346" i="7"/>
  <c r="L346" i="7"/>
  <c r="M345" i="7"/>
  <c r="L345" i="7"/>
  <c r="M344" i="7"/>
  <c r="L344" i="7"/>
  <c r="M328" i="7"/>
  <c r="L328" i="7"/>
  <c r="M327" i="7"/>
  <c r="L327" i="7"/>
  <c r="M326" i="7"/>
  <c r="L326" i="7"/>
  <c r="M325" i="7"/>
  <c r="L325" i="7"/>
  <c r="M324" i="7"/>
  <c r="L324" i="7"/>
  <c r="M323" i="7"/>
  <c r="L323" i="7"/>
  <c r="M322" i="7"/>
  <c r="L322" i="7"/>
  <c r="M321" i="7"/>
  <c r="L321" i="7"/>
  <c r="M320" i="7"/>
  <c r="L320" i="7"/>
  <c r="M319" i="7"/>
  <c r="L319" i="7"/>
  <c r="M318" i="7"/>
  <c r="L318" i="7"/>
  <c r="M317" i="7"/>
  <c r="L317" i="7"/>
  <c r="M316" i="7"/>
  <c r="L316" i="7"/>
  <c r="M315" i="7"/>
  <c r="L315" i="7"/>
  <c r="M314" i="7"/>
  <c r="L314" i="7"/>
  <c r="L313" i="7"/>
  <c r="M312" i="7"/>
  <c r="L312" i="7"/>
  <c r="M311" i="7"/>
  <c r="L311" i="7"/>
  <c r="M310" i="7"/>
  <c r="L310" i="7"/>
  <c r="L309" i="7"/>
  <c r="M308" i="7"/>
  <c r="L308" i="7"/>
  <c r="M307" i="7"/>
  <c r="L307" i="7"/>
  <c r="M306" i="7"/>
  <c r="L306" i="7"/>
  <c r="L305" i="7"/>
  <c r="M304" i="7"/>
  <c r="L304" i="7"/>
  <c r="M303" i="7"/>
  <c r="L303" i="7"/>
  <c r="M302" i="7"/>
  <c r="L302" i="7"/>
  <c r="L301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5" i="7"/>
  <c r="L95" i="7"/>
  <c r="M94" i="7"/>
  <c r="L94" i="7"/>
  <c r="M93" i="7"/>
  <c r="L93" i="7"/>
  <c r="M92" i="7"/>
  <c r="L92" i="7"/>
  <c r="M91" i="7"/>
  <c r="L91" i="7"/>
  <c r="M90" i="7"/>
  <c r="L90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4" i="7"/>
  <c r="L4" i="7"/>
  <c r="M3" i="7"/>
  <c r="L3" i="7"/>
  <c r="M2" i="7"/>
  <c r="L2" i="7"/>
  <c r="D10" i="10"/>
  <c r="Q60" i="5"/>
  <c r="P60" i="5"/>
  <c r="B60" i="5"/>
  <c r="Q59" i="5"/>
  <c r="P59" i="5"/>
  <c r="B59" i="5"/>
  <c r="Q58" i="5"/>
  <c r="P58" i="5"/>
  <c r="B58" i="5"/>
  <c r="Q57" i="5"/>
  <c r="P57" i="5"/>
  <c r="B57" i="5"/>
  <c r="Q39" i="5"/>
  <c r="P39" i="5"/>
  <c r="B39" i="5"/>
  <c r="Q38" i="5"/>
  <c r="P38" i="5"/>
  <c r="S97" i="7" s="1"/>
  <c r="U97" i="7" s="1"/>
  <c r="B38" i="5"/>
  <c r="J103" i="7" s="1"/>
  <c r="Q35" i="5"/>
  <c r="P35" i="5"/>
  <c r="S87" i="7" s="1"/>
  <c r="U87" i="7" s="1"/>
  <c r="B35" i="5"/>
  <c r="Q32" i="5"/>
  <c r="P32" i="5"/>
  <c r="S342" i="7" s="1"/>
  <c r="U342" i="7" s="1"/>
  <c r="B32" i="5"/>
  <c r="J342" i="7" s="1"/>
  <c r="Q23" i="5"/>
  <c r="P23" i="5"/>
  <c r="S324" i="7" s="1"/>
  <c r="U324" i="7" s="1"/>
  <c r="B23" i="5"/>
  <c r="J266" i="7" s="1"/>
  <c r="Q17" i="5"/>
  <c r="P17" i="5"/>
  <c r="S269" i="7" s="1"/>
  <c r="U269" i="7" s="1"/>
  <c r="B17" i="5"/>
  <c r="J340" i="7" s="1"/>
  <c r="M309" i="7"/>
  <c r="Q11" i="5"/>
  <c r="P11" i="5"/>
  <c r="B11" i="5"/>
  <c r="Q9" i="5"/>
  <c r="P9" i="5"/>
  <c r="S309" i="7" s="1"/>
  <c r="U309" i="7" s="1"/>
  <c r="B9" i="5"/>
  <c r="J309" i="7" s="1"/>
  <c r="M313" i="7"/>
  <c r="Q5" i="5"/>
  <c r="P5" i="5"/>
  <c r="S88" i="7" s="1"/>
  <c r="U88" i="7" s="1"/>
  <c r="B5" i="5"/>
  <c r="J98" i="7" s="1"/>
  <c r="Q4" i="5"/>
  <c r="P4" i="5"/>
  <c r="S169" i="7" s="1"/>
  <c r="B4" i="5"/>
  <c r="J169" i="7" s="1"/>
  <c r="Q32" i="7"/>
  <c r="P32" i="7" s="1"/>
  <c r="Q31" i="7"/>
  <c r="P31" i="7" s="1"/>
  <c r="Q30" i="7"/>
  <c r="P30" i="7" s="1"/>
  <c r="Q29" i="7"/>
  <c r="P29" i="7" s="1"/>
  <c r="Q28" i="7"/>
  <c r="P28" i="7" s="1"/>
  <c r="Q27" i="7"/>
  <c r="P27" i="7" s="1"/>
  <c r="Q26" i="7"/>
  <c r="P26" i="7" s="1"/>
  <c r="Q25" i="7"/>
  <c r="P25" i="7" s="1"/>
  <c r="Q24" i="7"/>
  <c r="P24" i="7" s="1"/>
  <c r="Q23" i="7"/>
  <c r="Q22" i="7"/>
  <c r="P22" i="7" s="1"/>
  <c r="Q21" i="7"/>
  <c r="Q20" i="7"/>
  <c r="P20" i="7" s="1"/>
  <c r="Q19" i="7"/>
  <c r="P19" i="7" s="1"/>
  <c r="Q18" i="7"/>
  <c r="Q17" i="7"/>
  <c r="P17" i="7" s="1"/>
  <c r="Q16" i="7"/>
  <c r="P16" i="7" s="1"/>
  <c r="Q15" i="7"/>
  <c r="Q14" i="7"/>
  <c r="P14" i="7" s="1"/>
  <c r="Q13" i="7"/>
  <c r="P13" i="7" s="1"/>
  <c r="Q12" i="7"/>
  <c r="P12" i="7" s="1"/>
  <c r="Q11" i="7"/>
  <c r="P11" i="7" s="1"/>
  <c r="Q10" i="7"/>
  <c r="P10" i="7" s="1"/>
  <c r="Q9" i="7"/>
  <c r="P9" i="7" s="1"/>
  <c r="Q8" i="7"/>
  <c r="P8" i="7" s="1"/>
  <c r="Q7" i="7"/>
  <c r="P7" i="7" s="1"/>
  <c r="Q6" i="7"/>
  <c r="P6" i="7" s="1"/>
  <c r="Q5" i="7"/>
  <c r="P5" i="7" s="1"/>
  <c r="Q4" i="7"/>
  <c r="P4" i="7" s="1"/>
  <c r="Q3" i="7"/>
  <c r="P3" i="7" s="1"/>
  <c r="Q2" i="7"/>
  <c r="P2" i="7" s="1"/>
  <c r="Q367" i="7"/>
  <c r="P367" i="7" s="1"/>
  <c r="Q366" i="7"/>
  <c r="P366" i="7" s="1"/>
  <c r="Q365" i="7"/>
  <c r="P365" i="7" s="1"/>
  <c r="Q364" i="7"/>
  <c r="P364" i="7" s="1"/>
  <c r="Q363" i="7"/>
  <c r="P363" i="7" s="1"/>
  <c r="Q362" i="7"/>
  <c r="P362" i="7" s="1"/>
  <c r="Q361" i="7"/>
  <c r="P361" i="7" s="1"/>
  <c r="Q360" i="7"/>
  <c r="P360" i="7" s="1"/>
  <c r="Q359" i="7"/>
  <c r="P359" i="7" s="1"/>
  <c r="Q358" i="7"/>
  <c r="P358" i="7" s="1"/>
  <c r="Q357" i="7"/>
  <c r="P357" i="7" s="1"/>
  <c r="Q356" i="7"/>
  <c r="P356" i="7" s="1"/>
  <c r="Q355" i="7"/>
  <c r="P355" i="7" s="1"/>
  <c r="Q354" i="7"/>
  <c r="P354" i="7" s="1"/>
  <c r="Q353" i="7"/>
  <c r="P353" i="7" s="1"/>
  <c r="Q352" i="7"/>
  <c r="P352" i="7" s="1"/>
  <c r="Q351" i="7"/>
  <c r="P351" i="7" s="1"/>
  <c r="Q350" i="7"/>
  <c r="P350" i="7" s="1"/>
  <c r="Q349" i="7"/>
  <c r="P349" i="7" s="1"/>
  <c r="Q348" i="7"/>
  <c r="P348" i="7" s="1"/>
  <c r="Q347" i="7"/>
  <c r="P347" i="7" s="1"/>
  <c r="Q346" i="7"/>
  <c r="P346" i="7" s="1"/>
  <c r="Q345" i="7"/>
  <c r="P345" i="7" s="1"/>
  <c r="Q344" i="7"/>
  <c r="P344" i="7" s="1"/>
  <c r="Q342" i="7"/>
  <c r="P342" i="7" s="1"/>
  <c r="Q341" i="7"/>
  <c r="P341" i="7" s="1"/>
  <c r="Q340" i="7"/>
  <c r="P340" i="7" s="1"/>
  <c r="Q339" i="7"/>
  <c r="P339" i="7" s="1"/>
  <c r="Q338" i="7"/>
  <c r="P338" i="7" s="1"/>
  <c r="Q337" i="7"/>
  <c r="P337" i="7" s="1"/>
  <c r="Q336" i="7"/>
  <c r="P336" i="7" s="1"/>
  <c r="Q335" i="7"/>
  <c r="P335" i="7" s="1"/>
  <c r="Q334" i="7"/>
  <c r="P334" i="7" s="1"/>
  <c r="Q333" i="7"/>
  <c r="Q332" i="7"/>
  <c r="Q331" i="7"/>
  <c r="P331" i="7" s="1"/>
  <c r="Q330" i="7"/>
  <c r="Q329" i="7"/>
  <c r="P329" i="7" s="1"/>
  <c r="Q328" i="7"/>
  <c r="P328" i="7" s="1"/>
  <c r="Q327" i="7"/>
  <c r="P327" i="7" s="1"/>
  <c r="Q326" i="7"/>
  <c r="P326" i="7" s="1"/>
  <c r="Q325" i="7"/>
  <c r="P325" i="7" s="1"/>
  <c r="Q324" i="7"/>
  <c r="P324" i="7" s="1"/>
  <c r="Q323" i="7"/>
  <c r="P323" i="7" s="1"/>
  <c r="Q322" i="7"/>
  <c r="P322" i="7" s="1"/>
  <c r="Q321" i="7"/>
  <c r="P321" i="7" s="1"/>
  <c r="Q320" i="7"/>
  <c r="P320" i="7" s="1"/>
  <c r="Q319" i="7"/>
  <c r="P319" i="7" s="1"/>
  <c r="Q318" i="7"/>
  <c r="P318" i="7" s="1"/>
  <c r="Q317" i="7"/>
  <c r="P317" i="7" s="1"/>
  <c r="Q316" i="7"/>
  <c r="P316" i="7" s="1"/>
  <c r="Q315" i="7"/>
  <c r="P315" i="7" s="1"/>
  <c r="Q314" i="7"/>
  <c r="P314" i="7" s="1"/>
  <c r="Q313" i="7"/>
  <c r="P313" i="7" s="1"/>
  <c r="Q312" i="7"/>
  <c r="P312" i="7" s="1"/>
  <c r="Q311" i="7"/>
  <c r="P311" i="7" s="1"/>
  <c r="Q310" i="7"/>
  <c r="P310" i="7" s="1"/>
  <c r="Q309" i="7"/>
  <c r="P309" i="7" s="1"/>
  <c r="Q308" i="7"/>
  <c r="P308" i="7" s="1"/>
  <c r="Q307" i="7"/>
  <c r="P307" i="7" s="1"/>
  <c r="Q306" i="7"/>
  <c r="P306" i="7" s="1"/>
  <c r="Q305" i="7"/>
  <c r="P305" i="7" s="1"/>
  <c r="Q304" i="7"/>
  <c r="P304" i="7" s="1"/>
  <c r="Q303" i="7"/>
  <c r="P303" i="7" s="1"/>
  <c r="Q302" i="7"/>
  <c r="P302" i="7" s="1"/>
  <c r="Q301" i="7"/>
  <c r="P301" i="7" s="1"/>
  <c r="Q300" i="7"/>
  <c r="P300" i="7" s="1"/>
  <c r="Q299" i="7"/>
  <c r="P299" i="7" s="1"/>
  <c r="Q298" i="7"/>
  <c r="P298" i="7" s="1"/>
  <c r="Q297" i="7"/>
  <c r="P297" i="7" s="1"/>
  <c r="Q296" i="7"/>
  <c r="P296" i="7" s="1"/>
  <c r="Q295" i="7"/>
  <c r="P295" i="7" s="1"/>
  <c r="Q294" i="7"/>
  <c r="P294" i="7" s="1"/>
  <c r="Q293" i="7"/>
  <c r="P293" i="7" s="1"/>
  <c r="Q292" i="7"/>
  <c r="P292" i="7" s="1"/>
  <c r="Q291" i="7"/>
  <c r="P291" i="7" s="1"/>
  <c r="Q290" i="7"/>
  <c r="P290" i="7" s="1"/>
  <c r="Q289" i="7"/>
  <c r="P289" i="7" s="1"/>
  <c r="Q288" i="7"/>
  <c r="P288" i="7" s="1"/>
  <c r="Q287" i="7"/>
  <c r="P287" i="7" s="1"/>
  <c r="Q286" i="7"/>
  <c r="P286" i="7" s="1"/>
  <c r="Q285" i="7"/>
  <c r="P285" i="7" s="1"/>
  <c r="Q284" i="7"/>
  <c r="P284" i="7" s="1"/>
  <c r="Q283" i="7"/>
  <c r="P283" i="7" s="1"/>
  <c r="Q282" i="7"/>
  <c r="P282" i="7" s="1"/>
  <c r="Q281" i="7"/>
  <c r="P281" i="7" s="1"/>
  <c r="Q280" i="7"/>
  <c r="P280" i="7" s="1"/>
  <c r="Q279" i="7"/>
  <c r="P279" i="7" s="1"/>
  <c r="Q278" i="7"/>
  <c r="P278" i="7" s="1"/>
  <c r="Q277" i="7"/>
  <c r="P277" i="7" s="1"/>
  <c r="Q276" i="7"/>
  <c r="P276" i="7" s="1"/>
  <c r="Q275" i="7"/>
  <c r="P275" i="7" s="1"/>
  <c r="Q274" i="7"/>
  <c r="P274" i="7" s="1"/>
  <c r="Q273" i="7"/>
  <c r="P273" i="7" s="1"/>
  <c r="Q272" i="7"/>
  <c r="P272" i="7" s="1"/>
  <c r="Q271" i="7"/>
  <c r="P271" i="7" s="1"/>
  <c r="Q270" i="7"/>
  <c r="P270" i="7" s="1"/>
  <c r="Q269" i="7"/>
  <c r="P269" i="7" s="1"/>
  <c r="Q268" i="7"/>
  <c r="P268" i="7" s="1"/>
  <c r="Q267" i="7"/>
  <c r="P267" i="7" s="1"/>
  <c r="Q266" i="7"/>
  <c r="P266" i="7" s="1"/>
  <c r="Q265" i="7"/>
  <c r="P265" i="7" s="1"/>
  <c r="Q264" i="7"/>
  <c r="P264" i="7" s="1"/>
  <c r="Q263" i="7"/>
  <c r="P263" i="7" s="1"/>
  <c r="Q262" i="7"/>
  <c r="P262" i="7" s="1"/>
  <c r="Q261" i="7"/>
  <c r="P261" i="7" s="1"/>
  <c r="Q260" i="7"/>
  <c r="P260" i="7" s="1"/>
  <c r="Q259" i="7"/>
  <c r="P259" i="7" s="1"/>
  <c r="Q258" i="7"/>
  <c r="P258" i="7" s="1"/>
  <c r="Q257" i="7"/>
  <c r="P257" i="7" s="1"/>
  <c r="Q256" i="7"/>
  <c r="P256" i="7" s="1"/>
  <c r="Q255" i="7"/>
  <c r="P255" i="7" s="1"/>
  <c r="Q254" i="7"/>
  <c r="P254" i="7" s="1"/>
  <c r="Q253" i="7"/>
  <c r="P253" i="7" s="1"/>
  <c r="Q252" i="7"/>
  <c r="P252" i="7" s="1"/>
  <c r="Q251" i="7"/>
  <c r="P251" i="7" s="1"/>
  <c r="Q250" i="7"/>
  <c r="P250" i="7" s="1"/>
  <c r="Q249" i="7"/>
  <c r="P249" i="7" s="1"/>
  <c r="Q248" i="7"/>
  <c r="P248" i="7" s="1"/>
  <c r="P247" i="7"/>
  <c r="P246" i="7"/>
  <c r="P245" i="7"/>
  <c r="Q244" i="7"/>
  <c r="P244" i="7" s="1"/>
  <c r="Q243" i="7"/>
  <c r="P243" i="7" s="1"/>
  <c r="Q242" i="7"/>
  <c r="P242" i="7" s="1"/>
  <c r="Q241" i="7"/>
  <c r="P241" i="7" s="1"/>
  <c r="Q240" i="7"/>
  <c r="P240" i="7" s="1"/>
  <c r="Q239" i="7"/>
  <c r="P239" i="7" s="1"/>
  <c r="Q238" i="7"/>
  <c r="P238" i="7" s="1"/>
  <c r="Q237" i="7"/>
  <c r="P237" i="7" s="1"/>
  <c r="P236" i="7"/>
  <c r="P235" i="7"/>
  <c r="P234" i="7"/>
  <c r="P233" i="7"/>
  <c r="P232" i="7"/>
  <c r="P231" i="7"/>
  <c r="P230" i="7"/>
  <c r="P229" i="7"/>
  <c r="Q228" i="7"/>
  <c r="P228" i="7" s="1"/>
  <c r="Q227" i="7"/>
  <c r="P227" i="7" s="1"/>
  <c r="Q226" i="7"/>
  <c r="P226" i="7" s="1"/>
  <c r="Q225" i="7"/>
  <c r="P225" i="7" s="1"/>
  <c r="Q224" i="7"/>
  <c r="P224" i="7" s="1"/>
  <c r="Q223" i="7"/>
  <c r="P223" i="7" s="1"/>
  <c r="Q222" i="7"/>
  <c r="P222" i="7" s="1"/>
  <c r="Q221" i="7"/>
  <c r="P221" i="7" s="1"/>
  <c r="Q220" i="7"/>
  <c r="P220" i="7" s="1"/>
  <c r="Q219" i="7"/>
  <c r="P219" i="7" s="1"/>
  <c r="Q218" i="7"/>
  <c r="P218" i="7" s="1"/>
  <c r="Q217" i="7"/>
  <c r="P217" i="7" s="1"/>
  <c r="Q216" i="7"/>
  <c r="P216" i="7" s="1"/>
  <c r="Q215" i="7"/>
  <c r="P215" i="7" s="1"/>
  <c r="Q214" i="7"/>
  <c r="P214" i="7" s="1"/>
  <c r="Q213" i="7"/>
  <c r="P213" i="7" s="1"/>
  <c r="Q212" i="7"/>
  <c r="P212" i="7" s="1"/>
  <c r="Q211" i="7"/>
  <c r="P211" i="7" s="1"/>
  <c r="Q210" i="7"/>
  <c r="P210" i="7" s="1"/>
  <c r="Q209" i="7"/>
  <c r="P209" i="7" s="1"/>
  <c r="Q208" i="7"/>
  <c r="P208" i="7" s="1"/>
  <c r="Q207" i="7"/>
  <c r="P207" i="7" s="1"/>
  <c r="Q206" i="7"/>
  <c r="P206" i="7" s="1"/>
  <c r="Q205" i="7"/>
  <c r="P205" i="7" s="1"/>
  <c r="Q204" i="7"/>
  <c r="P204" i="7" s="1"/>
  <c r="Q203" i="7"/>
  <c r="P203" i="7" s="1"/>
  <c r="Q202" i="7"/>
  <c r="P202" i="7" s="1"/>
  <c r="Q201" i="7"/>
  <c r="P201" i="7" s="1"/>
  <c r="Q200" i="7"/>
  <c r="P200" i="7" s="1"/>
  <c r="Q199" i="7"/>
  <c r="P199" i="7" s="1"/>
  <c r="Q198" i="7"/>
  <c r="P198" i="7" s="1"/>
  <c r="Q197" i="7"/>
  <c r="P197" i="7" s="1"/>
  <c r="Q196" i="7"/>
  <c r="P196" i="7" s="1"/>
  <c r="Q195" i="7"/>
  <c r="P195" i="7" s="1"/>
  <c r="Q194" i="7"/>
  <c r="P194" i="7" s="1"/>
  <c r="Q193" i="7"/>
  <c r="P193" i="7" s="1"/>
  <c r="Q192" i="7"/>
  <c r="P192" i="7" s="1"/>
  <c r="Q191" i="7"/>
  <c r="P191" i="7" s="1"/>
  <c r="P190" i="7"/>
  <c r="P189" i="7"/>
  <c r="P188" i="7"/>
  <c r="P187" i="7"/>
  <c r="Q186" i="7"/>
  <c r="P186" i="7" s="1"/>
  <c r="Q185" i="7"/>
  <c r="P185" i="7" s="1"/>
  <c r="Q184" i="7"/>
  <c r="P184" i="7" s="1"/>
  <c r="Q183" i="7"/>
  <c r="P183" i="7" s="1"/>
  <c r="Q182" i="7"/>
  <c r="P182" i="7" s="1"/>
  <c r="Q181" i="7"/>
  <c r="P181" i="7" s="1"/>
  <c r="Q180" i="7"/>
  <c r="P180" i="7" s="1"/>
  <c r="Q179" i="7"/>
  <c r="P179" i="7" s="1"/>
  <c r="Q178" i="7"/>
  <c r="P178" i="7" s="1"/>
  <c r="Q177" i="7"/>
  <c r="P177" i="7" s="1"/>
  <c r="Q176" i="7"/>
  <c r="P176" i="7" s="1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Q145" i="7"/>
  <c r="P145" i="7" s="1"/>
  <c r="Q144" i="7"/>
  <c r="P144" i="7" s="1"/>
  <c r="P143" i="7"/>
  <c r="Q142" i="7"/>
  <c r="P142" i="7" s="1"/>
  <c r="P141" i="7"/>
  <c r="P140" i="7"/>
  <c r="P139" i="7"/>
  <c r="P138" i="7"/>
  <c r="P137" i="7"/>
  <c r="P136" i="7"/>
  <c r="P135" i="7"/>
  <c r="P134" i="7"/>
  <c r="P133" i="7"/>
  <c r="P132" i="7"/>
  <c r="Q131" i="7"/>
  <c r="P131" i="7" s="1"/>
  <c r="Q130" i="7"/>
  <c r="P130" i="7" s="1"/>
  <c r="Q129" i="7"/>
  <c r="P129" i="7" s="1"/>
  <c r="Q128" i="7"/>
  <c r="P128" i="7" s="1"/>
  <c r="Q127" i="7"/>
  <c r="P127" i="7" s="1"/>
  <c r="Q126" i="7"/>
  <c r="P126" i="7" s="1"/>
  <c r="Q125" i="7"/>
  <c r="P125" i="7" s="1"/>
  <c r="Q124" i="7"/>
  <c r="P124" i="7" s="1"/>
  <c r="Q123" i="7"/>
  <c r="P123" i="7" s="1"/>
  <c r="Q122" i="7"/>
  <c r="P122" i="7" s="1"/>
  <c r="Q121" i="7"/>
  <c r="P121" i="7" s="1"/>
  <c r="Q120" i="7"/>
  <c r="P120" i="7" s="1"/>
  <c r="Q119" i="7"/>
  <c r="P119" i="7" s="1"/>
  <c r="Q118" i="7"/>
  <c r="P118" i="7" s="1"/>
  <c r="Q117" i="7"/>
  <c r="P117" i="7" s="1"/>
  <c r="Q116" i="7"/>
  <c r="P116" i="7" s="1"/>
  <c r="Q115" i="7"/>
  <c r="P115" i="7" s="1"/>
  <c r="Q114" i="7"/>
  <c r="P114" i="7" s="1"/>
  <c r="Q113" i="7"/>
  <c r="P113" i="7" s="1"/>
  <c r="Q112" i="7"/>
  <c r="P112" i="7" s="1"/>
  <c r="Q111" i="7"/>
  <c r="P111" i="7" s="1"/>
  <c r="Q110" i="7"/>
  <c r="P110" i="7" s="1"/>
  <c r="Q109" i="7"/>
  <c r="P109" i="7" s="1"/>
  <c r="Q108" i="7"/>
  <c r="P108" i="7" s="1"/>
  <c r="Q107" i="7"/>
  <c r="P107" i="7" s="1"/>
  <c r="Q106" i="7"/>
  <c r="P106" i="7" s="1"/>
  <c r="Q105" i="7"/>
  <c r="P105" i="7" s="1"/>
  <c r="Q104" i="7"/>
  <c r="P104" i="7" s="1"/>
  <c r="Q103" i="7"/>
  <c r="P103" i="7" s="1"/>
  <c r="Q102" i="7"/>
  <c r="P102" i="7" s="1"/>
  <c r="Q101" i="7"/>
  <c r="P101" i="7" s="1"/>
  <c r="Q100" i="7"/>
  <c r="P100" i="7" s="1"/>
  <c r="Q99" i="7"/>
  <c r="P99" i="7" s="1"/>
  <c r="Q98" i="7"/>
  <c r="P98" i="7" s="1"/>
  <c r="Q97" i="7"/>
  <c r="P97" i="7" s="1"/>
  <c r="Q95" i="7"/>
  <c r="P95" i="7" s="1"/>
  <c r="Q94" i="7"/>
  <c r="P94" i="7" s="1"/>
  <c r="Q93" i="7"/>
  <c r="P93" i="7" s="1"/>
  <c r="Q92" i="7"/>
  <c r="P92" i="7" s="1"/>
  <c r="Q91" i="7"/>
  <c r="P91" i="7" s="1"/>
  <c r="Q90" i="7"/>
  <c r="P90" i="7" s="1"/>
  <c r="Q89" i="7"/>
  <c r="P89" i="7" s="1"/>
  <c r="Q88" i="7"/>
  <c r="P88" i="7" s="1"/>
  <c r="Q87" i="7"/>
  <c r="P87" i="7" s="1"/>
  <c r="Q86" i="7"/>
  <c r="Q85" i="7"/>
  <c r="Q84" i="7"/>
  <c r="P84" i="7" s="1"/>
  <c r="Q83" i="7"/>
  <c r="Q82" i="7"/>
  <c r="P82" i="7" s="1"/>
  <c r="Q81" i="7"/>
  <c r="P81" i="7" s="1"/>
  <c r="Q80" i="7"/>
  <c r="P80" i="7" s="1"/>
  <c r="Q79" i="7"/>
  <c r="P79" i="7" s="1"/>
  <c r="Q78" i="7"/>
  <c r="P78" i="7" s="1"/>
  <c r="Q77" i="7"/>
  <c r="Q76" i="7"/>
  <c r="P76" i="7" s="1"/>
  <c r="Q75" i="7"/>
  <c r="P75" i="7" s="1"/>
  <c r="Q74" i="7"/>
  <c r="Q73" i="7"/>
  <c r="P73" i="7" s="1"/>
  <c r="Q72" i="7"/>
  <c r="P72" i="7" s="1"/>
  <c r="Q71" i="7"/>
  <c r="P71" i="7" s="1"/>
  <c r="Q70" i="7"/>
  <c r="P70" i="7" s="1"/>
  <c r="Q69" i="7"/>
  <c r="P69" i="7" s="1"/>
  <c r="Q68" i="7"/>
  <c r="P68" i="7" s="1"/>
  <c r="Q67" i="7"/>
  <c r="P67" i="7" s="1"/>
  <c r="Q66" i="7"/>
  <c r="P66" i="7" s="1"/>
  <c r="Q65" i="7"/>
  <c r="P65" i="7" s="1"/>
  <c r="Q64" i="7"/>
  <c r="P64" i="7" s="1"/>
  <c r="Q63" i="7"/>
  <c r="P63" i="7" s="1"/>
  <c r="Q62" i="7"/>
  <c r="P62" i="7" s="1"/>
  <c r="Q61" i="7"/>
  <c r="P61" i="7" s="1"/>
  <c r="Q60" i="7"/>
  <c r="P60" i="7" s="1"/>
  <c r="Q59" i="7"/>
  <c r="P59" i="7" s="1"/>
  <c r="Q50" i="7"/>
  <c r="P50" i="7" s="1"/>
  <c r="Q48" i="7"/>
  <c r="P48" i="7" s="1"/>
  <c r="Q47" i="7"/>
  <c r="P47" i="7" s="1"/>
  <c r="Q46" i="7"/>
  <c r="P46" i="7" s="1"/>
  <c r="Q45" i="7"/>
  <c r="P45" i="7" s="1"/>
  <c r="Q44" i="7"/>
  <c r="P44" i="7" s="1"/>
  <c r="P43" i="7"/>
  <c r="P42" i="7"/>
  <c r="P41" i="7"/>
  <c r="Q40" i="7"/>
  <c r="P40" i="7" s="1"/>
  <c r="Q39" i="7"/>
  <c r="P39" i="7" s="1"/>
  <c r="Q38" i="7"/>
  <c r="P38" i="7" s="1"/>
  <c r="Q37" i="7"/>
  <c r="P37" i="7" s="1"/>
  <c r="Q36" i="7"/>
  <c r="P36" i="7" s="1"/>
  <c r="P34" i="7"/>
  <c r="Q33" i="7"/>
  <c r="P33" i="7" s="1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5" i="7"/>
  <c r="F94" i="7"/>
  <c r="F93" i="7"/>
  <c r="F92" i="7"/>
  <c r="F91" i="7"/>
  <c r="F90" i="7"/>
  <c r="F89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0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D33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59" i="10"/>
  <c r="G58" i="10"/>
  <c r="G57" i="10"/>
  <c r="G56" i="10"/>
  <c r="G55" i="10"/>
  <c r="G54" i="10"/>
  <c r="G53" i="10"/>
  <c r="G29" i="10"/>
  <c r="G32" i="10"/>
  <c r="G28" i="10"/>
  <c r="G27" i="10"/>
  <c r="G16" i="10"/>
  <c r="G18" i="10"/>
  <c r="G43" i="10"/>
  <c r="G26" i="10"/>
  <c r="G42" i="10"/>
  <c r="G17" i="10"/>
  <c r="G41" i="10"/>
  <c r="G31" i="10"/>
  <c r="G40" i="10"/>
  <c r="G21" i="10"/>
  <c r="G20" i="10"/>
  <c r="G24" i="10"/>
  <c r="G30" i="10"/>
  <c r="G15" i="10"/>
  <c r="G19" i="10"/>
  <c r="G9" i="10"/>
  <c r="G13" i="10"/>
  <c r="G8" i="10"/>
  <c r="G5" i="10"/>
  <c r="G4" i="10"/>
  <c r="G12" i="10"/>
  <c r="G14" i="10"/>
  <c r="G7" i="10"/>
  <c r="G6" i="10"/>
  <c r="G25" i="10"/>
  <c r="G52" i="10"/>
  <c r="G51" i="10"/>
  <c r="G50" i="10"/>
  <c r="G49" i="10"/>
  <c r="G48" i="10"/>
  <c r="G47" i="10"/>
  <c r="G37" i="10"/>
  <c r="G39" i="10"/>
  <c r="G36" i="10"/>
  <c r="G35" i="10"/>
  <c r="G34" i="10"/>
  <c r="G46" i="10"/>
  <c r="G11" i="10"/>
  <c r="G45" i="10"/>
  <c r="G10" i="10"/>
  <c r="G44" i="10"/>
  <c r="G33" i="10"/>
  <c r="G23" i="10"/>
  <c r="G22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29" i="10"/>
  <c r="D32" i="10"/>
  <c r="D28" i="10"/>
  <c r="D27" i="10"/>
  <c r="D16" i="10"/>
  <c r="D18" i="10"/>
  <c r="D43" i="10"/>
  <c r="D26" i="10"/>
  <c r="D42" i="10"/>
  <c r="D17" i="10"/>
  <c r="D41" i="10"/>
  <c r="D31" i="10"/>
  <c r="D40" i="10"/>
  <c r="D21" i="10"/>
  <c r="D20" i="10"/>
  <c r="D24" i="10"/>
  <c r="D30" i="10"/>
  <c r="D15" i="10"/>
  <c r="D19" i="10"/>
  <c r="D9" i="10"/>
  <c r="D13" i="10"/>
  <c r="D8" i="10"/>
  <c r="D5" i="10"/>
  <c r="D4" i="10"/>
  <c r="D12" i="10"/>
  <c r="D14" i="10"/>
  <c r="D7" i="10"/>
  <c r="D6" i="10"/>
  <c r="D25" i="10"/>
  <c r="D52" i="10"/>
  <c r="D51" i="10"/>
  <c r="D50" i="10"/>
  <c r="D49" i="10"/>
  <c r="D48" i="10"/>
  <c r="D47" i="10"/>
  <c r="D37" i="10"/>
  <c r="D39" i="10"/>
  <c r="D36" i="10"/>
  <c r="D35" i="10"/>
  <c r="D34" i="10"/>
  <c r="D46" i="10"/>
  <c r="D11" i="10"/>
  <c r="D45" i="10"/>
  <c r="D44" i="10"/>
  <c r="D23" i="10"/>
  <c r="D22" i="10"/>
  <c r="U983" i="7"/>
  <c r="U982" i="7"/>
  <c r="U981" i="7"/>
  <c r="U980" i="7"/>
  <c r="U979" i="7"/>
  <c r="U978" i="7"/>
  <c r="U977" i="7"/>
  <c r="U976" i="7"/>
  <c r="U975" i="7"/>
  <c r="U974" i="7"/>
  <c r="U973" i="7"/>
  <c r="U972" i="7"/>
  <c r="U971" i="7"/>
  <c r="U970" i="7"/>
  <c r="U969" i="7"/>
  <c r="U968" i="7"/>
  <c r="U967" i="7"/>
  <c r="U966" i="7"/>
  <c r="U965" i="7"/>
  <c r="U964" i="7"/>
  <c r="U963" i="7"/>
  <c r="U962" i="7"/>
  <c r="U961" i="7"/>
  <c r="U960" i="7"/>
  <c r="U959" i="7"/>
  <c r="U958" i="7"/>
  <c r="U957" i="7"/>
  <c r="U956" i="7"/>
  <c r="U955" i="7"/>
  <c r="U954" i="7"/>
  <c r="U953" i="7"/>
  <c r="U952" i="7"/>
  <c r="U951" i="7"/>
  <c r="U950" i="7"/>
  <c r="U949" i="7"/>
  <c r="U948" i="7"/>
  <c r="U947" i="7"/>
  <c r="U946" i="7"/>
  <c r="U945" i="7"/>
  <c r="U944" i="7"/>
  <c r="U943" i="7"/>
  <c r="U942" i="7"/>
  <c r="U941" i="7"/>
  <c r="U940" i="7"/>
  <c r="U939" i="7"/>
  <c r="U938" i="7"/>
  <c r="U937" i="7"/>
  <c r="U936" i="7"/>
  <c r="U935" i="7"/>
  <c r="U934" i="7"/>
  <c r="U933" i="7"/>
  <c r="U932" i="7"/>
  <c r="U931" i="7"/>
  <c r="U930" i="7"/>
  <c r="U929" i="7"/>
  <c r="U928" i="7"/>
  <c r="U927" i="7"/>
  <c r="U926" i="7"/>
  <c r="U925" i="7"/>
  <c r="U924" i="7"/>
  <c r="U923" i="7"/>
  <c r="U922" i="7"/>
  <c r="U921" i="7"/>
  <c r="U920" i="7"/>
  <c r="U919" i="7"/>
  <c r="U918" i="7"/>
  <c r="U917" i="7"/>
  <c r="U916" i="7"/>
  <c r="U915" i="7"/>
  <c r="U914" i="7"/>
  <c r="U913" i="7"/>
  <c r="U912" i="7"/>
  <c r="U911" i="7"/>
  <c r="U910" i="7"/>
  <c r="U909" i="7"/>
  <c r="U908" i="7"/>
  <c r="U907" i="7"/>
  <c r="U906" i="7"/>
  <c r="U905" i="7"/>
  <c r="U904" i="7"/>
  <c r="U903" i="7"/>
  <c r="U902" i="7"/>
  <c r="U901" i="7"/>
  <c r="U900" i="7"/>
  <c r="U899" i="7"/>
  <c r="U898" i="7"/>
  <c r="U897" i="7"/>
  <c r="U896" i="7"/>
  <c r="U895" i="7"/>
  <c r="U894" i="7"/>
  <c r="U893" i="7"/>
  <c r="U892" i="7"/>
  <c r="U891" i="7"/>
  <c r="U890" i="7"/>
  <c r="U889" i="7"/>
  <c r="U888" i="7"/>
  <c r="U887" i="7"/>
  <c r="U886" i="7"/>
  <c r="U885" i="7"/>
  <c r="U884" i="7"/>
  <c r="U883" i="7"/>
  <c r="U882" i="7"/>
  <c r="U881" i="7"/>
  <c r="U880" i="7"/>
  <c r="U879" i="7"/>
  <c r="U878" i="7"/>
  <c r="U877" i="7"/>
  <c r="U876" i="7"/>
  <c r="U875" i="7"/>
  <c r="U874" i="7"/>
  <c r="U873" i="7"/>
  <c r="U872" i="7"/>
  <c r="U871" i="7"/>
  <c r="U870" i="7"/>
  <c r="U869" i="7"/>
  <c r="U868" i="7"/>
  <c r="U867" i="7"/>
  <c r="U866" i="7"/>
  <c r="U865" i="7"/>
  <c r="U864" i="7"/>
  <c r="U863" i="7"/>
  <c r="U862" i="7"/>
  <c r="U861" i="7"/>
  <c r="U860" i="7"/>
  <c r="U859" i="7"/>
  <c r="U858" i="7"/>
  <c r="U857" i="7"/>
  <c r="U856" i="7"/>
  <c r="U855" i="7"/>
  <c r="U854" i="7"/>
  <c r="U853" i="7"/>
  <c r="U852" i="7"/>
  <c r="U851" i="7"/>
  <c r="U850" i="7"/>
  <c r="U849" i="7"/>
  <c r="U848" i="7"/>
  <c r="U847" i="7"/>
  <c r="U846" i="7"/>
  <c r="U845" i="7"/>
  <c r="U844" i="7"/>
  <c r="U843" i="7"/>
  <c r="U842" i="7"/>
  <c r="U841" i="7"/>
  <c r="U840" i="7"/>
  <c r="U839" i="7"/>
  <c r="U838" i="7"/>
  <c r="U837" i="7"/>
  <c r="U836" i="7"/>
  <c r="U835" i="7"/>
  <c r="U834" i="7"/>
  <c r="U833" i="7"/>
  <c r="U832" i="7"/>
  <c r="U831" i="7"/>
  <c r="U830" i="7"/>
  <c r="U829" i="7"/>
  <c r="U828" i="7"/>
  <c r="U827" i="7"/>
  <c r="U826" i="7"/>
  <c r="U825" i="7"/>
  <c r="U824" i="7"/>
  <c r="U823" i="7"/>
  <c r="U822" i="7"/>
  <c r="U821" i="7"/>
  <c r="U820" i="7"/>
  <c r="U819" i="7"/>
  <c r="U818" i="7"/>
  <c r="U817" i="7"/>
  <c r="U816" i="7"/>
  <c r="U815" i="7"/>
  <c r="U814" i="7"/>
  <c r="U813" i="7"/>
  <c r="U812" i="7"/>
  <c r="U811" i="7"/>
  <c r="U810" i="7"/>
  <c r="U809" i="7"/>
  <c r="U808" i="7"/>
  <c r="U807" i="7"/>
  <c r="U806" i="7"/>
  <c r="U805" i="7"/>
  <c r="U804" i="7"/>
  <c r="U803" i="7"/>
  <c r="U802" i="7"/>
  <c r="U801" i="7"/>
  <c r="U800" i="7"/>
  <c r="U799" i="7"/>
  <c r="U798" i="7"/>
  <c r="U797" i="7"/>
  <c r="U796" i="7"/>
  <c r="U795" i="7"/>
  <c r="U794" i="7"/>
  <c r="U793" i="7"/>
  <c r="U792" i="7"/>
  <c r="U791" i="7"/>
  <c r="U790" i="7"/>
  <c r="U789" i="7"/>
  <c r="U788" i="7"/>
  <c r="U787" i="7"/>
  <c r="U786" i="7"/>
  <c r="U785" i="7"/>
  <c r="U784" i="7"/>
  <c r="U783" i="7"/>
  <c r="U782" i="7"/>
  <c r="U781" i="7"/>
  <c r="U780" i="7"/>
  <c r="U779" i="7"/>
  <c r="U778" i="7"/>
  <c r="U777" i="7"/>
  <c r="U776" i="7"/>
  <c r="U775" i="7"/>
  <c r="U774" i="7"/>
  <c r="U773" i="7"/>
  <c r="U772" i="7"/>
  <c r="U771" i="7"/>
  <c r="U770" i="7"/>
  <c r="U769" i="7"/>
  <c r="U768" i="7"/>
  <c r="U767" i="7"/>
  <c r="U766" i="7"/>
  <c r="U765" i="7"/>
  <c r="U764" i="7"/>
  <c r="U763" i="7"/>
  <c r="U762" i="7"/>
  <c r="U761" i="7"/>
  <c r="U760" i="7"/>
  <c r="U759" i="7"/>
  <c r="U758" i="7"/>
  <c r="U757" i="7"/>
  <c r="U756" i="7"/>
  <c r="U755" i="7"/>
  <c r="U754" i="7"/>
  <c r="U753" i="7"/>
  <c r="U752" i="7"/>
  <c r="U751" i="7"/>
  <c r="U750" i="7"/>
  <c r="U749" i="7"/>
  <c r="U748" i="7"/>
  <c r="U747" i="7"/>
  <c r="U746" i="7"/>
  <c r="U745" i="7"/>
  <c r="U744" i="7"/>
  <c r="U743" i="7"/>
  <c r="U742" i="7"/>
  <c r="U741" i="7"/>
  <c r="U740" i="7"/>
  <c r="U739" i="7"/>
  <c r="U738" i="7"/>
  <c r="U737" i="7"/>
  <c r="U736" i="7"/>
  <c r="U735" i="7"/>
  <c r="U734" i="7"/>
  <c r="U733" i="7"/>
  <c r="U732" i="7"/>
  <c r="U731" i="7"/>
  <c r="U730" i="7"/>
  <c r="U729" i="7"/>
  <c r="U728" i="7"/>
  <c r="U727" i="7"/>
  <c r="U726" i="7"/>
  <c r="U725" i="7"/>
  <c r="U724" i="7"/>
  <c r="U723" i="7"/>
  <c r="U722" i="7"/>
  <c r="U721" i="7"/>
  <c r="U720" i="7"/>
  <c r="U719" i="7"/>
  <c r="U718" i="7"/>
  <c r="U717" i="7"/>
  <c r="U716" i="7"/>
  <c r="U715" i="7"/>
  <c r="U714" i="7"/>
  <c r="U713" i="7"/>
  <c r="U712" i="7"/>
  <c r="U711" i="7"/>
  <c r="U710" i="7"/>
  <c r="U709" i="7"/>
  <c r="U708" i="7"/>
  <c r="U707" i="7"/>
  <c r="U706" i="7"/>
  <c r="U705" i="7"/>
  <c r="U704" i="7"/>
  <c r="U703" i="7"/>
  <c r="U702" i="7"/>
  <c r="U701" i="7"/>
  <c r="U700" i="7"/>
  <c r="U699" i="7"/>
  <c r="U698" i="7"/>
  <c r="U697" i="7"/>
  <c r="U696" i="7"/>
  <c r="U695" i="7"/>
  <c r="U694" i="7"/>
  <c r="U693" i="7"/>
  <c r="U692" i="7"/>
  <c r="U691" i="7"/>
  <c r="U690" i="7"/>
  <c r="U689" i="7"/>
  <c r="U688" i="7"/>
  <c r="U687" i="7"/>
  <c r="U686" i="7"/>
  <c r="U685" i="7"/>
  <c r="U684" i="7"/>
  <c r="U683" i="7"/>
  <c r="U682" i="7"/>
  <c r="U681" i="7"/>
  <c r="U680" i="7"/>
  <c r="U679" i="7"/>
  <c r="U678" i="7"/>
  <c r="U677" i="7"/>
  <c r="U676" i="7"/>
  <c r="U675" i="7"/>
  <c r="U674" i="7"/>
  <c r="U673" i="7"/>
  <c r="U672" i="7"/>
  <c r="U671" i="7"/>
  <c r="U670" i="7"/>
  <c r="U669" i="7"/>
  <c r="U668" i="7"/>
  <c r="U667" i="7"/>
  <c r="U666" i="7"/>
  <c r="U665" i="7"/>
  <c r="U664" i="7"/>
  <c r="U663" i="7"/>
  <c r="U662" i="7"/>
  <c r="U661" i="7"/>
  <c r="U660" i="7"/>
  <c r="U659" i="7"/>
  <c r="U658" i="7"/>
  <c r="U657" i="7"/>
  <c r="U656" i="7"/>
  <c r="U655" i="7"/>
  <c r="U654" i="7"/>
  <c r="U653" i="7"/>
  <c r="U652" i="7"/>
  <c r="U651" i="7"/>
  <c r="U650" i="7"/>
  <c r="U649" i="7"/>
  <c r="U648" i="7"/>
  <c r="U647" i="7"/>
  <c r="U646" i="7"/>
  <c r="U645" i="7"/>
  <c r="U644" i="7"/>
  <c r="U643" i="7"/>
  <c r="U642" i="7"/>
  <c r="U641" i="7"/>
  <c r="U640" i="7"/>
  <c r="U639" i="7"/>
  <c r="U638" i="7"/>
  <c r="U637" i="7"/>
  <c r="U636" i="7"/>
  <c r="U635" i="7"/>
  <c r="U634" i="7"/>
  <c r="U633" i="7"/>
  <c r="U632" i="7"/>
  <c r="U631" i="7"/>
  <c r="U630" i="7"/>
  <c r="U629" i="7"/>
  <c r="U628" i="7"/>
  <c r="U627" i="7"/>
  <c r="U626" i="7"/>
  <c r="U625" i="7"/>
  <c r="U624" i="7"/>
  <c r="U623" i="7"/>
  <c r="U622" i="7"/>
  <c r="U621" i="7"/>
  <c r="U620" i="7"/>
  <c r="U619" i="7"/>
  <c r="U618" i="7"/>
  <c r="U617" i="7"/>
  <c r="U616" i="7"/>
  <c r="U615" i="7"/>
  <c r="U614" i="7"/>
  <c r="U613" i="7"/>
  <c r="U612" i="7"/>
  <c r="U611" i="7"/>
  <c r="U610" i="7"/>
  <c r="U609" i="7"/>
  <c r="U608" i="7"/>
  <c r="U607" i="7"/>
  <c r="U606" i="7"/>
  <c r="U605" i="7"/>
  <c r="U604" i="7"/>
  <c r="U603" i="7"/>
  <c r="U602" i="7"/>
  <c r="U601" i="7"/>
  <c r="U600" i="7"/>
  <c r="U599" i="7"/>
  <c r="U598" i="7"/>
  <c r="U597" i="7"/>
  <c r="U596" i="7"/>
  <c r="U595" i="7"/>
  <c r="U594" i="7"/>
  <c r="U593" i="7"/>
  <c r="U592" i="7"/>
  <c r="U591" i="7"/>
  <c r="U590" i="7"/>
  <c r="U589" i="7"/>
  <c r="U588" i="7"/>
  <c r="U587" i="7"/>
  <c r="U586" i="7"/>
  <c r="U585" i="7"/>
  <c r="U584" i="7"/>
  <c r="U583" i="7"/>
  <c r="U582" i="7"/>
  <c r="U581" i="7"/>
  <c r="U580" i="7"/>
  <c r="U579" i="7"/>
  <c r="U578" i="7"/>
  <c r="U577" i="7"/>
  <c r="U576" i="7"/>
  <c r="U575" i="7"/>
  <c r="U574" i="7"/>
  <c r="U573" i="7"/>
  <c r="U572" i="7"/>
  <c r="U571" i="7"/>
  <c r="U570" i="7"/>
  <c r="U569" i="7"/>
  <c r="U568" i="7"/>
  <c r="U567" i="7"/>
  <c r="U566" i="7"/>
  <c r="U565" i="7"/>
  <c r="U564" i="7"/>
  <c r="U563" i="7"/>
  <c r="U562" i="7"/>
  <c r="U561" i="7"/>
  <c r="U560" i="7"/>
  <c r="U559" i="7"/>
  <c r="U558" i="7"/>
  <c r="U557" i="7"/>
  <c r="U556" i="7"/>
  <c r="U555" i="7"/>
  <c r="U554" i="7"/>
  <c r="U553" i="7"/>
  <c r="U552" i="7"/>
  <c r="U551" i="7"/>
  <c r="U550" i="7"/>
  <c r="U549" i="7"/>
  <c r="U548" i="7"/>
  <c r="U547" i="7"/>
  <c r="U546" i="7"/>
  <c r="U545" i="7"/>
  <c r="U544" i="7"/>
  <c r="U543" i="7"/>
  <c r="U542" i="7"/>
  <c r="U541" i="7"/>
  <c r="U540" i="7"/>
  <c r="U539" i="7"/>
  <c r="U538" i="7"/>
  <c r="U537" i="7"/>
  <c r="U536" i="7"/>
  <c r="U535" i="7"/>
  <c r="U534" i="7"/>
  <c r="U533" i="7"/>
  <c r="U532" i="7"/>
  <c r="U531" i="7"/>
  <c r="U530" i="7"/>
  <c r="U529" i="7"/>
  <c r="U528" i="7"/>
  <c r="U527" i="7"/>
  <c r="U526" i="7"/>
  <c r="U525" i="7"/>
  <c r="U524" i="7"/>
  <c r="U523" i="7"/>
  <c r="U522" i="7"/>
  <c r="U521" i="7"/>
  <c r="U520" i="7"/>
  <c r="U519" i="7"/>
  <c r="U518" i="7"/>
  <c r="U517" i="7"/>
  <c r="U516" i="7"/>
  <c r="U515" i="7"/>
  <c r="U514" i="7"/>
  <c r="U513" i="7"/>
  <c r="U512" i="7"/>
  <c r="U511" i="7"/>
  <c r="U510" i="7"/>
  <c r="U509" i="7"/>
  <c r="U508" i="7"/>
  <c r="U507" i="7"/>
  <c r="U506" i="7"/>
  <c r="U505" i="7"/>
  <c r="U504" i="7"/>
  <c r="U503" i="7"/>
  <c r="U502" i="7"/>
  <c r="U501" i="7"/>
  <c r="U500" i="7"/>
  <c r="U499" i="7"/>
  <c r="U498" i="7"/>
  <c r="U497" i="7"/>
  <c r="U496" i="7"/>
  <c r="U495" i="7"/>
  <c r="U494" i="7"/>
  <c r="U493" i="7"/>
  <c r="U492" i="7"/>
  <c r="U491" i="7"/>
  <c r="U490" i="7"/>
  <c r="U489" i="7"/>
  <c r="U488" i="7"/>
  <c r="U487" i="7"/>
  <c r="U486" i="7"/>
  <c r="U485" i="7"/>
  <c r="U484" i="7"/>
  <c r="U483" i="7"/>
  <c r="U482" i="7"/>
  <c r="U481" i="7"/>
  <c r="U480" i="7"/>
  <c r="U479" i="7"/>
  <c r="U478" i="7"/>
  <c r="U477" i="7"/>
  <c r="U476" i="7"/>
  <c r="U475" i="7"/>
  <c r="U474" i="7"/>
  <c r="U473" i="7"/>
  <c r="U472" i="7"/>
  <c r="U471" i="7"/>
  <c r="U470" i="7"/>
  <c r="U469" i="7"/>
  <c r="U468" i="7"/>
  <c r="U467" i="7"/>
  <c r="U465" i="7"/>
  <c r="U463" i="7"/>
  <c r="U444" i="7"/>
  <c r="U441" i="7"/>
  <c r="U440" i="7"/>
  <c r="U432" i="7"/>
  <c r="U429" i="7"/>
  <c r="U426" i="7"/>
  <c r="U423" i="7"/>
  <c r="U420" i="7"/>
  <c r="U417" i="7"/>
  <c r="U415" i="7"/>
  <c r="U414" i="7"/>
  <c r="U411" i="7"/>
  <c r="U407" i="7"/>
  <c r="U406" i="7"/>
  <c r="U396" i="7"/>
  <c r="U391" i="7"/>
  <c r="U376" i="7"/>
  <c r="N367" i="7"/>
  <c r="K367" i="7"/>
  <c r="N366" i="7"/>
  <c r="K366" i="7"/>
  <c r="N365" i="7"/>
  <c r="K365" i="7"/>
  <c r="N364" i="7"/>
  <c r="K364" i="7"/>
  <c r="N363" i="7"/>
  <c r="K363" i="7"/>
  <c r="N362" i="7"/>
  <c r="K362" i="7"/>
  <c r="N361" i="7"/>
  <c r="K361" i="7"/>
  <c r="N360" i="7"/>
  <c r="K360" i="7"/>
  <c r="N359" i="7"/>
  <c r="K359" i="7"/>
  <c r="N358" i="7"/>
  <c r="K358" i="7"/>
  <c r="N357" i="7"/>
  <c r="K357" i="7"/>
  <c r="N356" i="7"/>
  <c r="K356" i="7"/>
  <c r="N355" i="7"/>
  <c r="K355" i="7"/>
  <c r="N354" i="7"/>
  <c r="K354" i="7"/>
  <c r="N353" i="7"/>
  <c r="K353" i="7"/>
  <c r="N352" i="7"/>
  <c r="K352" i="7"/>
  <c r="N351" i="7"/>
  <c r="K351" i="7"/>
  <c r="N350" i="7"/>
  <c r="K350" i="7"/>
  <c r="N349" i="7"/>
  <c r="K349" i="7"/>
  <c r="N348" i="7"/>
  <c r="K348" i="7"/>
  <c r="N347" i="7"/>
  <c r="K347" i="7"/>
  <c r="N346" i="7"/>
  <c r="K346" i="7"/>
  <c r="N345" i="7"/>
  <c r="K345" i="7"/>
  <c r="N344" i="7"/>
  <c r="K344" i="7"/>
  <c r="S339" i="7"/>
  <c r="U339" i="7" s="1"/>
  <c r="N328" i="7"/>
  <c r="K328" i="7"/>
  <c r="N327" i="7"/>
  <c r="K327" i="7"/>
  <c r="S326" i="7"/>
  <c r="U326" i="7" s="1"/>
  <c r="N326" i="7"/>
  <c r="K326" i="7"/>
  <c r="J326" i="7"/>
  <c r="N325" i="7"/>
  <c r="K325" i="7"/>
  <c r="N324" i="7"/>
  <c r="K324" i="7"/>
  <c r="S323" i="7"/>
  <c r="U323" i="7" s="1"/>
  <c r="N323" i="7"/>
  <c r="K323" i="7"/>
  <c r="J323" i="7"/>
  <c r="N322" i="7"/>
  <c r="K322" i="7"/>
  <c r="N321" i="7"/>
  <c r="K321" i="7"/>
  <c r="S320" i="7"/>
  <c r="U320" i="7" s="1"/>
  <c r="N320" i="7"/>
  <c r="K320" i="7"/>
  <c r="K319" i="7"/>
  <c r="N318" i="7"/>
  <c r="K318" i="7"/>
  <c r="S317" i="7"/>
  <c r="U317" i="7" s="1"/>
  <c r="K317" i="7"/>
  <c r="J317" i="7"/>
  <c r="N316" i="7"/>
  <c r="K316" i="7"/>
  <c r="N315" i="7"/>
  <c r="N314" i="7"/>
  <c r="K314" i="7"/>
  <c r="N313" i="7"/>
  <c r="K313" i="7"/>
  <c r="N312" i="7"/>
  <c r="K312" i="7"/>
  <c r="N311" i="7"/>
  <c r="K311" i="7"/>
  <c r="S310" i="7"/>
  <c r="U310" i="7" s="1"/>
  <c r="N310" i="7"/>
  <c r="K310" i="7"/>
  <c r="J310" i="7"/>
  <c r="N309" i="7"/>
  <c r="K309" i="7"/>
  <c r="N308" i="7"/>
  <c r="K308" i="7"/>
  <c r="N307" i="7"/>
  <c r="K307" i="7"/>
  <c r="S306" i="7"/>
  <c r="U306" i="7" s="1"/>
  <c r="N306" i="7"/>
  <c r="K306" i="7"/>
  <c r="J306" i="7"/>
  <c r="N305" i="7"/>
  <c r="K305" i="7"/>
  <c r="J305" i="7"/>
  <c r="N304" i="7"/>
  <c r="K304" i="7"/>
  <c r="N303" i="7"/>
  <c r="K303" i="7"/>
  <c r="N302" i="7"/>
  <c r="K302" i="7"/>
  <c r="N301" i="7"/>
  <c r="K301" i="7"/>
  <c r="N300" i="7"/>
  <c r="K300" i="7"/>
  <c r="N299" i="7"/>
  <c r="K299" i="7"/>
  <c r="N298" i="7"/>
  <c r="K298" i="7"/>
  <c r="N297" i="7"/>
  <c r="K297" i="7"/>
  <c r="N296" i="7"/>
  <c r="K296" i="7"/>
  <c r="N295" i="7"/>
  <c r="K295" i="7"/>
  <c r="N294" i="7"/>
  <c r="K294" i="7"/>
  <c r="N293" i="7"/>
  <c r="K293" i="7"/>
  <c r="N292" i="7"/>
  <c r="K292" i="7"/>
  <c r="N291" i="7"/>
  <c r="K291" i="7"/>
  <c r="N290" i="7"/>
  <c r="K290" i="7"/>
  <c r="N289" i="7"/>
  <c r="K289" i="7"/>
  <c r="N288" i="7"/>
  <c r="K288" i="7"/>
  <c r="N287" i="7"/>
  <c r="K287" i="7"/>
  <c r="N286" i="7"/>
  <c r="K286" i="7"/>
  <c r="N285" i="7"/>
  <c r="K285" i="7"/>
  <c r="N284" i="7"/>
  <c r="K284" i="7"/>
  <c r="N283" i="7"/>
  <c r="K283" i="7"/>
  <c r="N282" i="7"/>
  <c r="K282" i="7"/>
  <c r="N281" i="7"/>
  <c r="K281" i="7"/>
  <c r="N280" i="7"/>
  <c r="K280" i="7"/>
  <c r="N279" i="7"/>
  <c r="K279" i="7"/>
  <c r="N278" i="7"/>
  <c r="K278" i="7"/>
  <c r="N277" i="7"/>
  <c r="K277" i="7"/>
  <c r="N276" i="7"/>
  <c r="K276" i="7"/>
  <c r="N275" i="7"/>
  <c r="K275" i="7"/>
  <c r="N274" i="7"/>
  <c r="K274" i="7"/>
  <c r="N273" i="7"/>
  <c r="K273" i="7"/>
  <c r="N272" i="7"/>
  <c r="K272" i="7"/>
  <c r="N271" i="7"/>
  <c r="K271" i="7"/>
  <c r="N270" i="7"/>
  <c r="K270" i="7"/>
  <c r="N269" i="7"/>
  <c r="K269" i="7"/>
  <c r="N268" i="7"/>
  <c r="K268" i="7"/>
  <c r="N267" i="7"/>
  <c r="K267" i="7"/>
  <c r="N266" i="7"/>
  <c r="K266" i="7"/>
  <c r="N265" i="7"/>
  <c r="K265" i="7"/>
  <c r="N264" i="7"/>
  <c r="K264" i="7"/>
  <c r="S263" i="7"/>
  <c r="U263" i="7" s="1"/>
  <c r="N263" i="7"/>
  <c r="K263" i="7"/>
  <c r="J263" i="7"/>
  <c r="N262" i="7"/>
  <c r="K262" i="7"/>
  <c r="N261" i="7"/>
  <c r="K261" i="7"/>
  <c r="N260" i="7"/>
  <c r="K260" i="7"/>
  <c r="N259" i="7"/>
  <c r="K259" i="7"/>
  <c r="N258" i="7"/>
  <c r="K258" i="7"/>
  <c r="N257" i="7"/>
  <c r="K257" i="7"/>
  <c r="N256" i="7"/>
  <c r="K256" i="7"/>
  <c r="N255" i="7"/>
  <c r="K255" i="7"/>
  <c r="N254" i="7"/>
  <c r="K254" i="7"/>
  <c r="N253" i="7"/>
  <c r="K253" i="7"/>
  <c r="N252" i="7"/>
  <c r="K252" i="7"/>
  <c r="N251" i="7"/>
  <c r="K251" i="7"/>
  <c r="N250" i="7"/>
  <c r="K250" i="7"/>
  <c r="N249" i="7"/>
  <c r="K249" i="7"/>
  <c r="N248" i="7"/>
  <c r="K248" i="7"/>
  <c r="N247" i="7"/>
  <c r="K247" i="7"/>
  <c r="N246" i="7"/>
  <c r="K246" i="7"/>
  <c r="N245" i="7"/>
  <c r="K245" i="7"/>
  <c r="N244" i="7"/>
  <c r="K244" i="7"/>
  <c r="N243" i="7"/>
  <c r="K243" i="7"/>
  <c r="N242" i="7"/>
  <c r="K242" i="7"/>
  <c r="N241" i="7"/>
  <c r="K241" i="7"/>
  <c r="N240" i="7"/>
  <c r="K240" i="7"/>
  <c r="N239" i="7"/>
  <c r="K239" i="7"/>
  <c r="N238" i="7"/>
  <c r="K238" i="7"/>
  <c r="N237" i="7"/>
  <c r="K237" i="7"/>
  <c r="N236" i="7"/>
  <c r="K236" i="7"/>
  <c r="N235" i="7"/>
  <c r="K235" i="7"/>
  <c r="N234" i="7"/>
  <c r="K234" i="7"/>
  <c r="N233" i="7"/>
  <c r="K233" i="7"/>
  <c r="N232" i="7"/>
  <c r="K232" i="7"/>
  <c r="N231" i="7"/>
  <c r="K231" i="7"/>
  <c r="N230" i="7"/>
  <c r="K230" i="7"/>
  <c r="N229" i="7"/>
  <c r="K229" i="7"/>
  <c r="N228" i="7"/>
  <c r="K228" i="7"/>
  <c r="N227" i="7"/>
  <c r="K227" i="7"/>
  <c r="N226" i="7"/>
  <c r="K226" i="7"/>
  <c r="N225" i="7"/>
  <c r="K225" i="7"/>
  <c r="N224" i="7"/>
  <c r="K224" i="7"/>
  <c r="N223" i="7"/>
  <c r="K223" i="7"/>
  <c r="N222" i="7"/>
  <c r="K222" i="7"/>
  <c r="N221" i="7"/>
  <c r="K221" i="7"/>
  <c r="N220" i="7"/>
  <c r="K220" i="7"/>
  <c r="N219" i="7"/>
  <c r="K219" i="7"/>
  <c r="N218" i="7"/>
  <c r="K218" i="7"/>
  <c r="N217" i="7"/>
  <c r="K217" i="7"/>
  <c r="N216" i="7"/>
  <c r="K216" i="7"/>
  <c r="N215" i="7"/>
  <c r="K215" i="7"/>
  <c r="N214" i="7"/>
  <c r="K214" i="7"/>
  <c r="N213" i="7"/>
  <c r="K213" i="7"/>
  <c r="N212" i="7"/>
  <c r="K212" i="7"/>
  <c r="N211" i="7"/>
  <c r="K211" i="7"/>
  <c r="N210" i="7"/>
  <c r="K210" i="7"/>
  <c r="N209" i="7"/>
  <c r="K209" i="7"/>
  <c r="N208" i="7"/>
  <c r="K208" i="7"/>
  <c r="N207" i="7"/>
  <c r="K207" i="7"/>
  <c r="N206" i="7"/>
  <c r="K206" i="7"/>
  <c r="N205" i="7"/>
  <c r="K205" i="7"/>
  <c r="N204" i="7"/>
  <c r="K204" i="7"/>
  <c r="N203" i="7"/>
  <c r="K203" i="7"/>
  <c r="N202" i="7"/>
  <c r="K202" i="7"/>
  <c r="N201" i="7"/>
  <c r="K201" i="7"/>
  <c r="N200" i="7"/>
  <c r="K200" i="7"/>
  <c r="N199" i="7"/>
  <c r="K199" i="7"/>
  <c r="N198" i="7"/>
  <c r="K198" i="7"/>
  <c r="N197" i="7"/>
  <c r="K197" i="7"/>
  <c r="N196" i="7"/>
  <c r="K196" i="7"/>
  <c r="N195" i="7"/>
  <c r="K195" i="7"/>
  <c r="N194" i="7"/>
  <c r="K194" i="7"/>
  <c r="N193" i="7"/>
  <c r="K193" i="7"/>
  <c r="N192" i="7"/>
  <c r="K192" i="7"/>
  <c r="N191" i="7"/>
  <c r="K191" i="7"/>
  <c r="N190" i="7"/>
  <c r="K190" i="7"/>
  <c r="N189" i="7"/>
  <c r="K189" i="7"/>
  <c r="N188" i="7"/>
  <c r="K188" i="7"/>
  <c r="N187" i="7"/>
  <c r="K187" i="7"/>
  <c r="N186" i="7"/>
  <c r="K186" i="7"/>
  <c r="N185" i="7"/>
  <c r="K185" i="7"/>
  <c r="N184" i="7"/>
  <c r="K184" i="7"/>
  <c r="N183" i="7"/>
  <c r="K183" i="7"/>
  <c r="N182" i="7"/>
  <c r="K182" i="7"/>
  <c r="N181" i="7"/>
  <c r="K181" i="7"/>
  <c r="N180" i="7"/>
  <c r="K180" i="7"/>
  <c r="N179" i="7"/>
  <c r="K179" i="7"/>
  <c r="N178" i="7"/>
  <c r="K178" i="7"/>
  <c r="N177" i="7"/>
  <c r="K177" i="7"/>
  <c r="N176" i="7"/>
  <c r="K176" i="7"/>
  <c r="N175" i="7"/>
  <c r="K175" i="7"/>
  <c r="N174" i="7"/>
  <c r="K174" i="7"/>
  <c r="N173" i="7"/>
  <c r="K173" i="7"/>
  <c r="N172" i="7"/>
  <c r="K172" i="7"/>
  <c r="N171" i="7"/>
  <c r="K171" i="7"/>
  <c r="N170" i="7"/>
  <c r="K170" i="7"/>
  <c r="N169" i="7"/>
  <c r="K169" i="7"/>
  <c r="N168" i="7"/>
  <c r="K168" i="7"/>
  <c r="N167" i="7"/>
  <c r="K167" i="7"/>
  <c r="N166" i="7"/>
  <c r="K166" i="7"/>
  <c r="N165" i="7"/>
  <c r="K165" i="7"/>
  <c r="N164" i="7"/>
  <c r="K164" i="7"/>
  <c r="N163" i="7"/>
  <c r="K163" i="7"/>
  <c r="N162" i="7"/>
  <c r="K162" i="7"/>
  <c r="N161" i="7"/>
  <c r="K161" i="7"/>
  <c r="N160" i="7"/>
  <c r="K160" i="7"/>
  <c r="N159" i="7"/>
  <c r="K159" i="7"/>
  <c r="N158" i="7"/>
  <c r="K158" i="7"/>
  <c r="N157" i="7"/>
  <c r="K157" i="7"/>
  <c r="N156" i="7"/>
  <c r="K156" i="7"/>
  <c r="N155" i="7"/>
  <c r="K155" i="7"/>
  <c r="N154" i="7"/>
  <c r="K154" i="7"/>
  <c r="N153" i="7"/>
  <c r="K153" i="7"/>
  <c r="N152" i="7"/>
  <c r="K152" i="7"/>
  <c r="N151" i="7"/>
  <c r="K151" i="7"/>
  <c r="N150" i="7"/>
  <c r="K150" i="7"/>
  <c r="N149" i="7"/>
  <c r="K149" i="7"/>
  <c r="N148" i="7"/>
  <c r="K148" i="7"/>
  <c r="N147" i="7"/>
  <c r="K147" i="7"/>
  <c r="N146" i="7"/>
  <c r="K146" i="7"/>
  <c r="N145" i="7"/>
  <c r="K145" i="7"/>
  <c r="N144" i="7"/>
  <c r="K144" i="7"/>
  <c r="N143" i="7"/>
  <c r="K143" i="7"/>
  <c r="N142" i="7"/>
  <c r="K142" i="7"/>
  <c r="N141" i="7"/>
  <c r="K141" i="7"/>
  <c r="N140" i="7"/>
  <c r="K140" i="7"/>
  <c r="N139" i="7"/>
  <c r="K139" i="7"/>
  <c r="N138" i="7"/>
  <c r="K138" i="7"/>
  <c r="N137" i="7"/>
  <c r="K137" i="7"/>
  <c r="N136" i="7"/>
  <c r="K136" i="7"/>
  <c r="N135" i="7"/>
  <c r="K135" i="7"/>
  <c r="N134" i="7"/>
  <c r="K134" i="7"/>
  <c r="N133" i="7"/>
  <c r="K133" i="7"/>
  <c r="N132" i="7"/>
  <c r="K132" i="7"/>
  <c r="N131" i="7"/>
  <c r="K131" i="7"/>
  <c r="N130" i="7"/>
  <c r="K130" i="7"/>
  <c r="N129" i="7"/>
  <c r="K129" i="7"/>
  <c r="N128" i="7"/>
  <c r="K128" i="7"/>
  <c r="N127" i="7"/>
  <c r="K127" i="7"/>
  <c r="N126" i="7"/>
  <c r="K126" i="7"/>
  <c r="N125" i="7"/>
  <c r="K125" i="7"/>
  <c r="N124" i="7"/>
  <c r="K124" i="7"/>
  <c r="N123" i="7"/>
  <c r="K123" i="7"/>
  <c r="N122" i="7"/>
  <c r="K122" i="7"/>
  <c r="N121" i="7"/>
  <c r="K121" i="7"/>
  <c r="N120" i="7"/>
  <c r="K120" i="7"/>
  <c r="N119" i="7"/>
  <c r="K119" i="7"/>
  <c r="N118" i="7"/>
  <c r="K118" i="7"/>
  <c r="N117" i="7"/>
  <c r="K117" i="7"/>
  <c r="N116" i="7"/>
  <c r="K116" i="7"/>
  <c r="N115" i="7"/>
  <c r="K115" i="7"/>
  <c r="N114" i="7"/>
  <c r="K114" i="7"/>
  <c r="N113" i="7"/>
  <c r="K113" i="7"/>
  <c r="N112" i="7"/>
  <c r="K112" i="7"/>
  <c r="N111" i="7"/>
  <c r="K111" i="7"/>
  <c r="N110" i="7"/>
  <c r="K110" i="7"/>
  <c r="N109" i="7"/>
  <c r="K109" i="7"/>
  <c r="N108" i="7"/>
  <c r="K108" i="7"/>
  <c r="N107" i="7"/>
  <c r="K107" i="7"/>
  <c r="N106" i="7"/>
  <c r="K106" i="7"/>
  <c r="N105" i="7"/>
  <c r="K105" i="7"/>
  <c r="N104" i="7"/>
  <c r="K104" i="7"/>
  <c r="N103" i="7"/>
  <c r="K103" i="7"/>
  <c r="N102" i="7"/>
  <c r="K102" i="7"/>
  <c r="J102" i="7"/>
  <c r="N101" i="7"/>
  <c r="K101" i="7"/>
  <c r="N100" i="7"/>
  <c r="K100" i="7"/>
  <c r="S99" i="7"/>
  <c r="U99" i="7" s="1"/>
  <c r="N99" i="7"/>
  <c r="K99" i="7"/>
  <c r="J99" i="7"/>
  <c r="S98" i="7"/>
  <c r="U98" i="7" s="1"/>
  <c r="N98" i="7"/>
  <c r="K98" i="7"/>
  <c r="N97" i="7"/>
  <c r="K97" i="7"/>
  <c r="S95" i="7"/>
  <c r="U95" i="7" s="1"/>
  <c r="N95" i="7"/>
  <c r="K95" i="7"/>
  <c r="N94" i="7"/>
  <c r="K94" i="7"/>
  <c r="N93" i="7"/>
  <c r="K93" i="7"/>
  <c r="N92" i="7"/>
  <c r="K92" i="7"/>
  <c r="S91" i="7"/>
  <c r="U91" i="7" s="1"/>
  <c r="N91" i="7"/>
  <c r="K91" i="7"/>
  <c r="J91" i="7"/>
  <c r="N90" i="7"/>
  <c r="K90" i="7"/>
  <c r="S89" i="7"/>
  <c r="U89" i="7" s="1"/>
  <c r="K88" i="7"/>
  <c r="N87" i="7"/>
  <c r="K87" i="7"/>
  <c r="J87" i="7"/>
  <c r="N86" i="7"/>
  <c r="K86" i="7"/>
  <c r="N85" i="7"/>
  <c r="K85" i="7"/>
  <c r="N84" i="7"/>
  <c r="K84" i="7"/>
  <c r="N83" i="7"/>
  <c r="K83" i="7"/>
  <c r="N82" i="7"/>
  <c r="K82" i="7"/>
  <c r="N81" i="7"/>
  <c r="K81" i="7"/>
  <c r="S80" i="7"/>
  <c r="U80" i="7" s="1"/>
  <c r="N80" i="7"/>
  <c r="K80" i="7"/>
  <c r="J80" i="7"/>
  <c r="N79" i="7"/>
  <c r="K79" i="7"/>
  <c r="N78" i="7"/>
  <c r="K78" i="7"/>
  <c r="N77" i="7"/>
  <c r="K77" i="7"/>
  <c r="N76" i="7"/>
  <c r="K76" i="7"/>
  <c r="N75" i="7"/>
  <c r="K75" i="7"/>
  <c r="N74" i="7"/>
  <c r="K74" i="7"/>
  <c r="N73" i="7"/>
  <c r="K73" i="7"/>
  <c r="N72" i="7"/>
  <c r="K72" i="7"/>
  <c r="N71" i="7"/>
  <c r="K71" i="7"/>
  <c r="N70" i="7"/>
  <c r="K70" i="7"/>
  <c r="N69" i="7"/>
  <c r="K69" i="7"/>
  <c r="N68" i="7"/>
  <c r="K68" i="7"/>
  <c r="N67" i="7"/>
  <c r="K67" i="7"/>
  <c r="N66" i="7"/>
  <c r="K66" i="7"/>
  <c r="N65" i="7"/>
  <c r="K65" i="7"/>
  <c r="N64" i="7"/>
  <c r="K64" i="7"/>
  <c r="N63" i="7"/>
  <c r="K63" i="7"/>
  <c r="N62" i="7"/>
  <c r="K62" i="7"/>
  <c r="N61" i="7"/>
  <c r="K61" i="7"/>
  <c r="N60" i="7"/>
  <c r="K60" i="7"/>
  <c r="S59" i="7"/>
  <c r="U59" i="7" s="1"/>
  <c r="N59" i="7"/>
  <c r="K59" i="7"/>
  <c r="J59" i="7"/>
  <c r="N58" i="7"/>
  <c r="K58" i="7"/>
  <c r="N57" i="7"/>
  <c r="K57" i="7"/>
  <c r="N56" i="7"/>
  <c r="K56" i="7"/>
  <c r="N55" i="7"/>
  <c r="K55" i="7"/>
  <c r="N54" i="7"/>
  <c r="K54" i="7"/>
  <c r="N53" i="7"/>
  <c r="K53" i="7"/>
  <c r="N52" i="7"/>
  <c r="K52" i="7"/>
  <c r="N51" i="7"/>
  <c r="K51" i="7"/>
  <c r="N50" i="7"/>
  <c r="K50" i="7"/>
  <c r="N48" i="7"/>
  <c r="K48" i="7"/>
  <c r="N47" i="7"/>
  <c r="K47" i="7"/>
  <c r="N46" i="7"/>
  <c r="K46" i="7"/>
  <c r="N45" i="7"/>
  <c r="K45" i="7"/>
  <c r="N44" i="7"/>
  <c r="K44" i="7"/>
  <c r="N43" i="7"/>
  <c r="K43" i="7"/>
  <c r="N42" i="7"/>
  <c r="K42" i="7"/>
  <c r="N41" i="7"/>
  <c r="K41" i="7"/>
  <c r="N40" i="7"/>
  <c r="K40" i="7"/>
  <c r="N39" i="7"/>
  <c r="K39" i="7"/>
  <c r="N38" i="7"/>
  <c r="K38" i="7"/>
  <c r="N37" i="7"/>
  <c r="K37" i="7"/>
  <c r="N36" i="7"/>
  <c r="K36" i="7"/>
  <c r="P35" i="7"/>
  <c r="N35" i="7"/>
  <c r="K35" i="7"/>
  <c r="N34" i="7"/>
  <c r="K34" i="7"/>
  <c r="N33" i="7"/>
  <c r="K33" i="7"/>
  <c r="N32" i="7"/>
  <c r="K32" i="7"/>
  <c r="N31" i="7"/>
  <c r="K31" i="7"/>
  <c r="N30" i="7"/>
  <c r="K30" i="7"/>
  <c r="N29" i="7"/>
  <c r="K29" i="7"/>
  <c r="N28" i="7"/>
  <c r="K28" i="7"/>
  <c r="N27" i="7"/>
  <c r="K27" i="7"/>
  <c r="N26" i="7"/>
  <c r="K26" i="7"/>
  <c r="N25" i="7"/>
  <c r="K25" i="7"/>
  <c r="N24" i="7"/>
  <c r="K24" i="7"/>
  <c r="N23" i="7"/>
  <c r="K23" i="7"/>
  <c r="N22" i="7"/>
  <c r="K22" i="7"/>
  <c r="N21" i="7"/>
  <c r="K21" i="7"/>
  <c r="N20" i="7"/>
  <c r="K20" i="7"/>
  <c r="N19" i="7"/>
  <c r="K19" i="7"/>
  <c r="N18" i="7"/>
  <c r="K18" i="7"/>
  <c r="N17" i="7"/>
  <c r="K17" i="7"/>
  <c r="N16" i="7"/>
  <c r="K16" i="7"/>
  <c r="N15" i="7"/>
  <c r="K15" i="7"/>
  <c r="N14" i="7"/>
  <c r="K14" i="7"/>
  <c r="N13" i="7"/>
  <c r="K13" i="7"/>
  <c r="N12" i="7"/>
  <c r="K12" i="7"/>
  <c r="N11" i="7"/>
  <c r="K11" i="7"/>
  <c r="N10" i="7"/>
  <c r="K10" i="7"/>
  <c r="N9" i="7"/>
  <c r="K9" i="7"/>
  <c r="N8" i="7"/>
  <c r="K8" i="7"/>
  <c r="N7" i="7"/>
  <c r="K7" i="7"/>
  <c r="J82" i="10"/>
  <c r="J81" i="10"/>
  <c r="J79" i="10"/>
  <c r="J78" i="10"/>
  <c r="J77" i="10"/>
  <c r="J76" i="10"/>
  <c r="J75" i="10"/>
  <c r="J74" i="10"/>
  <c r="J59" i="10"/>
  <c r="J58" i="10"/>
  <c r="J57" i="10"/>
  <c r="J56" i="10"/>
  <c r="J55" i="10"/>
  <c r="J54" i="10"/>
  <c r="J53" i="10"/>
  <c r="J29" i="10"/>
  <c r="J32" i="10"/>
  <c r="J28" i="10"/>
  <c r="J16" i="10"/>
  <c r="J18" i="10"/>
  <c r="J43" i="10"/>
  <c r="J26" i="10"/>
  <c r="J42" i="10"/>
  <c r="J17" i="10"/>
  <c r="J41" i="10"/>
  <c r="J31" i="10"/>
  <c r="J40" i="10"/>
  <c r="J21" i="10"/>
  <c r="J20" i="10"/>
  <c r="J24" i="10"/>
  <c r="J30" i="10"/>
  <c r="J15" i="10"/>
  <c r="J19" i="10"/>
  <c r="J9" i="10"/>
  <c r="J13" i="10"/>
  <c r="J8" i="10"/>
  <c r="J5" i="10"/>
  <c r="J4" i="10"/>
  <c r="J12" i="10"/>
  <c r="J14" i="10"/>
  <c r="J7" i="10"/>
  <c r="J6" i="10"/>
  <c r="J25" i="10"/>
  <c r="J52" i="10"/>
  <c r="J51" i="10"/>
  <c r="J50" i="10"/>
  <c r="J49" i="10"/>
  <c r="J48" i="10"/>
  <c r="J47" i="10"/>
  <c r="J37" i="10"/>
  <c r="J39" i="10"/>
  <c r="J36" i="10"/>
  <c r="J35" i="10"/>
  <c r="J34" i="10"/>
  <c r="J46" i="10"/>
  <c r="J11" i="10"/>
  <c r="J45" i="10"/>
  <c r="J10" i="10"/>
  <c r="J44" i="10"/>
  <c r="J33" i="10"/>
  <c r="J23" i="10"/>
  <c r="N6" i="7"/>
  <c r="K6" i="7"/>
  <c r="N5" i="7"/>
  <c r="K5" i="7"/>
  <c r="N4" i="7"/>
  <c r="K4" i="7"/>
  <c r="N3" i="7"/>
  <c r="K3" i="7"/>
  <c r="N2" i="7"/>
  <c r="K2" i="7"/>
  <c r="J22" i="10"/>
  <c r="Q56" i="5"/>
  <c r="Q55" i="5"/>
  <c r="Q54" i="5"/>
  <c r="Q53" i="5"/>
  <c r="Q52" i="5"/>
  <c r="Q51" i="5"/>
  <c r="Q49" i="5"/>
  <c r="Q48" i="5"/>
  <c r="Q47" i="5"/>
  <c r="Q46" i="5"/>
  <c r="Q44" i="5"/>
  <c r="Q43" i="5"/>
  <c r="Q42" i="5"/>
  <c r="Q41" i="5"/>
  <c r="Q40" i="5"/>
  <c r="Q37" i="5"/>
  <c r="Q36" i="5"/>
  <c r="Q34" i="5"/>
  <c r="Q33" i="5"/>
  <c r="Q31" i="5"/>
  <c r="Q30" i="5"/>
  <c r="Q29" i="5"/>
  <c r="Q28" i="5"/>
  <c r="Q27" i="5"/>
  <c r="Q26" i="5"/>
  <c r="Q25" i="5"/>
  <c r="Q24" i="5"/>
  <c r="Q22" i="5"/>
  <c r="Q20" i="5"/>
  <c r="Q19" i="5"/>
  <c r="Q18" i="5"/>
  <c r="Q16" i="5"/>
  <c r="Q14" i="5"/>
  <c r="Q13" i="5"/>
  <c r="Q12" i="5"/>
  <c r="Q10" i="5"/>
  <c r="Q8" i="5"/>
  <c r="Q7" i="5"/>
  <c r="Q6" i="5"/>
  <c r="Q3" i="5"/>
  <c r="P56" i="5"/>
  <c r="S180" i="7" s="1"/>
  <c r="U180" i="7" s="1"/>
  <c r="P55" i="5"/>
  <c r="S179" i="7" s="1"/>
  <c r="U179" i="7" s="1"/>
  <c r="P54" i="5"/>
  <c r="S178" i="7" s="1"/>
  <c r="U178" i="7" s="1"/>
  <c r="P53" i="5"/>
  <c r="P52" i="5"/>
  <c r="S181" i="7" s="1"/>
  <c r="U181" i="7" s="1"/>
  <c r="P51" i="5"/>
  <c r="S177" i="7" s="1"/>
  <c r="U177" i="7" s="1"/>
  <c r="P49" i="5"/>
  <c r="S176" i="7" s="1"/>
  <c r="U176" i="7" s="1"/>
  <c r="P48" i="5"/>
  <c r="S277" i="7" s="1"/>
  <c r="U277" i="7" s="1"/>
  <c r="P47" i="5"/>
  <c r="S276" i="7" s="1"/>
  <c r="U276" i="7" s="1"/>
  <c r="P46" i="5"/>
  <c r="S349" i="7" s="1"/>
  <c r="U349" i="7" s="1"/>
  <c r="P44" i="5"/>
  <c r="P43" i="5"/>
  <c r="P42" i="5"/>
  <c r="S274" i="7" s="1"/>
  <c r="U274" i="7" s="1"/>
  <c r="P41" i="5"/>
  <c r="S13" i="7" s="1"/>
  <c r="U13" i="7" s="1"/>
  <c r="P40" i="5"/>
  <c r="S12" i="7" s="1"/>
  <c r="U12" i="7" s="1"/>
  <c r="P37" i="5"/>
  <c r="P36" i="5"/>
  <c r="P34" i="5"/>
  <c r="P33" i="5"/>
  <c r="P31" i="5"/>
  <c r="P30" i="5"/>
  <c r="P29" i="5"/>
  <c r="S148" i="7" s="1"/>
  <c r="P28" i="5"/>
  <c r="S246" i="7" s="1"/>
  <c r="P27" i="5"/>
  <c r="S146" i="7" s="1"/>
  <c r="P26" i="5"/>
  <c r="S31" i="7" s="1"/>
  <c r="U31" i="7" s="1"/>
  <c r="P25" i="5"/>
  <c r="S30" i="7" s="1"/>
  <c r="U30" i="7" s="1"/>
  <c r="P24" i="5"/>
  <c r="S243" i="7" s="1"/>
  <c r="U243" i="7" s="1"/>
  <c r="P22" i="5"/>
  <c r="P20" i="5"/>
  <c r="S10" i="7" s="1"/>
  <c r="U10" i="7" s="1"/>
  <c r="P19" i="5"/>
  <c r="S253" i="7" s="1"/>
  <c r="U253" i="7" s="1"/>
  <c r="P18" i="5"/>
  <c r="S241" i="7" s="1"/>
  <c r="U241" i="7" s="1"/>
  <c r="P16" i="5"/>
  <c r="S126" i="7" s="1"/>
  <c r="U126" i="7" s="1"/>
  <c r="P14" i="5"/>
  <c r="S19" i="7" s="1"/>
  <c r="U19" i="7" s="1"/>
  <c r="P13" i="5"/>
  <c r="S18" i="7" s="1"/>
  <c r="U18" i="7" s="1"/>
  <c r="P12" i="5"/>
  <c r="S249" i="7" s="1"/>
  <c r="U249" i="7" s="1"/>
  <c r="P10" i="5"/>
  <c r="S159" i="7" s="1"/>
  <c r="P8" i="5"/>
  <c r="S4" i="7" s="1"/>
  <c r="U4" i="7" s="1"/>
  <c r="P7" i="5"/>
  <c r="S237" i="7" s="1"/>
  <c r="U237" i="7" s="1"/>
  <c r="P6" i="5"/>
  <c r="S257" i="7" s="1"/>
  <c r="U257" i="7" s="1"/>
  <c r="P3" i="5"/>
  <c r="U410" i="7" s="1"/>
  <c r="B56" i="5"/>
  <c r="J180" i="7" s="1"/>
  <c r="B55" i="5"/>
  <c r="J179" i="7" s="1"/>
  <c r="B54" i="5"/>
  <c r="J178" i="7" s="1"/>
  <c r="B53" i="5"/>
  <c r="B52" i="5"/>
  <c r="J181" i="7" s="1"/>
  <c r="B51" i="5"/>
  <c r="B49" i="5"/>
  <c r="J176" i="7" s="1"/>
  <c r="B48" i="5"/>
  <c r="J277" i="7" s="1"/>
  <c r="B47" i="5"/>
  <c r="J276" i="7" s="1"/>
  <c r="B46" i="5"/>
  <c r="J40" i="7" s="1"/>
  <c r="B44" i="5"/>
  <c r="B43" i="5"/>
  <c r="B42" i="5"/>
  <c r="J274" i="7" s="1"/>
  <c r="B41" i="5"/>
  <c r="J282" i="7" s="1"/>
  <c r="B40" i="5"/>
  <c r="J12" i="7" s="1"/>
  <c r="B37" i="5"/>
  <c r="B36" i="5"/>
  <c r="B34" i="5"/>
  <c r="B33" i="5"/>
  <c r="B31" i="5"/>
  <c r="B30" i="5"/>
  <c r="B29" i="5"/>
  <c r="J247" i="7" s="1"/>
  <c r="B28" i="5"/>
  <c r="J147" i="7" s="1"/>
  <c r="B27" i="5"/>
  <c r="J245" i="7" s="1"/>
  <c r="B26" i="5"/>
  <c r="J367" i="7" s="1"/>
  <c r="B25" i="5"/>
  <c r="J111" i="7" s="1"/>
  <c r="B24" i="5"/>
  <c r="J110" i="7" s="1"/>
  <c r="B22" i="5"/>
  <c r="B20" i="5"/>
  <c r="J298" i="7" s="1"/>
  <c r="B19" i="5"/>
  <c r="J361" i="7" s="1"/>
  <c r="B18" i="5"/>
  <c r="J114" i="7" s="1"/>
  <c r="B16" i="5"/>
  <c r="J251" i="7" s="1"/>
  <c r="B14" i="5"/>
  <c r="J6" i="7" s="1"/>
  <c r="B13" i="5"/>
  <c r="J360" i="7" s="1"/>
  <c r="B12" i="5"/>
  <c r="J76" i="7" s="1"/>
  <c r="B10" i="5"/>
  <c r="B8" i="5"/>
  <c r="J84" i="7" s="1"/>
  <c r="B7" i="5"/>
  <c r="J359" i="7" s="1"/>
  <c r="B6" i="5"/>
  <c r="J353" i="7" s="1"/>
  <c r="B3" i="5"/>
  <c r="D683" i="7" l="1"/>
  <c r="D685" i="7"/>
  <c r="D684" i="7"/>
  <c r="D688" i="7"/>
  <c r="D689" i="7"/>
  <c r="D687" i="7"/>
  <c r="D686" i="7"/>
  <c r="D682" i="7"/>
  <c r="D680" i="7"/>
  <c r="D681" i="7"/>
  <c r="D679" i="7"/>
  <c r="D678" i="7"/>
  <c r="D671" i="7"/>
  <c r="D659" i="7"/>
  <c r="D647" i="7"/>
  <c r="D658" i="7"/>
  <c r="D646" i="7"/>
  <c r="D668" i="7"/>
  <c r="D677" i="7"/>
  <c r="D676" i="7"/>
  <c r="D675" i="7"/>
  <c r="D662" i="7"/>
  <c r="D672" i="7"/>
  <c r="D670" i="7"/>
  <c r="D667" i="7"/>
  <c r="D666" i="7"/>
  <c r="D665" i="7"/>
  <c r="D663" i="7"/>
  <c r="D661" i="7"/>
  <c r="D660" i="7"/>
  <c r="D669" i="7"/>
  <c r="D657" i="7"/>
  <c r="D656" i="7"/>
  <c r="D655" i="7"/>
  <c r="D654" i="7"/>
  <c r="D653" i="7"/>
  <c r="D664" i="7"/>
  <c r="D651" i="7"/>
  <c r="D650" i="7"/>
  <c r="D649" i="7"/>
  <c r="D648" i="7"/>
  <c r="D673" i="7"/>
  <c r="D652" i="7"/>
  <c r="D674" i="7"/>
  <c r="G673" i="7"/>
  <c r="G668" i="7"/>
  <c r="G655" i="7"/>
  <c r="G662" i="7"/>
  <c r="G667" i="7"/>
  <c r="G652" i="7"/>
  <c r="G663" i="7"/>
  <c r="G664" i="7"/>
  <c r="G660" i="7"/>
  <c r="G661" i="7"/>
  <c r="G676" i="7"/>
  <c r="G648" i="7"/>
  <c r="G677" i="7"/>
  <c r="G669" i="7"/>
  <c r="G653" i="7"/>
  <c r="G651" i="7"/>
  <c r="G674" i="7"/>
  <c r="G675" i="7"/>
  <c r="G657" i="7"/>
  <c r="G666" i="7"/>
  <c r="G646" i="7"/>
  <c r="G649" i="7"/>
  <c r="G650" i="7"/>
  <c r="G647" i="7"/>
  <c r="G658" i="7"/>
  <c r="G670" i="7"/>
  <c r="G671" i="7"/>
  <c r="G659" i="7"/>
  <c r="G672" i="7"/>
  <c r="G656" i="7"/>
  <c r="G665" i="7"/>
  <c r="G654" i="7"/>
  <c r="D642" i="7"/>
  <c r="D641" i="7"/>
  <c r="D644" i="7"/>
  <c r="D645" i="7"/>
  <c r="G645" i="7"/>
  <c r="G641" i="7"/>
  <c r="G643" i="7"/>
  <c r="G642" i="7"/>
  <c r="G644" i="7"/>
  <c r="D643" i="7"/>
  <c r="D640" i="7"/>
  <c r="G640" i="7"/>
  <c r="D638" i="7"/>
  <c r="D634" i="7"/>
  <c r="D639" i="7"/>
  <c r="D637" i="7"/>
  <c r="D636" i="7"/>
  <c r="D635" i="7"/>
  <c r="G634" i="7"/>
  <c r="G639" i="7"/>
  <c r="G637" i="7"/>
  <c r="G638" i="7"/>
  <c r="G635" i="7"/>
  <c r="G636" i="7"/>
  <c r="D633" i="7"/>
  <c r="D630" i="7"/>
  <c r="D632" i="7"/>
  <c r="D631" i="7"/>
  <c r="D629" i="7"/>
  <c r="D628" i="7"/>
  <c r="G632" i="7"/>
  <c r="G633" i="7"/>
  <c r="G630" i="7"/>
  <c r="G631" i="7"/>
  <c r="G628" i="7"/>
  <c r="G629" i="7"/>
  <c r="D627" i="7"/>
  <c r="D622" i="7"/>
  <c r="D626" i="7"/>
  <c r="D625" i="7"/>
  <c r="D624" i="7"/>
  <c r="D623" i="7"/>
  <c r="G626" i="7"/>
  <c r="G627" i="7"/>
  <c r="G625" i="7"/>
  <c r="G623" i="7"/>
  <c r="G624" i="7"/>
  <c r="G622" i="7"/>
  <c r="G618" i="7"/>
  <c r="D619" i="7"/>
  <c r="D618" i="7"/>
  <c r="G619" i="7"/>
  <c r="G621" i="7"/>
  <c r="D621" i="7"/>
  <c r="D620" i="7"/>
  <c r="G620" i="7"/>
  <c r="D615" i="7"/>
  <c r="D614" i="7"/>
  <c r="D613" i="7"/>
  <c r="D612" i="7"/>
  <c r="D616" i="7"/>
  <c r="D611" i="7"/>
  <c r="D610" i="7"/>
  <c r="D609" i="7"/>
  <c r="D608" i="7"/>
  <c r="D617" i="7"/>
  <c r="G613" i="7"/>
  <c r="G616" i="7"/>
  <c r="G617" i="7"/>
  <c r="G614" i="7"/>
  <c r="G611" i="7"/>
  <c r="G608" i="7"/>
  <c r="G610" i="7"/>
  <c r="G609" i="7"/>
  <c r="G615" i="7"/>
  <c r="G612" i="7"/>
  <c r="D606" i="7"/>
  <c r="D604" i="7"/>
  <c r="D607" i="7"/>
  <c r="D605" i="7"/>
  <c r="D603" i="7"/>
  <c r="D602" i="7"/>
  <c r="D597" i="7"/>
  <c r="D601" i="7"/>
  <c r="D600" i="7"/>
  <c r="D599" i="7"/>
  <c r="D598" i="7"/>
  <c r="G599" i="7"/>
  <c r="G603" i="7"/>
  <c r="G602" i="7"/>
  <c r="G601" i="7"/>
  <c r="G600" i="7"/>
  <c r="G598" i="7"/>
  <c r="G597" i="7"/>
  <c r="P86" i="7"/>
  <c r="V86" i="7" s="1"/>
  <c r="R86" i="7"/>
  <c r="P18" i="7"/>
  <c r="V18" i="7" s="1"/>
  <c r="R18" i="7"/>
  <c r="P330" i="7"/>
  <c r="V330" i="7" s="1"/>
  <c r="R330" i="7"/>
  <c r="P21" i="7"/>
  <c r="V21" i="7" s="1"/>
  <c r="R21" i="7"/>
  <c r="P74" i="7"/>
  <c r="V74" i="7" s="1"/>
  <c r="R74" i="7"/>
  <c r="P83" i="7"/>
  <c r="V83" i="7" s="1"/>
  <c r="R83" i="7"/>
  <c r="P332" i="7"/>
  <c r="V332" i="7" s="1"/>
  <c r="R332" i="7"/>
  <c r="P15" i="7"/>
  <c r="V15" i="7" s="1"/>
  <c r="R15" i="7"/>
  <c r="P23" i="7"/>
  <c r="V23" i="7" s="1"/>
  <c r="R23" i="7"/>
  <c r="P333" i="7"/>
  <c r="V333" i="7" s="1"/>
  <c r="R333" i="7"/>
  <c r="P77" i="7"/>
  <c r="V77" i="7" s="1"/>
  <c r="R77" i="7"/>
  <c r="P85" i="7"/>
  <c r="V85" i="7" s="1"/>
  <c r="R85" i="7"/>
  <c r="D594" i="7"/>
  <c r="D596" i="7"/>
  <c r="D595" i="7"/>
  <c r="D593" i="7"/>
  <c r="G595" i="7"/>
  <c r="G596" i="7"/>
  <c r="G593" i="7"/>
  <c r="G594" i="7"/>
  <c r="D591" i="7"/>
  <c r="D587" i="7"/>
  <c r="D590" i="7"/>
  <c r="D589" i="7"/>
  <c r="D588" i="7"/>
  <c r="D592" i="7"/>
  <c r="D586" i="7"/>
  <c r="D584" i="7"/>
  <c r="D585" i="7"/>
  <c r="D583" i="7"/>
  <c r="G585" i="7"/>
  <c r="G584" i="7"/>
  <c r="G586" i="7"/>
  <c r="G583" i="7"/>
  <c r="D577" i="7"/>
  <c r="D569" i="7"/>
  <c r="D566" i="7"/>
  <c r="D576" i="7"/>
  <c r="D568" i="7"/>
  <c r="D582" i="7"/>
  <c r="D565" i="7"/>
  <c r="D575" i="7"/>
  <c r="D567" i="7"/>
  <c r="D574" i="7"/>
  <c r="D581" i="7"/>
  <c r="D578" i="7"/>
  <c r="D573" i="7"/>
  <c r="D579" i="7"/>
  <c r="D580" i="7"/>
  <c r="D572" i="7"/>
  <c r="D571" i="7"/>
  <c r="D570" i="7"/>
  <c r="G572" i="7"/>
  <c r="G576" i="7"/>
  <c r="G566" i="7"/>
  <c r="G570" i="7"/>
  <c r="G568" i="7"/>
  <c r="G569" i="7"/>
  <c r="G567" i="7"/>
  <c r="G575" i="7"/>
  <c r="G582" i="7"/>
  <c r="G580" i="7"/>
  <c r="G581" i="7"/>
  <c r="G577" i="7"/>
  <c r="G573" i="7"/>
  <c r="G565" i="7"/>
  <c r="G574" i="7"/>
  <c r="G571" i="7"/>
  <c r="G578" i="7"/>
  <c r="G579" i="7"/>
  <c r="D563" i="7"/>
  <c r="D551" i="7"/>
  <c r="D539" i="7"/>
  <c r="D548" i="7"/>
  <c r="D562" i="7"/>
  <c r="D550" i="7"/>
  <c r="D538" i="7"/>
  <c r="D561" i="7"/>
  <c r="D537" i="7"/>
  <c r="D543" i="7"/>
  <c r="D564" i="7"/>
  <c r="D549" i="7"/>
  <c r="D560" i="7"/>
  <c r="D536" i="7"/>
  <c r="D554" i="7"/>
  <c r="D559" i="7"/>
  <c r="D547" i="7"/>
  <c r="D529" i="7"/>
  <c r="D525" i="7"/>
  <c r="D558" i="7"/>
  <c r="D546" i="7"/>
  <c r="D528" i="7"/>
  <c r="D545" i="7"/>
  <c r="D527" i="7"/>
  <c r="D526" i="7"/>
  <c r="D553" i="7"/>
  <c r="D522" i="7"/>
  <c r="D557" i="7"/>
  <c r="D544" i="7"/>
  <c r="D542" i="7"/>
  <c r="D552" i="7"/>
  <c r="D556" i="7"/>
  <c r="D555" i="7"/>
  <c r="D540" i="7"/>
  <c r="D541" i="7"/>
  <c r="D524" i="7"/>
  <c r="D523" i="7"/>
  <c r="G564" i="7"/>
  <c r="G553" i="7"/>
  <c r="G541" i="7"/>
  <c r="G534" i="7"/>
  <c r="G522" i="7"/>
  <c r="D533" i="7"/>
  <c r="G562" i="7"/>
  <c r="G550" i="7"/>
  <c r="G538" i="7"/>
  <c r="G533" i="7"/>
  <c r="G523" i="7"/>
  <c r="G524" i="7"/>
  <c r="G563" i="7"/>
  <c r="G551" i="7"/>
  <c r="G539" i="7"/>
  <c r="G532" i="7"/>
  <c r="G560" i="7"/>
  <c r="G548" i="7"/>
  <c r="G536" i="7"/>
  <c r="G531" i="7"/>
  <c r="G543" i="7"/>
  <c r="G561" i="7"/>
  <c r="G549" i="7"/>
  <c r="G537" i="7"/>
  <c r="G546" i="7"/>
  <c r="D532" i="7"/>
  <c r="G530" i="7"/>
  <c r="G555" i="7"/>
  <c r="G558" i="7"/>
  <c r="G559" i="7"/>
  <c r="G547" i="7"/>
  <c r="D531" i="7"/>
  <c r="G528" i="7"/>
  <c r="G556" i="7"/>
  <c r="G544" i="7"/>
  <c r="D530" i="7"/>
  <c r="G529" i="7"/>
  <c r="G557" i="7"/>
  <c r="G545" i="7"/>
  <c r="D535" i="7"/>
  <c r="G526" i="7"/>
  <c r="G554" i="7"/>
  <c r="G542" i="7"/>
  <c r="D534" i="7"/>
  <c r="G527" i="7"/>
  <c r="G552" i="7"/>
  <c r="G540" i="7"/>
  <c r="G535" i="7"/>
  <c r="G525" i="7"/>
  <c r="D520" i="7"/>
  <c r="D519" i="7"/>
  <c r="D521" i="7"/>
  <c r="D518" i="7"/>
  <c r="D517" i="7"/>
  <c r="D516" i="7"/>
  <c r="G520" i="7"/>
  <c r="G521" i="7"/>
  <c r="G518" i="7"/>
  <c r="G519" i="7"/>
  <c r="G516" i="7"/>
  <c r="G517" i="7"/>
  <c r="D513" i="7"/>
  <c r="D501" i="7"/>
  <c r="D489" i="7"/>
  <c r="D477" i="7"/>
  <c r="D512" i="7"/>
  <c r="D500" i="7"/>
  <c r="D488" i="7"/>
  <c r="D476" i="7"/>
  <c r="D511" i="7"/>
  <c r="D499" i="7"/>
  <c r="D487" i="7"/>
  <c r="D475" i="7"/>
  <c r="D510" i="7"/>
  <c r="D498" i="7"/>
  <c r="D486" i="7"/>
  <c r="D474" i="7"/>
  <c r="D509" i="7"/>
  <c r="D497" i="7"/>
  <c r="D485" i="7"/>
  <c r="D473" i="7"/>
  <c r="D508" i="7"/>
  <c r="D496" i="7"/>
  <c r="D484" i="7"/>
  <c r="D472" i="7"/>
  <c r="D507" i="7"/>
  <c r="D495" i="7"/>
  <c r="D483" i="7"/>
  <c r="D471" i="7"/>
  <c r="D506" i="7"/>
  <c r="D494" i="7"/>
  <c r="D482" i="7"/>
  <c r="D470" i="7"/>
  <c r="D505" i="7"/>
  <c r="D493" i="7"/>
  <c r="D481" i="7"/>
  <c r="D469" i="7"/>
  <c r="D504" i="7"/>
  <c r="D492" i="7"/>
  <c r="D480" i="7"/>
  <c r="D468" i="7"/>
  <c r="D515" i="7"/>
  <c r="D503" i="7"/>
  <c r="D491" i="7"/>
  <c r="D479" i="7"/>
  <c r="D467" i="7"/>
  <c r="D514" i="7"/>
  <c r="D502" i="7"/>
  <c r="D490" i="7"/>
  <c r="D478" i="7"/>
  <c r="G468" i="7"/>
  <c r="G505" i="7"/>
  <c r="G493" i="7"/>
  <c r="G482" i="7"/>
  <c r="G470" i="7"/>
  <c r="G513" i="7"/>
  <c r="G498" i="7"/>
  <c r="G475" i="7"/>
  <c r="G511" i="7"/>
  <c r="G488" i="7"/>
  <c r="G496" i="7"/>
  <c r="G473" i="7"/>
  <c r="G497" i="7"/>
  <c r="G494" i="7"/>
  <c r="G471" i="7"/>
  <c r="G507" i="7"/>
  <c r="G484" i="7"/>
  <c r="G514" i="7"/>
  <c r="G502" i="7"/>
  <c r="G491" i="7"/>
  <c r="G479" i="7"/>
  <c r="G490" i="7"/>
  <c r="G474" i="7"/>
  <c r="G481" i="7"/>
  <c r="G515" i="7"/>
  <c r="G503" i="7"/>
  <c r="G492" i="7"/>
  <c r="G480" i="7"/>
  <c r="G467" i="7"/>
  <c r="G512" i="7"/>
  <c r="G500" i="7"/>
  <c r="G489" i="7"/>
  <c r="G477" i="7"/>
  <c r="G501" i="7"/>
  <c r="G478" i="7"/>
  <c r="G510" i="7"/>
  <c r="G487" i="7"/>
  <c r="G499" i="7"/>
  <c r="G476" i="7"/>
  <c r="G508" i="7"/>
  <c r="G485" i="7"/>
  <c r="G509" i="7"/>
  <c r="G486" i="7"/>
  <c r="G506" i="7"/>
  <c r="G483" i="7"/>
  <c r="G495" i="7"/>
  <c r="G472" i="7"/>
  <c r="G504" i="7"/>
  <c r="G469" i="7"/>
  <c r="C96" i="7"/>
  <c r="D49" i="7"/>
  <c r="E96" i="7"/>
  <c r="E49" i="7"/>
  <c r="C49" i="7"/>
  <c r="D96" i="7"/>
  <c r="E467" i="7"/>
  <c r="L12" i="11"/>
  <c r="L18" i="11" s="1"/>
  <c r="L8" i="11"/>
  <c r="L11" i="11"/>
  <c r="L5" i="11"/>
  <c r="L9" i="11"/>
  <c r="L10" i="11"/>
  <c r="L4" i="11"/>
  <c r="L7" i="11"/>
  <c r="L6" i="11"/>
  <c r="D462" i="7"/>
  <c r="D454" i="7"/>
  <c r="D446" i="7"/>
  <c r="D422" i="7"/>
  <c r="D413" i="7"/>
  <c r="D399" i="7"/>
  <c r="D445" i="7"/>
  <c r="D412" i="7"/>
  <c r="D398" i="7"/>
  <c r="D444" i="7"/>
  <c r="D411" i="7"/>
  <c r="D427" i="7"/>
  <c r="D461" i="7"/>
  <c r="D460" i="7"/>
  <c r="D459" i="7"/>
  <c r="D451" i="7"/>
  <c r="D443" i="7"/>
  <c r="D419" i="7"/>
  <c r="D410" i="7"/>
  <c r="D396" i="7"/>
  <c r="D458" i="7"/>
  <c r="D450" i="7"/>
  <c r="D442" i="7"/>
  <c r="D418" i="7"/>
  <c r="D409" i="7"/>
  <c r="D395" i="7"/>
  <c r="D465" i="7"/>
  <c r="D449" i="7"/>
  <c r="D428" i="7"/>
  <c r="D417" i="7"/>
  <c r="D408" i="7"/>
  <c r="D456" i="7"/>
  <c r="D407" i="7"/>
  <c r="D466" i="7"/>
  <c r="D457" i="7"/>
  <c r="D394" i="7"/>
  <c r="D448" i="7"/>
  <c r="D463" i="7"/>
  <c r="D455" i="7"/>
  <c r="D447" i="7"/>
  <c r="D426" i="7"/>
  <c r="D415" i="7"/>
  <c r="D406" i="7"/>
  <c r="D453" i="7"/>
  <c r="D421" i="7"/>
  <c r="D452" i="7"/>
  <c r="D420" i="7"/>
  <c r="D397" i="7"/>
  <c r="D464" i="7"/>
  <c r="D416" i="7"/>
  <c r="D438" i="7"/>
  <c r="D434" i="7"/>
  <c r="D441" i="7"/>
  <c r="D424" i="7"/>
  <c r="D401" i="7"/>
  <c r="D440" i="7"/>
  <c r="D436" i="7"/>
  <c r="D402" i="7"/>
  <c r="D437" i="7"/>
  <c r="D433" i="7"/>
  <c r="D423" i="7"/>
  <c r="D414" i="7"/>
  <c r="D400" i="7"/>
  <c r="D431" i="7"/>
  <c r="D403" i="7"/>
  <c r="D439" i="7"/>
  <c r="D435" i="7"/>
  <c r="D430" i="7"/>
  <c r="D425" i="7"/>
  <c r="D405" i="7"/>
  <c r="D432" i="7"/>
  <c r="D429" i="7"/>
  <c r="D404" i="7"/>
  <c r="U443" i="7"/>
  <c r="U437" i="7"/>
  <c r="U433" i="7"/>
  <c r="U446" i="7"/>
  <c r="U458" i="7"/>
  <c r="U430" i="7"/>
  <c r="U436" i="7"/>
  <c r="U451" i="7"/>
  <c r="U448" i="7"/>
  <c r="U452" i="7"/>
  <c r="U439" i="7"/>
  <c r="U442" i="7"/>
  <c r="U445" i="7"/>
  <c r="U457" i="7"/>
  <c r="U427" i="7"/>
  <c r="U425" i="7"/>
  <c r="U428" i="7"/>
  <c r="U431" i="7"/>
  <c r="U434" i="7"/>
  <c r="U449" i="7"/>
  <c r="U455" i="7"/>
  <c r="U461" i="7"/>
  <c r="U464" i="7"/>
  <c r="U424" i="7"/>
  <c r="U454" i="7"/>
  <c r="U460" i="7"/>
  <c r="U466" i="7"/>
  <c r="U435" i="7"/>
  <c r="U438" i="7"/>
  <c r="U447" i="7"/>
  <c r="U450" i="7"/>
  <c r="U453" i="7"/>
  <c r="U456" i="7"/>
  <c r="U459" i="7"/>
  <c r="U462" i="7"/>
  <c r="S337" i="7"/>
  <c r="U337" i="7" s="1"/>
  <c r="U403" i="7"/>
  <c r="U385" i="7"/>
  <c r="U400" i="7"/>
  <c r="J177" i="7"/>
  <c r="S60" i="7"/>
  <c r="U60" i="7" s="1"/>
  <c r="S94" i="7"/>
  <c r="U94" i="7" s="1"/>
  <c r="U397" i="7"/>
  <c r="J318" i="7"/>
  <c r="S256" i="7"/>
  <c r="U256" i="7" s="1"/>
  <c r="U398" i="7"/>
  <c r="U421" i="7"/>
  <c r="U418" i="7"/>
  <c r="U419" i="7"/>
  <c r="U422" i="7"/>
  <c r="U394" i="7"/>
  <c r="U413" i="7"/>
  <c r="U412" i="7"/>
  <c r="U404" i="7"/>
  <c r="S101" i="7"/>
  <c r="U101" i="7" s="1"/>
  <c r="U395" i="7"/>
  <c r="U409" i="7"/>
  <c r="S266" i="7"/>
  <c r="U266" i="7" s="1"/>
  <c r="U401" i="7"/>
  <c r="U416" i="7"/>
  <c r="S81" i="7"/>
  <c r="U81" i="7" s="1"/>
  <c r="S318" i="7"/>
  <c r="U318" i="7" s="1"/>
  <c r="U399" i="7"/>
  <c r="U402" i="7"/>
  <c r="U405" i="7"/>
  <c r="U408" i="7"/>
  <c r="D383" i="7"/>
  <c r="D393" i="7"/>
  <c r="D392" i="7"/>
  <c r="D388" i="7"/>
  <c r="D385" i="7"/>
  <c r="D382" i="7"/>
  <c r="D381" i="7"/>
  <c r="D380" i="7"/>
  <c r="D387" i="7"/>
  <c r="D384" i="7"/>
  <c r="D391" i="7"/>
  <c r="D379" i="7"/>
  <c r="D389" i="7"/>
  <c r="D376" i="7"/>
  <c r="D386" i="7"/>
  <c r="D390" i="7"/>
  <c r="D378" i="7"/>
  <c r="D377" i="7"/>
  <c r="S102" i="7"/>
  <c r="U102" i="7" s="1"/>
  <c r="U373" i="7"/>
  <c r="U374" i="7"/>
  <c r="U382" i="7"/>
  <c r="S90" i="7"/>
  <c r="U90" i="7" s="1"/>
  <c r="U388" i="7"/>
  <c r="U379" i="7"/>
  <c r="U370" i="7"/>
  <c r="S321" i="7"/>
  <c r="U321" i="7" s="1"/>
  <c r="J122" i="7"/>
  <c r="J346" i="7"/>
  <c r="U368" i="7"/>
  <c r="U371" i="7"/>
  <c r="U377" i="7"/>
  <c r="U380" i="7"/>
  <c r="U383" i="7"/>
  <c r="U386" i="7"/>
  <c r="U389" i="7"/>
  <c r="U392" i="7"/>
  <c r="J152" i="7"/>
  <c r="J61" i="7"/>
  <c r="S122" i="7"/>
  <c r="U122" i="7" s="1"/>
  <c r="S334" i="7"/>
  <c r="U334" i="7" s="1"/>
  <c r="U369" i="7"/>
  <c r="U372" i="7"/>
  <c r="U375" i="7"/>
  <c r="U378" i="7"/>
  <c r="U381" i="7"/>
  <c r="U384" i="7"/>
  <c r="U387" i="7"/>
  <c r="U390" i="7"/>
  <c r="U393" i="7"/>
  <c r="D375" i="7"/>
  <c r="D374" i="7"/>
  <c r="D373" i="7"/>
  <c r="D372" i="7"/>
  <c r="D371" i="7"/>
  <c r="D370" i="7"/>
  <c r="D369" i="7"/>
  <c r="D368" i="7"/>
  <c r="D366" i="7"/>
  <c r="D354" i="7"/>
  <c r="D360" i="7"/>
  <c r="D367" i="7"/>
  <c r="D365" i="7"/>
  <c r="D353" i="7"/>
  <c r="D357" i="7"/>
  <c r="D356" i="7"/>
  <c r="D355" i="7"/>
  <c r="D364" i="7"/>
  <c r="D352" i="7"/>
  <c r="D351" i="7"/>
  <c r="D362" i="7"/>
  <c r="D361" i="7"/>
  <c r="D358" i="7"/>
  <c r="D363" i="7"/>
  <c r="D359" i="7"/>
  <c r="S210" i="7"/>
  <c r="U210" i="7" s="1"/>
  <c r="S353" i="7"/>
  <c r="U353" i="7" s="1"/>
  <c r="S356" i="7"/>
  <c r="U356" i="7" s="1"/>
  <c r="S359" i="7"/>
  <c r="U359" i="7" s="1"/>
  <c r="S362" i="7"/>
  <c r="U362" i="7" s="1"/>
  <c r="S365" i="7"/>
  <c r="U365" i="7" s="1"/>
  <c r="J351" i="7"/>
  <c r="J354" i="7"/>
  <c r="J357" i="7"/>
  <c r="J363" i="7"/>
  <c r="J366" i="7"/>
  <c r="S305" i="7"/>
  <c r="U305" i="7" s="1"/>
  <c r="J315" i="7"/>
  <c r="S351" i="7"/>
  <c r="U351" i="7" s="1"/>
  <c r="S354" i="7"/>
  <c r="U354" i="7" s="1"/>
  <c r="S357" i="7"/>
  <c r="U357" i="7" s="1"/>
  <c r="S360" i="7"/>
  <c r="U360" i="7" s="1"/>
  <c r="S363" i="7"/>
  <c r="U363" i="7" s="1"/>
  <c r="S366" i="7"/>
  <c r="U366" i="7" s="1"/>
  <c r="S332" i="7"/>
  <c r="U332" i="7" s="1"/>
  <c r="J352" i="7"/>
  <c r="J355" i="7"/>
  <c r="J358" i="7"/>
  <c r="J364" i="7"/>
  <c r="J95" i="7"/>
  <c r="S352" i="7"/>
  <c r="U352" i="7" s="1"/>
  <c r="S355" i="7"/>
  <c r="U355" i="7" s="1"/>
  <c r="S358" i="7"/>
  <c r="U358" i="7" s="1"/>
  <c r="S361" i="7"/>
  <c r="U361" i="7" s="1"/>
  <c r="S364" i="7"/>
  <c r="U364" i="7" s="1"/>
  <c r="S367" i="7"/>
  <c r="U367" i="7" s="1"/>
  <c r="J356" i="7"/>
  <c r="J362" i="7"/>
  <c r="J365" i="7"/>
  <c r="J314" i="7"/>
  <c r="S329" i="7"/>
  <c r="U329" i="7" s="1"/>
  <c r="S336" i="7"/>
  <c r="U336" i="7" s="1"/>
  <c r="S338" i="7"/>
  <c r="U338" i="7" s="1"/>
  <c r="J327" i="7"/>
  <c r="J33" i="7"/>
  <c r="J97" i="7"/>
  <c r="S62" i="7"/>
  <c r="U62" i="7" s="1"/>
  <c r="S92" i="7"/>
  <c r="U92" i="7" s="1"/>
  <c r="S259" i="7"/>
  <c r="U259" i="7" s="1"/>
  <c r="J324" i="7"/>
  <c r="S341" i="7"/>
  <c r="U341" i="7" s="1"/>
  <c r="S61" i="7"/>
  <c r="U61" i="7" s="1"/>
  <c r="J62" i="7"/>
  <c r="S314" i="7"/>
  <c r="U314" i="7" s="1"/>
  <c r="J32" i="7"/>
  <c r="S83" i="7"/>
  <c r="U83" i="7" s="1"/>
  <c r="J100" i="7"/>
  <c r="S302" i="7"/>
  <c r="U302" i="7" s="1"/>
  <c r="J60" i="7"/>
  <c r="J90" i="7"/>
  <c r="J256" i="7"/>
  <c r="S327" i="7"/>
  <c r="U327" i="7" s="1"/>
  <c r="J92" i="7"/>
  <c r="J269" i="7"/>
  <c r="S340" i="7"/>
  <c r="U340" i="7" s="1"/>
  <c r="S100" i="7"/>
  <c r="U100" i="7" s="1"/>
  <c r="S103" i="7"/>
  <c r="U103" i="7" s="1"/>
  <c r="J302" i="7"/>
  <c r="J88" i="7"/>
  <c r="J259" i="7"/>
  <c r="J321" i="7"/>
  <c r="S32" i="7"/>
  <c r="U32" i="7" s="1"/>
  <c r="S33" i="7"/>
  <c r="U33" i="7" s="1"/>
  <c r="J81" i="7"/>
  <c r="J94" i="7"/>
  <c r="J101" i="7"/>
  <c r="J338" i="7"/>
  <c r="J336" i="7"/>
  <c r="S119" i="7"/>
  <c r="U119" i="7" s="1"/>
  <c r="S69" i="7"/>
  <c r="U69" i="7" s="1"/>
  <c r="S344" i="7"/>
  <c r="U344" i="7" s="1"/>
  <c r="S350" i="7"/>
  <c r="U350" i="7" s="1"/>
  <c r="J348" i="7"/>
  <c r="J113" i="7"/>
  <c r="J331" i="7"/>
  <c r="S333" i="7"/>
  <c r="U333" i="7" s="1"/>
  <c r="J188" i="7"/>
  <c r="J311" i="7"/>
  <c r="S347" i="7"/>
  <c r="U347" i="7" s="1"/>
  <c r="S335" i="7"/>
  <c r="U335" i="7" s="1"/>
  <c r="J345" i="7"/>
  <c r="S154" i="7"/>
  <c r="J128" i="7"/>
  <c r="J333" i="7"/>
  <c r="J66" i="7"/>
  <c r="J242" i="7"/>
  <c r="S271" i="7"/>
  <c r="U271" i="7" s="1"/>
  <c r="S288" i="7"/>
  <c r="U288" i="7" s="1"/>
  <c r="J337" i="7"/>
  <c r="J341" i="7"/>
  <c r="S55" i="7"/>
  <c r="U55" i="7" s="1"/>
  <c r="J278" i="7"/>
  <c r="J330" i="7"/>
  <c r="J232" i="7"/>
  <c r="J332" i="7"/>
  <c r="J51" i="7"/>
  <c r="J262" i="7"/>
  <c r="J334" i="7"/>
  <c r="S267" i="7"/>
  <c r="U267" i="7" s="1"/>
  <c r="S345" i="7"/>
  <c r="U345" i="7" s="1"/>
  <c r="S348" i="7"/>
  <c r="U348" i="7" s="1"/>
  <c r="S312" i="7"/>
  <c r="U312" i="7" s="1"/>
  <c r="J349" i="7"/>
  <c r="J132" i="7"/>
  <c r="J329" i="7"/>
  <c r="S151" i="7"/>
  <c r="J220" i="7"/>
  <c r="S284" i="7"/>
  <c r="U284" i="7" s="1"/>
  <c r="J89" i="7"/>
  <c r="J339" i="7"/>
  <c r="J31" i="7"/>
  <c r="J335" i="7"/>
  <c r="J291" i="7"/>
  <c r="S325" i="7"/>
  <c r="U325" i="7" s="1"/>
  <c r="S330" i="7"/>
  <c r="U330" i="7" s="1"/>
  <c r="S346" i="7"/>
  <c r="U346" i="7" s="1"/>
  <c r="S331" i="7"/>
  <c r="U331" i="7" s="1"/>
  <c r="J344" i="7"/>
  <c r="J347" i="7"/>
  <c r="J350" i="7"/>
  <c r="G231" i="7"/>
  <c r="AC6" i="11"/>
  <c r="J7" i="11"/>
  <c r="J8" i="11"/>
  <c r="K8" i="11"/>
  <c r="K9" i="11"/>
  <c r="J10" i="11"/>
  <c r="K7" i="11"/>
  <c r="J9" i="11"/>
  <c r="J4" i="11"/>
  <c r="K10" i="11"/>
  <c r="K4" i="11"/>
  <c r="J5" i="11"/>
  <c r="K5" i="11"/>
  <c r="J6" i="11"/>
  <c r="K6" i="11"/>
  <c r="J11" i="11"/>
  <c r="K11" i="11"/>
  <c r="J12" i="11"/>
  <c r="K12" i="11"/>
  <c r="AC18" i="11"/>
  <c r="AC5" i="11"/>
  <c r="AC9" i="11"/>
  <c r="AC24" i="11"/>
  <c r="D347" i="7"/>
  <c r="D346" i="7"/>
  <c r="D345" i="7"/>
  <c r="D349" i="7"/>
  <c r="D348" i="7"/>
  <c r="D344" i="7"/>
  <c r="D350" i="7"/>
  <c r="D338" i="7"/>
  <c r="D335" i="7"/>
  <c r="D343" i="7"/>
  <c r="D330" i="7"/>
  <c r="D329" i="7"/>
  <c r="D339" i="7"/>
  <c r="D337" i="7"/>
  <c r="D334" i="7"/>
  <c r="D332" i="7"/>
  <c r="D342" i="7"/>
  <c r="D331" i="7"/>
  <c r="D340" i="7"/>
  <c r="D336" i="7"/>
  <c r="D333" i="7"/>
  <c r="D341" i="7"/>
  <c r="G327" i="7"/>
  <c r="G319" i="7"/>
  <c r="G279" i="7"/>
  <c r="G255" i="7"/>
  <c r="G247" i="7"/>
  <c r="G239" i="7"/>
  <c r="G223" i="7"/>
  <c r="G207" i="7"/>
  <c r="G199" i="7"/>
  <c r="G191" i="7"/>
  <c r="G183" i="7"/>
  <c r="G175" i="7"/>
  <c r="G167" i="7"/>
  <c r="G159" i="7"/>
  <c r="G151" i="7"/>
  <c r="G143" i="7"/>
  <c r="G135" i="7"/>
  <c r="G127" i="7"/>
  <c r="G119" i="7"/>
  <c r="G13" i="7"/>
  <c r="G5" i="7"/>
  <c r="D323" i="7"/>
  <c r="D315" i="7"/>
  <c r="D307" i="7"/>
  <c r="D299" i="7"/>
  <c r="D291" i="7"/>
  <c r="D283" i="7"/>
  <c r="D275" i="7"/>
  <c r="D267" i="7"/>
  <c r="D259" i="7"/>
  <c r="D251" i="7"/>
  <c r="D243" i="7"/>
  <c r="D235" i="7"/>
  <c r="D227" i="7"/>
  <c r="D219" i="7"/>
  <c r="D211" i="7"/>
  <c r="D203" i="7"/>
  <c r="D195" i="7"/>
  <c r="D187" i="7"/>
  <c r="D179" i="7"/>
  <c r="D171" i="7"/>
  <c r="D163" i="7"/>
  <c r="D155" i="7"/>
  <c r="D147" i="7"/>
  <c r="D139" i="7"/>
  <c r="D131" i="7"/>
  <c r="D123" i="7"/>
  <c r="D115" i="7"/>
  <c r="D107" i="7"/>
  <c r="D99" i="7"/>
  <c r="D90" i="7"/>
  <c r="D82" i="7"/>
  <c r="D74" i="7"/>
  <c r="D66" i="7"/>
  <c r="D58" i="7"/>
  <c r="D50" i="7"/>
  <c r="D41" i="7"/>
  <c r="D33" i="7"/>
  <c r="D25" i="7"/>
  <c r="D17" i="7"/>
  <c r="D9" i="7"/>
  <c r="G326" i="7"/>
  <c r="G318" i="7"/>
  <c r="G278" i="7"/>
  <c r="G254" i="7"/>
  <c r="G246" i="7"/>
  <c r="G238" i="7"/>
  <c r="G230" i="7"/>
  <c r="G222" i="7"/>
  <c r="G214" i="7"/>
  <c r="G198" i="7"/>
  <c r="G190" i="7"/>
  <c r="G182" i="7"/>
  <c r="G174" i="7"/>
  <c r="G166" i="7"/>
  <c r="G158" i="7"/>
  <c r="G150" i="7"/>
  <c r="G142" i="7"/>
  <c r="G134" i="7"/>
  <c r="G126" i="7"/>
  <c r="G118" i="7"/>
  <c r="G12" i="7"/>
  <c r="G4" i="7"/>
  <c r="D322" i="7"/>
  <c r="D314" i="7"/>
  <c r="D306" i="7"/>
  <c r="D298" i="7"/>
  <c r="D290" i="7"/>
  <c r="D282" i="7"/>
  <c r="D274" i="7"/>
  <c r="D266" i="7"/>
  <c r="D258" i="7"/>
  <c r="D250" i="7"/>
  <c r="D242" i="7"/>
  <c r="D234" i="7"/>
  <c r="D226" i="7"/>
  <c r="D218" i="7"/>
  <c r="D210" i="7"/>
  <c r="D202" i="7"/>
  <c r="D194" i="7"/>
  <c r="D186" i="7"/>
  <c r="D178" i="7"/>
  <c r="D170" i="7"/>
  <c r="D162" i="7"/>
  <c r="D154" i="7"/>
  <c r="D146" i="7"/>
  <c r="D138" i="7"/>
  <c r="D130" i="7"/>
  <c r="D122" i="7"/>
  <c r="D114" i="7"/>
  <c r="D106" i="7"/>
  <c r="D98" i="7"/>
  <c r="D89" i="7"/>
  <c r="D81" i="7"/>
  <c r="D73" i="7"/>
  <c r="D65" i="7"/>
  <c r="D57" i="7"/>
  <c r="D48" i="7"/>
  <c r="D40" i="7"/>
  <c r="D32" i="7"/>
  <c r="D24" i="7"/>
  <c r="D16" i="7"/>
  <c r="D8" i="7"/>
  <c r="G252" i="7"/>
  <c r="G236" i="7"/>
  <c r="G325" i="7"/>
  <c r="G317" i="7"/>
  <c r="G253" i="7"/>
  <c r="G245" i="7"/>
  <c r="G237" i="7"/>
  <c r="G229" i="7"/>
  <c r="G213" i="7"/>
  <c r="G197" i="7"/>
  <c r="G189" i="7"/>
  <c r="G181" i="7"/>
  <c r="G173" i="7"/>
  <c r="G165" i="7"/>
  <c r="G157" i="7"/>
  <c r="G149" i="7"/>
  <c r="G141" i="7"/>
  <c r="G133" i="7"/>
  <c r="G125" i="7"/>
  <c r="G117" i="7"/>
  <c r="G43" i="7"/>
  <c r="G35" i="7"/>
  <c r="G11" i="7"/>
  <c r="G3" i="7"/>
  <c r="D321" i="7"/>
  <c r="D313" i="7"/>
  <c r="D305" i="7"/>
  <c r="D297" i="7"/>
  <c r="D289" i="7"/>
  <c r="D281" i="7"/>
  <c r="D273" i="7"/>
  <c r="D265" i="7"/>
  <c r="D257" i="7"/>
  <c r="D249" i="7"/>
  <c r="D241" i="7"/>
  <c r="D233" i="7"/>
  <c r="D225" i="7"/>
  <c r="D217" i="7"/>
  <c r="D209" i="7"/>
  <c r="D201" i="7"/>
  <c r="D193" i="7"/>
  <c r="D185" i="7"/>
  <c r="D177" i="7"/>
  <c r="D169" i="7"/>
  <c r="D161" i="7"/>
  <c r="D153" i="7"/>
  <c r="D145" i="7"/>
  <c r="D137" i="7"/>
  <c r="D129" i="7"/>
  <c r="D121" i="7"/>
  <c r="D113" i="7"/>
  <c r="D105" i="7"/>
  <c r="D97" i="7"/>
  <c r="D88" i="7"/>
  <c r="D80" i="7"/>
  <c r="D72" i="7"/>
  <c r="D64" i="7"/>
  <c r="D56" i="7"/>
  <c r="D47" i="7"/>
  <c r="D39" i="7"/>
  <c r="D31" i="7"/>
  <c r="D23" i="7"/>
  <c r="D15" i="7"/>
  <c r="D7" i="7"/>
  <c r="G244" i="7"/>
  <c r="G324" i="7"/>
  <c r="G323" i="7"/>
  <c r="G251" i="7"/>
  <c r="G243" i="7"/>
  <c r="G235" i="7"/>
  <c r="G227" i="7"/>
  <c r="G219" i="7"/>
  <c r="G203" i="7"/>
  <c r="G195" i="7"/>
  <c r="G187" i="7"/>
  <c r="G179" i="7"/>
  <c r="G171" i="7"/>
  <c r="G163" i="7"/>
  <c r="G155" i="7"/>
  <c r="G147" i="7"/>
  <c r="G139" i="7"/>
  <c r="G131" i="7"/>
  <c r="G123" i="7"/>
  <c r="G41" i="7"/>
  <c r="G9" i="7"/>
  <c r="D327" i="7"/>
  <c r="D319" i="7"/>
  <c r="D311" i="7"/>
  <c r="D303" i="7"/>
  <c r="D295" i="7"/>
  <c r="D287" i="7"/>
  <c r="D279" i="7"/>
  <c r="D271" i="7"/>
  <c r="D263" i="7"/>
  <c r="D255" i="7"/>
  <c r="D247" i="7"/>
  <c r="D239" i="7"/>
  <c r="D231" i="7"/>
  <c r="D223" i="7"/>
  <c r="D215" i="7"/>
  <c r="D207" i="7"/>
  <c r="D199" i="7"/>
  <c r="D191" i="7"/>
  <c r="D183" i="7"/>
  <c r="D175" i="7"/>
  <c r="D167" i="7"/>
  <c r="D159" i="7"/>
  <c r="D151" i="7"/>
  <c r="D143" i="7"/>
  <c r="D135" i="7"/>
  <c r="D127" i="7"/>
  <c r="D119" i="7"/>
  <c r="D111" i="7"/>
  <c r="D103" i="7"/>
  <c r="D94" i="7"/>
  <c r="D86" i="7"/>
  <c r="D78" i="7"/>
  <c r="D70" i="7"/>
  <c r="D62" i="7"/>
  <c r="D54" i="7"/>
  <c r="D45" i="7"/>
  <c r="D37" i="7"/>
  <c r="D29" i="7"/>
  <c r="D21" i="7"/>
  <c r="D13" i="7"/>
  <c r="G322" i="7"/>
  <c r="G250" i="7"/>
  <c r="G242" i="7"/>
  <c r="G234" i="7"/>
  <c r="G226" i="7"/>
  <c r="G218" i="7"/>
  <c r="G202" i="7"/>
  <c r="G194" i="7"/>
  <c r="G186" i="7"/>
  <c r="G178" i="7"/>
  <c r="G170" i="7"/>
  <c r="G162" i="7"/>
  <c r="G154" i="7"/>
  <c r="G146" i="7"/>
  <c r="G138" i="7"/>
  <c r="G130" i="7"/>
  <c r="G122" i="7"/>
  <c r="G8" i="7"/>
  <c r="D326" i="7"/>
  <c r="D318" i="7"/>
  <c r="D310" i="7"/>
  <c r="D302" i="7"/>
  <c r="D294" i="7"/>
  <c r="D286" i="7"/>
  <c r="D278" i="7"/>
  <c r="D270" i="7"/>
  <c r="D262" i="7"/>
  <c r="D254" i="7"/>
  <c r="D246" i="7"/>
  <c r="D238" i="7"/>
  <c r="D230" i="7"/>
  <c r="D222" i="7"/>
  <c r="D214" i="7"/>
  <c r="D206" i="7"/>
  <c r="D198" i="7"/>
  <c r="D190" i="7"/>
  <c r="D182" i="7"/>
  <c r="D174" i="7"/>
  <c r="D166" i="7"/>
  <c r="D158" i="7"/>
  <c r="D150" i="7"/>
  <c r="D142" i="7"/>
  <c r="D134" i="7"/>
  <c r="D126" i="7"/>
  <c r="D118" i="7"/>
  <c r="D110" i="7"/>
  <c r="D102" i="7"/>
  <c r="D93" i="7"/>
  <c r="D85" i="7"/>
  <c r="D77" i="7"/>
  <c r="D69" i="7"/>
  <c r="D61" i="7"/>
  <c r="D53" i="7"/>
  <c r="D44" i="7"/>
  <c r="D36" i="7"/>
  <c r="D28" i="7"/>
  <c r="D20" i="7"/>
  <c r="D12" i="7"/>
  <c r="D4" i="7"/>
  <c r="G321" i="7"/>
  <c r="G328" i="7"/>
  <c r="G320" i="7"/>
  <c r="G280" i="7"/>
  <c r="G248" i="7"/>
  <c r="G240" i="7"/>
  <c r="G232" i="7"/>
  <c r="G224" i="7"/>
  <c r="G208" i="7"/>
  <c r="G200" i="7"/>
  <c r="G192" i="7"/>
  <c r="G184" i="7"/>
  <c r="G176" i="7"/>
  <c r="G168" i="7"/>
  <c r="G160" i="7"/>
  <c r="G152" i="7"/>
  <c r="G144" i="7"/>
  <c r="G136" i="7"/>
  <c r="G128" i="7"/>
  <c r="G120" i="7"/>
  <c r="G6" i="7"/>
  <c r="D324" i="7"/>
  <c r="D316" i="7"/>
  <c r="D308" i="7"/>
  <c r="D300" i="7"/>
  <c r="D292" i="7"/>
  <c r="D284" i="7"/>
  <c r="D276" i="7"/>
  <c r="D268" i="7"/>
  <c r="D260" i="7"/>
  <c r="D252" i="7"/>
  <c r="D244" i="7"/>
  <c r="D236" i="7"/>
  <c r="D228" i="7"/>
  <c r="D220" i="7"/>
  <c r="D212" i="7"/>
  <c r="D204" i="7"/>
  <c r="D196" i="7"/>
  <c r="D188" i="7"/>
  <c r="D180" i="7"/>
  <c r="D172" i="7"/>
  <c r="D164" i="7"/>
  <c r="D156" i="7"/>
  <c r="D148" i="7"/>
  <c r="D140" i="7"/>
  <c r="D132" i="7"/>
  <c r="D124" i="7"/>
  <c r="D116" i="7"/>
  <c r="D108" i="7"/>
  <c r="D100" i="7"/>
  <c r="D91" i="7"/>
  <c r="D83" i="7"/>
  <c r="D75" i="7"/>
  <c r="D67" i="7"/>
  <c r="D59" i="7"/>
  <c r="D51" i="7"/>
  <c r="D42" i="7"/>
  <c r="D34" i="7"/>
  <c r="D26" i="7"/>
  <c r="G225" i="7"/>
  <c r="G193" i="7"/>
  <c r="G161" i="7"/>
  <c r="G129" i="7"/>
  <c r="D325" i="7"/>
  <c r="D293" i="7"/>
  <c r="D261" i="7"/>
  <c r="D229" i="7"/>
  <c r="D197" i="7"/>
  <c r="D165" i="7"/>
  <c r="D133" i="7"/>
  <c r="D101" i="7"/>
  <c r="D68" i="7"/>
  <c r="D35" i="7"/>
  <c r="D10" i="7"/>
  <c r="D253" i="7"/>
  <c r="D157" i="7"/>
  <c r="D60" i="7"/>
  <c r="D328" i="7"/>
  <c r="G188" i="7"/>
  <c r="G156" i="7"/>
  <c r="G124" i="7"/>
  <c r="D320" i="7"/>
  <c r="D288" i="7"/>
  <c r="D256" i="7"/>
  <c r="D224" i="7"/>
  <c r="D192" i="7"/>
  <c r="D160" i="7"/>
  <c r="D128" i="7"/>
  <c r="D95" i="7"/>
  <c r="D63" i="7"/>
  <c r="D30" i="7"/>
  <c r="D6" i="7"/>
  <c r="D317" i="7"/>
  <c r="D221" i="7"/>
  <c r="D125" i="7"/>
  <c r="D27" i="7"/>
  <c r="D200" i="7"/>
  <c r="D11" i="7"/>
  <c r="G217" i="7"/>
  <c r="G185" i="7"/>
  <c r="G153" i="7"/>
  <c r="G121" i="7"/>
  <c r="D285" i="7"/>
  <c r="D189" i="7"/>
  <c r="D92" i="7"/>
  <c r="D5" i="7"/>
  <c r="D264" i="7"/>
  <c r="D71" i="7"/>
  <c r="G212" i="7"/>
  <c r="G180" i="7"/>
  <c r="G148" i="7"/>
  <c r="G116" i="7"/>
  <c r="D312" i="7"/>
  <c r="D280" i="7"/>
  <c r="D248" i="7"/>
  <c r="D216" i="7"/>
  <c r="D184" i="7"/>
  <c r="D152" i="7"/>
  <c r="D120" i="7"/>
  <c r="D87" i="7"/>
  <c r="D55" i="7"/>
  <c r="D22" i="7"/>
  <c r="D3" i="7"/>
  <c r="D19" i="7"/>
  <c r="G132" i="7"/>
  <c r="G34" i="7"/>
  <c r="D232" i="7"/>
  <c r="D38" i="7"/>
  <c r="G249" i="7"/>
  <c r="G209" i="7"/>
  <c r="G177" i="7"/>
  <c r="G145" i="7"/>
  <c r="D309" i="7"/>
  <c r="D277" i="7"/>
  <c r="D245" i="7"/>
  <c r="D213" i="7"/>
  <c r="D181" i="7"/>
  <c r="D149" i="7"/>
  <c r="D117" i="7"/>
  <c r="D84" i="7"/>
  <c r="D52" i="7"/>
  <c r="D2" i="7"/>
  <c r="G164" i="7"/>
  <c r="D168" i="7"/>
  <c r="G241" i="7"/>
  <c r="G204" i="7"/>
  <c r="G172" i="7"/>
  <c r="G140" i="7"/>
  <c r="G42" i="7"/>
  <c r="G10" i="7"/>
  <c r="D304" i="7"/>
  <c r="D272" i="7"/>
  <c r="D240" i="7"/>
  <c r="D208" i="7"/>
  <c r="D176" i="7"/>
  <c r="D144" i="7"/>
  <c r="D112" i="7"/>
  <c r="D79" i="7"/>
  <c r="D46" i="7"/>
  <c r="D18" i="7"/>
  <c r="G228" i="7"/>
  <c r="D136" i="7"/>
  <c r="G233" i="7"/>
  <c r="G201" i="7"/>
  <c r="G169" i="7"/>
  <c r="G137" i="7"/>
  <c r="G7" i="7"/>
  <c r="D301" i="7"/>
  <c r="D269" i="7"/>
  <c r="D237" i="7"/>
  <c r="D205" i="7"/>
  <c r="D173" i="7"/>
  <c r="D141" i="7"/>
  <c r="D109" i="7"/>
  <c r="D76" i="7"/>
  <c r="D43" i="7"/>
  <c r="D14" i="7"/>
  <c r="G281" i="7"/>
  <c r="G196" i="7"/>
  <c r="G2" i="7"/>
  <c r="D296" i="7"/>
  <c r="D104" i="7"/>
  <c r="J297" i="7"/>
  <c r="S53" i="7"/>
  <c r="U53" i="7" s="1"/>
  <c r="J57" i="7"/>
  <c r="J67" i="7"/>
  <c r="J140" i="7"/>
  <c r="S157" i="7"/>
  <c r="S160" i="7"/>
  <c r="S226" i="7"/>
  <c r="U226" i="7" s="1"/>
  <c r="J287" i="7"/>
  <c r="J295" i="7"/>
  <c r="J303" i="7"/>
  <c r="J308" i="7"/>
  <c r="S319" i="7"/>
  <c r="U319" i="7" s="1"/>
  <c r="J71" i="7"/>
  <c r="J77" i="7"/>
  <c r="J58" i="7"/>
  <c r="J106" i="7"/>
  <c r="J120" i="7"/>
  <c r="S158" i="7"/>
  <c r="S238" i="7"/>
  <c r="U238" i="7" s="1"/>
  <c r="J285" i="7"/>
  <c r="J288" i="7"/>
  <c r="J293" i="7"/>
  <c r="J296" i="7"/>
  <c r="S308" i="7"/>
  <c r="U308" i="7" s="1"/>
  <c r="J325" i="7"/>
  <c r="S57" i="7"/>
  <c r="U57" i="7" s="1"/>
  <c r="J53" i="7"/>
  <c r="S194" i="7"/>
  <c r="U194" i="7" s="1"/>
  <c r="J236" i="7"/>
  <c r="S298" i="7"/>
  <c r="U298" i="7" s="1"/>
  <c r="J184" i="7"/>
  <c r="J250" i="7"/>
  <c r="J283" i="7"/>
  <c r="S71" i="7"/>
  <c r="U71" i="7" s="1"/>
  <c r="S77" i="7"/>
  <c r="U77" i="7" s="1"/>
  <c r="S117" i="7"/>
  <c r="U117" i="7" s="1"/>
  <c r="J131" i="7"/>
  <c r="S191" i="7"/>
  <c r="U191" i="7" s="1"/>
  <c r="J299" i="7"/>
  <c r="J307" i="7"/>
  <c r="J319" i="7"/>
  <c r="S67" i="7"/>
  <c r="U67" i="7" s="1"/>
  <c r="J72" i="7"/>
  <c r="S127" i="7"/>
  <c r="U127" i="7" s="1"/>
  <c r="S292" i="7"/>
  <c r="U292" i="7" s="1"/>
  <c r="J186" i="7"/>
  <c r="J204" i="7"/>
  <c r="S229" i="7"/>
  <c r="J248" i="7"/>
  <c r="S280" i="7"/>
  <c r="U280" i="7" s="1"/>
  <c r="J284" i="7"/>
  <c r="J289" i="7"/>
  <c r="J292" i="7"/>
  <c r="J312" i="7"/>
  <c r="J44" i="7"/>
  <c r="J109" i="7"/>
  <c r="S233" i="7"/>
  <c r="J246" i="7"/>
  <c r="J301" i="7"/>
  <c r="J34" i="7"/>
  <c r="S38" i="7"/>
  <c r="U38" i="7" s="1"/>
  <c r="J42" i="7"/>
  <c r="J170" i="7"/>
  <c r="S217" i="7"/>
  <c r="U217" i="7" s="1"/>
  <c r="J272" i="7"/>
  <c r="S315" i="7"/>
  <c r="U315" i="7" s="1"/>
  <c r="J54" i="7"/>
  <c r="J63" i="7"/>
  <c r="J68" i="7"/>
  <c r="J73" i="7"/>
  <c r="J78" i="7"/>
  <c r="J85" i="7"/>
  <c r="J112" i="7"/>
  <c r="J118" i="7"/>
  <c r="S135" i="7"/>
  <c r="J138" i="7"/>
  <c r="J156" i="7"/>
  <c r="J168" i="7"/>
  <c r="S215" i="7"/>
  <c r="U215" i="7" s="1"/>
  <c r="J218" i="7"/>
  <c r="S224" i="7"/>
  <c r="U224" i="7" s="1"/>
  <c r="S227" i="7"/>
  <c r="U227" i="7" s="1"/>
  <c r="J234" i="7"/>
  <c r="S242" i="7"/>
  <c r="U242" i="7" s="1"/>
  <c r="S248" i="7"/>
  <c r="U248" i="7" s="1"/>
  <c r="J268" i="7"/>
  <c r="J270" i="7"/>
  <c r="S278" i="7"/>
  <c r="U278" i="7" s="1"/>
  <c r="S283" i="7"/>
  <c r="U283" i="7" s="1"/>
  <c r="S285" i="7"/>
  <c r="U285" i="7" s="1"/>
  <c r="S287" i="7"/>
  <c r="U287" i="7" s="1"/>
  <c r="S289" i="7"/>
  <c r="U289" i="7" s="1"/>
  <c r="S291" i="7"/>
  <c r="U291" i="7" s="1"/>
  <c r="S293" i="7"/>
  <c r="U293" i="7" s="1"/>
  <c r="S295" i="7"/>
  <c r="U295" i="7" s="1"/>
  <c r="S297" i="7"/>
  <c r="U297" i="7" s="1"/>
  <c r="S299" i="7"/>
  <c r="U299" i="7" s="1"/>
  <c r="S301" i="7"/>
  <c r="U301" i="7" s="1"/>
  <c r="S303" i="7"/>
  <c r="U303" i="7" s="1"/>
  <c r="S307" i="7"/>
  <c r="U307" i="7" s="1"/>
  <c r="S311" i="7"/>
  <c r="U311" i="7" s="1"/>
  <c r="S313" i="7"/>
  <c r="U313" i="7" s="1"/>
  <c r="J316" i="7"/>
  <c r="J322" i="7"/>
  <c r="J328" i="7"/>
  <c r="M301" i="7"/>
  <c r="M305" i="7"/>
  <c r="J36" i="7"/>
  <c r="S46" i="7"/>
  <c r="U46" i="7" s="1"/>
  <c r="S206" i="7"/>
  <c r="U206" i="7" s="1"/>
  <c r="J258" i="7"/>
  <c r="J286" i="7"/>
  <c r="J304" i="7"/>
  <c r="S34" i="7"/>
  <c r="J83" i="7"/>
  <c r="S109" i="7"/>
  <c r="U109" i="7" s="1"/>
  <c r="J116" i="7"/>
  <c r="S123" i="7"/>
  <c r="U123" i="7" s="1"/>
  <c r="J127" i="7"/>
  <c r="S144" i="7"/>
  <c r="U144" i="7" s="1"/>
  <c r="J148" i="7"/>
  <c r="J154" i="7"/>
  <c r="S165" i="7"/>
  <c r="J194" i="7"/>
  <c r="S231" i="7"/>
  <c r="J238" i="7"/>
  <c r="S240" i="7"/>
  <c r="U240" i="7" s="1"/>
  <c r="S79" i="7"/>
  <c r="U79" i="7" s="1"/>
  <c r="S105" i="7"/>
  <c r="U105" i="7" s="1"/>
  <c r="U31" i="11"/>
  <c r="S36" i="11"/>
  <c r="U18" i="11"/>
  <c r="T38" i="11"/>
  <c r="R36" i="11"/>
  <c r="U38" i="11"/>
  <c r="U17" i="11"/>
  <c r="S38" i="11"/>
  <c r="U37" i="11"/>
  <c r="U16" i="11"/>
  <c r="R38" i="11"/>
  <c r="T31" i="11"/>
  <c r="U36" i="11"/>
  <c r="T37" i="11"/>
  <c r="S31" i="11"/>
  <c r="U11" i="11"/>
  <c r="T36" i="11"/>
  <c r="J82" i="7"/>
  <c r="S137" i="7"/>
  <c r="J144" i="7"/>
  <c r="S167" i="7"/>
  <c r="S208" i="7"/>
  <c r="U208" i="7" s="1"/>
  <c r="S44" i="7"/>
  <c r="U44" i="7" s="1"/>
  <c r="S51" i="7"/>
  <c r="U51" i="7" s="1"/>
  <c r="J104" i="7"/>
  <c r="J252" i="7"/>
  <c r="J294" i="7"/>
  <c r="J300" i="7"/>
  <c r="S42" i="7"/>
  <c r="J43" i="7"/>
  <c r="J50" i="7"/>
  <c r="J55" i="7"/>
  <c r="S63" i="7"/>
  <c r="U63" i="7" s="1"/>
  <c r="J69" i="7"/>
  <c r="S73" i="7"/>
  <c r="U73" i="7" s="1"/>
  <c r="J79" i="7"/>
  <c r="S85" i="7"/>
  <c r="U85" i="7" s="1"/>
  <c r="S121" i="7"/>
  <c r="U121" i="7" s="1"/>
  <c r="J124" i="7"/>
  <c r="S133" i="7"/>
  <c r="S156" i="7"/>
  <c r="S162" i="7"/>
  <c r="S174" i="7"/>
  <c r="S187" i="7"/>
  <c r="J214" i="7"/>
  <c r="S268" i="7"/>
  <c r="U268" i="7" s="1"/>
  <c r="S270" i="7"/>
  <c r="U270" i="7" s="1"/>
  <c r="J280" i="7"/>
  <c r="S37" i="11"/>
  <c r="R31" i="11"/>
  <c r="R37" i="11"/>
  <c r="S316" i="7"/>
  <c r="U316" i="7" s="1"/>
  <c r="S322" i="7"/>
  <c r="U322" i="7" s="1"/>
  <c r="S328" i="7"/>
  <c r="U328" i="7" s="1"/>
  <c r="S149" i="7"/>
  <c r="S36" i="7"/>
  <c r="U36" i="7" s="1"/>
  <c r="J136" i="7"/>
  <c r="S147" i="7"/>
  <c r="J216" i="7"/>
  <c r="J260" i="7"/>
  <c r="J290" i="7"/>
  <c r="J38" i="7"/>
  <c r="J64" i="7"/>
  <c r="J74" i="7"/>
  <c r="J86" i="7"/>
  <c r="J108" i="7"/>
  <c r="J137" i="7"/>
  <c r="S142" i="7"/>
  <c r="U142" i="7" s="1"/>
  <c r="J172" i="7"/>
  <c r="S201" i="7"/>
  <c r="U201" i="7" s="1"/>
  <c r="S204" i="7"/>
  <c r="U204" i="7" s="1"/>
  <c r="S207" i="7"/>
  <c r="U207" i="7" s="1"/>
  <c r="S216" i="7"/>
  <c r="U216" i="7" s="1"/>
  <c r="S247" i="7"/>
  <c r="S252" i="7"/>
  <c r="U252" i="7" s="1"/>
  <c r="S258" i="7"/>
  <c r="U258" i="7" s="1"/>
  <c r="S260" i="7"/>
  <c r="U260" i="7" s="1"/>
  <c r="S282" i="7"/>
  <c r="U282" i="7" s="1"/>
  <c r="S286" i="7"/>
  <c r="U286" i="7" s="1"/>
  <c r="S290" i="7"/>
  <c r="U290" i="7" s="1"/>
  <c r="S294" i="7"/>
  <c r="U294" i="7" s="1"/>
  <c r="S296" i="7"/>
  <c r="U296" i="7" s="1"/>
  <c r="S300" i="7"/>
  <c r="U300" i="7" s="1"/>
  <c r="S304" i="7"/>
  <c r="U304" i="7" s="1"/>
  <c r="J313" i="7"/>
  <c r="G261" i="7"/>
  <c r="AC19" i="11"/>
  <c r="AC10" i="11"/>
  <c r="T11" i="11"/>
  <c r="S11" i="11"/>
  <c r="T18" i="11"/>
  <c r="R18" i="11"/>
  <c r="S18" i="11"/>
  <c r="R17" i="11"/>
  <c r="T17" i="11"/>
  <c r="R16" i="11"/>
  <c r="S17" i="11"/>
  <c r="R11" i="11"/>
  <c r="T16" i="11"/>
  <c r="S16" i="11"/>
  <c r="U42" i="10"/>
  <c r="AA42" i="10" s="1"/>
  <c r="AB42" i="10" s="1"/>
  <c r="U43" i="10"/>
  <c r="AA43" i="10" s="1"/>
  <c r="AB43" i="10" s="1"/>
  <c r="U41" i="10"/>
  <c r="AA41" i="10" s="1"/>
  <c r="AB41" i="10" s="1"/>
  <c r="E997" i="7"/>
  <c r="C995" i="7"/>
  <c r="E990" i="7"/>
  <c r="E985" i="7"/>
  <c r="C984" i="7"/>
  <c r="C997" i="7"/>
  <c r="C990" i="7"/>
  <c r="E987" i="7"/>
  <c r="C985" i="7"/>
  <c r="E994" i="7"/>
  <c r="E992" i="7"/>
  <c r="C987" i="7"/>
  <c r="C994" i="7"/>
  <c r="C992" i="7"/>
  <c r="E989" i="7"/>
  <c r="E991" i="7"/>
  <c r="C996" i="7"/>
  <c r="E986" i="7"/>
  <c r="E996" i="7"/>
  <c r="C989" i="7"/>
  <c r="E984" i="7"/>
  <c r="E993" i="7"/>
  <c r="C991" i="7"/>
  <c r="E988" i="7"/>
  <c r="C986" i="7"/>
  <c r="E995" i="7"/>
  <c r="C993" i="7"/>
  <c r="C988" i="7"/>
  <c r="D12" i="11"/>
  <c r="H10" i="11"/>
  <c r="G9" i="11"/>
  <c r="F8" i="11"/>
  <c r="E7" i="11"/>
  <c r="D6" i="11"/>
  <c r="M4" i="11"/>
  <c r="M9" i="11"/>
  <c r="H7" i="11"/>
  <c r="G6" i="11"/>
  <c r="F5" i="11"/>
  <c r="E4" i="11"/>
  <c r="M11" i="11"/>
  <c r="G10" i="11"/>
  <c r="F9" i="11"/>
  <c r="E8" i="11"/>
  <c r="D7" i="11"/>
  <c r="M5" i="11"/>
  <c r="I4" i="11"/>
  <c r="M12" i="11"/>
  <c r="I11" i="11"/>
  <c r="F10" i="11"/>
  <c r="E9" i="11"/>
  <c r="D8" i="11"/>
  <c r="M6" i="11"/>
  <c r="I5" i="11"/>
  <c r="H4" i="11"/>
  <c r="F11" i="11"/>
  <c r="I12" i="11"/>
  <c r="H11" i="11"/>
  <c r="E10" i="11"/>
  <c r="D9" i="11"/>
  <c r="M7" i="11"/>
  <c r="I6" i="11"/>
  <c r="H5" i="11"/>
  <c r="G4" i="11"/>
  <c r="I8" i="11"/>
  <c r="H12" i="11"/>
  <c r="G11" i="11"/>
  <c r="D10" i="11"/>
  <c r="M8" i="11"/>
  <c r="I7" i="11"/>
  <c r="H6" i="11"/>
  <c r="G5" i="11"/>
  <c r="F4" i="11"/>
  <c r="G12" i="11"/>
  <c r="F12" i="11"/>
  <c r="E11" i="11"/>
  <c r="M10" i="11"/>
  <c r="I9" i="11"/>
  <c r="H8" i="11"/>
  <c r="G7" i="11"/>
  <c r="F6" i="11"/>
  <c r="E5" i="11"/>
  <c r="D4" i="11"/>
  <c r="I10" i="11"/>
  <c r="H9" i="11"/>
  <c r="G8" i="11"/>
  <c r="F7" i="11"/>
  <c r="E6" i="11"/>
  <c r="D5" i="11"/>
  <c r="E12" i="11"/>
  <c r="D11" i="11"/>
  <c r="S75" i="7"/>
  <c r="U75" i="7" s="1"/>
  <c r="S183" i="7"/>
  <c r="U183" i="7" s="1"/>
  <c r="S192" i="7"/>
  <c r="U192" i="7" s="1"/>
  <c r="J17" i="7"/>
  <c r="J45" i="7"/>
  <c r="J249" i="7"/>
  <c r="J239" i="7"/>
  <c r="J231" i="7"/>
  <c r="J151" i="7"/>
  <c r="S163" i="7"/>
  <c r="J166" i="7"/>
  <c r="S197" i="7"/>
  <c r="U197" i="7" s="1"/>
  <c r="J200" i="7"/>
  <c r="S213" i="7"/>
  <c r="U213" i="7" s="1"/>
  <c r="S222" i="7"/>
  <c r="U222" i="7" s="1"/>
  <c r="S245" i="7"/>
  <c r="S254" i="7"/>
  <c r="U254" i="7" s="1"/>
  <c r="S265" i="7"/>
  <c r="U265" i="7" s="1"/>
  <c r="J4" i="7"/>
  <c r="J209" i="7"/>
  <c r="J199" i="7"/>
  <c r="J183" i="7"/>
  <c r="J52" i="7"/>
  <c r="J202" i="7"/>
  <c r="J47" i="7"/>
  <c r="S115" i="7"/>
  <c r="U115" i="7" s="1"/>
  <c r="S40" i="7"/>
  <c r="U40" i="7" s="1"/>
  <c r="S120" i="7"/>
  <c r="U120" i="7" s="1"/>
  <c r="J35" i="7"/>
  <c r="S131" i="7"/>
  <c r="U131" i="7" s="1"/>
  <c r="J134" i="7"/>
  <c r="J141" i="7"/>
  <c r="S145" i="7"/>
  <c r="U145" i="7" s="1"/>
  <c r="S172" i="7"/>
  <c r="J182" i="7"/>
  <c r="S211" i="7"/>
  <c r="U211" i="7" s="1"/>
  <c r="S236" i="7"/>
  <c r="S261" i="7"/>
  <c r="U261" i="7" s="1"/>
  <c r="J93" i="7"/>
  <c r="S26" i="7"/>
  <c r="U26" i="7" s="1"/>
  <c r="S134" i="7"/>
  <c r="S106" i="7"/>
  <c r="U106" i="7" s="1"/>
  <c r="J150" i="7"/>
  <c r="S190" i="7"/>
  <c r="J5" i="7"/>
  <c r="J279" i="7"/>
  <c r="J265" i="7"/>
  <c r="J213" i="7"/>
  <c r="J211" i="7"/>
  <c r="J193" i="7"/>
  <c r="J165" i="7"/>
  <c r="J161" i="7"/>
  <c r="J155" i="7"/>
  <c r="J11" i="7"/>
  <c r="J281" i="7"/>
  <c r="J255" i="7"/>
  <c r="J223" i="7"/>
  <c r="J221" i="7"/>
  <c r="J203" i="7"/>
  <c r="J197" i="7"/>
  <c r="J275" i="7"/>
  <c r="J175" i="7"/>
  <c r="J41" i="7"/>
  <c r="J107" i="7"/>
  <c r="S113" i="7"/>
  <c r="U113" i="7" s="1"/>
  <c r="J125" i="7"/>
  <c r="S161" i="7"/>
  <c r="J164" i="7"/>
  <c r="S188" i="7"/>
  <c r="S195" i="7"/>
  <c r="U195" i="7" s="1"/>
  <c r="J198" i="7"/>
  <c r="S220" i="7"/>
  <c r="U220" i="7" s="1"/>
  <c r="J230" i="7"/>
  <c r="S281" i="7"/>
  <c r="U281" i="7" s="1"/>
  <c r="J37" i="7"/>
  <c r="J39" i="7"/>
  <c r="S50" i="7"/>
  <c r="U50" i="7" s="1"/>
  <c r="S52" i="7"/>
  <c r="U52" i="7" s="1"/>
  <c r="S54" i="7"/>
  <c r="U54" i="7" s="1"/>
  <c r="S56" i="7"/>
  <c r="U56" i="7" s="1"/>
  <c r="S58" i="7"/>
  <c r="U58" i="7" s="1"/>
  <c r="S64" i="7"/>
  <c r="U64" i="7" s="1"/>
  <c r="S66" i="7"/>
  <c r="U66" i="7" s="1"/>
  <c r="S68" i="7"/>
  <c r="U68" i="7" s="1"/>
  <c r="S70" i="7"/>
  <c r="U70" i="7" s="1"/>
  <c r="S72" i="7"/>
  <c r="U72" i="7" s="1"/>
  <c r="S74" i="7"/>
  <c r="U74" i="7" s="1"/>
  <c r="S76" i="7"/>
  <c r="U76" i="7" s="1"/>
  <c r="S78" i="7"/>
  <c r="U78" i="7" s="1"/>
  <c r="S82" i="7"/>
  <c r="U82" i="7" s="1"/>
  <c r="S84" i="7"/>
  <c r="U84" i="7" s="1"/>
  <c r="S86" i="7"/>
  <c r="U86" i="7" s="1"/>
  <c r="S93" i="7"/>
  <c r="U93" i="7" s="1"/>
  <c r="J105" i="7"/>
  <c r="S111" i="7"/>
  <c r="U111" i="7" s="1"/>
  <c r="J121" i="7"/>
  <c r="J123" i="7"/>
  <c r="S129" i="7"/>
  <c r="U129" i="7" s="1"/>
  <c r="J139" i="7"/>
  <c r="S143" i="7"/>
  <c r="U143" i="7" s="1"/>
  <c r="J146" i="7"/>
  <c r="S152" i="7"/>
  <c r="J162" i="7"/>
  <c r="S168" i="7"/>
  <c r="S170" i="7"/>
  <c r="S186" i="7"/>
  <c r="U186" i="7" s="1"/>
  <c r="S193" i="7"/>
  <c r="U193" i="7" s="1"/>
  <c r="J196" i="7"/>
  <c r="S202" i="7"/>
  <c r="U202" i="7" s="1"/>
  <c r="S209" i="7"/>
  <c r="U209" i="7" s="1"/>
  <c r="J212" i="7"/>
  <c r="S218" i="7"/>
  <c r="U218" i="7" s="1"/>
  <c r="S225" i="7"/>
  <c r="U225" i="7" s="1"/>
  <c r="J228" i="7"/>
  <c r="S234" i="7"/>
  <c r="J244" i="7"/>
  <c r="S250" i="7"/>
  <c r="U250" i="7" s="1"/>
  <c r="J264" i="7"/>
  <c r="S272" i="7"/>
  <c r="U272" i="7" s="1"/>
  <c r="S279" i="7"/>
  <c r="U279" i="7" s="1"/>
  <c r="J10" i="7"/>
  <c r="J219" i="7"/>
  <c r="J185" i="7"/>
  <c r="S185" i="7"/>
  <c r="U185" i="7" s="1"/>
  <c r="S138" i="7"/>
  <c r="S130" i="7"/>
  <c r="U130" i="7" s="1"/>
  <c r="S110" i="7"/>
  <c r="U110" i="7" s="1"/>
  <c r="J65" i="7"/>
  <c r="J75" i="7"/>
  <c r="J130" i="7"/>
  <c r="S150" i="7"/>
  <c r="J160" i="7"/>
  <c r="S175" i="7"/>
  <c r="S239" i="7"/>
  <c r="U239" i="7" s="1"/>
  <c r="S65" i="7"/>
  <c r="U65" i="7" s="1"/>
  <c r="J70" i="7"/>
  <c r="S199" i="7"/>
  <c r="U199" i="7" s="1"/>
  <c r="S47" i="7"/>
  <c r="U47" i="7" s="1"/>
  <c r="J24" i="7"/>
  <c r="J142" i="7"/>
  <c r="J257" i="7"/>
  <c r="J229" i="7"/>
  <c r="J225" i="7"/>
  <c r="J207" i="7"/>
  <c r="J205" i="7"/>
  <c r="J187" i="7"/>
  <c r="J149" i="7"/>
  <c r="J143" i="7"/>
  <c r="J20" i="7"/>
  <c r="J241" i="7"/>
  <c r="J233" i="7"/>
  <c r="J227" i="7"/>
  <c r="J217" i="7"/>
  <c r="J215" i="7"/>
  <c r="J189" i="7"/>
  <c r="J167" i="7"/>
  <c r="S2" i="7"/>
  <c r="U2" i="7" s="1"/>
  <c r="S132" i="7"/>
  <c r="S116" i="7"/>
  <c r="U116" i="7" s="1"/>
  <c r="S112" i="7"/>
  <c r="U112" i="7" s="1"/>
  <c r="S20" i="7"/>
  <c r="U20" i="7" s="1"/>
  <c r="S140" i="7"/>
  <c r="S136" i="7"/>
  <c r="S118" i="7"/>
  <c r="U118" i="7" s="1"/>
  <c r="S114" i="7"/>
  <c r="U114" i="7" s="1"/>
  <c r="S108" i="7"/>
  <c r="U108" i="7" s="1"/>
  <c r="S41" i="7"/>
  <c r="S43" i="7"/>
  <c r="J46" i="7"/>
  <c r="J48" i="7"/>
  <c r="S107" i="7"/>
  <c r="U107" i="7" s="1"/>
  <c r="J117" i="7"/>
  <c r="S125" i="7"/>
  <c r="U125" i="7" s="1"/>
  <c r="J135" i="7"/>
  <c r="S141" i="7"/>
  <c r="S155" i="7"/>
  <c r="J158" i="7"/>
  <c r="S164" i="7"/>
  <c r="S173" i="7"/>
  <c r="S182" i="7"/>
  <c r="U182" i="7" s="1"/>
  <c r="S189" i="7"/>
  <c r="J192" i="7"/>
  <c r="S198" i="7"/>
  <c r="U198" i="7" s="1"/>
  <c r="S205" i="7"/>
  <c r="U205" i="7" s="1"/>
  <c r="J208" i="7"/>
  <c r="S214" i="7"/>
  <c r="U214" i="7" s="1"/>
  <c r="S221" i="7"/>
  <c r="U221" i="7" s="1"/>
  <c r="J224" i="7"/>
  <c r="S230" i="7"/>
  <c r="J240" i="7"/>
  <c r="S275" i="7"/>
  <c r="U275" i="7" s="1"/>
  <c r="J163" i="7"/>
  <c r="J159" i="7"/>
  <c r="J56" i="7"/>
  <c r="J129" i="7"/>
  <c r="J267" i="7"/>
  <c r="J243" i="7"/>
  <c r="J235" i="7"/>
  <c r="J173" i="7"/>
  <c r="J153" i="7"/>
  <c r="J145" i="7"/>
  <c r="S45" i="7"/>
  <c r="U45" i="7" s="1"/>
  <c r="J119" i="7"/>
  <c r="S166" i="7"/>
  <c r="S184" i="7"/>
  <c r="U184" i="7" s="1"/>
  <c r="S200" i="7"/>
  <c r="U200" i="7" s="1"/>
  <c r="J210" i="7"/>
  <c r="S223" i="7"/>
  <c r="U223" i="7" s="1"/>
  <c r="J226" i="7"/>
  <c r="S232" i="7"/>
  <c r="S255" i="7"/>
  <c r="U255" i="7" s="1"/>
  <c r="J3" i="7"/>
  <c r="J237" i="7"/>
  <c r="J191" i="7"/>
  <c r="J171" i="7"/>
  <c r="J9" i="7"/>
  <c r="J271" i="7"/>
  <c r="J261" i="7"/>
  <c r="J253" i="7"/>
  <c r="J201" i="7"/>
  <c r="J195" i="7"/>
  <c r="J157" i="7"/>
  <c r="J13" i="7"/>
  <c r="J273" i="7"/>
  <c r="S3" i="7"/>
  <c r="U3" i="7" s="1"/>
  <c r="S124" i="7"/>
  <c r="U124" i="7" s="1"/>
  <c r="S104" i="7"/>
  <c r="U104" i="7" s="1"/>
  <c r="S28" i="7"/>
  <c r="U28" i="7" s="1"/>
  <c r="S128" i="7"/>
  <c r="U128" i="7" s="1"/>
  <c r="S35" i="7"/>
  <c r="S37" i="7"/>
  <c r="U37" i="7" s="1"/>
  <c r="S39" i="7"/>
  <c r="U39" i="7" s="1"/>
  <c r="J115" i="7"/>
  <c r="J126" i="7"/>
  <c r="J133" i="7"/>
  <c r="S139" i="7"/>
  <c r="S171" i="7"/>
  <c r="J174" i="7"/>
  <c r="J190" i="7"/>
  <c r="S196" i="7"/>
  <c r="U196" i="7" s="1"/>
  <c r="S203" i="7"/>
  <c r="U203" i="7" s="1"/>
  <c r="J206" i="7"/>
  <c r="S212" i="7"/>
  <c r="U212" i="7" s="1"/>
  <c r="S219" i="7"/>
  <c r="U219" i="7" s="1"/>
  <c r="J222" i="7"/>
  <c r="S228" i="7"/>
  <c r="U228" i="7" s="1"/>
  <c r="S235" i="7"/>
  <c r="S244" i="7"/>
  <c r="U244" i="7" s="1"/>
  <c r="S251" i="7"/>
  <c r="U251" i="7" s="1"/>
  <c r="J254" i="7"/>
  <c r="S262" i="7"/>
  <c r="U262" i="7" s="1"/>
  <c r="S264" i="7"/>
  <c r="U264" i="7" s="1"/>
  <c r="S273" i="7"/>
  <c r="U273" i="7" s="1"/>
  <c r="C88" i="7"/>
  <c r="E87" i="7"/>
  <c r="V140" i="7"/>
  <c r="V976" i="7"/>
  <c r="V916" i="7"/>
  <c r="V892" i="7"/>
  <c r="V880" i="7"/>
  <c r="V832" i="7"/>
  <c r="V928" i="7"/>
  <c r="V940" i="7"/>
  <c r="V844" i="7"/>
  <c r="V868" i="7"/>
  <c r="V904" i="7"/>
  <c r="V964" i="7"/>
  <c r="V856" i="7"/>
  <c r="V952" i="7"/>
  <c r="V33" i="7"/>
  <c r="E88" i="7"/>
  <c r="V8" i="7"/>
  <c r="S48" i="7"/>
  <c r="U48" i="7" s="1"/>
  <c r="V82" i="7"/>
  <c r="V94" i="7"/>
  <c r="V107" i="7"/>
  <c r="V119" i="7"/>
  <c r="V131" i="7"/>
  <c r="V143" i="7"/>
  <c r="V155" i="7"/>
  <c r="V167" i="7"/>
  <c r="V179" i="7"/>
  <c r="V190" i="7"/>
  <c r="V202" i="7"/>
  <c r="V213" i="7"/>
  <c r="V225" i="7"/>
  <c r="V237" i="7"/>
  <c r="V249" i="7"/>
  <c r="V261" i="7"/>
  <c r="V273" i="7"/>
  <c r="V285" i="7"/>
  <c r="V306" i="7"/>
  <c r="V318" i="7"/>
  <c r="V341" i="7"/>
  <c r="V353" i="7"/>
  <c r="V365" i="7"/>
  <c r="V377" i="7"/>
  <c r="V389" i="7"/>
  <c r="V401" i="7"/>
  <c r="V413" i="7"/>
  <c r="V425" i="7"/>
  <c r="V437" i="7"/>
  <c r="V449" i="7"/>
  <c r="V461" i="7"/>
  <c r="V473" i="7"/>
  <c r="V485" i="7"/>
  <c r="V497" i="7"/>
  <c r="V509" i="7"/>
  <c r="V533" i="7"/>
  <c r="V545" i="7"/>
  <c r="V557" i="7"/>
  <c r="V568" i="7"/>
  <c r="V580" i="7"/>
  <c r="V592" i="7"/>
  <c r="V604" i="7"/>
  <c r="V616" i="7"/>
  <c r="V628" i="7"/>
  <c r="V640" i="7"/>
  <c r="V652" i="7"/>
  <c r="V664" i="7"/>
  <c r="V676" i="7"/>
  <c r="V688" i="7"/>
  <c r="V700" i="7"/>
  <c r="V712" i="7"/>
  <c r="V724" i="7"/>
  <c r="V736" i="7"/>
  <c r="V748" i="7"/>
  <c r="V760" i="7"/>
  <c r="V772" i="7"/>
  <c r="V784" i="7"/>
  <c r="V796" i="7"/>
  <c r="V808" i="7"/>
  <c r="V820" i="7"/>
  <c r="V577" i="7"/>
  <c r="V34" i="7"/>
  <c r="V58" i="7"/>
  <c r="V807" i="7"/>
  <c r="V819" i="7"/>
  <c r="V831" i="7"/>
  <c r="V843" i="7"/>
  <c r="V855" i="7"/>
  <c r="V867" i="7"/>
  <c r="V879" i="7"/>
  <c r="V891" i="7"/>
  <c r="V903" i="7"/>
  <c r="V915" i="7"/>
  <c r="V927" i="7"/>
  <c r="V939" i="7"/>
  <c r="V951" i="7"/>
  <c r="V963" i="7"/>
  <c r="V975" i="7"/>
  <c r="V821" i="7"/>
  <c r="V833" i="7"/>
  <c r="V845" i="7"/>
  <c r="V857" i="7"/>
  <c r="V869" i="7"/>
  <c r="V881" i="7"/>
  <c r="V893" i="7"/>
  <c r="V905" i="7"/>
  <c r="V917" i="7"/>
  <c r="V929" i="7"/>
  <c r="V941" i="7"/>
  <c r="V953" i="7"/>
  <c r="V965" i="7"/>
  <c r="V977" i="7"/>
  <c r="V10" i="7"/>
  <c r="V22" i="7"/>
  <c r="V70" i="7"/>
  <c r="V613" i="7"/>
  <c r="V637" i="7"/>
  <c r="V709" i="7"/>
  <c r="V54" i="7"/>
  <c r="V78" i="7"/>
  <c r="V103" i="7"/>
  <c r="V127" i="7"/>
  <c r="V175" i="7"/>
  <c r="V198" i="7"/>
  <c r="V221" i="7"/>
  <c r="V245" i="7"/>
  <c r="V269" i="7"/>
  <c r="V292" i="7"/>
  <c r="V314" i="7"/>
  <c r="V337" i="7"/>
  <c r="V361" i="7"/>
  <c r="V385" i="7"/>
  <c r="V409" i="7"/>
  <c r="V433" i="7"/>
  <c r="V457" i="7"/>
  <c r="V481" i="7"/>
  <c r="V493" i="7"/>
  <c r="V541" i="7"/>
  <c r="V565" i="7"/>
  <c r="V588" i="7"/>
  <c r="V612" i="7"/>
  <c r="V636" i="7"/>
  <c r="V660" i="7"/>
  <c r="V684" i="7"/>
  <c r="V708" i="7"/>
  <c r="V732" i="7"/>
  <c r="V756" i="7"/>
  <c r="V780" i="7"/>
  <c r="V804" i="7"/>
  <c r="V828" i="7"/>
  <c r="V852" i="7"/>
  <c r="V876" i="7"/>
  <c r="V900" i="7"/>
  <c r="V924" i="7"/>
  <c r="V948" i="7"/>
  <c r="V972" i="7"/>
  <c r="V55" i="7"/>
  <c r="V79" i="7"/>
  <c r="V116" i="7"/>
  <c r="V164" i="7"/>
  <c r="V187" i="7"/>
  <c r="V210" i="7"/>
  <c r="V234" i="7"/>
  <c r="V258" i="7"/>
  <c r="V282" i="7"/>
  <c r="V303" i="7"/>
  <c r="V327" i="7"/>
  <c r="V350" i="7"/>
  <c r="V374" i="7"/>
  <c r="V398" i="7"/>
  <c r="V422" i="7"/>
  <c r="V446" i="7"/>
  <c r="V470" i="7"/>
  <c r="V494" i="7"/>
  <c r="V530" i="7"/>
  <c r="V542" i="7"/>
  <c r="V554" i="7"/>
  <c r="V589" i="7"/>
  <c r="V601" i="7"/>
  <c r="V625" i="7"/>
  <c r="V649" i="7"/>
  <c r="V661" i="7"/>
  <c r="V673" i="7"/>
  <c r="V685" i="7"/>
  <c r="V697" i="7"/>
  <c r="V41" i="7"/>
  <c r="V66" i="7"/>
  <c r="V90" i="7"/>
  <c r="V115" i="7"/>
  <c r="V139" i="7"/>
  <c r="V163" i="7"/>
  <c r="V186" i="7"/>
  <c r="V209" i="7"/>
  <c r="V233" i="7"/>
  <c r="V257" i="7"/>
  <c r="V281" i="7"/>
  <c r="V302" i="7"/>
  <c r="V326" i="7"/>
  <c r="V349" i="7"/>
  <c r="V373" i="7"/>
  <c r="V397" i="7"/>
  <c r="V421" i="7"/>
  <c r="V445" i="7"/>
  <c r="V469" i="7"/>
  <c r="V505" i="7"/>
  <c r="V529" i="7"/>
  <c r="V553" i="7"/>
  <c r="V576" i="7"/>
  <c r="V600" i="7"/>
  <c r="V624" i="7"/>
  <c r="V648" i="7"/>
  <c r="V672" i="7"/>
  <c r="V696" i="7"/>
  <c r="V720" i="7"/>
  <c r="V744" i="7"/>
  <c r="V768" i="7"/>
  <c r="V792" i="7"/>
  <c r="V816" i="7"/>
  <c r="V840" i="7"/>
  <c r="V864" i="7"/>
  <c r="V888" i="7"/>
  <c r="V912" i="7"/>
  <c r="V936" i="7"/>
  <c r="V960" i="7"/>
  <c r="V42" i="7"/>
  <c r="V67" i="7"/>
  <c r="V91" i="7"/>
  <c r="V104" i="7"/>
  <c r="V128" i="7"/>
  <c r="V176" i="7"/>
  <c r="V199" i="7"/>
  <c r="V222" i="7"/>
  <c r="V246" i="7"/>
  <c r="V270" i="7"/>
  <c r="V293" i="7"/>
  <c r="V315" i="7"/>
  <c r="V338" i="7"/>
  <c r="V362" i="7"/>
  <c r="V386" i="7"/>
  <c r="V410" i="7"/>
  <c r="V434" i="7"/>
  <c r="V458" i="7"/>
  <c r="V482" i="7"/>
  <c r="V506" i="7"/>
  <c r="V721" i="7"/>
  <c r="V43" i="7"/>
  <c r="V56" i="7"/>
  <c r="V68" i="7"/>
  <c r="V80" i="7"/>
  <c r="V92" i="7"/>
  <c r="V105" i="7"/>
  <c r="V117" i="7"/>
  <c r="V129" i="7"/>
  <c r="V141" i="7"/>
  <c r="V165" i="7"/>
  <c r="V177" i="7"/>
  <c r="V188" i="7"/>
  <c r="V200" i="7"/>
  <c r="V211" i="7"/>
  <c r="V223" i="7"/>
  <c r="V235" i="7"/>
  <c r="V247" i="7"/>
  <c r="V259" i="7"/>
  <c r="V271" i="7"/>
  <c r="V283" i="7"/>
  <c r="V294" i="7"/>
  <c r="V304" i="7"/>
  <c r="V316" i="7"/>
  <c r="V328" i="7"/>
  <c r="V339" i="7"/>
  <c r="V351" i="7"/>
  <c r="V363" i="7"/>
  <c r="V375" i="7"/>
  <c r="V387" i="7"/>
  <c r="V399" i="7"/>
  <c r="V411" i="7"/>
  <c r="V423" i="7"/>
  <c r="V435" i="7"/>
  <c r="V447" i="7"/>
  <c r="V459" i="7"/>
  <c r="V471" i="7"/>
  <c r="V483" i="7"/>
  <c r="V495" i="7"/>
  <c r="V507" i="7"/>
  <c r="V531" i="7"/>
  <c r="V543" i="7"/>
  <c r="V555" i="7"/>
  <c r="V566" i="7"/>
  <c r="V578" i="7"/>
  <c r="V590" i="7"/>
  <c r="V602" i="7"/>
  <c r="V614" i="7"/>
  <c r="V626" i="7"/>
  <c r="V638" i="7"/>
  <c r="V650" i="7"/>
  <c r="V662" i="7"/>
  <c r="V674" i="7"/>
  <c r="V686" i="7"/>
  <c r="V698" i="7"/>
  <c r="V710" i="7"/>
  <c r="V722" i="7"/>
  <c r="V734" i="7"/>
  <c r="V746" i="7"/>
  <c r="V758" i="7"/>
  <c r="V770" i="7"/>
  <c r="V782" i="7"/>
  <c r="V806" i="7"/>
  <c r="V818" i="7"/>
  <c r="V830" i="7"/>
  <c r="V842" i="7"/>
  <c r="V854" i="7"/>
  <c r="V866" i="7"/>
  <c r="V878" i="7"/>
  <c r="V890" i="7"/>
  <c r="V902" i="7"/>
  <c r="V914" i="7"/>
  <c r="V926" i="7"/>
  <c r="V938" i="7"/>
  <c r="V950" i="7"/>
  <c r="V962" i="7"/>
  <c r="V974" i="7"/>
  <c r="V733" i="7"/>
  <c r="V745" i="7"/>
  <c r="V757" i="7"/>
  <c r="V769" i="7"/>
  <c r="V781" i="7"/>
  <c r="V793" i="7"/>
  <c r="V805" i="7"/>
  <c r="V817" i="7"/>
  <c r="V829" i="7"/>
  <c r="V841" i="7"/>
  <c r="V853" i="7"/>
  <c r="V865" i="7"/>
  <c r="V877" i="7"/>
  <c r="V889" i="7"/>
  <c r="V901" i="7"/>
  <c r="V913" i="7"/>
  <c r="V925" i="7"/>
  <c r="V937" i="7"/>
  <c r="V949" i="7"/>
  <c r="V961" i="7"/>
  <c r="V973" i="7"/>
  <c r="V44" i="7"/>
  <c r="V57" i="7"/>
  <c r="V69" i="7"/>
  <c r="V81" i="7"/>
  <c r="V93" i="7"/>
  <c r="V106" i="7"/>
  <c r="V118" i="7"/>
  <c r="V130" i="7"/>
  <c r="V142" i="7"/>
  <c r="V154" i="7"/>
  <c r="V166" i="7"/>
  <c r="V178" i="7"/>
  <c r="V189" i="7"/>
  <c r="V201" i="7"/>
  <c r="V212" i="7"/>
  <c r="V224" i="7"/>
  <c r="V236" i="7"/>
  <c r="V248" i="7"/>
  <c r="V260" i="7"/>
  <c r="V272" i="7"/>
  <c r="V284" i="7"/>
  <c r="V295" i="7"/>
  <c r="V305" i="7"/>
  <c r="V317" i="7"/>
  <c r="V329" i="7"/>
  <c r="V340" i="7"/>
  <c r="V352" i="7"/>
  <c r="V364" i="7"/>
  <c r="V376" i="7"/>
  <c r="V388" i="7"/>
  <c r="V400" i="7"/>
  <c r="V412" i="7"/>
  <c r="V424" i="7"/>
  <c r="V436" i="7"/>
  <c r="V448" i="7"/>
  <c r="V460" i="7"/>
  <c r="V472" i="7"/>
  <c r="V484" i="7"/>
  <c r="V496" i="7"/>
  <c r="V508" i="7"/>
  <c r="V532" i="7"/>
  <c r="V544" i="7"/>
  <c r="V556" i="7"/>
  <c r="V567" i="7"/>
  <c r="V579" i="7"/>
  <c r="V591" i="7"/>
  <c r="V603" i="7"/>
  <c r="V615" i="7"/>
  <c r="V627" i="7"/>
  <c r="V639" i="7"/>
  <c r="V651" i="7"/>
  <c r="V663" i="7"/>
  <c r="V675" i="7"/>
  <c r="V687" i="7"/>
  <c r="V699" i="7"/>
  <c r="V711" i="7"/>
  <c r="V723" i="7"/>
  <c r="V735" i="7"/>
  <c r="V747" i="7"/>
  <c r="V759" i="7"/>
  <c r="V771" i="7"/>
  <c r="V783" i="7"/>
  <c r="V795" i="7"/>
  <c r="V59" i="7"/>
  <c r="V71" i="7"/>
  <c r="V95" i="7"/>
  <c r="V108" i="7"/>
  <c r="V120" i="7"/>
  <c r="V132" i="7"/>
  <c r="V144" i="7"/>
  <c r="V156" i="7"/>
  <c r="V168" i="7"/>
  <c r="V180" i="7"/>
  <c r="V191" i="7"/>
  <c r="V203" i="7"/>
  <c r="V214" i="7"/>
  <c r="V226" i="7"/>
  <c r="V238" i="7"/>
  <c r="V250" i="7"/>
  <c r="V262" i="7"/>
  <c r="V274" i="7"/>
  <c r="V286" i="7"/>
  <c r="V307" i="7"/>
  <c r="V319" i="7"/>
  <c r="V331" i="7"/>
  <c r="V342" i="7"/>
  <c r="V354" i="7"/>
  <c r="V366" i="7"/>
  <c r="V378" i="7"/>
  <c r="V390" i="7"/>
  <c r="V402" i="7"/>
  <c r="V414" i="7"/>
  <c r="V426" i="7"/>
  <c r="V438" i="7"/>
  <c r="V450" i="7"/>
  <c r="V462" i="7"/>
  <c r="V474" i="7"/>
  <c r="V486" i="7"/>
  <c r="V498" i="7"/>
  <c r="V510" i="7"/>
  <c r="V522" i="7"/>
  <c r="V534" i="7"/>
  <c r="V546" i="7"/>
  <c r="V558" i="7"/>
  <c r="V569" i="7"/>
  <c r="V581" i="7"/>
  <c r="V593" i="7"/>
  <c r="V605" i="7"/>
  <c r="V617" i="7"/>
  <c r="V629" i="7"/>
  <c r="V641" i="7"/>
  <c r="V653" i="7"/>
  <c r="V665" i="7"/>
  <c r="V677" i="7"/>
  <c r="V689" i="7"/>
  <c r="V701" i="7"/>
  <c r="V713" i="7"/>
  <c r="V725" i="7"/>
  <c r="V737" i="7"/>
  <c r="V749" i="7"/>
  <c r="V761" i="7"/>
  <c r="V773" i="7"/>
  <c r="V785" i="7"/>
  <c r="V797" i="7"/>
  <c r="V809" i="7"/>
  <c r="V4" i="7"/>
  <c r="V6" i="7"/>
  <c r="V30" i="7"/>
  <c r="V14" i="7"/>
  <c r="V7" i="7"/>
  <c r="V19" i="7"/>
  <c r="V31" i="7"/>
  <c r="V26" i="7"/>
  <c r="V3" i="7"/>
  <c r="V28" i="7"/>
  <c r="V20" i="7"/>
  <c r="V32" i="7"/>
  <c r="V12" i="7"/>
  <c r="V2" i="7"/>
  <c r="V27" i="7"/>
  <c r="V16" i="7"/>
  <c r="V5" i="7"/>
  <c r="V17" i="7"/>
  <c r="V29" i="7"/>
  <c r="V9" i="7"/>
  <c r="V145" i="7"/>
  <c r="V310" i="7"/>
  <c r="V491" i="7"/>
  <c r="V40" i="7"/>
  <c r="V53" i="7"/>
  <c r="V65" i="7"/>
  <c r="V89" i="7"/>
  <c r="V102" i="7"/>
  <c r="V114" i="7"/>
  <c r="V126" i="7"/>
  <c r="V138" i="7"/>
  <c r="V162" i="7"/>
  <c r="V174" i="7"/>
  <c r="V185" i="7"/>
  <c r="V197" i="7"/>
  <c r="V208" i="7"/>
  <c r="V220" i="7"/>
  <c r="V232" i="7"/>
  <c r="V244" i="7"/>
  <c r="V256" i="7"/>
  <c r="V268" i="7"/>
  <c r="V280" i="7"/>
  <c r="V291" i="7"/>
  <c r="V301" i="7"/>
  <c r="V313" i="7"/>
  <c r="V325" i="7"/>
  <c r="V336" i="7"/>
  <c r="V348" i="7"/>
  <c r="V360" i="7"/>
  <c r="V372" i="7"/>
  <c r="V384" i="7"/>
  <c r="V396" i="7"/>
  <c r="V408" i="7"/>
  <c r="V420" i="7"/>
  <c r="V432" i="7"/>
  <c r="V444" i="7"/>
  <c r="V456" i="7"/>
  <c r="V468" i="7"/>
  <c r="V480" i="7"/>
  <c r="V492" i="7"/>
  <c r="V504" i="7"/>
  <c r="V528" i="7"/>
  <c r="V540" i="7"/>
  <c r="V552" i="7"/>
  <c r="V564" i="7"/>
  <c r="V575" i="7"/>
  <c r="V587" i="7"/>
  <c r="V599" i="7"/>
  <c r="V611" i="7"/>
  <c r="V623" i="7"/>
  <c r="V635" i="7"/>
  <c r="V647" i="7"/>
  <c r="V659" i="7"/>
  <c r="V671" i="7"/>
  <c r="V683" i="7"/>
  <c r="V695" i="7"/>
  <c r="V707" i="7"/>
  <c r="V719" i="7"/>
  <c r="V731" i="7"/>
  <c r="V743" i="7"/>
  <c r="V755" i="7"/>
  <c r="V767" i="7"/>
  <c r="V779" i="7"/>
  <c r="V791" i="7"/>
  <c r="V803" i="7"/>
  <c r="V815" i="7"/>
  <c r="V827" i="7"/>
  <c r="V839" i="7"/>
  <c r="V851" i="7"/>
  <c r="V863" i="7"/>
  <c r="V875" i="7"/>
  <c r="V887" i="7"/>
  <c r="V899" i="7"/>
  <c r="V911" i="7"/>
  <c r="V923" i="7"/>
  <c r="V935" i="7"/>
  <c r="V947" i="7"/>
  <c r="V959" i="7"/>
  <c r="V971" i="7"/>
  <c r="V983" i="7"/>
  <c r="V13" i="7"/>
  <c r="V25" i="7"/>
  <c r="V64" i="7"/>
  <c r="V598" i="7"/>
  <c r="V794" i="7"/>
  <c r="V308" i="7"/>
  <c r="V477" i="7"/>
  <c r="V72" i="7"/>
  <c r="V109" i="7"/>
  <c r="V157" i="7"/>
  <c r="V192" i="7"/>
  <c r="V227" i="7"/>
  <c r="V263" i="7"/>
  <c r="V296" i="7"/>
  <c r="V367" i="7"/>
  <c r="V403" i="7"/>
  <c r="V439" i="7"/>
  <c r="V475" i="7"/>
  <c r="V511" i="7"/>
  <c r="V547" i="7"/>
  <c r="V582" i="7"/>
  <c r="V618" i="7"/>
  <c r="V654" i="7"/>
  <c r="V690" i="7"/>
  <c r="V726" i="7"/>
  <c r="V762" i="7"/>
  <c r="V798" i="7"/>
  <c r="V834" i="7"/>
  <c r="V870" i="7"/>
  <c r="V894" i="7"/>
  <c r="V930" i="7"/>
  <c r="V978" i="7"/>
  <c r="V36" i="7"/>
  <c r="V73" i="7"/>
  <c r="V98" i="7"/>
  <c r="V122" i="7"/>
  <c r="V146" i="7"/>
  <c r="V216" i="7"/>
  <c r="V252" i="7"/>
  <c r="V288" i="7"/>
  <c r="V321" i="7"/>
  <c r="V356" i="7"/>
  <c r="V392" i="7"/>
  <c r="V428" i="7"/>
  <c r="V464" i="7"/>
  <c r="V500" i="7"/>
  <c r="V536" i="7"/>
  <c r="V571" i="7"/>
  <c r="V607" i="7"/>
  <c r="V643" i="7"/>
  <c r="V679" i="7"/>
  <c r="V715" i="7"/>
  <c r="V751" i="7"/>
  <c r="V787" i="7"/>
  <c r="V823" i="7"/>
  <c r="V859" i="7"/>
  <c r="V895" i="7"/>
  <c r="V919" i="7"/>
  <c r="V955" i="7"/>
  <c r="V860" i="7"/>
  <c r="V24" i="7"/>
  <c r="V84" i="7"/>
  <c r="V121" i="7"/>
  <c r="V181" i="7"/>
  <c r="V215" i="7"/>
  <c r="V251" i="7"/>
  <c r="V275" i="7"/>
  <c r="V379" i="7"/>
  <c r="V415" i="7"/>
  <c r="V451" i="7"/>
  <c r="V487" i="7"/>
  <c r="V523" i="7"/>
  <c r="V559" i="7"/>
  <c r="V594" i="7"/>
  <c r="V630" i="7"/>
  <c r="V666" i="7"/>
  <c r="V702" i="7"/>
  <c r="V738" i="7"/>
  <c r="V774" i="7"/>
  <c r="V810" i="7"/>
  <c r="V846" i="7"/>
  <c r="V882" i="7"/>
  <c r="V918" i="7"/>
  <c r="V954" i="7"/>
  <c r="V620" i="7"/>
  <c r="V61" i="7"/>
  <c r="V110" i="7"/>
  <c r="V134" i="7"/>
  <c r="V158" i="7"/>
  <c r="V193" i="7"/>
  <c r="V228" i="7"/>
  <c r="V264" i="7"/>
  <c r="V297" i="7"/>
  <c r="V368" i="7"/>
  <c r="V404" i="7"/>
  <c r="V440" i="7"/>
  <c r="V476" i="7"/>
  <c r="V512" i="7"/>
  <c r="V548" i="7"/>
  <c r="V583" i="7"/>
  <c r="V619" i="7"/>
  <c r="V655" i="7"/>
  <c r="V691" i="7"/>
  <c r="V727" i="7"/>
  <c r="V763" i="7"/>
  <c r="V799" i="7"/>
  <c r="V835" i="7"/>
  <c r="V871" i="7"/>
  <c r="V907" i="7"/>
  <c r="V943" i="7"/>
  <c r="V979" i="7"/>
  <c r="V35" i="7"/>
  <c r="V194" i="7"/>
  <c r="V347" i="7"/>
  <c r="V219" i="7"/>
  <c r="V60" i="7"/>
  <c r="V97" i="7"/>
  <c r="V133" i="7"/>
  <c r="V169" i="7"/>
  <c r="V204" i="7"/>
  <c r="V239" i="7"/>
  <c r="V287" i="7"/>
  <c r="V320" i="7"/>
  <c r="V355" i="7"/>
  <c r="V391" i="7"/>
  <c r="V427" i="7"/>
  <c r="V463" i="7"/>
  <c r="V499" i="7"/>
  <c r="V535" i="7"/>
  <c r="V570" i="7"/>
  <c r="V606" i="7"/>
  <c r="V642" i="7"/>
  <c r="V678" i="7"/>
  <c r="V714" i="7"/>
  <c r="V750" i="7"/>
  <c r="V786" i="7"/>
  <c r="V822" i="7"/>
  <c r="V858" i="7"/>
  <c r="V906" i="7"/>
  <c r="V942" i="7"/>
  <c r="V966" i="7"/>
  <c r="V170" i="7"/>
  <c r="V240" i="7"/>
  <c r="V276" i="7"/>
  <c r="V309" i="7"/>
  <c r="V344" i="7"/>
  <c r="V380" i="7"/>
  <c r="V416" i="7"/>
  <c r="V452" i="7"/>
  <c r="V488" i="7"/>
  <c r="V524" i="7"/>
  <c r="V560" i="7"/>
  <c r="V595" i="7"/>
  <c r="V631" i="7"/>
  <c r="V667" i="7"/>
  <c r="V703" i="7"/>
  <c r="V739" i="7"/>
  <c r="V775" i="7"/>
  <c r="V811" i="7"/>
  <c r="V847" i="7"/>
  <c r="V883" i="7"/>
  <c r="V931" i="7"/>
  <c r="V967" i="7"/>
  <c r="V37" i="7"/>
  <c r="V62" i="7"/>
  <c r="V99" i="7"/>
  <c r="V111" i="7"/>
  <c r="V123" i="7"/>
  <c r="V135" i="7"/>
  <c r="V147" i="7"/>
  <c r="V159" i="7"/>
  <c r="V171" i="7"/>
  <c r="V182" i="7"/>
  <c r="V205" i="7"/>
  <c r="V217" i="7"/>
  <c r="V229" i="7"/>
  <c r="V241" i="7"/>
  <c r="V253" i="7"/>
  <c r="V265" i="7"/>
  <c r="V277" i="7"/>
  <c r="V298" i="7"/>
  <c r="V322" i="7"/>
  <c r="V334" i="7"/>
  <c r="V345" i="7"/>
  <c r="V357" i="7"/>
  <c r="V369" i="7"/>
  <c r="V381" i="7"/>
  <c r="V393" i="7"/>
  <c r="V405" i="7"/>
  <c r="V417" i="7"/>
  <c r="V429" i="7"/>
  <c r="V441" i="7"/>
  <c r="V453" i="7"/>
  <c r="V465" i="7"/>
  <c r="V489" i="7"/>
  <c r="V501" i="7"/>
  <c r="V513" i="7"/>
  <c r="V525" i="7"/>
  <c r="V537" i="7"/>
  <c r="V549" i="7"/>
  <c r="V561" i="7"/>
  <c r="V572" i="7"/>
  <c r="V584" i="7"/>
  <c r="V596" i="7"/>
  <c r="V608" i="7"/>
  <c r="V632" i="7"/>
  <c r="V644" i="7"/>
  <c r="V656" i="7"/>
  <c r="V668" i="7"/>
  <c r="V680" i="7"/>
  <c r="V692" i="7"/>
  <c r="V704" i="7"/>
  <c r="V716" i="7"/>
  <c r="V728" i="7"/>
  <c r="V740" i="7"/>
  <c r="V752" i="7"/>
  <c r="V764" i="7"/>
  <c r="V776" i="7"/>
  <c r="V788" i="7"/>
  <c r="V800" i="7"/>
  <c r="V812" i="7"/>
  <c r="V824" i="7"/>
  <c r="V836" i="7"/>
  <c r="V848" i="7"/>
  <c r="V872" i="7"/>
  <c r="V884" i="7"/>
  <c r="V896" i="7"/>
  <c r="V920" i="7"/>
  <c r="V932" i="7"/>
  <c r="V944" i="7"/>
  <c r="V956" i="7"/>
  <c r="V968" i="7"/>
  <c r="V980" i="7"/>
  <c r="V407" i="7"/>
  <c r="V908" i="7"/>
  <c r="V51" i="7"/>
  <c r="V63" i="7"/>
  <c r="V75" i="7"/>
  <c r="V87" i="7"/>
  <c r="V100" i="7"/>
  <c r="V112" i="7"/>
  <c r="V124" i="7"/>
  <c r="V136" i="7"/>
  <c r="V148" i="7"/>
  <c r="V160" i="7"/>
  <c r="V172" i="7"/>
  <c r="V183" i="7"/>
  <c r="V195" i="7"/>
  <c r="V206" i="7"/>
  <c r="V218" i="7"/>
  <c r="V230" i="7"/>
  <c r="V242" i="7"/>
  <c r="V254" i="7"/>
  <c r="V266" i="7"/>
  <c r="V278" i="7"/>
  <c r="V289" i="7"/>
  <c r="V299" i="7"/>
  <c r="V311" i="7"/>
  <c r="V323" i="7"/>
  <c r="V346" i="7"/>
  <c r="V358" i="7"/>
  <c r="V370" i="7"/>
  <c r="V382" i="7"/>
  <c r="V394" i="7"/>
  <c r="V406" i="7"/>
  <c r="V418" i="7"/>
  <c r="V430" i="7"/>
  <c r="V442" i="7"/>
  <c r="V454" i="7"/>
  <c r="V466" i="7"/>
  <c r="V478" i="7"/>
  <c r="V490" i="7"/>
  <c r="V502" i="7"/>
  <c r="V514" i="7"/>
  <c r="V526" i="7"/>
  <c r="V538" i="7"/>
  <c r="V550" i="7"/>
  <c r="V562" i="7"/>
  <c r="V573" i="7"/>
  <c r="V585" i="7"/>
  <c r="V597" i="7"/>
  <c r="V609" i="7"/>
  <c r="V621" i="7"/>
  <c r="V633" i="7"/>
  <c r="V645" i="7"/>
  <c r="V657" i="7"/>
  <c r="V669" i="7"/>
  <c r="V681" i="7"/>
  <c r="V693" i="7"/>
  <c r="V705" i="7"/>
  <c r="V717" i="7"/>
  <c r="V729" i="7"/>
  <c r="V741" i="7"/>
  <c r="V753" i="7"/>
  <c r="V765" i="7"/>
  <c r="V777" i="7"/>
  <c r="V789" i="7"/>
  <c r="V801" i="7"/>
  <c r="V813" i="7"/>
  <c r="V825" i="7"/>
  <c r="V837" i="7"/>
  <c r="V849" i="7"/>
  <c r="V861" i="7"/>
  <c r="V873" i="7"/>
  <c r="V885" i="7"/>
  <c r="V897" i="7"/>
  <c r="V909" i="7"/>
  <c r="V921" i="7"/>
  <c r="V933" i="7"/>
  <c r="V945" i="7"/>
  <c r="V957" i="7"/>
  <c r="V969" i="7"/>
  <c r="V981" i="7"/>
  <c r="V11" i="7"/>
  <c r="V39" i="7"/>
  <c r="V52" i="7"/>
  <c r="V76" i="7"/>
  <c r="V88" i="7"/>
  <c r="V101" i="7"/>
  <c r="V113" i="7"/>
  <c r="V125" i="7"/>
  <c r="V137" i="7"/>
  <c r="V161" i="7"/>
  <c r="V173" i="7"/>
  <c r="V184" i="7"/>
  <c r="V196" i="7"/>
  <c r="V207" i="7"/>
  <c r="V231" i="7"/>
  <c r="V243" i="7"/>
  <c r="V255" i="7"/>
  <c r="V267" i="7"/>
  <c r="V279" i="7"/>
  <c r="V290" i="7"/>
  <c r="V300" i="7"/>
  <c r="V312" i="7"/>
  <c r="V324" i="7"/>
  <c r="V335" i="7"/>
  <c r="V359" i="7"/>
  <c r="V371" i="7"/>
  <c r="V383" i="7"/>
  <c r="V395" i="7"/>
  <c r="V419" i="7"/>
  <c r="V431" i="7"/>
  <c r="V443" i="7"/>
  <c r="V455" i="7"/>
  <c r="V467" i="7"/>
  <c r="V479" i="7"/>
  <c r="V503" i="7"/>
  <c r="V515" i="7"/>
  <c r="V527" i="7"/>
  <c r="V539" i="7"/>
  <c r="V551" i="7"/>
  <c r="V563" i="7"/>
  <c r="V574" i="7"/>
  <c r="V586" i="7"/>
  <c r="V610" i="7"/>
  <c r="V622" i="7"/>
  <c r="V634" i="7"/>
  <c r="V646" i="7"/>
  <c r="V658" i="7"/>
  <c r="V670" i="7"/>
  <c r="V682" i="7"/>
  <c r="V694" i="7"/>
  <c r="V706" i="7"/>
  <c r="V718" i="7"/>
  <c r="V730" i="7"/>
  <c r="V742" i="7"/>
  <c r="V754" i="7"/>
  <c r="V766" i="7"/>
  <c r="V778" i="7"/>
  <c r="V790" i="7"/>
  <c r="V802" i="7"/>
  <c r="V814" i="7"/>
  <c r="V826" i="7"/>
  <c r="V838" i="7"/>
  <c r="V850" i="7"/>
  <c r="V862" i="7"/>
  <c r="V874" i="7"/>
  <c r="V886" i="7"/>
  <c r="V898" i="7"/>
  <c r="V910" i="7"/>
  <c r="V922" i="7"/>
  <c r="V934" i="7"/>
  <c r="V946" i="7"/>
  <c r="V958" i="7"/>
  <c r="V970" i="7"/>
  <c r="V982" i="7"/>
  <c r="V38" i="7"/>
  <c r="V50" i="7"/>
  <c r="V48" i="7"/>
  <c r="V47" i="7"/>
  <c r="V46" i="7"/>
  <c r="V45" i="7"/>
  <c r="R37" i="7"/>
  <c r="S29" i="7"/>
  <c r="U29" i="7" s="1"/>
  <c r="R702" i="7"/>
  <c r="R806" i="7"/>
  <c r="R27" i="7"/>
  <c r="R35" i="7"/>
  <c r="R68" i="7"/>
  <c r="R101" i="7"/>
  <c r="R141" i="7"/>
  <c r="R173" i="7"/>
  <c r="R204" i="7"/>
  <c r="R243" i="7"/>
  <c r="R275" i="7"/>
  <c r="R304" i="7"/>
  <c r="R375" i="7"/>
  <c r="R407" i="7"/>
  <c r="R439" i="7"/>
  <c r="R447" i="7"/>
  <c r="R471" i="7"/>
  <c r="R479" i="7"/>
  <c r="R503" i="7"/>
  <c r="R511" i="7"/>
  <c r="R535" i="7"/>
  <c r="R543" i="7"/>
  <c r="R574" i="7"/>
  <c r="R598" i="7"/>
  <c r="R606" i="7"/>
  <c r="R638" i="7"/>
  <c r="R646" i="7"/>
  <c r="R670" i="7"/>
  <c r="R678" i="7"/>
  <c r="R694" i="7"/>
  <c r="R710" i="7"/>
  <c r="R726" i="7"/>
  <c r="R742" i="7"/>
  <c r="R750" i="7"/>
  <c r="R774" i="7"/>
  <c r="R782" i="7"/>
  <c r="R790" i="7"/>
  <c r="R798" i="7"/>
  <c r="R814" i="7"/>
  <c r="R822" i="7"/>
  <c r="R830" i="7"/>
  <c r="R838" i="7"/>
  <c r="R846" i="7"/>
  <c r="R854" i="7"/>
  <c r="R862" i="7"/>
  <c r="S25" i="7"/>
  <c r="U25" i="7" s="1"/>
  <c r="J26" i="7"/>
  <c r="S21" i="7"/>
  <c r="U21" i="7" s="1"/>
  <c r="S16" i="7"/>
  <c r="U16" i="7" s="1"/>
  <c r="R16" i="7"/>
  <c r="R52" i="7"/>
  <c r="R76" i="7"/>
  <c r="R84" i="7"/>
  <c r="R109" i="7"/>
  <c r="R125" i="7"/>
  <c r="R133" i="7"/>
  <c r="R165" i="7"/>
  <c r="R181" i="7"/>
  <c r="R188" i="7"/>
  <c r="R211" i="7"/>
  <c r="R219" i="7"/>
  <c r="R227" i="7"/>
  <c r="R235" i="7"/>
  <c r="R259" i="7"/>
  <c r="R267" i="7"/>
  <c r="R283" i="7"/>
  <c r="R290" i="7"/>
  <c r="R312" i="7"/>
  <c r="R320" i="7"/>
  <c r="R335" i="7"/>
  <c r="R359" i="7"/>
  <c r="R367" i="7"/>
  <c r="R391" i="7"/>
  <c r="R415" i="7"/>
  <c r="R423" i="7"/>
  <c r="R455" i="7"/>
  <c r="R487" i="7"/>
  <c r="R519" i="7"/>
  <c r="R551" i="7"/>
  <c r="R566" i="7"/>
  <c r="R590" i="7"/>
  <c r="R622" i="7"/>
  <c r="R654" i="7"/>
  <c r="R758" i="7"/>
  <c r="R950" i="7"/>
  <c r="R958" i="7"/>
  <c r="R966" i="7"/>
  <c r="R974" i="7"/>
  <c r="R982" i="7"/>
  <c r="J22" i="7"/>
  <c r="J29" i="7"/>
  <c r="S7" i="7"/>
  <c r="U7" i="7" s="1"/>
  <c r="S15" i="7"/>
  <c r="U15" i="7" s="1"/>
  <c r="S17" i="7"/>
  <c r="U17" i="7" s="1"/>
  <c r="J27" i="7"/>
  <c r="J2" i="7"/>
  <c r="J16" i="7"/>
  <c r="S6" i="7"/>
  <c r="U6" i="7" s="1"/>
  <c r="S11" i="7"/>
  <c r="U11" i="7" s="1"/>
  <c r="J21" i="7"/>
  <c r="J8" i="7"/>
  <c r="S9" i="7"/>
  <c r="U9" i="7" s="1"/>
  <c r="J18" i="7"/>
  <c r="S22" i="7"/>
  <c r="U22" i="7" s="1"/>
  <c r="S27" i="7"/>
  <c r="U27" i="7" s="1"/>
  <c r="R6" i="7"/>
  <c r="R14" i="7"/>
  <c r="R22" i="7"/>
  <c r="R41" i="7"/>
  <c r="R50" i="7"/>
  <c r="R58" i="7"/>
  <c r="R66" i="7"/>
  <c r="R82" i="7"/>
  <c r="R90" i="7"/>
  <c r="R99" i="7"/>
  <c r="R107" i="7"/>
  <c r="R115" i="7"/>
  <c r="R123" i="7"/>
  <c r="R131" i="7"/>
  <c r="R139" i="7"/>
  <c r="R147" i="7"/>
  <c r="R163" i="7"/>
  <c r="R171" i="7"/>
  <c r="R179" i="7"/>
  <c r="S5" i="7"/>
  <c r="U5" i="7" s="1"/>
  <c r="S14" i="7"/>
  <c r="U14" i="7" s="1"/>
  <c r="J23" i="7"/>
  <c r="J28" i="7"/>
  <c r="R870" i="7"/>
  <c r="R878" i="7"/>
  <c r="R886" i="7"/>
  <c r="R894" i="7"/>
  <c r="R902" i="7"/>
  <c r="R910" i="7"/>
  <c r="R918" i="7"/>
  <c r="R926" i="7"/>
  <c r="R934" i="7"/>
  <c r="R942" i="7"/>
  <c r="R43" i="7"/>
  <c r="R196" i="7"/>
  <c r="R251" i="7"/>
  <c r="R296" i="7"/>
  <c r="R399" i="7"/>
  <c r="R559" i="7"/>
  <c r="R582" i="7"/>
  <c r="R614" i="7"/>
  <c r="R630" i="7"/>
  <c r="R662" i="7"/>
  <c r="R686" i="7"/>
  <c r="R766" i="7"/>
  <c r="J7" i="7"/>
  <c r="J25" i="7"/>
  <c r="J30" i="7"/>
  <c r="R60" i="7"/>
  <c r="R351" i="7"/>
  <c r="R383" i="7"/>
  <c r="R431" i="7"/>
  <c r="R2" i="7"/>
  <c r="R10" i="7"/>
  <c r="J15" i="7"/>
  <c r="S24" i="7"/>
  <c r="U24" i="7" s="1"/>
  <c r="R734" i="7"/>
  <c r="S8" i="7"/>
  <c r="U8" i="7" s="1"/>
  <c r="J14" i="7"/>
  <c r="J19" i="7"/>
  <c r="S23" i="7"/>
  <c r="U23" i="7" s="1"/>
  <c r="R19" i="7"/>
  <c r="R92" i="7"/>
  <c r="R117" i="7"/>
  <c r="R149" i="7"/>
  <c r="R328" i="7"/>
  <c r="R463" i="7"/>
  <c r="R527" i="7"/>
  <c r="R718" i="7"/>
  <c r="R4" i="7"/>
  <c r="R12" i="7"/>
  <c r="R20" i="7"/>
  <c r="R32" i="7"/>
  <c r="R40" i="7"/>
  <c r="R48" i="7"/>
  <c r="R57" i="7"/>
  <c r="R65" i="7"/>
  <c r="R73" i="7"/>
  <c r="R81" i="7"/>
  <c r="R89" i="7"/>
  <c r="R98" i="7"/>
  <c r="R106" i="7"/>
  <c r="R114" i="7"/>
  <c r="R122" i="7"/>
  <c r="R130" i="7"/>
  <c r="R138" i="7"/>
  <c r="R146" i="7"/>
  <c r="R162" i="7"/>
  <c r="R170" i="7"/>
  <c r="R178" i="7"/>
  <c r="R185" i="7"/>
  <c r="R186" i="7"/>
  <c r="R194" i="7"/>
  <c r="R202" i="7"/>
  <c r="R209" i="7"/>
  <c r="R217" i="7"/>
  <c r="R225" i="7"/>
  <c r="R233" i="7"/>
  <c r="R241" i="7"/>
  <c r="R249" i="7"/>
  <c r="R257" i="7"/>
  <c r="R265" i="7"/>
  <c r="R273" i="7"/>
  <c r="R281" i="7"/>
  <c r="R302" i="7"/>
  <c r="R310" i="7"/>
  <c r="R318" i="7"/>
  <c r="R326" i="7"/>
  <c r="R334" i="7"/>
  <c r="R341" i="7"/>
  <c r="R349" i="7"/>
  <c r="R357" i="7"/>
  <c r="R365" i="7"/>
  <c r="R381" i="7"/>
  <c r="R389" i="7"/>
  <c r="R397" i="7"/>
  <c r="R405" i="7"/>
  <c r="R413" i="7"/>
  <c r="R421" i="7"/>
  <c r="R429" i="7"/>
  <c r="R437" i="7"/>
  <c r="R445" i="7"/>
  <c r="R453" i="7"/>
  <c r="R469" i="7"/>
  <c r="R477" i="7"/>
  <c r="R485" i="7"/>
  <c r="R501" i="7"/>
  <c r="R509" i="7"/>
  <c r="R517" i="7"/>
  <c r="R525" i="7"/>
  <c r="R533" i="7"/>
  <c r="R541" i="7"/>
  <c r="R549" i="7"/>
  <c r="R557" i="7"/>
  <c r="R565" i="7"/>
  <c r="R572" i="7"/>
  <c r="R580" i="7"/>
  <c r="R588" i="7"/>
  <c r="R596" i="7"/>
  <c r="R604" i="7"/>
  <c r="R612" i="7"/>
  <c r="R620" i="7"/>
  <c r="R628" i="7"/>
  <c r="R636" i="7"/>
  <c r="R644" i="7"/>
  <c r="R652" i="7"/>
  <c r="R660" i="7"/>
  <c r="R668" i="7"/>
  <c r="R676" i="7"/>
  <c r="R684" i="7"/>
  <c r="R692" i="7"/>
  <c r="R700" i="7"/>
  <c r="R708" i="7"/>
  <c r="R716" i="7"/>
  <c r="R724" i="7"/>
  <c r="R732" i="7"/>
  <c r="R740" i="7"/>
  <c r="R748" i="7"/>
  <c r="R756" i="7"/>
  <c r="R764" i="7"/>
  <c r="R772" i="7"/>
  <c r="R780" i="7"/>
  <c r="R788" i="7"/>
  <c r="R796" i="7"/>
  <c r="R804" i="7"/>
  <c r="R812" i="7"/>
  <c r="R820" i="7"/>
  <c r="R828" i="7"/>
  <c r="R836" i="7"/>
  <c r="R844" i="7"/>
  <c r="R852" i="7"/>
  <c r="R7" i="7"/>
  <c r="R26" i="7"/>
  <c r="R34" i="7"/>
  <c r="R42" i="7"/>
  <c r="R51" i="7"/>
  <c r="R59" i="7"/>
  <c r="R67" i="7"/>
  <c r="R75" i="7"/>
  <c r="R91" i="7"/>
  <c r="R100" i="7"/>
  <c r="R36" i="7"/>
  <c r="R44" i="7"/>
  <c r="R53" i="7"/>
  <c r="R61" i="7"/>
  <c r="R69" i="7"/>
  <c r="R93" i="7"/>
  <c r="R102" i="7"/>
  <c r="R110" i="7"/>
  <c r="R118" i="7"/>
  <c r="R126" i="7"/>
  <c r="R134" i="7"/>
  <c r="R142" i="7"/>
  <c r="R150" i="7"/>
  <c r="R166" i="7"/>
  <c r="R174" i="7"/>
  <c r="R189" i="7"/>
  <c r="R197" i="7"/>
  <c r="R212" i="7"/>
  <c r="R220" i="7"/>
  <c r="R228" i="7"/>
  <c r="R236" i="7"/>
  <c r="R244" i="7"/>
  <c r="R252" i="7"/>
  <c r="R260" i="7"/>
  <c r="R268" i="7"/>
  <c r="R276" i="7"/>
  <c r="R284" i="7"/>
  <c r="R291" i="7"/>
  <c r="R297" i="7"/>
  <c r="R39" i="7"/>
  <c r="R47" i="7"/>
  <c r="R56" i="7"/>
  <c r="R64" i="7"/>
  <c r="R72" i="7"/>
  <c r="R80" i="7"/>
  <c r="R88" i="7"/>
  <c r="R97" i="7"/>
  <c r="R105" i="7"/>
  <c r="R113" i="7"/>
  <c r="R121" i="7"/>
  <c r="R129" i="7"/>
  <c r="R137" i="7"/>
  <c r="R145" i="7"/>
  <c r="R153" i="7"/>
  <c r="R161" i="7"/>
  <c r="R169" i="7"/>
  <c r="R177" i="7"/>
  <c r="R192" i="7"/>
  <c r="R193" i="7"/>
  <c r="R201" i="7"/>
  <c r="R208" i="7"/>
  <c r="R216" i="7"/>
  <c r="R224" i="7"/>
  <c r="R232" i="7"/>
  <c r="R240" i="7"/>
  <c r="R248" i="7"/>
  <c r="R256" i="7"/>
  <c r="R264" i="7"/>
  <c r="R272" i="7"/>
  <c r="R280" i="7"/>
  <c r="R288" i="7"/>
  <c r="R295" i="7"/>
  <c r="R301" i="7"/>
  <c r="R309" i="7"/>
  <c r="R317" i="7"/>
  <c r="R325" i="7"/>
  <c r="R340" i="7"/>
  <c r="R348" i="7"/>
  <c r="R356" i="7"/>
  <c r="R364" i="7"/>
  <c r="R380" i="7"/>
  <c r="R388" i="7"/>
  <c r="R396" i="7"/>
  <c r="R404" i="7"/>
  <c r="R412" i="7"/>
  <c r="R420" i="7"/>
  <c r="R428" i="7"/>
  <c r="R436" i="7"/>
  <c r="R444" i="7"/>
  <c r="R452" i="7"/>
  <c r="R460" i="7"/>
  <c r="R468" i="7"/>
  <c r="R476" i="7"/>
  <c r="R484" i="7"/>
  <c r="R492" i="7"/>
  <c r="R500" i="7"/>
  <c r="R508" i="7"/>
  <c r="R516" i="7"/>
  <c r="R524" i="7"/>
  <c r="R532" i="7"/>
  <c r="R540" i="7"/>
  <c r="R548" i="7"/>
  <c r="R556" i="7"/>
  <c r="R564" i="7"/>
  <c r="R571" i="7"/>
  <c r="R579" i="7"/>
  <c r="R587" i="7"/>
  <c r="R595" i="7"/>
  <c r="R603" i="7"/>
  <c r="R611" i="7"/>
  <c r="R619" i="7"/>
  <c r="R627" i="7"/>
  <c r="R635" i="7"/>
  <c r="R643" i="7"/>
  <c r="R651" i="7"/>
  <c r="R659" i="7"/>
  <c r="R667" i="7"/>
  <c r="R675" i="7"/>
  <c r="R683" i="7"/>
  <c r="R691" i="7"/>
  <c r="R699" i="7"/>
  <c r="R707" i="7"/>
  <c r="R715" i="7"/>
  <c r="R723" i="7"/>
  <c r="R731" i="7"/>
  <c r="R739" i="7"/>
  <c r="R747" i="7"/>
  <c r="R755" i="7"/>
  <c r="R763" i="7"/>
  <c r="R771" i="7"/>
  <c r="R779" i="7"/>
  <c r="R787" i="7"/>
  <c r="R795" i="7"/>
  <c r="R803" i="7"/>
  <c r="R811" i="7"/>
  <c r="R819" i="7"/>
  <c r="R827" i="7"/>
  <c r="R835" i="7"/>
  <c r="R843" i="7"/>
  <c r="R851" i="7"/>
  <c r="R859" i="7"/>
  <c r="R860" i="7"/>
  <c r="R108" i="7"/>
  <c r="R116" i="7"/>
  <c r="R124" i="7"/>
  <c r="R132" i="7"/>
  <c r="R140" i="7"/>
  <c r="R148" i="7"/>
  <c r="R156" i="7"/>
  <c r="R164" i="7"/>
  <c r="R172" i="7"/>
  <c r="R180" i="7"/>
  <c r="R187" i="7"/>
  <c r="R195" i="7"/>
  <c r="R203" i="7"/>
  <c r="R210" i="7"/>
  <c r="R218" i="7"/>
  <c r="R226" i="7"/>
  <c r="R234" i="7"/>
  <c r="R242" i="7"/>
  <c r="R305" i="7"/>
  <c r="R313" i="7"/>
  <c r="R321" i="7"/>
  <c r="R329" i="7"/>
  <c r="R336" i="7"/>
  <c r="R344" i="7"/>
  <c r="R352" i="7"/>
  <c r="R360" i="7"/>
  <c r="R368" i="7"/>
  <c r="R376" i="7"/>
  <c r="R384" i="7"/>
  <c r="R392" i="7"/>
  <c r="R400" i="7"/>
  <c r="R408" i="7"/>
  <c r="R416" i="7"/>
  <c r="R424" i="7"/>
  <c r="R432" i="7"/>
  <c r="R440" i="7"/>
  <c r="R448" i="7"/>
  <c r="R456" i="7"/>
  <c r="R464" i="7"/>
  <c r="R472" i="7"/>
  <c r="R480" i="7"/>
  <c r="R488" i="7"/>
  <c r="R496" i="7"/>
  <c r="R504" i="7"/>
  <c r="R512" i="7"/>
  <c r="R520" i="7"/>
  <c r="R528" i="7"/>
  <c r="R536" i="7"/>
  <c r="R544" i="7"/>
  <c r="R552" i="7"/>
  <c r="R560" i="7"/>
  <c r="R567" i="7"/>
  <c r="R575" i="7"/>
  <c r="R583" i="7"/>
  <c r="R591" i="7"/>
  <c r="R599" i="7"/>
  <c r="R607" i="7"/>
  <c r="R615" i="7"/>
  <c r="R623" i="7"/>
  <c r="R631" i="7"/>
  <c r="R639" i="7"/>
  <c r="R647" i="7"/>
  <c r="R655" i="7"/>
  <c r="R663" i="7"/>
  <c r="R671" i="7"/>
  <c r="R679" i="7"/>
  <c r="R687" i="7"/>
  <c r="R695" i="7"/>
  <c r="R703" i="7"/>
  <c r="R711" i="7"/>
  <c r="R719" i="7"/>
  <c r="R727" i="7"/>
  <c r="R735" i="7"/>
  <c r="R743" i="7"/>
  <c r="R751" i="7"/>
  <c r="R759" i="7"/>
  <c r="R767" i="7"/>
  <c r="R775" i="7"/>
  <c r="R783" i="7"/>
  <c r="R791" i="7"/>
  <c r="R799" i="7"/>
  <c r="R807" i="7"/>
  <c r="R815" i="7"/>
  <c r="R823" i="7"/>
  <c r="R831" i="7"/>
  <c r="R839" i="7"/>
  <c r="R847" i="7"/>
  <c r="R855" i="7"/>
  <c r="R863" i="7"/>
  <c r="R200" i="7"/>
  <c r="R207" i="7"/>
  <c r="R215" i="7"/>
  <c r="R223" i="7"/>
  <c r="R231" i="7"/>
  <c r="R239" i="7"/>
  <c r="R247" i="7"/>
  <c r="R255" i="7"/>
  <c r="R263" i="7"/>
  <c r="R271" i="7"/>
  <c r="R279" i="7"/>
  <c r="R287" i="7"/>
  <c r="R294" i="7"/>
  <c r="R300" i="7"/>
  <c r="R308" i="7"/>
  <c r="R316" i="7"/>
  <c r="R324" i="7"/>
  <c r="R339" i="7"/>
  <c r="R347" i="7"/>
  <c r="R355" i="7"/>
  <c r="R363" i="7"/>
  <c r="R371" i="7"/>
  <c r="R379" i="7"/>
  <c r="R387" i="7"/>
  <c r="R395" i="7"/>
  <c r="R403" i="7"/>
  <c r="R411" i="7"/>
  <c r="R419" i="7"/>
  <c r="R427" i="7"/>
  <c r="R435" i="7"/>
  <c r="R443" i="7"/>
  <c r="R451" i="7"/>
  <c r="R459" i="7"/>
  <c r="R467" i="7"/>
  <c r="R475" i="7"/>
  <c r="R483" i="7"/>
  <c r="R491" i="7"/>
  <c r="R499" i="7"/>
  <c r="R507" i="7"/>
  <c r="R515" i="7"/>
  <c r="R523" i="7"/>
  <c r="R531" i="7"/>
  <c r="R539" i="7"/>
  <c r="R547" i="7"/>
  <c r="R555" i="7"/>
  <c r="R563" i="7"/>
  <c r="R570" i="7"/>
  <c r="R578" i="7"/>
  <c r="R586" i="7"/>
  <c r="R594" i="7"/>
  <c r="R602" i="7"/>
  <c r="R610" i="7"/>
  <c r="R618" i="7"/>
  <c r="R626" i="7"/>
  <c r="R634" i="7"/>
  <c r="R642" i="7"/>
  <c r="R650" i="7"/>
  <c r="R658" i="7"/>
  <c r="R666" i="7"/>
  <c r="R674" i="7"/>
  <c r="R682" i="7"/>
  <c r="R690" i="7"/>
  <c r="R698" i="7"/>
  <c r="R706" i="7"/>
  <c r="R714" i="7"/>
  <c r="R722" i="7"/>
  <c r="R730" i="7"/>
  <c r="R738" i="7"/>
  <c r="R746" i="7"/>
  <c r="R754" i="7"/>
  <c r="R762" i="7"/>
  <c r="R770" i="7"/>
  <c r="R778" i="7"/>
  <c r="R786" i="7"/>
  <c r="R794" i="7"/>
  <c r="R802" i="7"/>
  <c r="R810" i="7"/>
  <c r="R818" i="7"/>
  <c r="R826" i="7"/>
  <c r="R834" i="7"/>
  <c r="R842" i="7"/>
  <c r="R850" i="7"/>
  <c r="R858" i="7"/>
  <c r="R867" i="7"/>
  <c r="R875" i="7"/>
  <c r="R883" i="7"/>
  <c r="R891" i="7"/>
  <c r="R899" i="7"/>
  <c r="R907" i="7"/>
  <c r="R915" i="7"/>
  <c r="R923" i="7"/>
  <c r="R931" i="7"/>
  <c r="R939" i="7"/>
  <c r="R947" i="7"/>
  <c r="R955" i="7"/>
  <c r="R963" i="7"/>
  <c r="R971" i="7"/>
  <c r="R979" i="7"/>
  <c r="R932" i="7"/>
  <c r="R940" i="7"/>
  <c r="R948" i="7"/>
  <c r="R956" i="7"/>
  <c r="R964" i="7"/>
  <c r="R972" i="7"/>
  <c r="R980" i="7"/>
  <c r="R250" i="7"/>
  <c r="R258" i="7"/>
  <c r="R266" i="7"/>
  <c r="R274" i="7"/>
  <c r="R282" i="7"/>
  <c r="R289" i="7"/>
  <c r="R303" i="7"/>
  <c r="R311" i="7"/>
  <c r="R319" i="7"/>
  <c r="R327" i="7"/>
  <c r="R342" i="7"/>
  <c r="R350" i="7"/>
  <c r="R358" i="7"/>
  <c r="R366" i="7"/>
  <c r="R382" i="7"/>
  <c r="R390" i="7"/>
  <c r="R398" i="7"/>
  <c r="R406" i="7"/>
  <c r="R414" i="7"/>
  <c r="R422" i="7"/>
  <c r="R430" i="7"/>
  <c r="R438" i="7"/>
  <c r="R446" i="7"/>
  <c r="R454" i="7"/>
  <c r="R470" i="7"/>
  <c r="R478" i="7"/>
  <c r="R486" i="7"/>
  <c r="R502" i="7"/>
  <c r="R510" i="7"/>
  <c r="R518" i="7"/>
  <c r="R526" i="7"/>
  <c r="R534" i="7"/>
  <c r="R542" i="7"/>
  <c r="R550" i="7"/>
  <c r="R558" i="7"/>
  <c r="R573" i="7"/>
  <c r="R581" i="7"/>
  <c r="R589" i="7"/>
  <c r="R597" i="7"/>
  <c r="R605" i="7"/>
  <c r="R613" i="7"/>
  <c r="R621" i="7"/>
  <c r="R629" i="7"/>
  <c r="R637" i="7"/>
  <c r="R645" i="7"/>
  <c r="R653" i="7"/>
  <c r="R661" i="7"/>
  <c r="R669" i="7"/>
  <c r="R677" i="7"/>
  <c r="R685" i="7"/>
  <c r="R693" i="7"/>
  <c r="R701" i="7"/>
  <c r="R709" i="7"/>
  <c r="R717" i="7"/>
  <c r="R725" i="7"/>
  <c r="R733" i="7"/>
  <c r="R741" i="7"/>
  <c r="R749" i="7"/>
  <c r="R757" i="7"/>
  <c r="R765" i="7"/>
  <c r="R773" i="7"/>
  <c r="R781" i="7"/>
  <c r="R789" i="7"/>
  <c r="R797" i="7"/>
  <c r="R805" i="7"/>
  <c r="R813" i="7"/>
  <c r="R821" i="7"/>
  <c r="R829" i="7"/>
  <c r="R837" i="7"/>
  <c r="R845" i="7"/>
  <c r="R853" i="7"/>
  <c r="R861" i="7"/>
  <c r="R933" i="7"/>
  <c r="R941" i="7"/>
  <c r="R949" i="7"/>
  <c r="R957" i="7"/>
  <c r="R965" i="7"/>
  <c r="R973" i="7"/>
  <c r="R981" i="7"/>
  <c r="R871" i="7"/>
  <c r="R879" i="7"/>
  <c r="R887" i="7"/>
  <c r="R895" i="7"/>
  <c r="R903" i="7"/>
  <c r="R911" i="7"/>
  <c r="R919" i="7"/>
  <c r="R927" i="7"/>
  <c r="R935" i="7"/>
  <c r="R943" i="7"/>
  <c r="R951" i="7"/>
  <c r="R959" i="7"/>
  <c r="R967" i="7"/>
  <c r="R975" i="7"/>
  <c r="R983" i="7"/>
  <c r="R930" i="7"/>
  <c r="R938" i="7"/>
  <c r="R946" i="7"/>
  <c r="R954" i="7"/>
  <c r="R962" i="7"/>
  <c r="R970" i="7"/>
  <c r="R978" i="7"/>
  <c r="R17" i="7"/>
  <c r="R45" i="7"/>
  <c r="R54" i="7"/>
  <c r="R62" i="7"/>
  <c r="R70" i="7"/>
  <c r="R78" i="7"/>
  <c r="R94" i="7"/>
  <c r="R103" i="7"/>
  <c r="R111" i="7"/>
  <c r="R119" i="7"/>
  <c r="R127" i="7"/>
  <c r="R135" i="7"/>
  <c r="R143" i="7"/>
  <c r="R151" i="7"/>
  <c r="R159" i="7"/>
  <c r="R167" i="7"/>
  <c r="R175" i="7"/>
  <c r="R190" i="7"/>
  <c r="R198" i="7"/>
  <c r="R205" i="7"/>
  <c r="R213" i="7"/>
  <c r="R221" i="7"/>
  <c r="R229" i="7"/>
  <c r="R237" i="7"/>
  <c r="R245" i="7"/>
  <c r="R253" i="7"/>
  <c r="R261" i="7"/>
  <c r="R269" i="7"/>
  <c r="R277" i="7"/>
  <c r="R285" i="7"/>
  <c r="R292" i="7"/>
  <c r="R298" i="7"/>
  <c r="R306" i="7"/>
  <c r="R314" i="7"/>
  <c r="R322" i="7"/>
  <c r="R337" i="7"/>
  <c r="R345" i="7"/>
  <c r="R353" i="7"/>
  <c r="R361" i="7"/>
  <c r="R856" i="7"/>
  <c r="R864" i="7"/>
  <c r="R872" i="7"/>
  <c r="R880" i="7"/>
  <c r="R888" i="7"/>
  <c r="R896" i="7"/>
  <c r="R904" i="7"/>
  <c r="R912" i="7"/>
  <c r="R920" i="7"/>
  <c r="R928" i="7"/>
  <c r="R936" i="7"/>
  <c r="R944" i="7"/>
  <c r="R952" i="7"/>
  <c r="R960" i="7"/>
  <c r="R968" i="7"/>
  <c r="R976" i="7"/>
  <c r="R377" i="7"/>
  <c r="R385" i="7"/>
  <c r="R393" i="7"/>
  <c r="R401" i="7"/>
  <c r="R409" i="7"/>
  <c r="R417" i="7"/>
  <c r="R425" i="7"/>
  <c r="R433" i="7"/>
  <c r="R441" i="7"/>
  <c r="R449" i="7"/>
  <c r="R457" i="7"/>
  <c r="R465" i="7"/>
  <c r="R473" i="7"/>
  <c r="R481" i="7"/>
  <c r="R489" i="7"/>
  <c r="R505" i="7"/>
  <c r="R513" i="7"/>
  <c r="R521" i="7"/>
  <c r="R529" i="7"/>
  <c r="R537" i="7"/>
  <c r="R545" i="7"/>
  <c r="R553" i="7"/>
  <c r="R561" i="7"/>
  <c r="R568" i="7"/>
  <c r="R576" i="7"/>
  <c r="R584" i="7"/>
  <c r="R592" i="7"/>
  <c r="R600" i="7"/>
  <c r="R608" i="7"/>
  <c r="R616" i="7"/>
  <c r="R624" i="7"/>
  <c r="R632" i="7"/>
  <c r="R640" i="7"/>
  <c r="R648" i="7"/>
  <c r="R656" i="7"/>
  <c r="R664" i="7"/>
  <c r="R672" i="7"/>
  <c r="R680" i="7"/>
  <c r="R688" i="7"/>
  <c r="R696" i="7"/>
  <c r="R704" i="7"/>
  <c r="R712" i="7"/>
  <c r="R720" i="7"/>
  <c r="R728" i="7"/>
  <c r="R736" i="7"/>
  <c r="R744" i="7"/>
  <c r="R752" i="7"/>
  <c r="R760" i="7"/>
  <c r="R768" i="7"/>
  <c r="R776" i="7"/>
  <c r="R784" i="7"/>
  <c r="R792" i="7"/>
  <c r="R800" i="7"/>
  <c r="R808" i="7"/>
  <c r="R816" i="7"/>
  <c r="R824" i="7"/>
  <c r="R832" i="7"/>
  <c r="R840" i="7"/>
  <c r="R848" i="7"/>
  <c r="R869" i="7"/>
  <c r="R877" i="7"/>
  <c r="R885" i="7"/>
  <c r="R893" i="7"/>
  <c r="R901" i="7"/>
  <c r="R909" i="7"/>
  <c r="R917" i="7"/>
  <c r="R925" i="7"/>
  <c r="R33" i="7"/>
  <c r="R31" i="7"/>
  <c r="R29" i="7"/>
  <c r="R28" i="7"/>
  <c r="R30" i="7"/>
  <c r="R38" i="7"/>
  <c r="R46" i="7"/>
  <c r="R55" i="7"/>
  <c r="R63" i="7"/>
  <c r="R71" i="7"/>
  <c r="R79" i="7"/>
  <c r="R87" i="7"/>
  <c r="R95" i="7"/>
  <c r="R104" i="7"/>
  <c r="R112" i="7"/>
  <c r="R120" i="7"/>
  <c r="R128" i="7"/>
  <c r="R136" i="7"/>
  <c r="R144" i="7"/>
  <c r="R152" i="7"/>
  <c r="R160" i="7"/>
  <c r="R168" i="7"/>
  <c r="R176" i="7"/>
  <c r="R183" i="7"/>
  <c r="R191" i="7"/>
  <c r="R199" i="7"/>
  <c r="R206" i="7"/>
  <c r="R214" i="7"/>
  <c r="R222" i="7"/>
  <c r="R230" i="7"/>
  <c r="R238" i="7"/>
  <c r="R246" i="7"/>
  <c r="R254" i="7"/>
  <c r="R262" i="7"/>
  <c r="R270" i="7"/>
  <c r="R278" i="7"/>
  <c r="R286" i="7"/>
  <c r="R293" i="7"/>
  <c r="R299" i="7"/>
  <c r="R307" i="7"/>
  <c r="R315" i="7"/>
  <c r="R323" i="7"/>
  <c r="R331" i="7"/>
  <c r="R338" i="7"/>
  <c r="R346" i="7"/>
  <c r="R354" i="7"/>
  <c r="R362" i="7"/>
  <c r="R370" i="7"/>
  <c r="R378" i="7"/>
  <c r="R386" i="7"/>
  <c r="R394" i="7"/>
  <c r="R402" i="7"/>
  <c r="R410" i="7"/>
  <c r="R418" i="7"/>
  <c r="R426" i="7"/>
  <c r="R434" i="7"/>
  <c r="R442" i="7"/>
  <c r="R450" i="7"/>
  <c r="R466" i="7"/>
  <c r="R474" i="7"/>
  <c r="R482" i="7"/>
  <c r="R490" i="7"/>
  <c r="R498" i="7"/>
  <c r="R506" i="7"/>
  <c r="R514" i="7"/>
  <c r="R522" i="7"/>
  <c r="R530" i="7"/>
  <c r="R538" i="7"/>
  <c r="R546" i="7"/>
  <c r="R554" i="7"/>
  <c r="R562" i="7"/>
  <c r="R569" i="7"/>
  <c r="R577" i="7"/>
  <c r="R585" i="7"/>
  <c r="R593" i="7"/>
  <c r="R601" i="7"/>
  <c r="R609" i="7"/>
  <c r="R617" i="7"/>
  <c r="R625" i="7"/>
  <c r="R633" i="7"/>
  <c r="R641" i="7"/>
  <c r="R649" i="7"/>
  <c r="R657" i="7"/>
  <c r="R665" i="7"/>
  <c r="R673" i="7"/>
  <c r="R681" i="7"/>
  <c r="R689" i="7"/>
  <c r="R697" i="7"/>
  <c r="R705" i="7"/>
  <c r="R713" i="7"/>
  <c r="R721" i="7"/>
  <c r="R729" i="7"/>
  <c r="R737" i="7"/>
  <c r="R745" i="7"/>
  <c r="R753" i="7"/>
  <c r="R761" i="7"/>
  <c r="R769" i="7"/>
  <c r="R777" i="7"/>
  <c r="R785" i="7"/>
  <c r="R793" i="7"/>
  <c r="R801" i="7"/>
  <c r="R809" i="7"/>
  <c r="R817" i="7"/>
  <c r="R825" i="7"/>
  <c r="R833" i="7"/>
  <c r="R841" i="7"/>
  <c r="R849" i="7"/>
  <c r="R857" i="7"/>
  <c r="R865" i="7"/>
  <c r="R873" i="7"/>
  <c r="R881" i="7"/>
  <c r="R889" i="7"/>
  <c r="R897" i="7"/>
  <c r="R905" i="7"/>
  <c r="R913" i="7"/>
  <c r="R921" i="7"/>
  <c r="R929" i="7"/>
  <c r="R937" i="7"/>
  <c r="R945" i="7"/>
  <c r="R953" i="7"/>
  <c r="R961" i="7"/>
  <c r="R969" i="7"/>
  <c r="R977" i="7"/>
  <c r="R866" i="7"/>
  <c r="R874" i="7"/>
  <c r="R882" i="7"/>
  <c r="R890" i="7"/>
  <c r="R898" i="7"/>
  <c r="R906" i="7"/>
  <c r="R914" i="7"/>
  <c r="R922" i="7"/>
  <c r="R868" i="7"/>
  <c r="R876" i="7"/>
  <c r="R884" i="7"/>
  <c r="R892" i="7"/>
  <c r="R900" i="7"/>
  <c r="R908" i="7"/>
  <c r="R916" i="7"/>
  <c r="R924" i="7"/>
  <c r="R25" i="7"/>
  <c r="R24" i="7"/>
  <c r="E952" i="7"/>
  <c r="E47" i="7"/>
  <c r="E149" i="7"/>
  <c r="E275" i="7"/>
  <c r="E427" i="7"/>
  <c r="E634" i="7"/>
  <c r="E682" i="7"/>
  <c r="E202" i="7"/>
  <c r="E305" i="7"/>
  <c r="E586" i="7"/>
  <c r="E969" i="7"/>
  <c r="E12" i="7"/>
  <c r="E25" i="7"/>
  <c r="E52" i="7"/>
  <c r="E80" i="7"/>
  <c r="E105" i="7"/>
  <c r="E131" i="7"/>
  <c r="E155" i="7"/>
  <c r="E181" i="7"/>
  <c r="E207" i="7"/>
  <c r="E231" i="7"/>
  <c r="E257" i="7"/>
  <c r="E281" i="7"/>
  <c r="E307" i="7"/>
  <c r="E352" i="7"/>
  <c r="E393" i="7"/>
  <c r="E443" i="7"/>
  <c r="E491" i="7"/>
  <c r="E545" i="7"/>
  <c r="E600" i="7"/>
  <c r="E648" i="7"/>
  <c r="E698" i="7"/>
  <c r="E746" i="7"/>
  <c r="E823" i="7"/>
  <c r="E895" i="7"/>
  <c r="E153" i="7"/>
  <c r="E279" i="7"/>
  <c r="E539" i="7"/>
  <c r="E874" i="7"/>
  <c r="E31" i="7"/>
  <c r="E56" i="7"/>
  <c r="E82" i="7"/>
  <c r="E107" i="7"/>
  <c r="E133" i="7"/>
  <c r="E161" i="7"/>
  <c r="E184" i="7"/>
  <c r="E209" i="7"/>
  <c r="E233" i="7"/>
  <c r="E259" i="7"/>
  <c r="E287" i="7"/>
  <c r="E314" i="7"/>
  <c r="E354" i="7"/>
  <c r="E395" i="7"/>
  <c r="T102" i="10" s="1"/>
  <c r="U102" i="10" s="1"/>
  <c r="E449" i="7"/>
  <c r="E505" i="7"/>
  <c r="E553" i="7"/>
  <c r="E602" i="7"/>
  <c r="E650" i="7"/>
  <c r="E704" i="7"/>
  <c r="E762" i="7"/>
  <c r="E826" i="7"/>
  <c r="E905" i="7"/>
  <c r="C16" i="7"/>
  <c r="E123" i="7"/>
  <c r="E249" i="7"/>
  <c r="E808" i="7"/>
  <c r="E74" i="7"/>
  <c r="E696" i="7"/>
  <c r="E33" i="7"/>
  <c r="E58" i="7"/>
  <c r="E84" i="7"/>
  <c r="E113" i="7"/>
  <c r="E137" i="7"/>
  <c r="E163" i="7"/>
  <c r="E186" i="7"/>
  <c r="E211" i="7"/>
  <c r="E239" i="7"/>
  <c r="E263" i="7"/>
  <c r="E316" i="7"/>
  <c r="E357" i="7"/>
  <c r="E409" i="7"/>
  <c r="E457" i="7"/>
  <c r="E507" i="7"/>
  <c r="E608" i="7"/>
  <c r="E664" i="7"/>
  <c r="E712" i="7"/>
  <c r="E775" i="7"/>
  <c r="E839" i="7"/>
  <c r="E911" i="7"/>
  <c r="C10" i="7"/>
  <c r="E19" i="7"/>
  <c r="E225" i="7"/>
  <c r="E379" i="7"/>
  <c r="E584" i="7"/>
  <c r="E736" i="7"/>
  <c r="E129" i="7"/>
  <c r="E255" i="7"/>
  <c r="E441" i="7"/>
  <c r="E810" i="7"/>
  <c r="E35" i="7"/>
  <c r="E64" i="7"/>
  <c r="E115" i="7"/>
  <c r="E139" i="7"/>
  <c r="E165" i="7"/>
  <c r="E192" i="7"/>
  <c r="E215" i="7"/>
  <c r="E241" i="7"/>
  <c r="E265" i="7"/>
  <c r="E290" i="7"/>
  <c r="E326" i="7"/>
  <c r="E363" i="7"/>
  <c r="E411" i="7"/>
  <c r="E459" i="7"/>
  <c r="E513" i="7"/>
  <c r="E568" i="7"/>
  <c r="E616" i="7"/>
  <c r="E666" i="7"/>
  <c r="E714" i="7"/>
  <c r="E776" i="7"/>
  <c r="E855" i="7"/>
  <c r="E928" i="7"/>
  <c r="E99" i="7"/>
  <c r="E200" i="7"/>
  <c r="E338" i="7"/>
  <c r="E537" i="7"/>
  <c r="E959" i="7"/>
  <c r="E179" i="7"/>
  <c r="E341" i="7"/>
  <c r="E489" i="7"/>
  <c r="E744" i="7"/>
  <c r="E14" i="7"/>
  <c r="E39" i="7"/>
  <c r="E66" i="7"/>
  <c r="E90" i="7"/>
  <c r="E117" i="7"/>
  <c r="E145" i="7"/>
  <c r="E169" i="7"/>
  <c r="E194" i="7"/>
  <c r="E217" i="7"/>
  <c r="E243" i="7"/>
  <c r="E271" i="7"/>
  <c r="E294" i="7"/>
  <c r="E330" i="7"/>
  <c r="E368" i="7"/>
  <c r="E417" i="7"/>
  <c r="E473" i="7"/>
  <c r="E521" i="7"/>
  <c r="E570" i="7"/>
  <c r="E618" i="7"/>
  <c r="E672" i="7"/>
  <c r="E728" i="7"/>
  <c r="E791" i="7"/>
  <c r="E856" i="7"/>
  <c r="E929" i="7"/>
  <c r="E72" i="7"/>
  <c r="E177" i="7"/>
  <c r="E300" i="7"/>
  <c r="E481" i="7"/>
  <c r="E872" i="7"/>
  <c r="E23" i="7"/>
  <c r="E101" i="7"/>
  <c r="E227" i="7"/>
  <c r="E385" i="7"/>
  <c r="E640" i="7"/>
  <c r="E17" i="7"/>
  <c r="E41" i="7"/>
  <c r="E68" i="7"/>
  <c r="E147" i="7"/>
  <c r="E171" i="7"/>
  <c r="E196" i="7"/>
  <c r="E223" i="7"/>
  <c r="E247" i="7"/>
  <c r="E273" i="7"/>
  <c r="E332" i="7"/>
  <c r="E377" i="7"/>
  <c r="E425" i="7"/>
  <c r="E475" i="7"/>
  <c r="E523" i="7"/>
  <c r="E576" i="7"/>
  <c r="E632" i="7"/>
  <c r="E680" i="7"/>
  <c r="E730" i="7"/>
  <c r="E792" i="7"/>
  <c r="E858" i="7"/>
  <c r="E848" i="7"/>
  <c r="E832" i="7"/>
  <c r="E816" i="7"/>
  <c r="E800" i="7"/>
  <c r="E784" i="7"/>
  <c r="E768" i="7"/>
  <c r="E752" i="7"/>
  <c r="E864" i="7"/>
  <c r="E22" i="7"/>
  <c r="E38" i="7"/>
  <c r="E55" i="7"/>
  <c r="E71" i="7"/>
  <c r="E104" i="7"/>
  <c r="E136" i="7"/>
  <c r="E152" i="7"/>
  <c r="E168" i="7"/>
  <c r="E183" i="7"/>
  <c r="E199" i="7"/>
  <c r="E214" i="7"/>
  <c r="E230" i="7"/>
  <c r="E246" i="7"/>
  <c r="E262" i="7"/>
  <c r="E278" i="7"/>
  <c r="E293" i="7"/>
  <c r="E313" i="7"/>
  <c r="E337" i="7"/>
  <c r="E362" i="7"/>
  <c r="E392" i="7"/>
  <c r="E424" i="7"/>
  <c r="E456" i="7"/>
  <c r="E488" i="7"/>
  <c r="E520" i="7"/>
  <c r="E552" i="7"/>
  <c r="E583" i="7"/>
  <c r="E615" i="7"/>
  <c r="E647" i="7"/>
  <c r="E679" i="7"/>
  <c r="E711" i="7"/>
  <c r="E743" i="7"/>
  <c r="E778" i="7"/>
  <c r="E824" i="7"/>
  <c r="E871" i="7"/>
  <c r="E913" i="7"/>
  <c r="E983" i="7"/>
  <c r="E27" i="7"/>
  <c r="E43" i="7"/>
  <c r="E60" i="7"/>
  <c r="E76" i="7"/>
  <c r="E92" i="7"/>
  <c r="E109" i="7"/>
  <c r="E125" i="7"/>
  <c r="E141" i="7"/>
  <c r="E157" i="7"/>
  <c r="E173" i="7"/>
  <c r="E188" i="7"/>
  <c r="E204" i="7"/>
  <c r="E219" i="7"/>
  <c r="E235" i="7"/>
  <c r="E251" i="7"/>
  <c r="E267" i="7"/>
  <c r="E283" i="7"/>
  <c r="E296" i="7"/>
  <c r="E321" i="7"/>
  <c r="E345" i="7"/>
  <c r="E370" i="7"/>
  <c r="E401" i="7"/>
  <c r="E433" i="7"/>
  <c r="E465" i="7"/>
  <c r="E497" i="7"/>
  <c r="E529" i="7"/>
  <c r="E561" i="7"/>
  <c r="E592" i="7"/>
  <c r="E624" i="7"/>
  <c r="E656" i="7"/>
  <c r="E688" i="7"/>
  <c r="E720" i="7"/>
  <c r="E759" i="7"/>
  <c r="E794" i="7"/>
  <c r="E840" i="7"/>
  <c r="E887" i="7"/>
  <c r="E936" i="7"/>
  <c r="E30" i="7"/>
  <c r="E46" i="7"/>
  <c r="E63" i="7"/>
  <c r="E79" i="7"/>
  <c r="E95" i="7"/>
  <c r="E112" i="7"/>
  <c r="E128" i="7"/>
  <c r="E144" i="7"/>
  <c r="E160" i="7"/>
  <c r="E176" i="7"/>
  <c r="E191" i="7"/>
  <c r="E206" i="7"/>
  <c r="E222" i="7"/>
  <c r="E238" i="7"/>
  <c r="E254" i="7"/>
  <c r="E270" i="7"/>
  <c r="E286" i="7"/>
  <c r="E299" i="7"/>
  <c r="E324" i="7"/>
  <c r="E349" i="7"/>
  <c r="E376" i="7"/>
  <c r="E408" i="7"/>
  <c r="E440" i="7"/>
  <c r="E472" i="7"/>
  <c r="E504" i="7"/>
  <c r="E536" i="7"/>
  <c r="E567" i="7"/>
  <c r="E599" i="7"/>
  <c r="E631" i="7"/>
  <c r="E663" i="7"/>
  <c r="E695" i="7"/>
  <c r="E727" i="7"/>
  <c r="E760" i="7"/>
  <c r="E807" i="7"/>
  <c r="E842" i="7"/>
  <c r="E888" i="7"/>
  <c r="E951" i="7"/>
  <c r="E974" i="7"/>
  <c r="E965" i="7"/>
  <c r="E957" i="7"/>
  <c r="E949" i="7"/>
  <c r="E941" i="7"/>
  <c r="E933" i="7"/>
  <c r="E925" i="7"/>
  <c r="E917" i="7"/>
  <c r="E909" i="7"/>
  <c r="E901" i="7"/>
  <c r="E893" i="7"/>
  <c r="E885" i="7"/>
  <c r="E877" i="7"/>
  <c r="E869" i="7"/>
  <c r="E861" i="7"/>
  <c r="E853" i="7"/>
  <c r="E845" i="7"/>
  <c r="E837" i="7"/>
  <c r="E829" i="7"/>
  <c r="E821" i="7"/>
  <c r="E813" i="7"/>
  <c r="E805" i="7"/>
  <c r="E797" i="7"/>
  <c r="E789" i="7"/>
  <c r="E781" i="7"/>
  <c r="E773" i="7"/>
  <c r="E765" i="7"/>
  <c r="E757" i="7"/>
  <c r="E749" i="7"/>
  <c r="E741" i="7"/>
  <c r="E733" i="7"/>
  <c r="E725" i="7"/>
  <c r="E717" i="7"/>
  <c r="E709" i="7"/>
  <c r="E701" i="7"/>
  <c r="E693" i="7"/>
  <c r="E685" i="7"/>
  <c r="E677" i="7"/>
  <c r="E669" i="7"/>
  <c r="E661" i="7"/>
  <c r="E653" i="7"/>
  <c r="E645" i="7"/>
  <c r="E637" i="7"/>
  <c r="E629" i="7"/>
  <c r="E621" i="7"/>
  <c r="E613" i="7"/>
  <c r="E605" i="7"/>
  <c r="E597" i="7"/>
  <c r="E589" i="7"/>
  <c r="E581" i="7"/>
  <c r="E573" i="7"/>
  <c r="E558" i="7"/>
  <c r="E550" i="7"/>
  <c r="E542" i="7"/>
  <c r="E534" i="7"/>
  <c r="E526" i="7"/>
  <c r="E518" i="7"/>
  <c r="E510" i="7"/>
  <c r="E502" i="7"/>
  <c r="E494" i="7"/>
  <c r="E486" i="7"/>
  <c r="E478" i="7"/>
  <c r="E470" i="7"/>
  <c r="E462" i="7"/>
  <c r="E454" i="7"/>
  <c r="E446" i="7"/>
  <c r="E438" i="7"/>
  <c r="E430" i="7"/>
  <c r="E422" i="7"/>
  <c r="E414" i="7"/>
  <c r="E406" i="7"/>
  <c r="E398" i="7"/>
  <c r="E390" i="7"/>
  <c r="E382" i="7"/>
  <c r="E374" i="7"/>
  <c r="E366" i="7"/>
  <c r="E358" i="7"/>
  <c r="E350" i="7"/>
  <c r="E342" i="7"/>
  <c r="E327" i="7"/>
  <c r="E319" i="7"/>
  <c r="E311" i="7"/>
  <c r="E303" i="7"/>
  <c r="E972" i="7"/>
  <c r="E964" i="7"/>
  <c r="E956" i="7"/>
  <c r="E948" i="7"/>
  <c r="E940" i="7"/>
  <c r="E932" i="7"/>
  <c r="E924" i="7"/>
  <c r="E916" i="7"/>
  <c r="E908" i="7"/>
  <c r="E900" i="7"/>
  <c r="E892" i="7"/>
  <c r="E884" i="7"/>
  <c r="E876" i="7"/>
  <c r="E868" i="7"/>
  <c r="E860" i="7"/>
  <c r="E852" i="7"/>
  <c r="E844" i="7"/>
  <c r="E836" i="7"/>
  <c r="E828" i="7"/>
  <c r="E820" i="7"/>
  <c r="E812" i="7"/>
  <c r="E804" i="7"/>
  <c r="E796" i="7"/>
  <c r="E788" i="7"/>
  <c r="E780" i="7"/>
  <c r="E772" i="7"/>
  <c r="E764" i="7"/>
  <c r="E756" i="7"/>
  <c r="E748" i="7"/>
  <c r="E740" i="7"/>
  <c r="E732" i="7"/>
  <c r="E724" i="7"/>
  <c r="E716" i="7"/>
  <c r="E708" i="7"/>
  <c r="E700" i="7"/>
  <c r="E692" i="7"/>
  <c r="E684" i="7"/>
  <c r="E676" i="7"/>
  <c r="E668" i="7"/>
  <c r="E660" i="7"/>
  <c r="E652" i="7"/>
  <c r="E644" i="7"/>
  <c r="E636" i="7"/>
  <c r="E628" i="7"/>
  <c r="E620" i="7"/>
  <c r="E612" i="7"/>
  <c r="E604" i="7"/>
  <c r="E596" i="7"/>
  <c r="E588" i="7"/>
  <c r="E580" i="7"/>
  <c r="E572" i="7"/>
  <c r="E565" i="7"/>
  <c r="E549" i="7"/>
  <c r="E541" i="7"/>
  <c r="E533" i="7"/>
  <c r="E525" i="7"/>
  <c r="E517" i="7"/>
  <c r="E509" i="7"/>
  <c r="E501" i="7"/>
  <c r="E493" i="7"/>
  <c r="E485" i="7"/>
  <c r="E477" i="7"/>
  <c r="E469" i="7"/>
  <c r="E461" i="7"/>
  <c r="E453" i="7"/>
  <c r="E445" i="7"/>
  <c r="E437" i="7"/>
  <c r="E429" i="7"/>
  <c r="E421" i="7"/>
  <c r="E413" i="7"/>
  <c r="E405" i="7"/>
  <c r="E397" i="7"/>
  <c r="E389" i="7"/>
  <c r="E381" i="7"/>
  <c r="E971" i="7"/>
  <c r="E963" i="7"/>
  <c r="E955" i="7"/>
  <c r="E947" i="7"/>
  <c r="E939" i="7"/>
  <c r="E931" i="7"/>
  <c r="E923" i="7"/>
  <c r="E915" i="7"/>
  <c r="E907" i="7"/>
  <c r="E899" i="7"/>
  <c r="E891" i="7"/>
  <c r="E883" i="7"/>
  <c r="E875" i="7"/>
  <c r="E867" i="7"/>
  <c r="E859" i="7"/>
  <c r="E851" i="7"/>
  <c r="E843" i="7"/>
  <c r="E835" i="7"/>
  <c r="E827" i="7"/>
  <c r="E819" i="7"/>
  <c r="E811" i="7"/>
  <c r="E803" i="7"/>
  <c r="E795" i="7"/>
  <c r="E787" i="7"/>
  <c r="E779" i="7"/>
  <c r="E771" i="7"/>
  <c r="E763" i="7"/>
  <c r="E755" i="7"/>
  <c r="E747" i="7"/>
  <c r="E739" i="7"/>
  <c r="E731" i="7"/>
  <c r="E723" i="7"/>
  <c r="E715" i="7"/>
  <c r="E707" i="7"/>
  <c r="E699" i="7"/>
  <c r="E691" i="7"/>
  <c r="E683" i="7"/>
  <c r="E675" i="7"/>
  <c r="E667" i="7"/>
  <c r="E659" i="7"/>
  <c r="E651" i="7"/>
  <c r="E643" i="7"/>
  <c r="E635" i="7"/>
  <c r="E627" i="7"/>
  <c r="E619" i="7"/>
  <c r="E611" i="7"/>
  <c r="E603" i="7"/>
  <c r="E595" i="7"/>
  <c r="E587" i="7"/>
  <c r="E579" i="7"/>
  <c r="E571" i="7"/>
  <c r="E564" i="7"/>
  <c r="E548" i="7"/>
  <c r="E540" i="7"/>
  <c r="E532" i="7"/>
  <c r="E524" i="7"/>
  <c r="E516" i="7"/>
  <c r="E508" i="7"/>
  <c r="E500" i="7"/>
  <c r="E492" i="7"/>
  <c r="E484" i="7"/>
  <c r="E476" i="7"/>
  <c r="E468" i="7"/>
  <c r="E460" i="7"/>
  <c r="E452" i="7"/>
  <c r="E444" i="7"/>
  <c r="E436" i="7"/>
  <c r="E428" i="7"/>
  <c r="E420" i="7"/>
  <c r="E412" i="7"/>
  <c r="E404" i="7"/>
  <c r="E396" i="7"/>
  <c r="T103" i="10" s="1"/>
  <c r="U103" i="10" s="1"/>
  <c r="E388" i="7"/>
  <c r="E380" i="7"/>
  <c r="E372" i="7"/>
  <c r="E364" i="7"/>
  <c r="E356" i="7"/>
  <c r="E348" i="7"/>
  <c r="E340" i="7"/>
  <c r="E333" i="7"/>
  <c r="E325" i="7"/>
  <c r="E317" i="7"/>
  <c r="E309" i="7"/>
  <c r="E301" i="7"/>
  <c r="E970" i="7"/>
  <c r="E962" i="7"/>
  <c r="E954" i="7"/>
  <c r="E946" i="7"/>
  <c r="E938" i="7"/>
  <c r="E930" i="7"/>
  <c r="E922" i="7"/>
  <c r="E914" i="7"/>
  <c r="E906" i="7"/>
  <c r="E898" i="7"/>
  <c r="E890" i="7"/>
  <c r="E976" i="7"/>
  <c r="E966" i="7"/>
  <c r="E958" i="7"/>
  <c r="E950" i="7"/>
  <c r="E942" i="7"/>
  <c r="E934" i="7"/>
  <c r="E926" i="7"/>
  <c r="E918" i="7"/>
  <c r="E910" i="7"/>
  <c r="E902" i="7"/>
  <c r="E894" i="7"/>
  <c r="E886" i="7"/>
  <c r="E878" i="7"/>
  <c r="E870" i="7"/>
  <c r="E862" i="7"/>
  <c r="E854" i="7"/>
  <c r="E846" i="7"/>
  <c r="E838" i="7"/>
  <c r="E830" i="7"/>
  <c r="E822" i="7"/>
  <c r="E814" i="7"/>
  <c r="E806" i="7"/>
  <c r="E798" i="7"/>
  <c r="E790" i="7"/>
  <c r="E782" i="7"/>
  <c r="E774" i="7"/>
  <c r="E766" i="7"/>
  <c r="E758" i="7"/>
  <c r="E750" i="7"/>
  <c r="E742" i="7"/>
  <c r="E734" i="7"/>
  <c r="E726" i="7"/>
  <c r="E718" i="7"/>
  <c r="E710" i="7"/>
  <c r="E702" i="7"/>
  <c r="E694" i="7"/>
  <c r="E686" i="7"/>
  <c r="E678" i="7"/>
  <c r="E670" i="7"/>
  <c r="E662" i="7"/>
  <c r="E654" i="7"/>
  <c r="E646" i="7"/>
  <c r="E638" i="7"/>
  <c r="E630" i="7"/>
  <c r="E622" i="7"/>
  <c r="E614" i="7"/>
  <c r="E606" i="7"/>
  <c r="E598" i="7"/>
  <c r="E590" i="7"/>
  <c r="E582" i="7"/>
  <c r="E574" i="7"/>
  <c r="E566" i="7"/>
  <c r="E559" i="7"/>
  <c r="E551" i="7"/>
  <c r="E543" i="7"/>
  <c r="E535" i="7"/>
  <c r="E527" i="7"/>
  <c r="E519" i="7"/>
  <c r="E511" i="7"/>
  <c r="E503" i="7"/>
  <c r="E495" i="7"/>
  <c r="E487" i="7"/>
  <c r="E479" i="7"/>
  <c r="E471" i="7"/>
  <c r="E463" i="7"/>
  <c r="E455" i="7"/>
  <c r="E447" i="7"/>
  <c r="E439" i="7"/>
  <c r="E431" i="7"/>
  <c r="E423" i="7"/>
  <c r="E415" i="7"/>
  <c r="E407" i="7"/>
  <c r="E399" i="7"/>
  <c r="E391" i="7"/>
  <c r="E383" i="7"/>
  <c r="E375" i="7"/>
  <c r="E367" i="7"/>
  <c r="E359" i="7"/>
  <c r="E351" i="7"/>
  <c r="E343" i="7"/>
  <c r="E335" i="7"/>
  <c r="E328" i="7"/>
  <c r="E320" i="7"/>
  <c r="E312" i="7"/>
  <c r="E304" i="7"/>
  <c r="C9" i="7"/>
  <c r="E15" i="7"/>
  <c r="E24" i="7"/>
  <c r="E32" i="7"/>
  <c r="E40" i="7"/>
  <c r="E48" i="7"/>
  <c r="E57" i="7"/>
  <c r="E65" i="7"/>
  <c r="E73" i="7"/>
  <c r="E81" i="7"/>
  <c r="E89" i="7"/>
  <c r="E98" i="7"/>
  <c r="E106" i="7"/>
  <c r="E114" i="7"/>
  <c r="E122" i="7"/>
  <c r="E130" i="7"/>
  <c r="E138" i="7"/>
  <c r="E146" i="7"/>
  <c r="E154" i="7"/>
  <c r="E162" i="7"/>
  <c r="E170" i="7"/>
  <c r="E178" i="7"/>
  <c r="E185" i="7"/>
  <c r="E193" i="7"/>
  <c r="E201" i="7"/>
  <c r="E208" i="7"/>
  <c r="E216" i="7"/>
  <c r="E224" i="7"/>
  <c r="E232" i="7"/>
  <c r="E240" i="7"/>
  <c r="E248" i="7"/>
  <c r="E256" i="7"/>
  <c r="E264" i="7"/>
  <c r="E272" i="7"/>
  <c r="E280" i="7"/>
  <c r="E288" i="7"/>
  <c r="E295" i="7"/>
  <c r="E302" i="7"/>
  <c r="E315" i="7"/>
  <c r="E329" i="7"/>
  <c r="E339" i="7"/>
  <c r="E353" i="7"/>
  <c r="E365" i="7"/>
  <c r="E378" i="7"/>
  <c r="E394" i="7"/>
  <c r="T101" i="10" s="1"/>
  <c r="U101" i="10" s="1"/>
  <c r="E410" i="7"/>
  <c r="E426" i="7"/>
  <c r="E442" i="7"/>
  <c r="E458" i="7"/>
  <c r="E474" i="7"/>
  <c r="E490" i="7"/>
  <c r="E506" i="7"/>
  <c r="E522" i="7"/>
  <c r="E538" i="7"/>
  <c r="E569" i="7"/>
  <c r="E585" i="7"/>
  <c r="E601" i="7"/>
  <c r="E617" i="7"/>
  <c r="E633" i="7"/>
  <c r="E649" i="7"/>
  <c r="E665" i="7"/>
  <c r="E681" i="7"/>
  <c r="E697" i="7"/>
  <c r="E713" i="7"/>
  <c r="E729" i="7"/>
  <c r="E745" i="7"/>
  <c r="E761" i="7"/>
  <c r="E777" i="7"/>
  <c r="E793" i="7"/>
  <c r="E809" i="7"/>
  <c r="E825" i="7"/>
  <c r="E841" i="7"/>
  <c r="E857" i="7"/>
  <c r="E873" i="7"/>
  <c r="E889" i="7"/>
  <c r="E912" i="7"/>
  <c r="E935" i="7"/>
  <c r="E953" i="7"/>
  <c r="E16" i="7"/>
  <c r="E4" i="7"/>
  <c r="E18" i="7"/>
  <c r="E26" i="7"/>
  <c r="E34" i="7"/>
  <c r="E42" i="7"/>
  <c r="E51" i="7"/>
  <c r="E59" i="7"/>
  <c r="E67" i="7"/>
  <c r="E75" i="7"/>
  <c r="E83" i="7"/>
  <c r="E91" i="7"/>
  <c r="E100" i="7"/>
  <c r="E108" i="7"/>
  <c r="E116" i="7"/>
  <c r="E124" i="7"/>
  <c r="E132" i="7"/>
  <c r="E140" i="7"/>
  <c r="E148" i="7"/>
  <c r="E156" i="7"/>
  <c r="E164" i="7"/>
  <c r="E172" i="7"/>
  <c r="E180" i="7"/>
  <c r="E187" i="7"/>
  <c r="E195" i="7"/>
  <c r="E203" i="7"/>
  <c r="E210" i="7"/>
  <c r="E218" i="7"/>
  <c r="E226" i="7"/>
  <c r="E234" i="7"/>
  <c r="E242" i="7"/>
  <c r="E250" i="7"/>
  <c r="E258" i="7"/>
  <c r="E266" i="7"/>
  <c r="E274" i="7"/>
  <c r="E282" i="7"/>
  <c r="E289" i="7"/>
  <c r="E306" i="7"/>
  <c r="E318" i="7"/>
  <c r="E331" i="7"/>
  <c r="E344" i="7"/>
  <c r="E355" i="7"/>
  <c r="E369" i="7"/>
  <c r="E384" i="7"/>
  <c r="E400" i="7"/>
  <c r="E416" i="7"/>
  <c r="E432" i="7"/>
  <c r="E448" i="7"/>
  <c r="E464" i="7"/>
  <c r="E480" i="7"/>
  <c r="E496" i="7"/>
  <c r="E512" i="7"/>
  <c r="E528" i="7"/>
  <c r="E544" i="7"/>
  <c r="E560" i="7"/>
  <c r="E575" i="7"/>
  <c r="E591" i="7"/>
  <c r="E607" i="7"/>
  <c r="E623" i="7"/>
  <c r="E639" i="7"/>
  <c r="E655" i="7"/>
  <c r="E671" i="7"/>
  <c r="E687" i="7"/>
  <c r="E703" i="7"/>
  <c r="E719" i="7"/>
  <c r="E735" i="7"/>
  <c r="E751" i="7"/>
  <c r="E767" i="7"/>
  <c r="E783" i="7"/>
  <c r="E799" i="7"/>
  <c r="E815" i="7"/>
  <c r="E831" i="7"/>
  <c r="E847" i="7"/>
  <c r="E863" i="7"/>
  <c r="E879" i="7"/>
  <c r="E896" i="7"/>
  <c r="E919" i="7"/>
  <c r="E937" i="7"/>
  <c r="E960" i="7"/>
  <c r="E880" i="7"/>
  <c r="E897" i="7"/>
  <c r="E920" i="7"/>
  <c r="E943" i="7"/>
  <c r="E961" i="7"/>
  <c r="E20" i="7"/>
  <c r="E28" i="7"/>
  <c r="E36" i="7"/>
  <c r="E44" i="7"/>
  <c r="E53" i="7"/>
  <c r="E61" i="7"/>
  <c r="E69" i="7"/>
  <c r="E77" i="7"/>
  <c r="E85" i="7"/>
  <c r="E93" i="7"/>
  <c r="E102" i="7"/>
  <c r="E110" i="7"/>
  <c r="E118" i="7"/>
  <c r="E126" i="7"/>
  <c r="E134" i="7"/>
  <c r="E142" i="7"/>
  <c r="E150" i="7"/>
  <c r="E158" i="7"/>
  <c r="E166" i="7"/>
  <c r="E174" i="7"/>
  <c r="E189" i="7"/>
  <c r="E197" i="7"/>
  <c r="E212" i="7"/>
  <c r="E220" i="7"/>
  <c r="E228" i="7"/>
  <c r="E236" i="7"/>
  <c r="E244" i="7"/>
  <c r="E252" i="7"/>
  <c r="E260" i="7"/>
  <c r="E268" i="7"/>
  <c r="E276" i="7"/>
  <c r="E284" i="7"/>
  <c r="E291" i="7"/>
  <c r="E297" i="7"/>
  <c r="E308" i="7"/>
  <c r="E322" i="7"/>
  <c r="E334" i="7"/>
  <c r="E346" i="7"/>
  <c r="E360" i="7"/>
  <c r="E371" i="7"/>
  <c r="E386" i="7"/>
  <c r="E402" i="7"/>
  <c r="E418" i="7"/>
  <c r="E434" i="7"/>
  <c r="E450" i="7"/>
  <c r="E466" i="7"/>
  <c r="E482" i="7"/>
  <c r="E498" i="7"/>
  <c r="E514" i="7"/>
  <c r="E530" i="7"/>
  <c r="E546" i="7"/>
  <c r="E562" i="7"/>
  <c r="E577" i="7"/>
  <c r="E593" i="7"/>
  <c r="E609" i="7"/>
  <c r="E625" i="7"/>
  <c r="E641" i="7"/>
  <c r="E657" i="7"/>
  <c r="E673" i="7"/>
  <c r="E689" i="7"/>
  <c r="E705" i="7"/>
  <c r="E721" i="7"/>
  <c r="E737" i="7"/>
  <c r="E753" i="7"/>
  <c r="E769" i="7"/>
  <c r="E785" i="7"/>
  <c r="E801" i="7"/>
  <c r="E817" i="7"/>
  <c r="E833" i="7"/>
  <c r="E849" i="7"/>
  <c r="E865" i="7"/>
  <c r="E881" i="7"/>
  <c r="E903" i="7"/>
  <c r="E921" i="7"/>
  <c r="E944" i="7"/>
  <c r="E967" i="7"/>
  <c r="E21" i="7"/>
  <c r="E29" i="7"/>
  <c r="E37" i="7"/>
  <c r="E45" i="7"/>
  <c r="E54" i="7"/>
  <c r="E62" i="7"/>
  <c r="E70" i="7"/>
  <c r="E78" i="7"/>
  <c r="E86" i="7"/>
  <c r="E94" i="7"/>
  <c r="E103" i="7"/>
  <c r="E111" i="7"/>
  <c r="E119" i="7"/>
  <c r="E127" i="7"/>
  <c r="E135" i="7"/>
  <c r="E143" i="7"/>
  <c r="E151" i="7"/>
  <c r="E159" i="7"/>
  <c r="E167" i="7"/>
  <c r="E175" i="7"/>
  <c r="E182" i="7"/>
  <c r="E190" i="7"/>
  <c r="E198" i="7"/>
  <c r="E205" i="7"/>
  <c r="E213" i="7"/>
  <c r="E221" i="7"/>
  <c r="E229" i="7"/>
  <c r="E237" i="7"/>
  <c r="E245" i="7"/>
  <c r="E253" i="7"/>
  <c r="E261" i="7"/>
  <c r="E269" i="7"/>
  <c r="E277" i="7"/>
  <c r="E285" i="7"/>
  <c r="E292" i="7"/>
  <c r="E298" i="7"/>
  <c r="E310" i="7"/>
  <c r="E323" i="7"/>
  <c r="E336" i="7"/>
  <c r="E347" i="7"/>
  <c r="E361" i="7"/>
  <c r="E373" i="7"/>
  <c r="E387" i="7"/>
  <c r="E403" i="7"/>
  <c r="E419" i="7"/>
  <c r="E435" i="7"/>
  <c r="E451" i="7"/>
  <c r="E483" i="7"/>
  <c r="E499" i="7"/>
  <c r="E515" i="7"/>
  <c r="E531" i="7"/>
  <c r="E547" i="7"/>
  <c r="E563" i="7"/>
  <c r="E578" i="7"/>
  <c r="E594" i="7"/>
  <c r="E610" i="7"/>
  <c r="E626" i="7"/>
  <c r="E642" i="7"/>
  <c r="E658" i="7"/>
  <c r="E674" i="7"/>
  <c r="E690" i="7"/>
  <c r="E706" i="7"/>
  <c r="E722" i="7"/>
  <c r="E738" i="7"/>
  <c r="E754" i="7"/>
  <c r="E770" i="7"/>
  <c r="E786" i="7"/>
  <c r="E802" i="7"/>
  <c r="E818" i="7"/>
  <c r="E834" i="7"/>
  <c r="E850" i="7"/>
  <c r="E866" i="7"/>
  <c r="E882" i="7"/>
  <c r="E904" i="7"/>
  <c r="E927" i="7"/>
  <c r="E945" i="7"/>
  <c r="E968" i="7"/>
  <c r="E973" i="7"/>
  <c r="E975" i="7"/>
  <c r="E977" i="7"/>
  <c r="E978" i="7"/>
  <c r="E980" i="7"/>
  <c r="E979" i="7"/>
  <c r="E981" i="7"/>
  <c r="E982" i="7"/>
  <c r="E13" i="7"/>
  <c r="E7" i="7"/>
  <c r="E8" i="7"/>
  <c r="E9" i="7"/>
  <c r="E10" i="7"/>
  <c r="E11" i="7"/>
  <c r="E5" i="7"/>
  <c r="E6" i="7"/>
  <c r="E2" i="7"/>
  <c r="E3" i="7"/>
  <c r="C99" i="7"/>
  <c r="C225" i="7"/>
  <c r="C460" i="7"/>
  <c r="C58" i="7"/>
  <c r="C186" i="7"/>
  <c r="C314" i="7"/>
  <c r="C18" i="7"/>
  <c r="C63" i="7"/>
  <c r="C107" i="7"/>
  <c r="C148" i="7"/>
  <c r="C191" i="7"/>
  <c r="C233" i="7"/>
  <c r="C274" i="7"/>
  <c r="C330" i="7"/>
  <c r="C516" i="7"/>
  <c r="C771" i="7"/>
  <c r="C140" i="7"/>
  <c r="C266" i="7"/>
  <c r="C712" i="7"/>
  <c r="C14" i="7"/>
  <c r="C144" i="7"/>
  <c r="C270" i="7"/>
  <c r="C739" i="7"/>
  <c r="C30" i="7"/>
  <c r="C74" i="7"/>
  <c r="C116" i="7"/>
  <c r="C160" i="7"/>
  <c r="C202" i="7"/>
  <c r="C242" i="7"/>
  <c r="C286" i="7"/>
  <c r="C372" i="7"/>
  <c r="C579" i="7"/>
  <c r="C835" i="7"/>
  <c r="C183" i="7"/>
  <c r="C226" i="7"/>
  <c r="C33" i="7"/>
  <c r="C75" i="7"/>
  <c r="C120" i="7"/>
  <c r="C163" i="7"/>
  <c r="C203" i="7"/>
  <c r="C246" i="7"/>
  <c r="C373" i="7"/>
  <c r="C584" i="7"/>
  <c r="C840" i="7"/>
  <c r="C55" i="7"/>
  <c r="C307" i="7"/>
  <c r="C100" i="7"/>
  <c r="C484" i="7"/>
  <c r="C34" i="7"/>
  <c r="C79" i="7"/>
  <c r="C123" i="7"/>
  <c r="C164" i="7"/>
  <c r="C206" i="7"/>
  <c r="C249" i="7"/>
  <c r="C289" i="7"/>
  <c r="C393" i="7"/>
  <c r="C611" i="7"/>
  <c r="C920" i="7"/>
  <c r="C899" i="7"/>
  <c r="C41" i="7"/>
  <c r="C83" i="7"/>
  <c r="C128" i="7"/>
  <c r="C171" i="7"/>
  <c r="C210" i="7"/>
  <c r="C254" i="7"/>
  <c r="C413" i="7"/>
  <c r="C643" i="7"/>
  <c r="C51" i="7"/>
  <c r="C95" i="7"/>
  <c r="C139" i="7"/>
  <c r="C180" i="7"/>
  <c r="C222" i="7"/>
  <c r="C265" i="7"/>
  <c r="C303" i="7"/>
  <c r="C457" i="7"/>
  <c r="C707" i="7"/>
  <c r="C6" i="7"/>
  <c r="C26" i="7"/>
  <c r="C50" i="7"/>
  <c r="C71" i="7"/>
  <c r="C91" i="7"/>
  <c r="C115" i="7"/>
  <c r="C136" i="7"/>
  <c r="C156" i="7"/>
  <c r="C179" i="7"/>
  <c r="C199" i="7"/>
  <c r="C218" i="7"/>
  <c r="C241" i="7"/>
  <c r="C262" i="7"/>
  <c r="C282" i="7"/>
  <c r="C302" i="7"/>
  <c r="C353" i="7"/>
  <c r="C437" i="7"/>
  <c r="C553" i="7"/>
  <c r="C680" i="7"/>
  <c r="C808" i="7"/>
  <c r="C867" i="7"/>
  <c r="C17" i="7"/>
  <c r="C38" i="7"/>
  <c r="C59" i="7"/>
  <c r="C82" i="7"/>
  <c r="C104" i="7"/>
  <c r="C124" i="7"/>
  <c r="C147" i="7"/>
  <c r="C168" i="7"/>
  <c r="C187" i="7"/>
  <c r="C209" i="7"/>
  <c r="C230" i="7"/>
  <c r="C250" i="7"/>
  <c r="C273" i="7"/>
  <c r="C293" i="7"/>
  <c r="C315" i="7"/>
  <c r="C396" i="7"/>
  <c r="C489" i="7"/>
  <c r="C616" i="7"/>
  <c r="C744" i="7"/>
  <c r="C983" i="7"/>
  <c r="C975" i="7"/>
  <c r="C967" i="7"/>
  <c r="C959" i="7"/>
  <c r="C951" i="7"/>
  <c r="C943" i="7"/>
  <c r="C935" i="7"/>
  <c r="C927" i="7"/>
  <c r="C919" i="7"/>
  <c r="C911" i="7"/>
  <c r="C903" i="7"/>
  <c r="C895" i="7"/>
  <c r="C887" i="7"/>
  <c r="C879" i="7"/>
  <c r="C871" i="7"/>
  <c r="C863" i="7"/>
  <c r="C855" i="7"/>
  <c r="C847" i="7"/>
  <c r="C839" i="7"/>
  <c r="C831" i="7"/>
  <c r="C823" i="7"/>
  <c r="C815" i="7"/>
  <c r="C807" i="7"/>
  <c r="C799" i="7"/>
  <c r="C791" i="7"/>
  <c r="C783" i="7"/>
  <c r="C775" i="7"/>
  <c r="C767" i="7"/>
  <c r="C759" i="7"/>
  <c r="C751" i="7"/>
  <c r="C743" i="7"/>
  <c r="C735" i="7"/>
  <c r="C727" i="7"/>
  <c r="C719" i="7"/>
  <c r="C711" i="7"/>
  <c r="C703" i="7"/>
  <c r="C695" i="7"/>
  <c r="C687" i="7"/>
  <c r="C679" i="7"/>
  <c r="C671" i="7"/>
  <c r="C663" i="7"/>
  <c r="C655" i="7"/>
  <c r="C647" i="7"/>
  <c r="C639" i="7"/>
  <c r="C631" i="7"/>
  <c r="C623" i="7"/>
  <c r="C615" i="7"/>
  <c r="C607" i="7"/>
  <c r="C599" i="7"/>
  <c r="C591" i="7"/>
  <c r="C583" i="7"/>
  <c r="C575" i="7"/>
  <c r="C567" i="7"/>
  <c r="C560" i="7"/>
  <c r="C552" i="7"/>
  <c r="C544" i="7"/>
  <c r="C536" i="7"/>
  <c r="C528" i="7"/>
  <c r="C520" i="7"/>
  <c r="C512" i="7"/>
  <c r="C504" i="7"/>
  <c r="C496" i="7"/>
  <c r="C488" i="7"/>
  <c r="C480" i="7"/>
  <c r="C472" i="7"/>
  <c r="C464" i="7"/>
  <c r="C456" i="7"/>
  <c r="C448" i="7"/>
  <c r="C440" i="7"/>
  <c r="C432" i="7"/>
  <c r="C424" i="7"/>
  <c r="C416" i="7"/>
  <c r="C408" i="7"/>
  <c r="C400" i="7"/>
  <c r="C392" i="7"/>
  <c r="C384" i="7"/>
  <c r="C376" i="7"/>
  <c r="C368" i="7"/>
  <c r="C360" i="7"/>
  <c r="C352" i="7"/>
  <c r="C344" i="7"/>
  <c r="C336" i="7"/>
  <c r="C329" i="7"/>
  <c r="C321" i="7"/>
  <c r="C313" i="7"/>
  <c r="C982" i="7"/>
  <c r="C974" i="7"/>
  <c r="C966" i="7"/>
  <c r="C958" i="7"/>
  <c r="C950" i="7"/>
  <c r="C942" i="7"/>
  <c r="C934" i="7"/>
  <c r="C926" i="7"/>
  <c r="C918" i="7"/>
  <c r="C910" i="7"/>
  <c r="C902" i="7"/>
  <c r="C894" i="7"/>
  <c r="C886" i="7"/>
  <c r="C878" i="7"/>
  <c r="C870" i="7"/>
  <c r="C862" i="7"/>
  <c r="C854" i="7"/>
  <c r="C846" i="7"/>
  <c r="C838" i="7"/>
  <c r="C830" i="7"/>
  <c r="C822" i="7"/>
  <c r="C814" i="7"/>
  <c r="C806" i="7"/>
  <c r="C798" i="7"/>
  <c r="C790" i="7"/>
  <c r="C782" i="7"/>
  <c r="C774" i="7"/>
  <c r="C766" i="7"/>
  <c r="C758" i="7"/>
  <c r="C750" i="7"/>
  <c r="C742" i="7"/>
  <c r="C734" i="7"/>
  <c r="C726" i="7"/>
  <c r="C718" i="7"/>
  <c r="C710" i="7"/>
  <c r="C702" i="7"/>
  <c r="C694" i="7"/>
  <c r="C686" i="7"/>
  <c r="C678" i="7"/>
  <c r="C670" i="7"/>
  <c r="C662" i="7"/>
  <c r="C654" i="7"/>
  <c r="C646" i="7"/>
  <c r="C638" i="7"/>
  <c r="C630" i="7"/>
  <c r="C622" i="7"/>
  <c r="C614" i="7"/>
  <c r="C606" i="7"/>
  <c r="C598" i="7"/>
  <c r="C590" i="7"/>
  <c r="C582" i="7"/>
  <c r="C574" i="7"/>
  <c r="C566" i="7"/>
  <c r="C559" i="7"/>
  <c r="C551" i="7"/>
  <c r="C543" i="7"/>
  <c r="C535" i="7"/>
  <c r="C527" i="7"/>
  <c r="C519" i="7"/>
  <c r="C511" i="7"/>
  <c r="C503" i="7"/>
  <c r="C495" i="7"/>
  <c r="C487" i="7"/>
  <c r="C479" i="7"/>
  <c r="C471" i="7"/>
  <c r="C463" i="7"/>
  <c r="C455" i="7"/>
  <c r="C447" i="7"/>
  <c r="C439" i="7"/>
  <c r="C431" i="7"/>
  <c r="C423" i="7"/>
  <c r="C415" i="7"/>
  <c r="C407" i="7"/>
  <c r="C399" i="7"/>
  <c r="C391" i="7"/>
  <c r="C383" i="7"/>
  <c r="C375" i="7"/>
  <c r="C367" i="7"/>
  <c r="C359" i="7"/>
  <c r="C351" i="7"/>
  <c r="C343" i="7"/>
  <c r="C335" i="7"/>
  <c r="C328" i="7"/>
  <c r="C320" i="7"/>
  <c r="C312" i="7"/>
  <c r="C981" i="7"/>
  <c r="C973" i="7"/>
  <c r="C965" i="7"/>
  <c r="C957" i="7"/>
  <c r="C949" i="7"/>
  <c r="C941" i="7"/>
  <c r="C933" i="7"/>
  <c r="C925" i="7"/>
  <c r="C917" i="7"/>
  <c r="C909" i="7"/>
  <c r="C901" i="7"/>
  <c r="C893" i="7"/>
  <c r="C885" i="7"/>
  <c r="C877" i="7"/>
  <c r="C869" i="7"/>
  <c r="C861" i="7"/>
  <c r="C853" i="7"/>
  <c r="C845" i="7"/>
  <c r="C837" i="7"/>
  <c r="C829" i="7"/>
  <c r="C821" i="7"/>
  <c r="C813" i="7"/>
  <c r="C805" i="7"/>
  <c r="C797" i="7"/>
  <c r="C789" i="7"/>
  <c r="C781" i="7"/>
  <c r="C773" i="7"/>
  <c r="C765" i="7"/>
  <c r="C757" i="7"/>
  <c r="C749" i="7"/>
  <c r="C741" i="7"/>
  <c r="C733" i="7"/>
  <c r="C725" i="7"/>
  <c r="C717" i="7"/>
  <c r="C709" i="7"/>
  <c r="C701" i="7"/>
  <c r="C693" i="7"/>
  <c r="C685" i="7"/>
  <c r="C677" i="7"/>
  <c r="C669" i="7"/>
  <c r="C661" i="7"/>
  <c r="C653" i="7"/>
  <c r="C645" i="7"/>
  <c r="C637" i="7"/>
  <c r="C629" i="7"/>
  <c r="C621" i="7"/>
  <c r="C613" i="7"/>
  <c r="C605" i="7"/>
  <c r="C597" i="7"/>
  <c r="C589" i="7"/>
  <c r="C581" i="7"/>
  <c r="C573" i="7"/>
  <c r="C558" i="7"/>
  <c r="C550" i="7"/>
  <c r="C542" i="7"/>
  <c r="C534" i="7"/>
  <c r="C526" i="7"/>
  <c r="C518" i="7"/>
  <c r="C510" i="7"/>
  <c r="C502" i="7"/>
  <c r="C494" i="7"/>
  <c r="C486" i="7"/>
  <c r="C478" i="7"/>
  <c r="C470" i="7"/>
  <c r="C462" i="7"/>
  <c r="C454" i="7"/>
  <c r="C446" i="7"/>
  <c r="C438" i="7"/>
  <c r="C430" i="7"/>
  <c r="C422" i="7"/>
  <c r="C414" i="7"/>
  <c r="C406" i="7"/>
  <c r="C398" i="7"/>
  <c r="C390" i="7"/>
  <c r="C382" i="7"/>
  <c r="C374" i="7"/>
  <c r="C366" i="7"/>
  <c r="C358" i="7"/>
  <c r="C350" i="7"/>
  <c r="C342" i="7"/>
  <c r="C327" i="7"/>
  <c r="C319" i="7"/>
  <c r="C311" i="7"/>
  <c r="C980" i="7"/>
  <c r="C972" i="7"/>
  <c r="C964" i="7"/>
  <c r="C956" i="7"/>
  <c r="C948" i="7"/>
  <c r="C940" i="7"/>
  <c r="C932" i="7"/>
  <c r="C924" i="7"/>
  <c r="C916" i="7"/>
  <c r="C908" i="7"/>
  <c r="C900" i="7"/>
  <c r="C892" i="7"/>
  <c r="C884" i="7"/>
  <c r="C876" i="7"/>
  <c r="C868" i="7"/>
  <c r="C860" i="7"/>
  <c r="C852" i="7"/>
  <c r="C844" i="7"/>
  <c r="C836" i="7"/>
  <c r="C828" i="7"/>
  <c r="C820" i="7"/>
  <c r="C812" i="7"/>
  <c r="C804" i="7"/>
  <c r="C796" i="7"/>
  <c r="C788" i="7"/>
  <c r="C780" i="7"/>
  <c r="C772" i="7"/>
  <c r="C764" i="7"/>
  <c r="C756" i="7"/>
  <c r="C748" i="7"/>
  <c r="C740" i="7"/>
  <c r="C732" i="7"/>
  <c r="C724" i="7"/>
  <c r="C716" i="7"/>
  <c r="C708" i="7"/>
  <c r="C700" i="7"/>
  <c r="C692" i="7"/>
  <c r="C684" i="7"/>
  <c r="C676" i="7"/>
  <c r="C668" i="7"/>
  <c r="C660" i="7"/>
  <c r="C652" i="7"/>
  <c r="C644" i="7"/>
  <c r="C636" i="7"/>
  <c r="C628" i="7"/>
  <c r="C620" i="7"/>
  <c r="C612" i="7"/>
  <c r="C604" i="7"/>
  <c r="C596" i="7"/>
  <c r="C588" i="7"/>
  <c r="C580" i="7"/>
  <c r="C572" i="7"/>
  <c r="C565" i="7"/>
  <c r="C557" i="7"/>
  <c r="C549" i="7"/>
  <c r="C541" i="7"/>
  <c r="C533" i="7"/>
  <c r="C525" i="7"/>
  <c r="C517" i="7"/>
  <c r="C509" i="7"/>
  <c r="C501" i="7"/>
  <c r="C493" i="7"/>
  <c r="C485" i="7"/>
  <c r="C477" i="7"/>
  <c r="C469" i="7"/>
  <c r="C978" i="7"/>
  <c r="C970" i="7"/>
  <c r="C962" i="7"/>
  <c r="C954" i="7"/>
  <c r="C946" i="7"/>
  <c r="C938" i="7"/>
  <c r="C930" i="7"/>
  <c r="C922" i="7"/>
  <c r="C914" i="7"/>
  <c r="C906" i="7"/>
  <c r="C898" i="7"/>
  <c r="C890" i="7"/>
  <c r="C882" i="7"/>
  <c r="C874" i="7"/>
  <c r="C866" i="7"/>
  <c r="C858" i="7"/>
  <c r="C850" i="7"/>
  <c r="C842" i="7"/>
  <c r="C834" i="7"/>
  <c r="C826" i="7"/>
  <c r="C818" i="7"/>
  <c r="C810" i="7"/>
  <c r="C802" i="7"/>
  <c r="C794" i="7"/>
  <c r="C786" i="7"/>
  <c r="C778" i="7"/>
  <c r="C770" i="7"/>
  <c r="C762" i="7"/>
  <c r="C754" i="7"/>
  <c r="C746" i="7"/>
  <c r="C738" i="7"/>
  <c r="C730" i="7"/>
  <c r="C722" i="7"/>
  <c r="C714" i="7"/>
  <c r="C706" i="7"/>
  <c r="C698" i="7"/>
  <c r="C690" i="7"/>
  <c r="C682" i="7"/>
  <c r="C674" i="7"/>
  <c r="C666" i="7"/>
  <c r="C658" i="7"/>
  <c r="C650" i="7"/>
  <c r="C642" i="7"/>
  <c r="C634" i="7"/>
  <c r="C626" i="7"/>
  <c r="C618" i="7"/>
  <c r="C610" i="7"/>
  <c r="C602" i="7"/>
  <c r="C594" i="7"/>
  <c r="C586" i="7"/>
  <c r="C578" i="7"/>
  <c r="C570" i="7"/>
  <c r="C563" i="7"/>
  <c r="C555" i="7"/>
  <c r="C547" i="7"/>
  <c r="C539" i="7"/>
  <c r="C531" i="7"/>
  <c r="C523" i="7"/>
  <c r="C515" i="7"/>
  <c r="C507" i="7"/>
  <c r="C499" i="7"/>
  <c r="C491" i="7"/>
  <c r="C483" i="7"/>
  <c r="C475" i="7"/>
  <c r="C467" i="7"/>
  <c r="C459" i="7"/>
  <c r="C451" i="7"/>
  <c r="C443" i="7"/>
  <c r="C435" i="7"/>
  <c r="C427" i="7"/>
  <c r="C419" i="7"/>
  <c r="C411" i="7"/>
  <c r="C403" i="7"/>
  <c r="C395" i="7"/>
  <c r="C387" i="7"/>
  <c r="C379" i="7"/>
  <c r="C371" i="7"/>
  <c r="C363" i="7"/>
  <c r="C355" i="7"/>
  <c r="C347" i="7"/>
  <c r="C339" i="7"/>
  <c r="C332" i="7"/>
  <c r="C324" i="7"/>
  <c r="C316" i="7"/>
  <c r="C308" i="7"/>
  <c r="C977" i="7"/>
  <c r="C969" i="7"/>
  <c r="C961" i="7"/>
  <c r="C953" i="7"/>
  <c r="C945" i="7"/>
  <c r="C937" i="7"/>
  <c r="C929" i="7"/>
  <c r="C921" i="7"/>
  <c r="C913" i="7"/>
  <c r="C905" i="7"/>
  <c r="C897" i="7"/>
  <c r="C889" i="7"/>
  <c r="C881" i="7"/>
  <c r="C873" i="7"/>
  <c r="C865" i="7"/>
  <c r="C857" i="7"/>
  <c r="C849" i="7"/>
  <c r="C841" i="7"/>
  <c r="C833" i="7"/>
  <c r="C825" i="7"/>
  <c r="C817" i="7"/>
  <c r="C809" i="7"/>
  <c r="C801" i="7"/>
  <c r="C793" i="7"/>
  <c r="C785" i="7"/>
  <c r="C777" i="7"/>
  <c r="C769" i="7"/>
  <c r="C761" i="7"/>
  <c r="C753" i="7"/>
  <c r="C745" i="7"/>
  <c r="C737" i="7"/>
  <c r="C729" i="7"/>
  <c r="C721" i="7"/>
  <c r="C713" i="7"/>
  <c r="C705" i="7"/>
  <c r="C697" i="7"/>
  <c r="C689" i="7"/>
  <c r="C681" i="7"/>
  <c r="C673" i="7"/>
  <c r="C665" i="7"/>
  <c r="C657" i="7"/>
  <c r="C649" i="7"/>
  <c r="C641" i="7"/>
  <c r="C633" i="7"/>
  <c r="C625" i="7"/>
  <c r="C617" i="7"/>
  <c r="C609" i="7"/>
  <c r="C601" i="7"/>
  <c r="C593" i="7"/>
  <c r="C585" i="7"/>
  <c r="C577" i="7"/>
  <c r="C569" i="7"/>
  <c r="C562" i="7"/>
  <c r="C554" i="7"/>
  <c r="C546" i="7"/>
  <c r="C538" i="7"/>
  <c r="C530" i="7"/>
  <c r="C522" i="7"/>
  <c r="C514" i="7"/>
  <c r="C506" i="7"/>
  <c r="C498" i="7"/>
  <c r="C490" i="7"/>
  <c r="C482" i="7"/>
  <c r="C474" i="7"/>
  <c r="C466" i="7"/>
  <c r="C458" i="7"/>
  <c r="C450" i="7"/>
  <c r="C442" i="7"/>
  <c r="C434" i="7"/>
  <c r="C426" i="7"/>
  <c r="C418" i="7"/>
  <c r="C410" i="7"/>
  <c r="C402" i="7"/>
  <c r="C394" i="7"/>
  <c r="C386" i="7"/>
  <c r="C378" i="7"/>
  <c r="C370" i="7"/>
  <c r="C362" i="7"/>
  <c r="C354" i="7"/>
  <c r="C346" i="7"/>
  <c r="C338" i="7"/>
  <c r="C331" i="7"/>
  <c r="C979" i="7"/>
  <c r="C947" i="7"/>
  <c r="C915" i="7"/>
  <c r="C883" i="7"/>
  <c r="C851" i="7"/>
  <c r="C819" i="7"/>
  <c r="C787" i="7"/>
  <c r="C755" i="7"/>
  <c r="C723" i="7"/>
  <c r="C691" i="7"/>
  <c r="C659" i="7"/>
  <c r="C627" i="7"/>
  <c r="C595" i="7"/>
  <c r="C564" i="7"/>
  <c r="C532" i="7"/>
  <c r="C500" i="7"/>
  <c r="C468" i="7"/>
  <c r="C445" i="7"/>
  <c r="C425" i="7"/>
  <c r="C404" i="7"/>
  <c r="C381" i="7"/>
  <c r="C361" i="7"/>
  <c r="C340" i="7"/>
  <c r="C322" i="7"/>
  <c r="C306" i="7"/>
  <c r="C298" i="7"/>
  <c r="C292" i="7"/>
  <c r="C285" i="7"/>
  <c r="C277" i="7"/>
  <c r="C269" i="7"/>
  <c r="C261" i="7"/>
  <c r="C253" i="7"/>
  <c r="C245" i="7"/>
  <c r="C237" i="7"/>
  <c r="C229" i="7"/>
  <c r="C221" i="7"/>
  <c r="C213" i="7"/>
  <c r="C205" i="7"/>
  <c r="C198" i="7"/>
  <c r="C190" i="7"/>
  <c r="C182" i="7"/>
  <c r="C175" i="7"/>
  <c r="C167" i="7"/>
  <c r="C159" i="7"/>
  <c r="C151" i="7"/>
  <c r="C143" i="7"/>
  <c r="C135" i="7"/>
  <c r="C127" i="7"/>
  <c r="C119" i="7"/>
  <c r="C111" i="7"/>
  <c r="C103" i="7"/>
  <c r="C94" i="7"/>
  <c r="C86" i="7"/>
  <c r="C78" i="7"/>
  <c r="C70" i="7"/>
  <c r="C62" i="7"/>
  <c r="C54" i="7"/>
  <c r="C45" i="7"/>
  <c r="C37" i="7"/>
  <c r="C29" i="7"/>
  <c r="C21" i="7"/>
  <c r="C13" i="7"/>
  <c r="C5" i="7"/>
  <c r="C976" i="7"/>
  <c r="C944" i="7"/>
  <c r="C912" i="7"/>
  <c r="C880" i="7"/>
  <c r="C848" i="7"/>
  <c r="C816" i="7"/>
  <c r="C784" i="7"/>
  <c r="C752" i="7"/>
  <c r="C720" i="7"/>
  <c r="C688" i="7"/>
  <c r="C656" i="7"/>
  <c r="C624" i="7"/>
  <c r="C592" i="7"/>
  <c r="C561" i="7"/>
  <c r="C529" i="7"/>
  <c r="C497" i="7"/>
  <c r="C465" i="7"/>
  <c r="C444" i="7"/>
  <c r="C421" i="7"/>
  <c r="C401" i="7"/>
  <c r="C380" i="7"/>
  <c r="C357" i="7"/>
  <c r="C337" i="7"/>
  <c r="C318" i="7"/>
  <c r="C305" i="7"/>
  <c r="C297" i="7"/>
  <c r="C291" i="7"/>
  <c r="C284" i="7"/>
  <c r="C276" i="7"/>
  <c r="C268" i="7"/>
  <c r="C260" i="7"/>
  <c r="C252" i="7"/>
  <c r="C244" i="7"/>
  <c r="C236" i="7"/>
  <c r="C228" i="7"/>
  <c r="C220" i="7"/>
  <c r="C212" i="7"/>
  <c r="C197" i="7"/>
  <c r="C189" i="7"/>
  <c r="C174" i="7"/>
  <c r="C166" i="7"/>
  <c r="C158" i="7"/>
  <c r="C150" i="7"/>
  <c r="C142" i="7"/>
  <c r="C134" i="7"/>
  <c r="C126" i="7"/>
  <c r="C118" i="7"/>
  <c r="C110" i="7"/>
  <c r="C102" i="7"/>
  <c r="C93" i="7"/>
  <c r="C85" i="7"/>
  <c r="C77" i="7"/>
  <c r="C69" i="7"/>
  <c r="C61" i="7"/>
  <c r="C53" i="7"/>
  <c r="C44" i="7"/>
  <c r="C36" i="7"/>
  <c r="C28" i="7"/>
  <c r="C20" i="7"/>
  <c r="C12" i="7"/>
  <c r="C4" i="7"/>
  <c r="C971" i="7"/>
  <c r="C939" i="7"/>
  <c r="C907" i="7"/>
  <c r="C875" i="7"/>
  <c r="C843" i="7"/>
  <c r="C811" i="7"/>
  <c r="C779" i="7"/>
  <c r="C747" i="7"/>
  <c r="C715" i="7"/>
  <c r="C683" i="7"/>
  <c r="C651" i="7"/>
  <c r="C619" i="7"/>
  <c r="C587" i="7"/>
  <c r="C556" i="7"/>
  <c r="C524" i="7"/>
  <c r="C492" i="7"/>
  <c r="C461" i="7"/>
  <c r="C441" i="7"/>
  <c r="C420" i="7"/>
  <c r="C397" i="7"/>
  <c r="C377" i="7"/>
  <c r="C356" i="7"/>
  <c r="C334" i="7"/>
  <c r="C317" i="7"/>
  <c r="C304" i="7"/>
  <c r="C296" i="7"/>
  <c r="C290" i="7"/>
  <c r="C283" i="7"/>
  <c r="C275" i="7"/>
  <c r="C267" i="7"/>
  <c r="C259" i="7"/>
  <c r="C251" i="7"/>
  <c r="C243" i="7"/>
  <c r="C235" i="7"/>
  <c r="C227" i="7"/>
  <c r="C219" i="7"/>
  <c r="C211" i="7"/>
  <c r="C204" i="7"/>
  <c r="C196" i="7"/>
  <c r="C188" i="7"/>
  <c r="C181" i="7"/>
  <c r="C173" i="7"/>
  <c r="C165" i="7"/>
  <c r="C157" i="7"/>
  <c r="C149" i="7"/>
  <c r="C141" i="7"/>
  <c r="C133" i="7"/>
  <c r="C125" i="7"/>
  <c r="C117" i="7"/>
  <c r="C109" i="7"/>
  <c r="C101" i="7"/>
  <c r="C92" i="7"/>
  <c r="C84" i="7"/>
  <c r="C76" i="7"/>
  <c r="C68" i="7"/>
  <c r="C60" i="7"/>
  <c r="C52" i="7"/>
  <c r="C43" i="7"/>
  <c r="C35" i="7"/>
  <c r="C27" i="7"/>
  <c r="C19" i="7"/>
  <c r="C11" i="7"/>
  <c r="C3" i="7"/>
  <c r="C968" i="7"/>
  <c r="C936" i="7"/>
  <c r="C904" i="7"/>
  <c r="C872" i="7"/>
  <c r="C960" i="7"/>
  <c r="C928" i="7"/>
  <c r="C896" i="7"/>
  <c r="C864" i="7"/>
  <c r="C832" i="7"/>
  <c r="C800" i="7"/>
  <c r="C768" i="7"/>
  <c r="C736" i="7"/>
  <c r="C704" i="7"/>
  <c r="C672" i="7"/>
  <c r="C640" i="7"/>
  <c r="C608" i="7"/>
  <c r="C576" i="7"/>
  <c r="C545" i="7"/>
  <c r="C513" i="7"/>
  <c r="C481" i="7"/>
  <c r="C453" i="7"/>
  <c r="C433" i="7"/>
  <c r="C412" i="7"/>
  <c r="C389" i="7"/>
  <c r="C369" i="7"/>
  <c r="C348" i="7"/>
  <c r="C326" i="7"/>
  <c r="C310" i="7"/>
  <c r="C301" i="7"/>
  <c r="C295" i="7"/>
  <c r="C288" i="7"/>
  <c r="C280" i="7"/>
  <c r="C272" i="7"/>
  <c r="C264" i="7"/>
  <c r="C256" i="7"/>
  <c r="C248" i="7"/>
  <c r="C240" i="7"/>
  <c r="C232" i="7"/>
  <c r="C224" i="7"/>
  <c r="C216" i="7"/>
  <c r="C208" i="7"/>
  <c r="C201" i="7"/>
  <c r="C193" i="7"/>
  <c r="C185" i="7"/>
  <c r="C178" i="7"/>
  <c r="C170" i="7"/>
  <c r="C162" i="7"/>
  <c r="C154" i="7"/>
  <c r="C146" i="7"/>
  <c r="C138" i="7"/>
  <c r="C130" i="7"/>
  <c r="C122" i="7"/>
  <c r="C114" i="7"/>
  <c r="C106" i="7"/>
  <c r="C98" i="7"/>
  <c r="C89" i="7"/>
  <c r="C81" i="7"/>
  <c r="C73" i="7"/>
  <c r="C65" i="7"/>
  <c r="C57" i="7"/>
  <c r="C48" i="7"/>
  <c r="C40" i="7"/>
  <c r="C32" i="7"/>
  <c r="C24" i="7"/>
  <c r="C8" i="7"/>
  <c r="C955" i="7"/>
  <c r="C923" i="7"/>
  <c r="C891" i="7"/>
  <c r="C859" i="7"/>
  <c r="C827" i="7"/>
  <c r="C795" i="7"/>
  <c r="C763" i="7"/>
  <c r="C731" i="7"/>
  <c r="C699" i="7"/>
  <c r="C667" i="7"/>
  <c r="C635" i="7"/>
  <c r="C603" i="7"/>
  <c r="C571" i="7"/>
  <c r="C540" i="7"/>
  <c r="C508" i="7"/>
  <c r="C476" i="7"/>
  <c r="C452" i="7"/>
  <c r="C429" i="7"/>
  <c r="C409" i="7"/>
  <c r="C388" i="7"/>
  <c r="C365" i="7"/>
  <c r="C345" i="7"/>
  <c r="C325" i="7"/>
  <c r="C309" i="7"/>
  <c r="C300" i="7"/>
  <c r="C294" i="7"/>
  <c r="C287" i="7"/>
  <c r="C279" i="7"/>
  <c r="C271" i="7"/>
  <c r="C263" i="7"/>
  <c r="C255" i="7"/>
  <c r="C247" i="7"/>
  <c r="C239" i="7"/>
  <c r="C231" i="7"/>
  <c r="C223" i="7"/>
  <c r="C215" i="7"/>
  <c r="C207" i="7"/>
  <c r="C200" i="7"/>
  <c r="C192" i="7"/>
  <c r="C184" i="7"/>
  <c r="C177" i="7"/>
  <c r="C169" i="7"/>
  <c r="C161" i="7"/>
  <c r="C153" i="7"/>
  <c r="C145" i="7"/>
  <c r="C137" i="7"/>
  <c r="C129" i="7"/>
  <c r="C121" i="7"/>
  <c r="C113" i="7"/>
  <c r="C105" i="7"/>
  <c r="C97" i="7"/>
  <c r="C80" i="7"/>
  <c r="C72" i="7"/>
  <c r="C64" i="7"/>
  <c r="C56" i="7"/>
  <c r="C47" i="7"/>
  <c r="C39" i="7"/>
  <c r="C31" i="7"/>
  <c r="C23" i="7"/>
  <c r="C15" i="7"/>
  <c r="C7" i="7"/>
  <c r="C952" i="7"/>
  <c r="C888" i="7"/>
  <c r="C856" i="7"/>
  <c r="C824" i="7"/>
  <c r="C792" i="7"/>
  <c r="C760" i="7"/>
  <c r="C728" i="7"/>
  <c r="C696" i="7"/>
  <c r="C664" i="7"/>
  <c r="C632" i="7"/>
  <c r="C600" i="7"/>
  <c r="C568" i="7"/>
  <c r="C537" i="7"/>
  <c r="C505" i="7"/>
  <c r="C473" i="7"/>
  <c r="C449" i="7"/>
  <c r="C428" i="7"/>
  <c r="C405" i="7"/>
  <c r="C385" i="7"/>
  <c r="C364" i="7"/>
  <c r="C341" i="7"/>
  <c r="C323" i="7"/>
  <c r="C22" i="7"/>
  <c r="C42" i="7"/>
  <c r="C66" i="7"/>
  <c r="C87" i="7"/>
  <c r="C108" i="7"/>
  <c r="C131" i="7"/>
  <c r="C152" i="7"/>
  <c r="C172" i="7"/>
  <c r="C194" i="7"/>
  <c r="C214" i="7"/>
  <c r="C234" i="7"/>
  <c r="C257" i="7"/>
  <c r="C278" i="7"/>
  <c r="C333" i="7"/>
  <c r="C417" i="7"/>
  <c r="C521" i="7"/>
  <c r="C648" i="7"/>
  <c r="C776" i="7"/>
  <c r="C931" i="7"/>
  <c r="C2" i="7"/>
  <c r="C25" i="7"/>
  <c r="C46" i="7"/>
  <c r="C67" i="7"/>
  <c r="C90" i="7"/>
  <c r="C112" i="7"/>
  <c r="C132" i="7"/>
  <c r="C155" i="7"/>
  <c r="C176" i="7"/>
  <c r="C195" i="7"/>
  <c r="C217" i="7"/>
  <c r="C238" i="7"/>
  <c r="C258" i="7"/>
  <c r="C281" i="7"/>
  <c r="C299" i="7"/>
  <c r="C349" i="7"/>
  <c r="C436" i="7"/>
  <c r="C548" i="7"/>
  <c r="C675" i="7"/>
  <c r="C803" i="7"/>
  <c r="C963" i="7"/>
  <c r="L175" i="10" l="1"/>
  <c r="T177" i="10"/>
  <c r="U177" i="10" s="1"/>
  <c r="G687" i="7" s="1"/>
  <c r="P177" i="10"/>
  <c r="AH177" i="10" s="1"/>
  <c r="AI177" i="10" s="1"/>
  <c r="L177" i="10"/>
  <c r="H177" i="10"/>
  <c r="K177" i="10"/>
  <c r="T175" i="10"/>
  <c r="U175" i="10" s="1"/>
  <c r="G682" i="7" s="1"/>
  <c r="P175" i="10"/>
  <c r="AH176" i="10" s="1"/>
  <c r="AI176" i="10" s="1"/>
  <c r="K175" i="10"/>
  <c r="H175" i="10"/>
  <c r="G679" i="7"/>
  <c r="AH175" i="10"/>
  <c r="AI175" i="10" s="1"/>
  <c r="T121" i="10"/>
  <c r="U121" i="10" s="1"/>
  <c r="T118" i="10"/>
  <c r="U118" i="10" s="1"/>
  <c r="G444" i="7" s="1"/>
  <c r="T119" i="10"/>
  <c r="U119" i="10" s="1"/>
  <c r="T117" i="10"/>
  <c r="U117" i="10" s="1"/>
  <c r="G442" i="7" s="1"/>
  <c r="T116" i="10"/>
  <c r="U116" i="10" s="1"/>
  <c r="T115" i="10"/>
  <c r="U115" i="10" s="1"/>
  <c r="T114" i="10"/>
  <c r="U114" i="10" s="1"/>
  <c r="T120" i="10"/>
  <c r="U120" i="10" s="1"/>
  <c r="T113" i="10"/>
  <c r="U113" i="10" s="1"/>
  <c r="H174" i="10"/>
  <c r="L174" i="10"/>
  <c r="P174" i="10"/>
  <c r="AH174" i="10" s="1"/>
  <c r="AI174" i="10" s="1"/>
  <c r="K174" i="10"/>
  <c r="H173" i="10"/>
  <c r="P173" i="10"/>
  <c r="AH173" i="10" s="1"/>
  <c r="AI173" i="10" s="1"/>
  <c r="L173" i="10"/>
  <c r="K173" i="10"/>
  <c r="K172" i="10"/>
  <c r="P172" i="10"/>
  <c r="AH172" i="10" s="1"/>
  <c r="AI172" i="10" s="1"/>
  <c r="H172" i="10"/>
  <c r="L172" i="10"/>
  <c r="H171" i="10"/>
  <c r="P171" i="10"/>
  <c r="AH171" i="10" s="1"/>
  <c r="AI171" i="10" s="1"/>
  <c r="K171" i="10"/>
  <c r="L171" i="10"/>
  <c r="H170" i="10"/>
  <c r="P170" i="10"/>
  <c r="AH170" i="10" s="1"/>
  <c r="AI170" i="10" s="1"/>
  <c r="L170" i="10"/>
  <c r="K170" i="10"/>
  <c r="P169" i="10"/>
  <c r="AH169" i="10" s="1"/>
  <c r="AI169" i="10" s="1"/>
  <c r="H169" i="10"/>
  <c r="K169" i="10"/>
  <c r="L169" i="10"/>
  <c r="L168" i="10"/>
  <c r="P168" i="10"/>
  <c r="AH168" i="10" s="1"/>
  <c r="AI168" i="10" s="1"/>
  <c r="K168" i="10"/>
  <c r="H168" i="10"/>
  <c r="L167" i="10"/>
  <c r="P167" i="10"/>
  <c r="AH167" i="10" s="1"/>
  <c r="AI167" i="10" s="1"/>
  <c r="K167" i="10"/>
  <c r="H167" i="10"/>
  <c r="H166" i="10"/>
  <c r="K166" i="10"/>
  <c r="L166" i="10"/>
  <c r="P166" i="10"/>
  <c r="AH166" i="10" s="1"/>
  <c r="AI166" i="10" s="1"/>
  <c r="L165" i="10"/>
  <c r="H165" i="10"/>
  <c r="P165" i="10"/>
  <c r="AH165" i="10" s="1"/>
  <c r="AI165" i="10" s="1"/>
  <c r="K165" i="10"/>
  <c r="P164" i="10"/>
  <c r="AH164" i="10" s="1"/>
  <c r="AI164" i="10" s="1"/>
  <c r="H164" i="10"/>
  <c r="L164" i="10"/>
  <c r="K164" i="10"/>
  <c r="P163" i="10"/>
  <c r="AH163" i="10" s="1"/>
  <c r="AI163" i="10" s="1"/>
  <c r="K163" i="10"/>
  <c r="L163" i="10"/>
  <c r="H163" i="10"/>
  <c r="H162" i="10"/>
  <c r="K162" i="10"/>
  <c r="P162" i="10"/>
  <c r="AH162" i="10" s="1"/>
  <c r="AI162" i="10" s="1"/>
  <c r="L162" i="10"/>
  <c r="L161" i="10"/>
  <c r="H161" i="10"/>
  <c r="K161" i="10"/>
  <c r="P161" i="10"/>
  <c r="AH161" i="10" s="1"/>
  <c r="AI161" i="10" s="1"/>
  <c r="H158" i="10"/>
  <c r="L158" i="10"/>
  <c r="K158" i="10"/>
  <c r="P158" i="10"/>
  <c r="K159" i="10"/>
  <c r="P159" i="10"/>
  <c r="AH159" i="10" s="1"/>
  <c r="AI159" i="10" s="1"/>
  <c r="L159" i="10"/>
  <c r="H159" i="10"/>
  <c r="L160" i="10"/>
  <c r="H160" i="10"/>
  <c r="K160" i="10"/>
  <c r="P160" i="10"/>
  <c r="AH160" i="10" s="1"/>
  <c r="AI160" i="10" s="1"/>
  <c r="K157" i="10"/>
  <c r="T112" i="10"/>
  <c r="U112" i="10" s="1"/>
  <c r="T111" i="10"/>
  <c r="U111" i="10" s="1"/>
  <c r="T110" i="10"/>
  <c r="U110" i="10" s="1"/>
  <c r="T109" i="10"/>
  <c r="U109" i="10" s="1"/>
  <c r="T108" i="10"/>
  <c r="U108" i="10" s="1"/>
  <c r="T107" i="10"/>
  <c r="U107" i="10" s="1"/>
  <c r="P157" i="10"/>
  <c r="AH157" i="10" s="1"/>
  <c r="AI157" i="10" s="1"/>
  <c r="H157" i="10"/>
  <c r="L157" i="10"/>
  <c r="P156" i="10"/>
  <c r="AH156" i="10" s="1"/>
  <c r="AI156" i="10" s="1"/>
  <c r="H156" i="10"/>
  <c r="L156" i="10"/>
  <c r="K156" i="10"/>
  <c r="T155" i="10"/>
  <c r="U155" i="10" s="1"/>
  <c r="G607" i="7" s="1"/>
  <c r="H155" i="10"/>
  <c r="K155" i="10"/>
  <c r="L155" i="10"/>
  <c r="P155" i="10"/>
  <c r="AH155" i="10" s="1"/>
  <c r="AI155" i="10" s="1"/>
  <c r="H154" i="10"/>
  <c r="K154" i="10"/>
  <c r="L154" i="10"/>
  <c r="P154" i="10"/>
  <c r="AH154" i="10" s="1"/>
  <c r="AI154" i="10" s="1"/>
  <c r="P153" i="10"/>
  <c r="AH153" i="10" s="1"/>
  <c r="AI153" i="10" s="1"/>
  <c r="L153" i="10"/>
  <c r="K153" i="10"/>
  <c r="T152" i="10"/>
  <c r="K152" i="10"/>
  <c r="H152" i="10"/>
  <c r="P152" i="10"/>
  <c r="AH152" i="10" s="1"/>
  <c r="AI152" i="10" s="1"/>
  <c r="L152" i="10"/>
  <c r="H151" i="10"/>
  <c r="K151" i="10"/>
  <c r="P151" i="10"/>
  <c r="AH151" i="10" s="1"/>
  <c r="AI151" i="10" s="1"/>
  <c r="L151" i="10"/>
  <c r="G64" i="13"/>
  <c r="V64" i="13" s="1"/>
  <c r="I63" i="13"/>
  <c r="X63" i="13" s="1"/>
  <c r="K62" i="13"/>
  <c r="Z62" i="13" s="1"/>
  <c r="M61" i="13"/>
  <c r="AB61" i="13" s="1"/>
  <c r="E61" i="13"/>
  <c r="T61" i="13" s="1"/>
  <c r="G60" i="13"/>
  <c r="V60" i="13" s="1"/>
  <c r="J61" i="13"/>
  <c r="Y61" i="13" s="1"/>
  <c r="F64" i="13"/>
  <c r="U64" i="13" s="1"/>
  <c r="H63" i="13"/>
  <c r="W63" i="13" s="1"/>
  <c r="J62" i="13"/>
  <c r="Y62" i="13" s="1"/>
  <c r="L61" i="13"/>
  <c r="AA61" i="13" s="1"/>
  <c r="D61" i="13"/>
  <c r="F60" i="13"/>
  <c r="U60" i="13" s="1"/>
  <c r="H62" i="13"/>
  <c r="W62" i="13" s="1"/>
  <c r="M64" i="13"/>
  <c r="AB64" i="13" s="1"/>
  <c r="E64" i="13"/>
  <c r="T64" i="13" s="1"/>
  <c r="G63" i="13"/>
  <c r="V63" i="13" s="1"/>
  <c r="I62" i="13"/>
  <c r="X62" i="13" s="1"/>
  <c r="K61" i="13"/>
  <c r="Z61" i="13" s="1"/>
  <c r="M60" i="13"/>
  <c r="AB60" i="13" s="1"/>
  <c r="E60" i="13"/>
  <c r="T60" i="13" s="1"/>
  <c r="L60" i="13"/>
  <c r="AA60" i="13" s="1"/>
  <c r="L64" i="13"/>
  <c r="AA64" i="13" s="1"/>
  <c r="D64" i="13"/>
  <c r="F63" i="13"/>
  <c r="U63" i="13" s="1"/>
  <c r="K64" i="13"/>
  <c r="Z64" i="13" s="1"/>
  <c r="M63" i="13"/>
  <c r="AB63" i="13" s="1"/>
  <c r="E63" i="13"/>
  <c r="T63" i="13" s="1"/>
  <c r="G62" i="13"/>
  <c r="V62" i="13" s="1"/>
  <c r="I61" i="13"/>
  <c r="X61" i="13" s="1"/>
  <c r="K60" i="13"/>
  <c r="Z60" i="13" s="1"/>
  <c r="L62" i="13"/>
  <c r="AA62" i="13" s="1"/>
  <c r="D62" i="13"/>
  <c r="S62" i="13" s="1"/>
  <c r="H60" i="13"/>
  <c r="W60" i="13" s="1"/>
  <c r="J64" i="13"/>
  <c r="Y64" i="13" s="1"/>
  <c r="L63" i="13"/>
  <c r="AA63" i="13" s="1"/>
  <c r="D63" i="13"/>
  <c r="F62" i="13"/>
  <c r="H61" i="13"/>
  <c r="W61" i="13" s="1"/>
  <c r="J60" i="13"/>
  <c r="Y60" i="13" s="1"/>
  <c r="H64" i="13"/>
  <c r="W64" i="13" s="1"/>
  <c r="I64" i="13"/>
  <c r="X64" i="13" s="1"/>
  <c r="K63" i="13"/>
  <c r="Z63" i="13" s="1"/>
  <c r="M62" i="13"/>
  <c r="AB62" i="13" s="1"/>
  <c r="E62" i="13"/>
  <c r="T62" i="13" s="1"/>
  <c r="G61" i="13"/>
  <c r="V61" i="13" s="1"/>
  <c r="I60" i="13"/>
  <c r="X60" i="13" s="1"/>
  <c r="J63" i="13"/>
  <c r="Y63" i="13" s="1"/>
  <c r="F61" i="13"/>
  <c r="U61" i="13" s="1"/>
  <c r="D60" i="13"/>
  <c r="T15" i="11"/>
  <c r="S15" i="11"/>
  <c r="R15" i="11"/>
  <c r="R35" i="11"/>
  <c r="T35" i="11"/>
  <c r="S35" i="11"/>
  <c r="U15" i="11"/>
  <c r="U35" i="11"/>
  <c r="K150" i="10"/>
  <c r="P150" i="10"/>
  <c r="AH150" i="10" s="1"/>
  <c r="AI150" i="10" s="1"/>
  <c r="H150" i="10"/>
  <c r="L150" i="10"/>
  <c r="H149" i="10"/>
  <c r="P149" i="10"/>
  <c r="AH149" i="10" s="1"/>
  <c r="AI149" i="10" s="1"/>
  <c r="K149" i="10"/>
  <c r="L149" i="10"/>
  <c r="K148" i="10"/>
  <c r="L148" i="10"/>
  <c r="P148" i="10"/>
  <c r="AH148" i="10" s="1"/>
  <c r="AI148" i="10" s="1"/>
  <c r="H148" i="10"/>
  <c r="H146" i="10"/>
  <c r="K147" i="10"/>
  <c r="P147" i="10"/>
  <c r="AH147" i="10" s="1"/>
  <c r="AI147" i="10" s="1"/>
  <c r="L147" i="10"/>
  <c r="H147" i="10"/>
  <c r="K146" i="10"/>
  <c r="P146" i="10"/>
  <c r="AH146" i="10" s="1"/>
  <c r="AI146" i="10" s="1"/>
  <c r="L146" i="10"/>
  <c r="L145" i="10"/>
  <c r="P145" i="10"/>
  <c r="AH145" i="10" s="1"/>
  <c r="AI145" i="10" s="1"/>
  <c r="H145" i="10"/>
  <c r="K145" i="10"/>
  <c r="H144" i="10"/>
  <c r="K144" i="10"/>
  <c r="L144" i="10"/>
  <c r="P144" i="10"/>
  <c r="AH144" i="10" s="1"/>
  <c r="AI144" i="10" s="1"/>
  <c r="K143" i="10"/>
  <c r="H143" i="10"/>
  <c r="L143" i="10"/>
  <c r="P143" i="10"/>
  <c r="AH143" i="10" s="1"/>
  <c r="AI143" i="10" s="1"/>
  <c r="H142" i="10"/>
  <c r="K142" i="10"/>
  <c r="L142" i="10"/>
  <c r="P142" i="10"/>
  <c r="AH142" i="10" s="1"/>
  <c r="AI142" i="10" s="1"/>
  <c r="P141" i="10"/>
  <c r="AH141" i="10" s="1"/>
  <c r="AI141" i="10" s="1"/>
  <c r="L141" i="10"/>
  <c r="H141" i="10"/>
  <c r="K141" i="10"/>
  <c r="H140" i="10"/>
  <c r="P140" i="10"/>
  <c r="AH140" i="10" s="1"/>
  <c r="AI140" i="10" s="1"/>
  <c r="K140" i="10"/>
  <c r="L140" i="10"/>
  <c r="K139" i="10"/>
  <c r="H139" i="10"/>
  <c r="P139" i="10"/>
  <c r="AH139" i="10" s="1"/>
  <c r="AI139" i="10" s="1"/>
  <c r="L139" i="10"/>
  <c r="L138" i="10"/>
  <c r="K138" i="10"/>
  <c r="H138" i="10"/>
  <c r="P138" i="10"/>
  <c r="AH138" i="10" s="1"/>
  <c r="AI138" i="10" s="1"/>
  <c r="H137" i="10"/>
  <c r="L137" i="10"/>
  <c r="K137" i="10"/>
  <c r="P137" i="10"/>
  <c r="AH137" i="10" s="1"/>
  <c r="AI137" i="10" s="1"/>
  <c r="H136" i="10"/>
  <c r="L136" i="10"/>
  <c r="K136" i="10"/>
  <c r="P136" i="10"/>
  <c r="AH136" i="10" s="1"/>
  <c r="AI136" i="10" s="1"/>
  <c r="L135" i="10"/>
  <c r="H135" i="10"/>
  <c r="P135" i="10"/>
  <c r="AH135" i="10" s="1"/>
  <c r="AI135" i="10" s="1"/>
  <c r="K135" i="10"/>
  <c r="F65" i="13"/>
  <c r="U65" i="13" s="1"/>
  <c r="D36" i="13"/>
  <c r="S36" i="13" s="1"/>
  <c r="L46" i="13"/>
  <c r="AA46" i="13" s="1"/>
  <c r="I66" i="13"/>
  <c r="X66" i="13" s="1"/>
  <c r="F46" i="13"/>
  <c r="U46" i="13" s="1"/>
  <c r="G38" i="13"/>
  <c r="V38" i="13" s="1"/>
  <c r="E55" i="13"/>
  <c r="T55" i="13" s="1"/>
  <c r="J66" i="13"/>
  <c r="Y66" i="13" s="1"/>
  <c r="F39" i="13"/>
  <c r="U39" i="13" s="1"/>
  <c r="H55" i="13"/>
  <c r="W55" i="13" s="1"/>
  <c r="K66" i="13"/>
  <c r="Z66" i="13" s="1"/>
  <c r="G39" i="13"/>
  <c r="V39" i="13" s="1"/>
  <c r="D59" i="13"/>
  <c r="S59" i="13" s="1"/>
  <c r="L66" i="13"/>
  <c r="AA66" i="13" s="1"/>
  <c r="H66" i="13"/>
  <c r="W66" i="13" s="1"/>
  <c r="H39" i="13"/>
  <c r="W39" i="13" s="1"/>
  <c r="E59" i="13"/>
  <c r="T59" i="13" s="1"/>
  <c r="D67" i="13"/>
  <c r="S67" i="13" s="1"/>
  <c r="G59" i="13"/>
  <c r="V59" i="13" s="1"/>
  <c r="I39" i="13"/>
  <c r="X39" i="13" s="1"/>
  <c r="F59" i="13"/>
  <c r="U59" i="13" s="1"/>
  <c r="I41" i="13"/>
  <c r="X41" i="13" s="1"/>
  <c r="J41" i="13"/>
  <c r="Y41" i="13" s="1"/>
  <c r="D45" i="13"/>
  <c r="S45" i="13" s="1"/>
  <c r="G65" i="13"/>
  <c r="V65" i="13" s="1"/>
  <c r="L45" i="13"/>
  <c r="AA45" i="13" s="1"/>
  <c r="J65" i="13"/>
  <c r="Y65" i="13" s="1"/>
  <c r="M45" i="13"/>
  <c r="AB45" i="13" s="1"/>
  <c r="L65" i="13"/>
  <c r="AA65" i="13" s="1"/>
  <c r="M33" i="13"/>
  <c r="AB33" i="13" s="1"/>
  <c r="K41" i="13"/>
  <c r="Z41" i="13" s="1"/>
  <c r="D38" i="13"/>
  <c r="S38" i="13" s="1"/>
  <c r="J45" i="13"/>
  <c r="Y45" i="13" s="1"/>
  <c r="H59" i="13"/>
  <c r="W59" i="13" s="1"/>
  <c r="J67" i="13"/>
  <c r="Y67" i="13" s="1"/>
  <c r="E38" i="13"/>
  <c r="T38" i="13" s="1"/>
  <c r="K45" i="13"/>
  <c r="Z45" i="13" s="1"/>
  <c r="J59" i="13"/>
  <c r="Y59" i="13" s="1"/>
  <c r="K67" i="13"/>
  <c r="Z67" i="13" s="1"/>
  <c r="F38" i="13"/>
  <c r="U38" i="13" s="1"/>
  <c r="K32" i="13"/>
  <c r="Z32" i="13" s="1"/>
  <c r="L32" i="13"/>
  <c r="AA32" i="13" s="1"/>
  <c r="F33" i="13"/>
  <c r="U33" i="13" s="1"/>
  <c r="L39" i="13"/>
  <c r="AA39" i="13" s="1"/>
  <c r="M46" i="13"/>
  <c r="AB46" i="13" s="1"/>
  <c r="H65" i="13"/>
  <c r="W65" i="13" s="1"/>
  <c r="L67" i="13"/>
  <c r="AA67" i="13" s="1"/>
  <c r="L33" i="13"/>
  <c r="AA33" i="13" s="1"/>
  <c r="H41" i="13"/>
  <c r="W41" i="13" s="1"/>
  <c r="D55" i="13"/>
  <c r="S55" i="13" s="1"/>
  <c r="I65" i="13"/>
  <c r="X65" i="13" s="1"/>
  <c r="M67" i="13"/>
  <c r="AB67" i="13" s="1"/>
  <c r="M32" i="13"/>
  <c r="AB32" i="13" s="1"/>
  <c r="E36" i="13"/>
  <c r="T36" i="13" s="1"/>
  <c r="D33" i="13"/>
  <c r="F36" i="13"/>
  <c r="U36" i="13" s="1"/>
  <c r="H38" i="13"/>
  <c r="J39" i="13"/>
  <c r="Y39" i="13" s="1"/>
  <c r="L41" i="13"/>
  <c r="AA41" i="13" s="1"/>
  <c r="D46" i="13"/>
  <c r="F55" i="13"/>
  <c r="E33" i="13"/>
  <c r="T33" i="13" s="1"/>
  <c r="G36" i="13"/>
  <c r="V36" i="13" s="1"/>
  <c r="I38" i="13"/>
  <c r="X38" i="13" s="1"/>
  <c r="K39" i="13"/>
  <c r="Z39" i="13" s="1"/>
  <c r="M41" i="13"/>
  <c r="AB41" i="13" s="1"/>
  <c r="E46" i="13"/>
  <c r="T46" i="13" s="1"/>
  <c r="G55" i="13"/>
  <c r="V55" i="13" s="1"/>
  <c r="I59" i="13"/>
  <c r="K65" i="13"/>
  <c r="Z65" i="13" s="1"/>
  <c r="M66" i="13"/>
  <c r="AB66" i="13" s="1"/>
  <c r="H36" i="13"/>
  <c r="W36" i="13" s="1"/>
  <c r="J38" i="13"/>
  <c r="Y38" i="13" s="1"/>
  <c r="D32" i="13"/>
  <c r="S32" i="13" s="1"/>
  <c r="E32" i="13"/>
  <c r="T32" i="13" s="1"/>
  <c r="G33" i="13"/>
  <c r="V33" i="13" s="1"/>
  <c r="I36" i="13"/>
  <c r="X36" i="13" s="1"/>
  <c r="K38" i="13"/>
  <c r="Z38" i="13" s="1"/>
  <c r="M39" i="13"/>
  <c r="AB39" i="13" s="1"/>
  <c r="E45" i="13"/>
  <c r="G46" i="13"/>
  <c r="V46" i="13" s="1"/>
  <c r="I55" i="13"/>
  <c r="X55" i="13" s="1"/>
  <c r="K59" i="13"/>
  <c r="Z59" i="13" s="1"/>
  <c r="M65" i="13"/>
  <c r="AB65" i="13" s="1"/>
  <c r="E67" i="13"/>
  <c r="T67" i="13" s="1"/>
  <c r="J46" i="13"/>
  <c r="Y46" i="13" s="1"/>
  <c r="H67" i="13"/>
  <c r="W67" i="13" s="1"/>
  <c r="E39" i="13"/>
  <c r="T39" i="13" s="1"/>
  <c r="K46" i="13"/>
  <c r="Z46" i="13" s="1"/>
  <c r="I67" i="13"/>
  <c r="X67" i="13" s="1"/>
  <c r="J32" i="13"/>
  <c r="Y32" i="13" s="1"/>
  <c r="F32" i="13"/>
  <c r="U32" i="13" s="1"/>
  <c r="H33" i="13"/>
  <c r="W33" i="13" s="1"/>
  <c r="J36" i="13"/>
  <c r="Y36" i="13" s="1"/>
  <c r="L38" i="13"/>
  <c r="AA38" i="13" s="1"/>
  <c r="D41" i="13"/>
  <c r="F45" i="13"/>
  <c r="U45" i="13" s="1"/>
  <c r="H46" i="13"/>
  <c r="W46" i="13" s="1"/>
  <c r="J55" i="13"/>
  <c r="Y55" i="13" s="1"/>
  <c r="L59" i="13"/>
  <c r="AA59" i="13" s="1"/>
  <c r="D66" i="13"/>
  <c r="F67" i="13"/>
  <c r="U67" i="13" s="1"/>
  <c r="F41" i="13"/>
  <c r="U41" i="13" s="1"/>
  <c r="F66" i="13"/>
  <c r="U66" i="13" s="1"/>
  <c r="I32" i="13"/>
  <c r="X32" i="13" s="1"/>
  <c r="G41" i="13"/>
  <c r="V41" i="13" s="1"/>
  <c r="M55" i="13"/>
  <c r="AB55" i="13" s="1"/>
  <c r="G32" i="13"/>
  <c r="V32" i="13" s="1"/>
  <c r="I33" i="13"/>
  <c r="X33" i="13" s="1"/>
  <c r="K36" i="13"/>
  <c r="Z36" i="13" s="1"/>
  <c r="M38" i="13"/>
  <c r="AB38" i="13" s="1"/>
  <c r="E41" i="13"/>
  <c r="T41" i="13" s="1"/>
  <c r="G45" i="13"/>
  <c r="V45" i="13" s="1"/>
  <c r="I46" i="13"/>
  <c r="X46" i="13" s="1"/>
  <c r="K55" i="13"/>
  <c r="Z55" i="13" s="1"/>
  <c r="M59" i="13"/>
  <c r="AB59" i="13" s="1"/>
  <c r="E66" i="13"/>
  <c r="T66" i="13" s="1"/>
  <c r="G67" i="13"/>
  <c r="H32" i="13"/>
  <c r="W32" i="13" s="1"/>
  <c r="J33" i="13"/>
  <c r="Y33" i="13" s="1"/>
  <c r="L36" i="13"/>
  <c r="D39" i="13"/>
  <c r="H45" i="13"/>
  <c r="W45" i="13" s="1"/>
  <c r="L55" i="13"/>
  <c r="AA55" i="13" s="1"/>
  <c r="D65" i="13"/>
  <c r="K33" i="13"/>
  <c r="Z33" i="13" s="1"/>
  <c r="M36" i="13"/>
  <c r="AB36" i="13" s="1"/>
  <c r="I45" i="13"/>
  <c r="X45" i="13" s="1"/>
  <c r="E65" i="13"/>
  <c r="T65" i="13" s="1"/>
  <c r="G66" i="13"/>
  <c r="V66" i="13" s="1"/>
  <c r="L17" i="13"/>
  <c r="AA17" i="13" s="1"/>
  <c r="D17" i="13"/>
  <c r="H17" i="13"/>
  <c r="W17" i="13" s="1"/>
  <c r="I17" i="13"/>
  <c r="X17" i="13" s="1"/>
  <c r="J17" i="13"/>
  <c r="Y17" i="13" s="1"/>
  <c r="K17" i="13"/>
  <c r="Z17" i="13" s="1"/>
  <c r="E17" i="13"/>
  <c r="T17" i="13" s="1"/>
  <c r="F17" i="13"/>
  <c r="U17" i="13" s="1"/>
  <c r="G17" i="13"/>
  <c r="V17" i="13" s="1"/>
  <c r="L23" i="13"/>
  <c r="AA23" i="13" s="1"/>
  <c r="M23" i="13"/>
  <c r="AB23" i="13" s="1"/>
  <c r="D23" i="13"/>
  <c r="E23" i="13"/>
  <c r="T23" i="13" s="1"/>
  <c r="F23" i="13"/>
  <c r="U23" i="13" s="1"/>
  <c r="G23" i="13"/>
  <c r="V23" i="13" s="1"/>
  <c r="H23" i="13"/>
  <c r="W23" i="13" s="1"/>
  <c r="I23" i="13"/>
  <c r="X23" i="13" s="1"/>
  <c r="J23" i="13"/>
  <c r="Y23" i="13" s="1"/>
  <c r="K23" i="13"/>
  <c r="Z23" i="13" s="1"/>
  <c r="D54" i="13"/>
  <c r="E54" i="13"/>
  <c r="T54" i="13" s="1"/>
  <c r="F54" i="13"/>
  <c r="U54" i="13" s="1"/>
  <c r="G54" i="13"/>
  <c r="V54" i="13" s="1"/>
  <c r="H54" i="13"/>
  <c r="W54" i="13" s="1"/>
  <c r="I54" i="13"/>
  <c r="X54" i="13" s="1"/>
  <c r="J54" i="13"/>
  <c r="Y54" i="13" s="1"/>
  <c r="K54" i="13"/>
  <c r="Z54" i="13" s="1"/>
  <c r="L54" i="13"/>
  <c r="AA54" i="13" s="1"/>
  <c r="M54" i="13"/>
  <c r="AB54" i="13" s="1"/>
  <c r="H13" i="13"/>
  <c r="W13" i="13" s="1"/>
  <c r="L13" i="13"/>
  <c r="AA13" i="13" s="1"/>
  <c r="M13" i="13"/>
  <c r="AB13" i="13" s="1"/>
  <c r="G13" i="13"/>
  <c r="V13" i="13" s="1"/>
  <c r="I13" i="13"/>
  <c r="X13" i="13" s="1"/>
  <c r="J13" i="13"/>
  <c r="Y13" i="13" s="1"/>
  <c r="K13" i="13"/>
  <c r="Z13" i="13" s="1"/>
  <c r="J6" i="13"/>
  <c r="Y6" i="13" s="1"/>
  <c r="K6" i="13"/>
  <c r="Z6" i="13" s="1"/>
  <c r="L6" i="13"/>
  <c r="AA6" i="13" s="1"/>
  <c r="M6" i="13"/>
  <c r="AB6" i="13" s="1"/>
  <c r="E6" i="13"/>
  <c r="T6" i="13" s="1"/>
  <c r="G6" i="13"/>
  <c r="V6" i="13" s="1"/>
  <c r="H6" i="13"/>
  <c r="W6" i="13" s="1"/>
  <c r="I6" i="13"/>
  <c r="X6" i="13" s="1"/>
  <c r="D42" i="13"/>
  <c r="H42" i="13"/>
  <c r="W42" i="13" s="1"/>
  <c r="I42" i="13"/>
  <c r="X42" i="13" s="1"/>
  <c r="J42" i="13"/>
  <c r="Y42" i="13" s="1"/>
  <c r="F42" i="13"/>
  <c r="U42" i="13" s="1"/>
  <c r="K42" i="13"/>
  <c r="Z42" i="13" s="1"/>
  <c r="L42" i="13"/>
  <c r="AA42" i="13" s="1"/>
  <c r="M42" i="13"/>
  <c r="AB42" i="13" s="1"/>
  <c r="E42" i="13"/>
  <c r="T42" i="13" s="1"/>
  <c r="G42" i="13"/>
  <c r="V42" i="13" s="1"/>
  <c r="H27" i="13"/>
  <c r="W27" i="13" s="1"/>
  <c r="I27" i="13"/>
  <c r="X27" i="13" s="1"/>
  <c r="J27" i="13"/>
  <c r="Y27" i="13" s="1"/>
  <c r="L27" i="13"/>
  <c r="AA27" i="13" s="1"/>
  <c r="D27" i="13"/>
  <c r="E27" i="13"/>
  <c r="T27" i="13" s="1"/>
  <c r="F27" i="13"/>
  <c r="U27" i="13" s="1"/>
  <c r="G27" i="13"/>
  <c r="V27" i="13" s="1"/>
  <c r="K27" i="13"/>
  <c r="Z27" i="13" s="1"/>
  <c r="M27" i="13"/>
  <c r="AB27" i="13" s="1"/>
  <c r="L35" i="13"/>
  <c r="AA35" i="13" s="1"/>
  <c r="M35" i="13"/>
  <c r="AB35" i="13" s="1"/>
  <c r="K35" i="13"/>
  <c r="Z35" i="13" s="1"/>
  <c r="H35" i="13"/>
  <c r="W35" i="13" s="1"/>
  <c r="D35" i="13"/>
  <c r="E35" i="13"/>
  <c r="T35" i="13" s="1"/>
  <c r="F35" i="13"/>
  <c r="U35" i="13" s="1"/>
  <c r="G35" i="13"/>
  <c r="V35" i="13" s="1"/>
  <c r="I35" i="13"/>
  <c r="X35" i="13" s="1"/>
  <c r="J35" i="13"/>
  <c r="Y35" i="13" s="1"/>
  <c r="H44" i="13"/>
  <c r="W44" i="13" s="1"/>
  <c r="K44" i="13"/>
  <c r="Z44" i="13" s="1"/>
  <c r="L44" i="13"/>
  <c r="AA44" i="13" s="1"/>
  <c r="D44" i="13"/>
  <c r="E44" i="13"/>
  <c r="T44" i="13" s="1"/>
  <c r="F44" i="13"/>
  <c r="U44" i="13" s="1"/>
  <c r="G44" i="13"/>
  <c r="V44" i="13" s="1"/>
  <c r="I44" i="13"/>
  <c r="X44" i="13" s="1"/>
  <c r="J44" i="13"/>
  <c r="Y44" i="13" s="1"/>
  <c r="M44" i="13"/>
  <c r="AB44" i="13" s="1"/>
  <c r="D58" i="13"/>
  <c r="E58" i="13"/>
  <c r="T58" i="13" s="1"/>
  <c r="F58" i="13"/>
  <c r="U58" i="13" s="1"/>
  <c r="G58" i="13"/>
  <c r="V58" i="13" s="1"/>
  <c r="H58" i="13"/>
  <c r="W58" i="13" s="1"/>
  <c r="I58" i="13"/>
  <c r="X58" i="13" s="1"/>
  <c r="J58" i="13"/>
  <c r="Y58" i="13" s="1"/>
  <c r="K58" i="13"/>
  <c r="Z58" i="13" s="1"/>
  <c r="L58" i="13"/>
  <c r="AA58" i="13" s="1"/>
  <c r="M58" i="13"/>
  <c r="AB58" i="13" s="1"/>
  <c r="D16" i="13"/>
  <c r="E16" i="13"/>
  <c r="T16" i="13" s="1"/>
  <c r="F16" i="13"/>
  <c r="U16" i="13" s="1"/>
  <c r="G16" i="13"/>
  <c r="V16" i="13" s="1"/>
  <c r="H16" i="13"/>
  <c r="W16" i="13" s="1"/>
  <c r="I16" i="13"/>
  <c r="X16" i="13" s="1"/>
  <c r="M16" i="13"/>
  <c r="AB16" i="13" s="1"/>
  <c r="H50" i="13"/>
  <c r="W50" i="13" s="1"/>
  <c r="D50" i="13"/>
  <c r="E50" i="13"/>
  <c r="T50" i="13" s="1"/>
  <c r="F50" i="13"/>
  <c r="U50" i="13" s="1"/>
  <c r="G50" i="13"/>
  <c r="V50" i="13" s="1"/>
  <c r="I50" i="13"/>
  <c r="X50" i="13" s="1"/>
  <c r="J50" i="13"/>
  <c r="Y50" i="13" s="1"/>
  <c r="K50" i="13"/>
  <c r="Z50" i="13" s="1"/>
  <c r="L50" i="13"/>
  <c r="AA50" i="13" s="1"/>
  <c r="M50" i="13"/>
  <c r="AB50" i="13" s="1"/>
  <c r="F20" i="13"/>
  <c r="U20" i="13" s="1"/>
  <c r="G20" i="13"/>
  <c r="V20" i="13" s="1"/>
  <c r="H20" i="13"/>
  <c r="W20" i="13" s="1"/>
  <c r="J20" i="13"/>
  <c r="Y20" i="13" s="1"/>
  <c r="D20" i="13"/>
  <c r="E20" i="13"/>
  <c r="T20" i="13" s="1"/>
  <c r="I20" i="13"/>
  <c r="X20" i="13" s="1"/>
  <c r="K20" i="13"/>
  <c r="Z20" i="13" s="1"/>
  <c r="L20" i="13"/>
  <c r="AA20" i="13" s="1"/>
  <c r="M20" i="13"/>
  <c r="AB20" i="13" s="1"/>
  <c r="D31" i="13"/>
  <c r="E31" i="13"/>
  <c r="T31" i="13" s="1"/>
  <c r="F31" i="13"/>
  <c r="U31" i="13" s="1"/>
  <c r="H31" i="13"/>
  <c r="W31" i="13" s="1"/>
  <c r="L31" i="13"/>
  <c r="AA31" i="13" s="1"/>
  <c r="M31" i="13"/>
  <c r="AB31" i="13" s="1"/>
  <c r="I31" i="13"/>
  <c r="X31" i="13" s="1"/>
  <c r="G31" i="13"/>
  <c r="V31" i="13" s="1"/>
  <c r="J31" i="13"/>
  <c r="Y31" i="13" s="1"/>
  <c r="K31" i="13"/>
  <c r="Z31" i="13" s="1"/>
  <c r="J14" i="13"/>
  <c r="Y14" i="13" s="1"/>
  <c r="D14" i="13"/>
  <c r="E14" i="13"/>
  <c r="T14" i="13" s="1"/>
  <c r="I14" i="13"/>
  <c r="X14" i="13" s="1"/>
  <c r="K14" i="13"/>
  <c r="Z14" i="13" s="1"/>
  <c r="L14" i="13"/>
  <c r="AA14" i="13" s="1"/>
  <c r="M14" i="13"/>
  <c r="AB14" i="13" s="1"/>
  <c r="F49" i="13"/>
  <c r="U49" i="13" s="1"/>
  <c r="L49" i="13"/>
  <c r="AA49" i="13" s="1"/>
  <c r="D49" i="13"/>
  <c r="E49" i="13"/>
  <c r="T49" i="13" s="1"/>
  <c r="G49" i="13"/>
  <c r="V49" i="13" s="1"/>
  <c r="H49" i="13"/>
  <c r="W49" i="13" s="1"/>
  <c r="I49" i="13"/>
  <c r="X49" i="13" s="1"/>
  <c r="J49" i="13"/>
  <c r="Y49" i="13" s="1"/>
  <c r="K49" i="13"/>
  <c r="Z49" i="13" s="1"/>
  <c r="M49" i="13"/>
  <c r="AB49" i="13" s="1"/>
  <c r="L29" i="13"/>
  <c r="AA29" i="13" s="1"/>
  <c r="M29" i="13"/>
  <c r="AB29" i="13" s="1"/>
  <c r="D29" i="13"/>
  <c r="E29" i="13"/>
  <c r="T29" i="13" s="1"/>
  <c r="F29" i="13"/>
  <c r="U29" i="13" s="1"/>
  <c r="G29" i="13"/>
  <c r="V29" i="13" s="1"/>
  <c r="H29" i="13"/>
  <c r="W29" i="13" s="1"/>
  <c r="I29" i="13"/>
  <c r="X29" i="13" s="1"/>
  <c r="J29" i="13"/>
  <c r="Y29" i="13" s="1"/>
  <c r="K29" i="13"/>
  <c r="Z29" i="13" s="1"/>
  <c r="F43" i="13"/>
  <c r="U43" i="13" s="1"/>
  <c r="K43" i="13"/>
  <c r="Z43" i="13" s="1"/>
  <c r="L43" i="13"/>
  <c r="AA43" i="13" s="1"/>
  <c r="M43" i="13"/>
  <c r="AB43" i="13" s="1"/>
  <c r="D43" i="13"/>
  <c r="E43" i="13"/>
  <c r="T43" i="13" s="1"/>
  <c r="H43" i="13"/>
  <c r="W43" i="13" s="1"/>
  <c r="I43" i="13"/>
  <c r="X43" i="13" s="1"/>
  <c r="G43" i="13"/>
  <c r="V43" i="13" s="1"/>
  <c r="J43" i="13"/>
  <c r="Y43" i="13" s="1"/>
  <c r="D30" i="13"/>
  <c r="F30" i="13"/>
  <c r="U30" i="13" s="1"/>
  <c r="E30" i="13"/>
  <c r="T30" i="13" s="1"/>
  <c r="G30" i="13"/>
  <c r="V30" i="13" s="1"/>
  <c r="H30" i="13"/>
  <c r="W30" i="13" s="1"/>
  <c r="I30" i="13"/>
  <c r="X30" i="13" s="1"/>
  <c r="J30" i="13"/>
  <c r="Y30" i="13" s="1"/>
  <c r="K30" i="13"/>
  <c r="Z30" i="13" s="1"/>
  <c r="L30" i="13"/>
  <c r="AA30" i="13" s="1"/>
  <c r="M30" i="13"/>
  <c r="AB30" i="13" s="1"/>
  <c r="H47" i="13"/>
  <c r="W47" i="13" s="1"/>
  <c r="I47" i="13"/>
  <c r="X47" i="13" s="1"/>
  <c r="J47" i="13"/>
  <c r="Y47" i="13" s="1"/>
  <c r="F47" i="13"/>
  <c r="U47" i="13" s="1"/>
  <c r="K47" i="13"/>
  <c r="Z47" i="13" s="1"/>
  <c r="L47" i="13"/>
  <c r="AA47" i="13" s="1"/>
  <c r="M47" i="13"/>
  <c r="AB47" i="13" s="1"/>
  <c r="E47" i="13"/>
  <c r="T47" i="13" s="1"/>
  <c r="D47" i="13"/>
  <c r="G47" i="13"/>
  <c r="V47" i="13" s="1"/>
  <c r="E5" i="13"/>
  <c r="F5" i="13"/>
  <c r="G5" i="13"/>
  <c r="H5" i="13"/>
  <c r="I5" i="13"/>
  <c r="J5" i="13"/>
  <c r="K5" i="13"/>
  <c r="J34" i="13"/>
  <c r="Y34" i="13" s="1"/>
  <c r="K34" i="13"/>
  <c r="Z34" i="13" s="1"/>
  <c r="L34" i="13"/>
  <c r="AA34" i="13" s="1"/>
  <c r="F34" i="13"/>
  <c r="U34" i="13" s="1"/>
  <c r="G34" i="13"/>
  <c r="V34" i="13" s="1"/>
  <c r="H34" i="13"/>
  <c r="W34" i="13" s="1"/>
  <c r="I34" i="13"/>
  <c r="X34" i="13" s="1"/>
  <c r="M34" i="13"/>
  <c r="AB34" i="13" s="1"/>
  <c r="D34" i="13"/>
  <c r="E34" i="13"/>
  <c r="T34" i="13" s="1"/>
  <c r="D25" i="13"/>
  <c r="E25" i="13"/>
  <c r="T25" i="13" s="1"/>
  <c r="F25" i="13"/>
  <c r="U25" i="13" s="1"/>
  <c r="H25" i="13"/>
  <c r="W25" i="13" s="1"/>
  <c r="G25" i="13"/>
  <c r="V25" i="13" s="1"/>
  <c r="I25" i="13"/>
  <c r="X25" i="13" s="1"/>
  <c r="J25" i="13"/>
  <c r="Y25" i="13" s="1"/>
  <c r="K25" i="13"/>
  <c r="Z25" i="13" s="1"/>
  <c r="L25" i="13"/>
  <c r="AA25" i="13" s="1"/>
  <c r="M25" i="13"/>
  <c r="AB25" i="13" s="1"/>
  <c r="D11" i="13"/>
  <c r="E11" i="13"/>
  <c r="T11" i="13" s="1"/>
  <c r="F11" i="13"/>
  <c r="U11" i="13" s="1"/>
  <c r="G11" i="13"/>
  <c r="V11" i="13" s="1"/>
  <c r="H11" i="13"/>
  <c r="W11" i="13" s="1"/>
  <c r="I11" i="13"/>
  <c r="X11" i="13" s="1"/>
  <c r="J11" i="13"/>
  <c r="Y11" i="13" s="1"/>
  <c r="K11" i="13"/>
  <c r="Z11" i="13" s="1"/>
  <c r="J57" i="13"/>
  <c r="Y57" i="13" s="1"/>
  <c r="L57" i="13"/>
  <c r="AA57" i="13" s="1"/>
  <c r="M57" i="13"/>
  <c r="AB57" i="13" s="1"/>
  <c r="H57" i="13"/>
  <c r="W57" i="13" s="1"/>
  <c r="D57" i="13"/>
  <c r="E57" i="13"/>
  <c r="T57" i="13" s="1"/>
  <c r="F57" i="13"/>
  <c r="U57" i="13" s="1"/>
  <c r="G57" i="13"/>
  <c r="V57" i="13" s="1"/>
  <c r="I57" i="13"/>
  <c r="X57" i="13" s="1"/>
  <c r="K57" i="13"/>
  <c r="Z57" i="13" s="1"/>
  <c r="D9" i="13"/>
  <c r="E9" i="13"/>
  <c r="T9" i="13" s="1"/>
  <c r="F9" i="13"/>
  <c r="U9" i="13" s="1"/>
  <c r="G9" i="13"/>
  <c r="V9" i="13" s="1"/>
  <c r="K9" i="13"/>
  <c r="Z9" i="13" s="1"/>
  <c r="M9" i="13"/>
  <c r="AB9" i="13" s="1"/>
  <c r="L40" i="13"/>
  <c r="AA40" i="13" s="1"/>
  <c r="D40" i="13"/>
  <c r="K40" i="13"/>
  <c r="Z40" i="13" s="1"/>
  <c r="E40" i="13"/>
  <c r="T40" i="13" s="1"/>
  <c r="F40" i="13"/>
  <c r="U40" i="13" s="1"/>
  <c r="G40" i="13"/>
  <c r="V40" i="13" s="1"/>
  <c r="H40" i="13"/>
  <c r="W40" i="13" s="1"/>
  <c r="I40" i="13"/>
  <c r="X40" i="13" s="1"/>
  <c r="J40" i="13"/>
  <c r="Y40" i="13" s="1"/>
  <c r="M40" i="13"/>
  <c r="AB40" i="13" s="1"/>
  <c r="H56" i="13"/>
  <c r="W56" i="13" s="1"/>
  <c r="I56" i="13"/>
  <c r="X56" i="13" s="1"/>
  <c r="J56" i="13"/>
  <c r="Y56" i="13" s="1"/>
  <c r="K56" i="13"/>
  <c r="Z56" i="13" s="1"/>
  <c r="E56" i="13"/>
  <c r="T56" i="13" s="1"/>
  <c r="L56" i="13"/>
  <c r="AA56" i="13" s="1"/>
  <c r="M56" i="13"/>
  <c r="AB56" i="13" s="1"/>
  <c r="F56" i="13"/>
  <c r="U56" i="13" s="1"/>
  <c r="D56" i="13"/>
  <c r="G56" i="13"/>
  <c r="V56" i="13" s="1"/>
  <c r="L5" i="13"/>
  <c r="D7" i="13"/>
  <c r="F8" i="13"/>
  <c r="U8" i="13" s="1"/>
  <c r="H9" i="13"/>
  <c r="W9" i="13" s="1"/>
  <c r="J10" i="13"/>
  <c r="Y10" i="13" s="1"/>
  <c r="L11" i="13"/>
  <c r="AA11" i="13" s="1"/>
  <c r="D13" i="13"/>
  <c r="F14" i="13"/>
  <c r="U14" i="13" s="1"/>
  <c r="H15" i="13"/>
  <c r="W15" i="13" s="1"/>
  <c r="J16" i="13"/>
  <c r="Y16" i="13" s="1"/>
  <c r="M5" i="13"/>
  <c r="E7" i="13"/>
  <c r="T7" i="13" s="1"/>
  <c r="G8" i="13"/>
  <c r="V8" i="13" s="1"/>
  <c r="I9" i="13"/>
  <c r="X9" i="13" s="1"/>
  <c r="K10" i="13"/>
  <c r="Z10" i="13" s="1"/>
  <c r="M11" i="13"/>
  <c r="AB11" i="13" s="1"/>
  <c r="E13" i="13"/>
  <c r="T13" i="13" s="1"/>
  <c r="G14" i="13"/>
  <c r="V14" i="13" s="1"/>
  <c r="I15" i="13"/>
  <c r="X15" i="13" s="1"/>
  <c r="K16" i="13"/>
  <c r="Z16" i="13" s="1"/>
  <c r="M17" i="13"/>
  <c r="AB17" i="13" s="1"/>
  <c r="D6" i="13"/>
  <c r="F7" i="13"/>
  <c r="U7" i="13" s="1"/>
  <c r="H8" i="13"/>
  <c r="W8" i="13" s="1"/>
  <c r="J9" i="13"/>
  <c r="Y9" i="13" s="1"/>
  <c r="L10" i="13"/>
  <c r="AA10" i="13" s="1"/>
  <c r="D12" i="13"/>
  <c r="F13" i="13"/>
  <c r="U13" i="13" s="1"/>
  <c r="H14" i="13"/>
  <c r="W14" i="13" s="1"/>
  <c r="J15" i="13"/>
  <c r="Y15" i="13" s="1"/>
  <c r="L16" i="13"/>
  <c r="AA16" i="13" s="1"/>
  <c r="D5" i="13"/>
  <c r="F6" i="13"/>
  <c r="U6" i="13" s="1"/>
  <c r="H7" i="13"/>
  <c r="W7" i="13" s="1"/>
  <c r="J8" i="13"/>
  <c r="Y8" i="13" s="1"/>
  <c r="L9" i="13"/>
  <c r="AA9" i="13" s="1"/>
  <c r="I8" i="13"/>
  <c r="X8" i="13" s="1"/>
  <c r="K8" i="13"/>
  <c r="Z8" i="13" s="1"/>
  <c r="L8" i="13"/>
  <c r="AA8" i="13" s="1"/>
  <c r="M8" i="13"/>
  <c r="AB8" i="13" s="1"/>
  <c r="D8" i="13"/>
  <c r="E8" i="13"/>
  <c r="T8" i="13" s="1"/>
  <c r="D18" i="13"/>
  <c r="F18" i="13"/>
  <c r="U18" i="13" s="1"/>
  <c r="E18" i="13"/>
  <c r="T18" i="13" s="1"/>
  <c r="G18" i="13"/>
  <c r="V18" i="13" s="1"/>
  <c r="H18" i="13"/>
  <c r="W18" i="13" s="1"/>
  <c r="I18" i="13"/>
  <c r="X18" i="13" s="1"/>
  <c r="J18" i="13"/>
  <c r="Y18" i="13" s="1"/>
  <c r="K18" i="13"/>
  <c r="Z18" i="13" s="1"/>
  <c r="L18" i="13"/>
  <c r="AA18" i="13" s="1"/>
  <c r="M18" i="13"/>
  <c r="AB18" i="13" s="1"/>
  <c r="F10" i="13"/>
  <c r="U10" i="13" s="1"/>
  <c r="G10" i="13"/>
  <c r="V10" i="13" s="1"/>
  <c r="H10" i="13"/>
  <c r="W10" i="13" s="1"/>
  <c r="I10" i="13"/>
  <c r="X10" i="13" s="1"/>
  <c r="M10" i="13"/>
  <c r="AB10" i="13" s="1"/>
  <c r="D10" i="13"/>
  <c r="E10" i="13"/>
  <c r="T10" i="13" s="1"/>
  <c r="L52" i="13"/>
  <c r="AA52" i="13" s="1"/>
  <c r="J52" i="13"/>
  <c r="Y52" i="13" s="1"/>
  <c r="K52" i="13"/>
  <c r="Z52" i="13" s="1"/>
  <c r="M52" i="13"/>
  <c r="AB52" i="13" s="1"/>
  <c r="G52" i="13"/>
  <c r="V52" i="13" s="1"/>
  <c r="D52" i="13"/>
  <c r="E52" i="13"/>
  <c r="T52" i="13" s="1"/>
  <c r="F52" i="13"/>
  <c r="U52" i="13" s="1"/>
  <c r="H52" i="13"/>
  <c r="W52" i="13" s="1"/>
  <c r="I52" i="13"/>
  <c r="X52" i="13" s="1"/>
  <c r="L15" i="13"/>
  <c r="AA15" i="13" s="1"/>
  <c r="K15" i="13"/>
  <c r="Z15" i="13" s="1"/>
  <c r="M15" i="13"/>
  <c r="AB15" i="13" s="1"/>
  <c r="D15" i="13"/>
  <c r="E15" i="13"/>
  <c r="T15" i="13" s="1"/>
  <c r="F15" i="13"/>
  <c r="U15" i="13" s="1"/>
  <c r="G15" i="13"/>
  <c r="V15" i="13" s="1"/>
  <c r="J28" i="13"/>
  <c r="Y28" i="13" s="1"/>
  <c r="K28" i="13"/>
  <c r="Z28" i="13" s="1"/>
  <c r="L28" i="13"/>
  <c r="AA28" i="13" s="1"/>
  <c r="F28" i="13"/>
  <c r="U28" i="13" s="1"/>
  <c r="G28" i="13"/>
  <c r="V28" i="13" s="1"/>
  <c r="H28" i="13"/>
  <c r="W28" i="13" s="1"/>
  <c r="I28" i="13"/>
  <c r="X28" i="13" s="1"/>
  <c r="M28" i="13"/>
  <c r="AB28" i="13" s="1"/>
  <c r="D28" i="13"/>
  <c r="E28" i="13"/>
  <c r="T28" i="13" s="1"/>
  <c r="J22" i="13"/>
  <c r="Y22" i="13" s="1"/>
  <c r="K22" i="13"/>
  <c r="Z22" i="13" s="1"/>
  <c r="L22" i="13"/>
  <c r="AA22" i="13" s="1"/>
  <c r="M22" i="13"/>
  <c r="AB22" i="13" s="1"/>
  <c r="D22" i="13"/>
  <c r="E22" i="13"/>
  <c r="T22" i="13" s="1"/>
  <c r="F22" i="13"/>
  <c r="U22" i="13" s="1"/>
  <c r="G22" i="13"/>
  <c r="V22" i="13" s="1"/>
  <c r="H22" i="13"/>
  <c r="W22" i="13" s="1"/>
  <c r="I22" i="13"/>
  <c r="X22" i="13" s="1"/>
  <c r="F12" i="13"/>
  <c r="U12" i="13" s="1"/>
  <c r="E12" i="13"/>
  <c r="T12" i="13" s="1"/>
  <c r="G12" i="13"/>
  <c r="V12" i="13" s="1"/>
  <c r="H12" i="13"/>
  <c r="W12" i="13" s="1"/>
  <c r="I12" i="13"/>
  <c r="X12" i="13" s="1"/>
  <c r="J12" i="13"/>
  <c r="Y12" i="13" s="1"/>
  <c r="K12" i="13"/>
  <c r="Z12" i="13" s="1"/>
  <c r="L12" i="13"/>
  <c r="AA12" i="13" s="1"/>
  <c r="M12" i="13"/>
  <c r="AB12" i="13" s="1"/>
  <c r="D19" i="13"/>
  <c r="E19" i="13"/>
  <c r="T19" i="13" s="1"/>
  <c r="F19" i="13"/>
  <c r="U19" i="13" s="1"/>
  <c r="H19" i="13"/>
  <c r="W19" i="13" s="1"/>
  <c r="G19" i="13"/>
  <c r="V19" i="13" s="1"/>
  <c r="I19" i="13"/>
  <c r="X19" i="13" s="1"/>
  <c r="J19" i="13"/>
  <c r="Y19" i="13" s="1"/>
  <c r="K19" i="13"/>
  <c r="Z19" i="13" s="1"/>
  <c r="L19" i="13"/>
  <c r="AA19" i="13" s="1"/>
  <c r="M19" i="13"/>
  <c r="AB19" i="13" s="1"/>
  <c r="D48" i="13"/>
  <c r="K48" i="13"/>
  <c r="Z48" i="13" s="1"/>
  <c r="L48" i="13"/>
  <c r="AA48" i="13" s="1"/>
  <c r="M48" i="13"/>
  <c r="AB48" i="13" s="1"/>
  <c r="E48" i="13"/>
  <c r="T48" i="13" s="1"/>
  <c r="F48" i="13"/>
  <c r="U48" i="13" s="1"/>
  <c r="I48" i="13"/>
  <c r="X48" i="13" s="1"/>
  <c r="G48" i="13"/>
  <c r="V48" i="13" s="1"/>
  <c r="H48" i="13"/>
  <c r="W48" i="13" s="1"/>
  <c r="J48" i="13"/>
  <c r="Y48" i="13" s="1"/>
  <c r="J51" i="13"/>
  <c r="Y51" i="13" s="1"/>
  <c r="G51" i="13"/>
  <c r="V51" i="13" s="1"/>
  <c r="H51" i="13"/>
  <c r="W51" i="13" s="1"/>
  <c r="I51" i="13"/>
  <c r="X51" i="13" s="1"/>
  <c r="K51" i="13"/>
  <c r="Z51" i="13" s="1"/>
  <c r="L51" i="13"/>
  <c r="AA51" i="13" s="1"/>
  <c r="M51" i="13"/>
  <c r="AB51" i="13" s="1"/>
  <c r="D51" i="13"/>
  <c r="E51" i="13"/>
  <c r="T51" i="13" s="1"/>
  <c r="F51" i="13"/>
  <c r="U51" i="13" s="1"/>
  <c r="H21" i="13"/>
  <c r="W21" i="13" s="1"/>
  <c r="I21" i="13"/>
  <c r="X21" i="13" s="1"/>
  <c r="J21" i="13"/>
  <c r="Y21" i="13" s="1"/>
  <c r="L21" i="13"/>
  <c r="AA21" i="13" s="1"/>
  <c r="D21" i="13"/>
  <c r="E21" i="13"/>
  <c r="T21" i="13" s="1"/>
  <c r="F21" i="13"/>
  <c r="U21" i="13" s="1"/>
  <c r="G21" i="13"/>
  <c r="V21" i="13" s="1"/>
  <c r="K21" i="13"/>
  <c r="Z21" i="13" s="1"/>
  <c r="M21" i="13"/>
  <c r="AB21" i="13" s="1"/>
  <c r="G7" i="13"/>
  <c r="V7" i="13" s="1"/>
  <c r="I7" i="13"/>
  <c r="X7" i="13" s="1"/>
  <c r="J7" i="13"/>
  <c r="Y7" i="13" s="1"/>
  <c r="K7" i="13"/>
  <c r="Z7" i="13" s="1"/>
  <c r="L7" i="13"/>
  <c r="AA7" i="13" s="1"/>
  <c r="M7" i="13"/>
  <c r="AB7" i="13" s="1"/>
  <c r="M53" i="13"/>
  <c r="AB53" i="13" s="1"/>
  <c r="K53" i="13"/>
  <c r="Z53" i="13" s="1"/>
  <c r="D53" i="13"/>
  <c r="E53" i="13"/>
  <c r="T53" i="13" s="1"/>
  <c r="F53" i="13"/>
  <c r="U53" i="13" s="1"/>
  <c r="G53" i="13"/>
  <c r="V53" i="13" s="1"/>
  <c r="H53" i="13"/>
  <c r="W53" i="13" s="1"/>
  <c r="J53" i="13"/>
  <c r="Y53" i="13" s="1"/>
  <c r="I53" i="13"/>
  <c r="X53" i="13" s="1"/>
  <c r="L53" i="13"/>
  <c r="AA53" i="13" s="1"/>
  <c r="F26" i="13"/>
  <c r="U26" i="13" s="1"/>
  <c r="G26" i="13"/>
  <c r="V26" i="13" s="1"/>
  <c r="H26" i="13"/>
  <c r="W26" i="13" s="1"/>
  <c r="J26" i="13"/>
  <c r="Y26" i="13" s="1"/>
  <c r="I26" i="13"/>
  <c r="X26" i="13" s="1"/>
  <c r="K26" i="13"/>
  <c r="Z26" i="13" s="1"/>
  <c r="L26" i="13"/>
  <c r="AA26" i="13" s="1"/>
  <c r="M26" i="13"/>
  <c r="AB26" i="13" s="1"/>
  <c r="D26" i="13"/>
  <c r="E26" i="13"/>
  <c r="T26" i="13" s="1"/>
  <c r="D24" i="13"/>
  <c r="F24" i="13"/>
  <c r="U24" i="13" s="1"/>
  <c r="J24" i="13"/>
  <c r="Y24" i="13" s="1"/>
  <c r="K24" i="13"/>
  <c r="Z24" i="13" s="1"/>
  <c r="L24" i="13"/>
  <c r="AA24" i="13" s="1"/>
  <c r="M24" i="13"/>
  <c r="AB24" i="13" s="1"/>
  <c r="E24" i="13"/>
  <c r="T24" i="13" s="1"/>
  <c r="G24" i="13"/>
  <c r="V24" i="13" s="1"/>
  <c r="H24" i="13"/>
  <c r="W24" i="13" s="1"/>
  <c r="I24" i="13"/>
  <c r="X24" i="13" s="1"/>
  <c r="D37" i="13"/>
  <c r="E37" i="13"/>
  <c r="T37" i="13" s="1"/>
  <c r="F37" i="13"/>
  <c r="U37" i="13" s="1"/>
  <c r="H37" i="13"/>
  <c r="W37" i="13" s="1"/>
  <c r="I37" i="13"/>
  <c r="X37" i="13" s="1"/>
  <c r="J37" i="13"/>
  <c r="Y37" i="13" s="1"/>
  <c r="K37" i="13"/>
  <c r="Z37" i="13" s="1"/>
  <c r="L37" i="13"/>
  <c r="AA37" i="13" s="1"/>
  <c r="M37" i="13"/>
  <c r="AB37" i="13" s="1"/>
  <c r="G37" i="13"/>
  <c r="V37" i="13" s="1"/>
  <c r="T104" i="10"/>
  <c r="U104" i="10" s="1"/>
  <c r="G397" i="7" s="1"/>
  <c r="G396" i="7"/>
  <c r="G395" i="7"/>
  <c r="G394" i="7"/>
  <c r="T105" i="10"/>
  <c r="U105" i="10" s="1"/>
  <c r="T106" i="10"/>
  <c r="U106" i="10" s="1"/>
  <c r="H94" i="10"/>
  <c r="H88" i="10"/>
  <c r="H64" i="10"/>
  <c r="H62" i="10"/>
  <c r="H73" i="10"/>
  <c r="H66" i="10"/>
  <c r="H70" i="10"/>
  <c r="H90" i="10"/>
  <c r="H30" i="10"/>
  <c r="H91" i="10"/>
  <c r="H131" i="10"/>
  <c r="H107" i="10"/>
  <c r="H14" i="10"/>
  <c r="L106" i="10"/>
  <c r="P106" i="10"/>
  <c r="AH106" i="10" s="1"/>
  <c r="AI106" i="10" s="1"/>
  <c r="K106" i="10"/>
  <c r="P131" i="10"/>
  <c r="AH131" i="10" s="1"/>
  <c r="AI131" i="10" s="1"/>
  <c r="L131" i="10"/>
  <c r="K131" i="10"/>
  <c r="L43" i="10"/>
  <c r="K43" i="10"/>
  <c r="P43" i="10"/>
  <c r="AH43" i="10" s="1"/>
  <c r="AI43" i="10" s="1"/>
  <c r="H43" i="10"/>
  <c r="P59" i="10"/>
  <c r="AH59" i="10" s="1"/>
  <c r="AI59" i="10" s="1"/>
  <c r="K59" i="10"/>
  <c r="T59" i="10"/>
  <c r="U59" i="10" s="1"/>
  <c r="L59" i="10"/>
  <c r="P96" i="10"/>
  <c r="AH96" i="10" s="1"/>
  <c r="AI96" i="10" s="1"/>
  <c r="T96" i="10"/>
  <c r="U96" i="10" s="1"/>
  <c r="K96" i="10"/>
  <c r="L96" i="10"/>
  <c r="T5" i="10"/>
  <c r="K5" i="10"/>
  <c r="P5" i="10"/>
  <c r="L5" i="10"/>
  <c r="P109" i="10"/>
  <c r="AH109" i="10" s="1"/>
  <c r="AI109" i="10" s="1"/>
  <c r="K109" i="10"/>
  <c r="L109" i="10"/>
  <c r="P86" i="10"/>
  <c r="AH86" i="10" s="1"/>
  <c r="AI86" i="10" s="1"/>
  <c r="L86" i="10"/>
  <c r="T86" i="10"/>
  <c r="K86" i="10"/>
  <c r="H68" i="10"/>
  <c r="K17" i="10"/>
  <c r="T17" i="10"/>
  <c r="P17" i="10"/>
  <c r="AH17" i="10" s="1"/>
  <c r="AI17" i="10" s="1"/>
  <c r="L17" i="10"/>
  <c r="P85" i="10"/>
  <c r="AH85" i="10" s="1"/>
  <c r="AI85" i="10" s="1"/>
  <c r="T85" i="10"/>
  <c r="K85" i="10"/>
  <c r="L85" i="10"/>
  <c r="P12" i="10"/>
  <c r="AH12" i="10" s="1"/>
  <c r="AI12" i="10" s="1"/>
  <c r="T12" i="10"/>
  <c r="K12" i="10"/>
  <c r="L12" i="10"/>
  <c r="P119" i="10"/>
  <c r="AH119" i="10" s="1"/>
  <c r="AI119" i="10" s="1"/>
  <c r="L119" i="10"/>
  <c r="K119" i="10"/>
  <c r="L118" i="10"/>
  <c r="P118" i="10"/>
  <c r="AH118" i="10" s="1"/>
  <c r="AI118" i="10" s="1"/>
  <c r="K118" i="10"/>
  <c r="L20" i="10"/>
  <c r="T20" i="10"/>
  <c r="K20" i="10"/>
  <c r="P20" i="10"/>
  <c r="AH20" i="10" s="1"/>
  <c r="AI20" i="10" s="1"/>
  <c r="P48" i="10"/>
  <c r="AH48" i="10" s="1"/>
  <c r="AI48" i="10" s="1"/>
  <c r="T48" i="10"/>
  <c r="G96" i="7" s="1"/>
  <c r="K48" i="10"/>
  <c r="L48" i="10"/>
  <c r="P117" i="10"/>
  <c r="AH117" i="10" s="1"/>
  <c r="AI117" i="10" s="1"/>
  <c r="L117" i="10"/>
  <c r="K117" i="10"/>
  <c r="T4" i="10"/>
  <c r="P4" i="10"/>
  <c r="K4" i="10"/>
  <c r="L4" i="10"/>
  <c r="H99" i="10"/>
  <c r="P72" i="10"/>
  <c r="AH72" i="10" s="1"/>
  <c r="AI72" i="10" s="1"/>
  <c r="T72" i="10"/>
  <c r="U72" i="10" s="1"/>
  <c r="K72" i="10"/>
  <c r="L72" i="10"/>
  <c r="T88" i="10"/>
  <c r="K88" i="10"/>
  <c r="L88" i="10"/>
  <c r="P88" i="10"/>
  <c r="AH88" i="10" s="1"/>
  <c r="AI88" i="10" s="1"/>
  <c r="T93" i="10"/>
  <c r="K93" i="10"/>
  <c r="L93" i="10"/>
  <c r="P93" i="10"/>
  <c r="AH93" i="10" s="1"/>
  <c r="AI93" i="10" s="1"/>
  <c r="L105" i="10"/>
  <c r="P105" i="10"/>
  <c r="AH105" i="10" s="1"/>
  <c r="AI105" i="10" s="1"/>
  <c r="K105" i="10"/>
  <c r="P133" i="10"/>
  <c r="AH133" i="10" s="1"/>
  <c r="AI133" i="10" s="1"/>
  <c r="K133" i="10"/>
  <c r="L133" i="10"/>
  <c r="L116" i="10"/>
  <c r="P116" i="10"/>
  <c r="AH116" i="10" s="1"/>
  <c r="AI116" i="10" s="1"/>
  <c r="K116" i="10"/>
  <c r="L54" i="10"/>
  <c r="T54" i="10"/>
  <c r="P54" i="10"/>
  <c r="AH54" i="10" s="1"/>
  <c r="AI54" i="10" s="1"/>
  <c r="K54" i="10"/>
  <c r="H63" i="10"/>
  <c r="T81" i="10"/>
  <c r="P81" i="10"/>
  <c r="AH81" i="10" s="1"/>
  <c r="AI81" i="10" s="1"/>
  <c r="K81" i="10"/>
  <c r="L81" i="10"/>
  <c r="L6" i="10"/>
  <c r="T6" i="10"/>
  <c r="K6" i="10"/>
  <c r="P6" i="10"/>
  <c r="L10" i="10"/>
  <c r="T10" i="10"/>
  <c r="P10" i="10"/>
  <c r="AH10" i="10" s="1"/>
  <c r="AI10" i="10" s="1"/>
  <c r="K10" i="10"/>
  <c r="T64" i="10"/>
  <c r="K64" i="10"/>
  <c r="P64" i="10"/>
  <c r="AH64" i="10" s="1"/>
  <c r="AI64" i="10" s="1"/>
  <c r="L64" i="10"/>
  <c r="H49" i="10"/>
  <c r="P49" i="10"/>
  <c r="AH49" i="10" s="1"/>
  <c r="AI49" i="10" s="1"/>
  <c r="T49" i="10"/>
  <c r="G102" i="7" s="1"/>
  <c r="K49" i="10"/>
  <c r="L49" i="10"/>
  <c r="P74" i="10"/>
  <c r="AH74" i="10" s="1"/>
  <c r="AI74" i="10" s="1"/>
  <c r="T74" i="10"/>
  <c r="K74" i="10"/>
  <c r="L74" i="10"/>
  <c r="L103" i="10"/>
  <c r="K103" i="10"/>
  <c r="P103" i="10"/>
  <c r="AH103" i="10" s="1"/>
  <c r="AI103" i="10" s="1"/>
  <c r="K123" i="10"/>
  <c r="P123" i="10"/>
  <c r="AH123" i="10" s="1"/>
  <c r="AI123" i="10" s="1"/>
  <c r="L123" i="10"/>
  <c r="P62" i="10"/>
  <c r="AH62" i="10" s="1"/>
  <c r="AI62" i="10" s="1"/>
  <c r="K62" i="10"/>
  <c r="L62" i="10"/>
  <c r="T62" i="10"/>
  <c r="U62" i="10" s="1"/>
  <c r="T16" i="10"/>
  <c r="K16" i="10"/>
  <c r="P16" i="10"/>
  <c r="AH16" i="10" s="1"/>
  <c r="AI16" i="10" s="1"/>
  <c r="L16" i="10"/>
  <c r="K75" i="10"/>
  <c r="P75" i="10"/>
  <c r="AH75" i="10" s="1"/>
  <c r="AI75" i="10" s="1"/>
  <c r="T75" i="10"/>
  <c r="U75" i="10" s="1"/>
  <c r="L75" i="10"/>
  <c r="H112" i="10"/>
  <c r="H84" i="10"/>
  <c r="H103" i="10"/>
  <c r="H60" i="10"/>
  <c r="H83" i="10"/>
  <c r="K111" i="10"/>
  <c r="P111" i="10"/>
  <c r="AH111" i="10" s="1"/>
  <c r="AI111" i="10" s="1"/>
  <c r="L111" i="10"/>
  <c r="P110" i="10"/>
  <c r="AH110" i="10" s="1"/>
  <c r="AI110" i="10" s="1"/>
  <c r="K110" i="10"/>
  <c r="L110" i="10"/>
  <c r="H38" i="10"/>
  <c r="H46" i="10"/>
  <c r="H130" i="10"/>
  <c r="H104" i="10"/>
  <c r="L128" i="10"/>
  <c r="K128" i="10"/>
  <c r="P128" i="10"/>
  <c r="AH128" i="10" s="1"/>
  <c r="AI128" i="10" s="1"/>
  <c r="K40" i="10"/>
  <c r="P40" i="10"/>
  <c r="AH40" i="10" s="1"/>
  <c r="AI40" i="10" s="1"/>
  <c r="H40" i="10"/>
  <c r="L40" i="10"/>
  <c r="P14" i="10"/>
  <c r="AH14" i="10" s="1"/>
  <c r="AI14" i="10" s="1"/>
  <c r="L14" i="10"/>
  <c r="T14" i="10"/>
  <c r="K14" i="10"/>
  <c r="L46" i="10"/>
  <c r="T46" i="10"/>
  <c r="G47" i="7" s="1"/>
  <c r="P46" i="10"/>
  <c r="AH46" i="10" s="1"/>
  <c r="AI46" i="10" s="1"/>
  <c r="K46" i="10"/>
  <c r="K112" i="10"/>
  <c r="L112" i="10"/>
  <c r="P112" i="10"/>
  <c r="AH112" i="10" s="1"/>
  <c r="AI112" i="10" s="1"/>
  <c r="T76" i="10"/>
  <c r="U76" i="10" s="1"/>
  <c r="K76" i="10"/>
  <c r="L76" i="10"/>
  <c r="P76" i="10"/>
  <c r="AH76" i="10" s="1"/>
  <c r="AI76" i="10" s="1"/>
  <c r="P132" i="10"/>
  <c r="AH132" i="10" s="1"/>
  <c r="AI132" i="10" s="1"/>
  <c r="K132" i="10"/>
  <c r="L132" i="10"/>
  <c r="K99" i="10"/>
  <c r="P99" i="10"/>
  <c r="AH99" i="10" s="1"/>
  <c r="AI99" i="10" s="1"/>
  <c r="T99" i="10"/>
  <c r="U99" i="10" s="1"/>
  <c r="L99" i="10"/>
  <c r="T77" i="10"/>
  <c r="K77" i="10"/>
  <c r="P77" i="10"/>
  <c r="AH77" i="10" s="1"/>
  <c r="AI77" i="10" s="1"/>
  <c r="L77" i="10"/>
  <c r="P26" i="10"/>
  <c r="AH26" i="10" s="1"/>
  <c r="AI26" i="10" s="1"/>
  <c r="K26" i="10"/>
  <c r="L26" i="10"/>
  <c r="T26" i="10"/>
  <c r="K89" i="10"/>
  <c r="T89" i="10"/>
  <c r="L89" i="10"/>
  <c r="P89" i="10"/>
  <c r="AH89" i="10" s="1"/>
  <c r="AI89" i="10" s="1"/>
  <c r="T31" i="10"/>
  <c r="L31" i="10"/>
  <c r="K31" i="10"/>
  <c r="P31" i="10"/>
  <c r="AH31" i="10" s="1"/>
  <c r="AI31" i="10" s="1"/>
  <c r="H71" i="10"/>
  <c r="L68" i="10"/>
  <c r="T68" i="10"/>
  <c r="P68" i="10"/>
  <c r="AH68" i="10" s="1"/>
  <c r="AI68" i="10" s="1"/>
  <c r="K68" i="10"/>
  <c r="T45" i="10"/>
  <c r="G38" i="7" s="1"/>
  <c r="P45" i="10"/>
  <c r="AH45" i="10" s="1"/>
  <c r="AI45" i="10" s="1"/>
  <c r="L45" i="10"/>
  <c r="K45" i="10"/>
  <c r="K41" i="10"/>
  <c r="P41" i="10"/>
  <c r="AH41" i="10" s="1"/>
  <c r="AI41" i="10" s="1"/>
  <c r="H41" i="10"/>
  <c r="L41" i="10"/>
  <c r="K15" i="10"/>
  <c r="P15" i="10"/>
  <c r="L15" i="10"/>
  <c r="T15" i="10"/>
  <c r="K65" i="10"/>
  <c r="T65" i="10"/>
  <c r="U65" i="10" s="1"/>
  <c r="P65" i="10"/>
  <c r="AH65" i="10" s="1"/>
  <c r="AI65" i="10" s="1"/>
  <c r="L65" i="10"/>
  <c r="K53" i="10"/>
  <c r="T53" i="10"/>
  <c r="G257" i="7" s="1"/>
  <c r="L53" i="10"/>
  <c r="P53" i="10"/>
  <c r="P107" i="10"/>
  <c r="AH107" i="10" s="1"/>
  <c r="AI107" i="10" s="1"/>
  <c r="L107" i="10"/>
  <c r="K107" i="10"/>
  <c r="L18" i="10"/>
  <c r="T18" i="10"/>
  <c r="P18" i="10"/>
  <c r="AH18" i="10" s="1"/>
  <c r="AI18" i="10" s="1"/>
  <c r="K18" i="10"/>
  <c r="L80" i="10"/>
  <c r="T80" i="10"/>
  <c r="K80" i="10"/>
  <c r="P80" i="10"/>
  <c r="AH80" i="10" s="1"/>
  <c r="AI80" i="10" s="1"/>
  <c r="L102" i="10"/>
  <c r="P102" i="10"/>
  <c r="AH102" i="10" s="1"/>
  <c r="AI102" i="10" s="1"/>
  <c r="K102" i="10"/>
  <c r="H101" i="10"/>
  <c r="H65" i="10"/>
  <c r="T21" i="10"/>
  <c r="K21" i="10"/>
  <c r="L21" i="10"/>
  <c r="P21" i="10"/>
  <c r="AH21" i="10" s="1"/>
  <c r="AI21" i="10" s="1"/>
  <c r="T52" i="10"/>
  <c r="K52" i="10"/>
  <c r="L52" i="10"/>
  <c r="P52" i="10"/>
  <c r="L78" i="10"/>
  <c r="T78" i="10"/>
  <c r="P78" i="10"/>
  <c r="AH78" i="10" s="1"/>
  <c r="AI78" i="10" s="1"/>
  <c r="K78" i="10"/>
  <c r="K39" i="10"/>
  <c r="P39" i="10"/>
  <c r="AH39" i="10" s="1"/>
  <c r="AI39" i="10" s="1"/>
  <c r="T39" i="10"/>
  <c r="G70" i="7" s="1"/>
  <c r="L39" i="10"/>
  <c r="T69" i="10"/>
  <c r="U69" i="10" s="1"/>
  <c r="L69" i="10"/>
  <c r="P69" i="10"/>
  <c r="AH69" i="10" s="1"/>
  <c r="AI69" i="10" s="1"/>
  <c r="K69" i="10"/>
  <c r="P37" i="10"/>
  <c r="AH37" i="10" s="1"/>
  <c r="AI37" i="10" s="1"/>
  <c r="K37" i="10"/>
  <c r="T37" i="10"/>
  <c r="G76" i="7" s="1"/>
  <c r="L37" i="10"/>
  <c r="L130" i="10"/>
  <c r="K130" i="10"/>
  <c r="P130" i="10"/>
  <c r="AH130" i="10" s="1"/>
  <c r="AI130" i="10" s="1"/>
  <c r="T55" i="10"/>
  <c r="G263" i="7" s="1"/>
  <c r="L55" i="10"/>
  <c r="K55" i="10"/>
  <c r="P55" i="10"/>
  <c r="AH55" i="10" s="1"/>
  <c r="AI55" i="10" s="1"/>
  <c r="L115" i="10"/>
  <c r="K115" i="10"/>
  <c r="P115" i="10"/>
  <c r="AH115" i="10" s="1"/>
  <c r="AI115" i="10" s="1"/>
  <c r="L104" i="10"/>
  <c r="K104" i="10"/>
  <c r="P104" i="10"/>
  <c r="AH104" i="10" s="1"/>
  <c r="AI104" i="10" s="1"/>
  <c r="L122" i="10"/>
  <c r="P122" i="10"/>
  <c r="AH122" i="10" s="1"/>
  <c r="AI122" i="10" s="1"/>
  <c r="K122" i="10"/>
  <c r="L92" i="10"/>
  <c r="T92" i="10"/>
  <c r="K92" i="10"/>
  <c r="P92" i="10"/>
  <c r="AH92" i="10" s="1"/>
  <c r="AI92" i="10" s="1"/>
  <c r="P108" i="10"/>
  <c r="AH108" i="10" s="1"/>
  <c r="AI108" i="10" s="1"/>
  <c r="K108" i="10"/>
  <c r="L108" i="10"/>
  <c r="K101" i="10"/>
  <c r="P101" i="10"/>
  <c r="AH101" i="10" s="1"/>
  <c r="AI101" i="10" s="1"/>
  <c r="L101" i="10"/>
  <c r="T9" i="10"/>
  <c r="P9" i="10"/>
  <c r="AH9" i="10" s="1"/>
  <c r="AI9" i="10" s="1"/>
  <c r="L9" i="10"/>
  <c r="K9" i="10"/>
  <c r="P120" i="10"/>
  <c r="AH120" i="10" s="1"/>
  <c r="AI120" i="10" s="1"/>
  <c r="K120" i="10"/>
  <c r="L120" i="10"/>
  <c r="P50" i="10"/>
  <c r="AH50" i="10" s="1"/>
  <c r="AI50" i="10" s="1"/>
  <c r="L50" i="10"/>
  <c r="T50" i="10"/>
  <c r="K50" i="10"/>
  <c r="L22" i="10"/>
  <c r="K22" i="10"/>
  <c r="P22" i="10"/>
  <c r="AH22" i="10" s="1"/>
  <c r="P61" i="10"/>
  <c r="AH61" i="10" s="1"/>
  <c r="AI61" i="10" s="1"/>
  <c r="K61" i="10"/>
  <c r="L61" i="10"/>
  <c r="T61" i="10"/>
  <c r="L82" i="10"/>
  <c r="T82" i="10"/>
  <c r="U82" i="10" s="1"/>
  <c r="P82" i="10"/>
  <c r="AH82" i="10" s="1"/>
  <c r="AI82" i="10" s="1"/>
  <c r="K82" i="10"/>
  <c r="L58" i="10"/>
  <c r="P58" i="10"/>
  <c r="AH58" i="10" s="1"/>
  <c r="AI58" i="10" s="1"/>
  <c r="T58" i="10"/>
  <c r="K58" i="10"/>
  <c r="P47" i="10"/>
  <c r="AH47" i="10" s="1"/>
  <c r="AI47" i="10" s="1"/>
  <c r="K47" i="10"/>
  <c r="L47" i="10"/>
  <c r="T47" i="10"/>
  <c r="G88" i="7" s="1"/>
  <c r="L114" i="10"/>
  <c r="K114" i="10"/>
  <c r="P114" i="10"/>
  <c r="AH114" i="10" s="1"/>
  <c r="AI114" i="10" s="1"/>
  <c r="P83" i="10"/>
  <c r="AH83" i="10" s="1"/>
  <c r="AI83" i="10" s="1"/>
  <c r="T83" i="10"/>
  <c r="K83" i="10"/>
  <c r="L83" i="10"/>
  <c r="K125" i="10"/>
  <c r="L125" i="10"/>
  <c r="P125" i="10"/>
  <c r="AH125" i="10" s="1"/>
  <c r="AI125" i="10" s="1"/>
  <c r="H31" i="10"/>
  <c r="L8" i="10"/>
  <c r="T8" i="10"/>
  <c r="K8" i="10"/>
  <c r="P8" i="10"/>
  <c r="AH8" i="10" s="1"/>
  <c r="AI8" i="10" s="1"/>
  <c r="T91" i="10"/>
  <c r="U91" i="10" s="1"/>
  <c r="L91" i="10"/>
  <c r="K91" i="10"/>
  <c r="P91" i="10"/>
  <c r="AH91" i="10" s="1"/>
  <c r="AI91" i="10" s="1"/>
  <c r="L19" i="10"/>
  <c r="T19" i="10"/>
  <c r="K19" i="10"/>
  <c r="P19" i="10"/>
  <c r="AH19" i="10" s="1"/>
  <c r="AI19" i="10" s="1"/>
  <c r="L66" i="10"/>
  <c r="T66" i="10"/>
  <c r="P66" i="10"/>
  <c r="AH66" i="10" s="1"/>
  <c r="AI66" i="10" s="1"/>
  <c r="K66" i="10"/>
  <c r="P13" i="10"/>
  <c r="AH13" i="10" s="1"/>
  <c r="AI13" i="10" s="1"/>
  <c r="T13" i="10"/>
  <c r="K13" i="10"/>
  <c r="L13" i="10"/>
  <c r="K63" i="10"/>
  <c r="P63" i="10"/>
  <c r="AH63" i="10" s="1"/>
  <c r="AI63" i="10" s="1"/>
  <c r="L63" i="10"/>
  <c r="T63" i="10"/>
  <c r="U63" i="10" s="1"/>
  <c r="H56" i="10"/>
  <c r="P24" i="10"/>
  <c r="AH24" i="10" s="1"/>
  <c r="AI24" i="10" s="1"/>
  <c r="K24" i="10"/>
  <c r="L24" i="10"/>
  <c r="T24" i="10"/>
  <c r="H89" i="10"/>
  <c r="T33" i="10"/>
  <c r="G18" i="7" s="1"/>
  <c r="P33" i="10"/>
  <c r="AH33" i="10" s="1"/>
  <c r="L33" i="10"/>
  <c r="K33" i="10"/>
  <c r="H86" i="10"/>
  <c r="H85" i="10"/>
  <c r="H110" i="10"/>
  <c r="P23" i="10"/>
  <c r="AH23" i="10" s="1"/>
  <c r="AI23" i="10" s="1"/>
  <c r="L23" i="10"/>
  <c r="K23" i="10"/>
  <c r="K27" i="10"/>
  <c r="P27" i="10"/>
  <c r="AH27" i="10" s="1"/>
  <c r="AI27" i="10" s="1"/>
  <c r="L27" i="10"/>
  <c r="T27" i="10"/>
  <c r="L34" i="10"/>
  <c r="T34" i="10"/>
  <c r="G56" i="7" s="1"/>
  <c r="P34" i="10"/>
  <c r="AH34" i="10" s="1"/>
  <c r="AI34" i="10" s="1"/>
  <c r="K34" i="10"/>
  <c r="L127" i="10"/>
  <c r="K127" i="10"/>
  <c r="P127" i="10"/>
  <c r="AH127" i="10" s="1"/>
  <c r="AI127" i="10" s="1"/>
  <c r="L90" i="10"/>
  <c r="T90" i="10"/>
  <c r="P90" i="10"/>
  <c r="AH90" i="10" s="1"/>
  <c r="AI90" i="10" s="1"/>
  <c r="K90" i="10"/>
  <c r="L126" i="10"/>
  <c r="P126" i="10"/>
  <c r="AH126" i="10" s="1"/>
  <c r="AI126" i="10" s="1"/>
  <c r="K126" i="10"/>
  <c r="P11" i="10"/>
  <c r="AH11" i="10" s="1"/>
  <c r="AI11" i="10" s="1"/>
  <c r="T11" i="10"/>
  <c r="L11" i="10"/>
  <c r="K11" i="10"/>
  <c r="L70" i="10"/>
  <c r="P70" i="10"/>
  <c r="AH70" i="10" s="1"/>
  <c r="AI70" i="10" s="1"/>
  <c r="T70" i="10"/>
  <c r="K70" i="10"/>
  <c r="L42" i="10"/>
  <c r="K42" i="10"/>
  <c r="H42" i="10"/>
  <c r="P42" i="10"/>
  <c r="AH42" i="10" s="1"/>
  <c r="AI42" i="10" s="1"/>
  <c r="H82" i="10"/>
  <c r="H39" i="10"/>
  <c r="H95" i="10"/>
  <c r="H78" i="10"/>
  <c r="H72" i="10"/>
  <c r="H35" i="10"/>
  <c r="T57" i="10"/>
  <c r="U57" i="10" s="1"/>
  <c r="G269" i="7" s="1"/>
  <c r="K57" i="10"/>
  <c r="P57" i="10"/>
  <c r="AH57" i="10" s="1"/>
  <c r="AI57" i="10" s="1"/>
  <c r="L57" i="10"/>
  <c r="L30" i="10"/>
  <c r="T30" i="10"/>
  <c r="K30" i="10"/>
  <c r="P30" i="10"/>
  <c r="AH30" i="10" s="1"/>
  <c r="AI30" i="10" s="1"/>
  <c r="K29" i="10"/>
  <c r="T29" i="10"/>
  <c r="P29" i="10"/>
  <c r="AH29" i="10" s="1"/>
  <c r="AI29" i="10" s="1"/>
  <c r="L29" i="10"/>
  <c r="K134" i="10"/>
  <c r="L134" i="10"/>
  <c r="P134" i="10"/>
  <c r="AH134" i="10" s="1"/>
  <c r="AI134" i="10" s="1"/>
  <c r="P95" i="10"/>
  <c r="AH95" i="10" s="1"/>
  <c r="AI95" i="10" s="1"/>
  <c r="K95" i="10"/>
  <c r="L95" i="10"/>
  <c r="T95" i="10"/>
  <c r="U95" i="10" s="1"/>
  <c r="H69" i="10"/>
  <c r="H59" i="10"/>
  <c r="H106" i="10"/>
  <c r="H61" i="10"/>
  <c r="H102" i="10"/>
  <c r="H5" i="10"/>
  <c r="L56" i="10"/>
  <c r="T56" i="10"/>
  <c r="G268" i="7" s="1"/>
  <c r="K56" i="10"/>
  <c r="P56" i="10"/>
  <c r="AH56" i="10" s="1"/>
  <c r="AI56" i="10" s="1"/>
  <c r="K113" i="10"/>
  <c r="L113" i="10"/>
  <c r="P113" i="10"/>
  <c r="AH113" i="10" s="1"/>
  <c r="AI113" i="10" s="1"/>
  <c r="P73" i="10"/>
  <c r="AH73" i="10" s="1"/>
  <c r="AI73" i="10" s="1"/>
  <c r="T73" i="10"/>
  <c r="U73" i="10" s="1"/>
  <c r="K73" i="10"/>
  <c r="L73" i="10"/>
  <c r="H15" i="10"/>
  <c r="L32" i="10"/>
  <c r="T32" i="10"/>
  <c r="K32" i="10"/>
  <c r="P32" i="10"/>
  <c r="AH32" i="10" s="1"/>
  <c r="AI32" i="10" s="1"/>
  <c r="T67" i="10"/>
  <c r="L67" i="10"/>
  <c r="K67" i="10"/>
  <c r="P67" i="10"/>
  <c r="AH67" i="10" s="1"/>
  <c r="AI67" i="10" s="1"/>
  <c r="P38" i="10"/>
  <c r="AH38" i="10" s="1"/>
  <c r="AI38" i="10" s="1"/>
  <c r="K38" i="10"/>
  <c r="T38" i="10"/>
  <c r="L38" i="10"/>
  <c r="P98" i="10"/>
  <c r="AH98" i="10" s="1"/>
  <c r="AI98" i="10" s="1"/>
  <c r="T98" i="10"/>
  <c r="U98" i="10" s="1"/>
  <c r="K98" i="10"/>
  <c r="L98" i="10"/>
  <c r="P97" i="10"/>
  <c r="AH97" i="10" s="1"/>
  <c r="AI97" i="10" s="1"/>
  <c r="T97" i="10"/>
  <c r="U97" i="10" s="1"/>
  <c r="K97" i="10"/>
  <c r="L97" i="10"/>
  <c r="P84" i="10"/>
  <c r="AH84" i="10" s="1"/>
  <c r="AI84" i="10" s="1"/>
  <c r="T84" i="10"/>
  <c r="K84" i="10"/>
  <c r="L84" i="10"/>
  <c r="H93" i="10"/>
  <c r="H7" i="10"/>
  <c r="T28" i="10"/>
  <c r="K28" i="10"/>
  <c r="P28" i="10"/>
  <c r="AH28" i="10" s="1"/>
  <c r="AI28" i="10" s="1"/>
  <c r="L28" i="10"/>
  <c r="P60" i="10"/>
  <c r="AH60" i="10" s="1"/>
  <c r="AI60" i="10" s="1"/>
  <c r="K60" i="10"/>
  <c r="L60" i="10"/>
  <c r="T60" i="10"/>
  <c r="U60" i="10" s="1"/>
  <c r="P35" i="10"/>
  <c r="AH35" i="10" s="1"/>
  <c r="AI35" i="10" s="1"/>
  <c r="T35" i="10"/>
  <c r="G59" i="7" s="1"/>
  <c r="L35" i="10"/>
  <c r="K35" i="10"/>
  <c r="P25" i="10"/>
  <c r="AH25" i="10" s="1"/>
  <c r="AI25" i="10" s="1"/>
  <c r="K25" i="10"/>
  <c r="L25" i="10"/>
  <c r="L44" i="10"/>
  <c r="T44" i="10"/>
  <c r="U44" i="10" s="1"/>
  <c r="G30" i="7" s="1"/>
  <c r="P44" i="10"/>
  <c r="AH44" i="10" s="1"/>
  <c r="K44" i="10"/>
  <c r="H44" i="10"/>
  <c r="K124" i="10"/>
  <c r="L124" i="10"/>
  <c r="P124" i="10"/>
  <c r="AH124" i="10" s="1"/>
  <c r="AI124" i="10" s="1"/>
  <c r="L79" i="10"/>
  <c r="T79" i="10"/>
  <c r="K79" i="10"/>
  <c r="P79" i="10"/>
  <c r="AH79" i="10" s="1"/>
  <c r="AI79" i="10" s="1"/>
  <c r="P36" i="10"/>
  <c r="AH36" i="10" s="1"/>
  <c r="AI36" i="10" s="1"/>
  <c r="K36" i="10"/>
  <c r="T36" i="10"/>
  <c r="G62" i="7" s="1"/>
  <c r="L36" i="10"/>
  <c r="K87" i="10"/>
  <c r="P87" i="10"/>
  <c r="AH87" i="10" s="1"/>
  <c r="AI87" i="10" s="1"/>
  <c r="L87" i="10"/>
  <c r="T87" i="10"/>
  <c r="T7" i="10"/>
  <c r="L7" i="10"/>
  <c r="K7" i="10"/>
  <c r="P7" i="10"/>
  <c r="AH7" i="10" s="1"/>
  <c r="AI7" i="10" s="1"/>
  <c r="P71" i="10"/>
  <c r="AH71" i="10" s="1"/>
  <c r="AI71" i="10" s="1"/>
  <c r="L71" i="10"/>
  <c r="T71" i="10"/>
  <c r="U71" i="10" s="1"/>
  <c r="K71" i="10"/>
  <c r="T100" i="10"/>
  <c r="U100" i="10" s="1"/>
  <c r="K100" i="10"/>
  <c r="P100" i="10"/>
  <c r="AH100" i="10" s="1"/>
  <c r="AI100" i="10" s="1"/>
  <c r="L100" i="10"/>
  <c r="K51" i="10"/>
  <c r="P51" i="10"/>
  <c r="AH51" i="10" s="1"/>
  <c r="AI51" i="10" s="1"/>
  <c r="L51" i="10"/>
  <c r="T51" i="10"/>
  <c r="L94" i="10"/>
  <c r="P94" i="10"/>
  <c r="AH94" i="10" s="1"/>
  <c r="AI94" i="10" s="1"/>
  <c r="K94" i="10"/>
  <c r="T94" i="10"/>
  <c r="K129" i="10"/>
  <c r="L129" i="10"/>
  <c r="P129" i="10"/>
  <c r="AH129" i="10" s="1"/>
  <c r="AI129" i="10" s="1"/>
  <c r="P121" i="10"/>
  <c r="AH121" i="10" s="1"/>
  <c r="AI121" i="10" s="1"/>
  <c r="K121" i="10"/>
  <c r="L121" i="10"/>
  <c r="H80" i="10"/>
  <c r="H32" i="10"/>
  <c r="H116" i="10"/>
  <c r="H87" i="10"/>
  <c r="H55" i="10"/>
  <c r="H92" i="10"/>
  <c r="H67" i="10"/>
  <c r="H51" i="10"/>
  <c r="H121" i="10"/>
  <c r="H45" i="10"/>
  <c r="H50" i="10"/>
  <c r="H21" i="10"/>
  <c r="H77" i="10"/>
  <c r="H9" i="10"/>
  <c r="H23" i="10"/>
  <c r="H20" i="10"/>
  <c r="H117" i="10"/>
  <c r="H105" i="10"/>
  <c r="H75" i="10"/>
  <c r="H118" i="10"/>
  <c r="H53" i="10"/>
  <c r="H123" i="10"/>
  <c r="H37" i="10"/>
  <c r="H48" i="10"/>
  <c r="H58" i="10"/>
  <c r="H128" i="10"/>
  <c r="H29" i="10"/>
  <c r="H96" i="10"/>
  <c r="H47" i="10"/>
  <c r="H127" i="10"/>
  <c r="H19" i="10"/>
  <c r="H57" i="10"/>
  <c r="H126" i="10"/>
  <c r="H4" i="10"/>
  <c r="H124" i="10"/>
  <c r="H8" i="10"/>
  <c r="H122" i="10"/>
  <c r="H98" i="10"/>
  <c r="H6" i="10"/>
  <c r="H17" i="10"/>
  <c r="H12" i="10"/>
  <c r="H22" i="10"/>
  <c r="H54" i="10"/>
  <c r="H119" i="10"/>
  <c r="H97" i="10"/>
  <c r="H13" i="10"/>
  <c r="H111" i="10"/>
  <c r="H120" i="10"/>
  <c r="H52" i="10"/>
  <c r="H132" i="10"/>
  <c r="H76" i="10"/>
  <c r="H24" i="10"/>
  <c r="H34" i="10"/>
  <c r="H113" i="10"/>
  <c r="H16" i="10"/>
  <c r="H129" i="10"/>
  <c r="H28" i="10"/>
  <c r="H74" i="10"/>
  <c r="H26" i="10"/>
  <c r="H25" i="10"/>
  <c r="H11" i="10"/>
  <c r="H79" i="10"/>
  <c r="H27" i="10"/>
  <c r="H115" i="10"/>
  <c r="H81" i="10"/>
  <c r="H100" i="10"/>
  <c r="H36" i="10"/>
  <c r="H10" i="10"/>
  <c r="H133" i="10"/>
  <c r="H108" i="10"/>
  <c r="H18" i="10"/>
  <c r="H125" i="10"/>
  <c r="H134" i="10"/>
  <c r="H109" i="10"/>
  <c r="H114" i="10"/>
  <c r="H33" i="10"/>
  <c r="AH53" i="10"/>
  <c r="AI53" i="10" s="1"/>
  <c r="L17" i="11"/>
  <c r="L13" i="11"/>
  <c r="L16" i="11"/>
  <c r="K16" i="11"/>
  <c r="K13" i="11"/>
  <c r="K17" i="11"/>
  <c r="K18" i="11"/>
  <c r="J16" i="11"/>
  <c r="J13" i="11"/>
  <c r="J18" i="11"/>
  <c r="J17" i="11"/>
  <c r="S56" i="11"/>
  <c r="U51" i="11"/>
  <c r="G259" i="7"/>
  <c r="G221" i="7"/>
  <c r="G215" i="7"/>
  <c r="G262" i="7"/>
  <c r="G210" i="7"/>
  <c r="G211" i="7"/>
  <c r="G206" i="7"/>
  <c r="G220" i="7"/>
  <c r="G260" i="7"/>
  <c r="G216" i="7"/>
  <c r="G205" i="7"/>
  <c r="T51" i="11"/>
  <c r="R56" i="11"/>
  <c r="S58" i="11"/>
  <c r="R26" i="11"/>
  <c r="T27" i="11"/>
  <c r="R30" i="11"/>
  <c r="R25" i="11"/>
  <c r="S25" i="11"/>
  <c r="T25" i="11"/>
  <c r="T34" i="11"/>
  <c r="S34" i="11"/>
  <c r="R34" i="11"/>
  <c r="U34" i="11"/>
  <c r="T32" i="11"/>
  <c r="S32" i="11"/>
  <c r="R32" i="11"/>
  <c r="T24" i="11"/>
  <c r="S24" i="11"/>
  <c r="R24" i="11"/>
  <c r="R33" i="11"/>
  <c r="U33" i="11"/>
  <c r="S33" i="11"/>
  <c r="T33" i="11"/>
  <c r="S30" i="11"/>
  <c r="T30" i="11"/>
  <c r="U28" i="11"/>
  <c r="T28" i="11"/>
  <c r="R28" i="11"/>
  <c r="S28" i="11"/>
  <c r="T29" i="11"/>
  <c r="S29" i="11"/>
  <c r="R29" i="11"/>
  <c r="S26" i="11"/>
  <c r="T26" i="11"/>
  <c r="T58" i="11"/>
  <c r="S51" i="11"/>
  <c r="S27" i="11"/>
  <c r="R27" i="11"/>
  <c r="R58" i="11"/>
  <c r="S57" i="11"/>
  <c r="U32" i="11"/>
  <c r="U9" i="11"/>
  <c r="U7" i="11"/>
  <c r="U29" i="11"/>
  <c r="R51" i="11"/>
  <c r="U30" i="11"/>
  <c r="U13" i="11"/>
  <c r="U4" i="11"/>
  <c r="R57" i="11"/>
  <c r="U6" i="11"/>
  <c r="U14" i="11"/>
  <c r="U10" i="11"/>
  <c r="U5" i="11"/>
  <c r="U8" i="11"/>
  <c r="T56" i="11"/>
  <c r="U12" i="11"/>
  <c r="U58" i="11"/>
  <c r="U26" i="11"/>
  <c r="U27" i="11"/>
  <c r="T57" i="11"/>
  <c r="U56" i="11"/>
  <c r="U25" i="11"/>
  <c r="U24" i="11"/>
  <c r="U57" i="11"/>
  <c r="D16" i="11"/>
  <c r="F17" i="11"/>
  <c r="F18" i="11"/>
  <c r="G17" i="11"/>
  <c r="G18" i="11"/>
  <c r="H17" i="11"/>
  <c r="H18" i="11"/>
  <c r="F16" i="11"/>
  <c r="I17" i="11"/>
  <c r="I18" i="11"/>
  <c r="G16" i="11"/>
  <c r="M18" i="11"/>
  <c r="M17" i="11"/>
  <c r="E16" i="11"/>
  <c r="E17" i="11"/>
  <c r="E18" i="11"/>
  <c r="H16" i="11"/>
  <c r="I16" i="11"/>
  <c r="D17" i="11"/>
  <c r="D18" i="11"/>
  <c r="M16" i="11"/>
  <c r="G13" i="11"/>
  <c r="E13" i="11"/>
  <c r="S7" i="11"/>
  <c r="T7" i="11"/>
  <c r="R7" i="11"/>
  <c r="H13" i="11"/>
  <c r="I13" i="11"/>
  <c r="R10" i="11"/>
  <c r="T10" i="11"/>
  <c r="S10" i="11"/>
  <c r="T6" i="11"/>
  <c r="S6" i="11"/>
  <c r="R6" i="11"/>
  <c r="N7" i="11"/>
  <c r="N12" i="11"/>
  <c r="N9" i="11"/>
  <c r="N8" i="11"/>
  <c r="N11" i="11"/>
  <c r="D13" i="11"/>
  <c r="N4" i="11"/>
  <c r="M13" i="11"/>
  <c r="T5" i="11"/>
  <c r="R5" i="11"/>
  <c r="S5" i="11"/>
  <c r="R12" i="11"/>
  <c r="T12" i="11"/>
  <c r="S12" i="11"/>
  <c r="T13" i="11"/>
  <c r="R13" i="11"/>
  <c r="S13" i="11"/>
  <c r="T9" i="11"/>
  <c r="S9" i="11"/>
  <c r="R9" i="11"/>
  <c r="R4" i="11"/>
  <c r="T4" i="11"/>
  <c r="S4" i="11"/>
  <c r="R8" i="11"/>
  <c r="T8" i="11"/>
  <c r="S8" i="11"/>
  <c r="N10" i="11"/>
  <c r="N6" i="11"/>
  <c r="T14" i="11"/>
  <c r="S14" i="11"/>
  <c r="R14" i="11"/>
  <c r="N5" i="11"/>
  <c r="F13" i="11"/>
  <c r="AI15" i="10"/>
  <c r="AI5" i="10"/>
  <c r="AI4" i="10"/>
  <c r="AM177" i="10" l="1"/>
  <c r="AN177" i="10" s="1"/>
  <c r="AC23" i="11" s="1"/>
  <c r="G683" i="7"/>
  <c r="G686" i="7"/>
  <c r="G685" i="7"/>
  <c r="G688" i="7"/>
  <c r="G689" i="7"/>
  <c r="G684" i="7"/>
  <c r="G680" i="7"/>
  <c r="G681" i="7"/>
  <c r="G678" i="7"/>
  <c r="G443" i="7"/>
  <c r="G446" i="7"/>
  <c r="G458" i="7"/>
  <c r="G465" i="7"/>
  <c r="G457" i="7"/>
  <c r="G459" i="7"/>
  <c r="G463" i="7"/>
  <c r="G461" i="7"/>
  <c r="G464" i="7"/>
  <c r="G462" i="7"/>
  <c r="G460" i="7"/>
  <c r="G466" i="7"/>
  <c r="G445" i="7"/>
  <c r="G449" i="7"/>
  <c r="G450" i="7"/>
  <c r="G447" i="7"/>
  <c r="G448" i="7"/>
  <c r="G441" i="7"/>
  <c r="G440" i="7"/>
  <c r="G439" i="7"/>
  <c r="G438" i="7"/>
  <c r="G436" i="7"/>
  <c r="G437" i="7"/>
  <c r="G435" i="7"/>
  <c r="G434" i="7"/>
  <c r="G432" i="7"/>
  <c r="G433" i="7"/>
  <c r="G455" i="7"/>
  <c r="G451" i="7"/>
  <c r="G454" i="7"/>
  <c r="G456" i="7"/>
  <c r="G452" i="7"/>
  <c r="G453" i="7"/>
  <c r="G430" i="7"/>
  <c r="G431" i="7"/>
  <c r="G429" i="7"/>
  <c r="G427" i="7"/>
  <c r="G428" i="7"/>
  <c r="G426" i="7"/>
  <c r="G423" i="7"/>
  <c r="G424" i="7"/>
  <c r="G425" i="7"/>
  <c r="G422" i="7"/>
  <c r="G421" i="7"/>
  <c r="G420" i="7"/>
  <c r="G407" i="7"/>
  <c r="G408" i="7"/>
  <c r="G406" i="7"/>
  <c r="G409" i="7"/>
  <c r="G416" i="7"/>
  <c r="G419" i="7"/>
  <c r="G414" i="7"/>
  <c r="G418" i="7"/>
  <c r="G417" i="7"/>
  <c r="G415" i="7"/>
  <c r="G412" i="7"/>
  <c r="G410" i="7"/>
  <c r="G411" i="7"/>
  <c r="G413" i="7"/>
  <c r="G604" i="7"/>
  <c r="G606" i="7"/>
  <c r="G605" i="7"/>
  <c r="G590" i="7"/>
  <c r="G587" i="7"/>
  <c r="G589" i="7"/>
  <c r="G588" i="7"/>
  <c r="G591" i="7"/>
  <c r="G592" i="7"/>
  <c r="R55" i="11"/>
  <c r="N64" i="13"/>
  <c r="S64" i="13"/>
  <c r="AC64" i="13" s="1"/>
  <c r="N62" i="13"/>
  <c r="U62" i="13"/>
  <c r="AC62" i="13" s="1"/>
  <c r="N63" i="13"/>
  <c r="S63" i="13"/>
  <c r="AC63" i="13" s="1"/>
  <c r="S55" i="11"/>
  <c r="N61" i="13"/>
  <c r="S61" i="13"/>
  <c r="AC61" i="13" s="1"/>
  <c r="T55" i="11"/>
  <c r="N60" i="13"/>
  <c r="S60" i="13"/>
  <c r="AC60" i="13" s="1"/>
  <c r="U55" i="11"/>
  <c r="S41" i="13"/>
  <c r="AC41" i="13" s="1"/>
  <c r="N41" i="13"/>
  <c r="N65" i="13"/>
  <c r="S65" i="13"/>
  <c r="AC65" i="13" s="1"/>
  <c r="W38" i="13"/>
  <c r="AC38" i="13" s="1"/>
  <c r="N38" i="13"/>
  <c r="AC32" i="13"/>
  <c r="N32" i="13"/>
  <c r="S33" i="13"/>
  <c r="AC33" i="13" s="1"/>
  <c r="N33" i="13"/>
  <c r="S39" i="13"/>
  <c r="AC39" i="13" s="1"/>
  <c r="N39" i="13"/>
  <c r="N36" i="13"/>
  <c r="AA36" i="13"/>
  <c r="AC36" i="13" s="1"/>
  <c r="S66" i="13"/>
  <c r="AC66" i="13" s="1"/>
  <c r="N66" i="13"/>
  <c r="T45" i="13"/>
  <c r="AC45" i="13" s="1"/>
  <c r="N45" i="13"/>
  <c r="U55" i="13"/>
  <c r="AC55" i="13" s="1"/>
  <c r="N55" i="13"/>
  <c r="X59" i="13"/>
  <c r="AC59" i="13" s="1"/>
  <c r="N59" i="13"/>
  <c r="S46" i="13"/>
  <c r="AC46" i="13" s="1"/>
  <c r="N46" i="13"/>
  <c r="N67" i="13"/>
  <c r="V67" i="13"/>
  <c r="AC67" i="13" s="1"/>
  <c r="S52" i="13"/>
  <c r="AC52" i="13" s="1"/>
  <c r="N52" i="13"/>
  <c r="S8" i="13"/>
  <c r="AC8" i="13" s="1"/>
  <c r="N8" i="13"/>
  <c r="S57" i="13"/>
  <c r="AC57" i="13" s="1"/>
  <c r="N57" i="13"/>
  <c r="S11" i="13"/>
  <c r="AC11" i="13" s="1"/>
  <c r="N11" i="13"/>
  <c r="S34" i="13"/>
  <c r="AC34" i="13" s="1"/>
  <c r="N34" i="13"/>
  <c r="W5" i="13"/>
  <c r="H68" i="13"/>
  <c r="S23" i="13"/>
  <c r="AC23" i="13" s="1"/>
  <c r="N23" i="13"/>
  <c r="N24" i="13"/>
  <c r="S24" i="13"/>
  <c r="AC24" i="13" s="1"/>
  <c r="V5" i="13"/>
  <c r="G68" i="13"/>
  <c r="S16" i="13"/>
  <c r="AC16" i="13" s="1"/>
  <c r="N16" i="13"/>
  <c r="S27" i="13"/>
  <c r="AC27" i="13" s="1"/>
  <c r="N27" i="13"/>
  <c r="N12" i="13"/>
  <c r="S12" i="13"/>
  <c r="AC12" i="13" s="1"/>
  <c r="U5" i="13"/>
  <c r="F68" i="13"/>
  <c r="N37" i="13"/>
  <c r="S37" i="13"/>
  <c r="AC37" i="13" s="1"/>
  <c r="N26" i="13"/>
  <c r="S26" i="13"/>
  <c r="AC26" i="13" s="1"/>
  <c r="S7" i="13"/>
  <c r="AC7" i="13" s="1"/>
  <c r="N7" i="13"/>
  <c r="T5" i="13"/>
  <c r="E68" i="13"/>
  <c r="N49" i="13"/>
  <c r="S49" i="13"/>
  <c r="AC49" i="13" s="1"/>
  <c r="S35" i="13"/>
  <c r="AC35" i="13" s="1"/>
  <c r="N35" i="13"/>
  <c r="N42" i="13"/>
  <c r="S42" i="13"/>
  <c r="AC42" i="13" s="1"/>
  <c r="S51" i="13"/>
  <c r="AC51" i="13" s="1"/>
  <c r="N51" i="13"/>
  <c r="S28" i="13"/>
  <c r="AC28" i="13" s="1"/>
  <c r="N28" i="13"/>
  <c r="S15" i="13"/>
  <c r="AC15" i="13" s="1"/>
  <c r="N15" i="13"/>
  <c r="L68" i="13"/>
  <c r="AA5" i="13"/>
  <c r="S20" i="13"/>
  <c r="AC20" i="13" s="1"/>
  <c r="N20" i="13"/>
  <c r="S54" i="13"/>
  <c r="AC54" i="13" s="1"/>
  <c r="N54" i="13"/>
  <c r="S47" i="13"/>
  <c r="AC47" i="13" s="1"/>
  <c r="N47" i="13"/>
  <c r="S43" i="13"/>
  <c r="AC43" i="13" s="1"/>
  <c r="N43" i="13"/>
  <c r="S29" i="13"/>
  <c r="AC29" i="13" s="1"/>
  <c r="N29" i="13"/>
  <c r="N50" i="13"/>
  <c r="S50" i="13"/>
  <c r="AC50" i="13" s="1"/>
  <c r="M68" i="13"/>
  <c r="AB5" i="13"/>
  <c r="AB68" i="13" s="1"/>
  <c r="S56" i="13"/>
  <c r="AC56" i="13" s="1"/>
  <c r="N56" i="13"/>
  <c r="S9" i="13"/>
  <c r="AC9" i="13" s="1"/>
  <c r="N9" i="13"/>
  <c r="N44" i="13"/>
  <c r="S44" i="13"/>
  <c r="AC44" i="13" s="1"/>
  <c r="S53" i="13"/>
  <c r="AC53" i="13" s="1"/>
  <c r="N53" i="13"/>
  <c r="N19" i="13"/>
  <c r="S19" i="13"/>
  <c r="AC19" i="13" s="1"/>
  <c r="S10" i="13"/>
  <c r="AC10" i="13" s="1"/>
  <c r="N10" i="13"/>
  <c r="N6" i="13"/>
  <c r="S6" i="13"/>
  <c r="AC6" i="13" s="1"/>
  <c r="S21" i="13"/>
  <c r="AC21" i="13" s="1"/>
  <c r="N21" i="13"/>
  <c r="N48" i="13"/>
  <c r="S48" i="13"/>
  <c r="AC48" i="13" s="1"/>
  <c r="S5" i="13"/>
  <c r="N5" i="13"/>
  <c r="D68" i="13"/>
  <c r="K68" i="13"/>
  <c r="Z5" i="13"/>
  <c r="Z68" i="13" s="1"/>
  <c r="S22" i="13"/>
  <c r="AC22" i="13" s="1"/>
  <c r="N22" i="13"/>
  <c r="S18" i="13"/>
  <c r="AC18" i="13" s="1"/>
  <c r="N18" i="13"/>
  <c r="N13" i="13"/>
  <c r="S13" i="13"/>
  <c r="AC13" i="13" s="1"/>
  <c r="S25" i="13"/>
  <c r="AC25" i="13" s="1"/>
  <c r="N25" i="13"/>
  <c r="Y5" i="13"/>
  <c r="Y68" i="13" s="1"/>
  <c r="J68" i="13"/>
  <c r="N31" i="13"/>
  <c r="S31" i="13"/>
  <c r="AC31" i="13" s="1"/>
  <c r="S17" i="13"/>
  <c r="AC17" i="13" s="1"/>
  <c r="N17" i="13"/>
  <c r="S40" i="13"/>
  <c r="AC40" i="13" s="1"/>
  <c r="N40" i="13"/>
  <c r="X5" i="13"/>
  <c r="I68" i="13"/>
  <c r="N30" i="13"/>
  <c r="S30" i="13"/>
  <c r="AC30" i="13" s="1"/>
  <c r="N14" i="13"/>
  <c r="S14" i="13"/>
  <c r="AC14" i="13" s="1"/>
  <c r="S58" i="13"/>
  <c r="AC58" i="13" s="1"/>
  <c r="N58" i="13"/>
  <c r="AH52" i="10"/>
  <c r="AI52" i="10" s="1"/>
  <c r="G398" i="7"/>
  <c r="G399" i="7"/>
  <c r="G401" i="7"/>
  <c r="G402" i="7"/>
  <c r="G400" i="7"/>
  <c r="G403" i="7"/>
  <c r="G405" i="7"/>
  <c r="G404" i="7"/>
  <c r="G103" i="7"/>
  <c r="G89" i="7"/>
  <c r="G264" i="7"/>
  <c r="G50" i="7"/>
  <c r="G69" i="7"/>
  <c r="G99" i="7"/>
  <c r="G258" i="7"/>
  <c r="G65" i="7"/>
  <c r="G87" i="7"/>
  <c r="G256" i="7"/>
  <c r="G85" i="7"/>
  <c r="G36" i="7"/>
  <c r="G64" i="7"/>
  <c r="G16" i="7"/>
  <c r="G17" i="7"/>
  <c r="G14" i="7"/>
  <c r="G68" i="7"/>
  <c r="G66" i="7"/>
  <c r="G48" i="7"/>
  <c r="G39" i="7"/>
  <c r="G265" i="7"/>
  <c r="G21" i="7"/>
  <c r="G33" i="7"/>
  <c r="G98" i="7"/>
  <c r="G82" i="7"/>
  <c r="G27" i="7"/>
  <c r="G24" i="7"/>
  <c r="G29" i="7"/>
  <c r="G100" i="7"/>
  <c r="G84" i="7"/>
  <c r="G101" i="7"/>
  <c r="G32" i="7"/>
  <c r="G86" i="7"/>
  <c r="G67" i="7"/>
  <c r="G22" i="7"/>
  <c r="G23" i="7"/>
  <c r="G63" i="7"/>
  <c r="G53" i="7"/>
  <c r="G52" i="7"/>
  <c r="G58" i="7"/>
  <c r="G57" i="7"/>
  <c r="G54" i="7"/>
  <c r="G51" i="7"/>
  <c r="G15" i="7"/>
  <c r="G37" i="7"/>
  <c r="G267" i="7"/>
  <c r="G55" i="7"/>
  <c r="G60" i="7"/>
  <c r="G90" i="7"/>
  <c r="G270" i="7"/>
  <c r="G94" i="7"/>
  <c r="G78" i="7"/>
  <c r="G271" i="7"/>
  <c r="G49" i="7"/>
  <c r="G276" i="7"/>
  <c r="G77" i="7"/>
  <c r="G92" i="7"/>
  <c r="G277" i="7"/>
  <c r="G44" i="7"/>
  <c r="G272" i="7"/>
  <c r="G275" i="7"/>
  <c r="G97" i="7"/>
  <c r="G79" i="7"/>
  <c r="G95" i="7"/>
  <c r="G273" i="7"/>
  <c r="G74" i="7"/>
  <c r="G46" i="7"/>
  <c r="G75" i="7"/>
  <c r="G274" i="7"/>
  <c r="G73" i="7"/>
  <c r="G91" i="7"/>
  <c r="G93" i="7"/>
  <c r="G45" i="7"/>
  <c r="G28" i="7"/>
  <c r="G81" i="7"/>
  <c r="G80" i="7"/>
  <c r="G374" i="7"/>
  <c r="G373" i="7"/>
  <c r="G375" i="7"/>
  <c r="G372" i="7"/>
  <c r="G370" i="7"/>
  <c r="G371" i="7"/>
  <c r="G368" i="7"/>
  <c r="G369" i="7"/>
  <c r="G363" i="7"/>
  <c r="G364" i="7"/>
  <c r="G360" i="7"/>
  <c r="G306" i="7"/>
  <c r="G308" i="7"/>
  <c r="G305" i="7"/>
  <c r="G307" i="7"/>
  <c r="G353" i="7"/>
  <c r="G113" i="7"/>
  <c r="G115" i="7"/>
  <c r="G114" i="7"/>
  <c r="G112" i="7"/>
  <c r="G291" i="7"/>
  <c r="G293" i="7"/>
  <c r="G341" i="7"/>
  <c r="G338" i="7"/>
  <c r="G339" i="7"/>
  <c r="G342" i="7"/>
  <c r="G343" i="7"/>
  <c r="G340" i="7"/>
  <c r="G311" i="7"/>
  <c r="G309" i="7"/>
  <c r="G310" i="7"/>
  <c r="G312" i="7"/>
  <c r="G20" i="7"/>
  <c r="G266" i="7"/>
  <c r="G19" i="7"/>
  <c r="G316" i="7"/>
  <c r="G313" i="7"/>
  <c r="G315" i="7"/>
  <c r="G314" i="7"/>
  <c r="G356" i="7"/>
  <c r="G378" i="7"/>
  <c r="G376" i="7"/>
  <c r="G380" i="7"/>
  <c r="G381" i="7"/>
  <c r="G377" i="7"/>
  <c r="G379" i="7"/>
  <c r="G289" i="7"/>
  <c r="G386" i="7"/>
  <c r="G387" i="7"/>
  <c r="G385" i="7"/>
  <c r="G383" i="7"/>
  <c r="G384" i="7"/>
  <c r="G382" i="7"/>
  <c r="G355" i="7"/>
  <c r="G351" i="7"/>
  <c r="G357" i="7"/>
  <c r="G288" i="7"/>
  <c r="G344" i="7"/>
  <c r="G345" i="7"/>
  <c r="G40" i="7"/>
  <c r="G25" i="7"/>
  <c r="G71" i="7"/>
  <c r="G83" i="7"/>
  <c r="G294" i="7"/>
  <c r="G358" i="7"/>
  <c r="G359" i="7"/>
  <c r="G105" i="7"/>
  <c r="G107" i="7"/>
  <c r="G109" i="7"/>
  <c r="G108" i="7"/>
  <c r="G110" i="7"/>
  <c r="G104" i="7"/>
  <c r="G106" i="7"/>
  <c r="G111" i="7"/>
  <c r="G298" i="7"/>
  <c r="G297" i="7"/>
  <c r="G299" i="7"/>
  <c r="G330" i="7"/>
  <c r="G329" i="7"/>
  <c r="G336" i="7"/>
  <c r="G337" i="7"/>
  <c r="G335" i="7"/>
  <c r="G334" i="7"/>
  <c r="G333" i="7"/>
  <c r="G331" i="7"/>
  <c r="G332" i="7"/>
  <c r="G286" i="7"/>
  <c r="G304" i="7"/>
  <c r="G303" i="7"/>
  <c r="G301" i="7"/>
  <c r="G302" i="7"/>
  <c r="G393" i="7"/>
  <c r="G388" i="7"/>
  <c r="G392" i="7"/>
  <c r="G391" i="7"/>
  <c r="G390" i="7"/>
  <c r="G389" i="7"/>
  <c r="G284" i="7"/>
  <c r="G352" i="7"/>
  <c r="G346" i="7"/>
  <c r="G347" i="7"/>
  <c r="G350" i="7"/>
  <c r="G348" i="7"/>
  <c r="G349" i="7"/>
  <c r="G292" i="7"/>
  <c r="G354" i="7"/>
  <c r="G367" i="7"/>
  <c r="G365" i="7"/>
  <c r="G366" i="7"/>
  <c r="G26" i="7"/>
  <c r="G31" i="7"/>
  <c r="G61" i="7"/>
  <c r="G72" i="7"/>
  <c r="G362" i="7"/>
  <c r="G300" i="7"/>
  <c r="G290" i="7"/>
  <c r="G296" i="7"/>
  <c r="G295" i="7"/>
  <c r="G285" i="7"/>
  <c r="G287" i="7"/>
  <c r="G361" i="7"/>
  <c r="G282" i="7"/>
  <c r="G283" i="7"/>
  <c r="T54" i="11"/>
  <c r="S53" i="11"/>
  <c r="T50" i="11"/>
  <c r="R54" i="11"/>
  <c r="S54" i="11"/>
  <c r="T46" i="11"/>
  <c r="T48" i="11"/>
  <c r="T52" i="11"/>
  <c r="U53" i="11"/>
  <c r="R53" i="11"/>
  <c r="R48" i="11"/>
  <c r="R46" i="11"/>
  <c r="S44" i="11"/>
  <c r="S49" i="11"/>
  <c r="R50" i="11"/>
  <c r="R44" i="11"/>
  <c r="U48" i="11"/>
  <c r="R45" i="11"/>
  <c r="T45" i="11"/>
  <c r="T44" i="11"/>
  <c r="S52" i="11"/>
  <c r="S46" i="11"/>
  <c r="S45" i="11"/>
  <c r="T39" i="11"/>
  <c r="S48" i="11"/>
  <c r="T53" i="11"/>
  <c r="T47" i="11"/>
  <c r="U45" i="11"/>
  <c r="U54" i="11"/>
  <c r="S50" i="11"/>
  <c r="R49" i="11"/>
  <c r="R52" i="11"/>
  <c r="R47" i="11"/>
  <c r="T49" i="11"/>
  <c r="S47" i="11"/>
  <c r="R39" i="11"/>
  <c r="S39" i="11"/>
  <c r="U50" i="11"/>
  <c r="U49" i="11"/>
  <c r="U52" i="11"/>
  <c r="U47" i="11"/>
  <c r="U46" i="11"/>
  <c r="U19" i="11"/>
  <c r="U39" i="11"/>
  <c r="U44" i="11"/>
  <c r="N16" i="11"/>
  <c r="N17" i="11"/>
  <c r="N18" i="11"/>
  <c r="AC11" i="11"/>
  <c r="N13" i="11"/>
  <c r="T19" i="11"/>
  <c r="S19" i="11"/>
  <c r="R19" i="11"/>
  <c r="AI6" i="10"/>
  <c r="AI22" i="10"/>
  <c r="AI44" i="10"/>
  <c r="AI33" i="10"/>
  <c r="X68" i="13" l="1"/>
  <c r="U68" i="13"/>
  <c r="W68" i="13"/>
  <c r="T68" i="13"/>
  <c r="V68" i="13"/>
  <c r="AA68" i="13"/>
  <c r="N68" i="13"/>
  <c r="S68" i="13"/>
  <c r="AC5" i="13"/>
  <c r="AC68" i="13" s="1"/>
  <c r="AC14" i="11"/>
  <c r="AC15" i="11"/>
  <c r="AC20" i="11"/>
  <c r="S59" i="11"/>
  <c r="T59" i="11"/>
  <c r="R59" i="11"/>
  <c r="U59" i="11"/>
  <c r="G59" i="6"/>
  <c r="H5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<sst xmlns="http://schemas.openxmlformats.org/spreadsheetml/2006/main" count="2267" uniqueCount="601">
  <si>
    <t>PO NO.</t>
  </si>
  <si>
    <t>Color</t>
  </si>
  <si>
    <t>W (inch)</t>
  </si>
  <si>
    <t>L (inch)</t>
  </si>
  <si>
    <t>W (mm)</t>
  </si>
  <si>
    <t>L (mm)</t>
  </si>
  <si>
    <t>NOS</t>
  </si>
  <si>
    <t>m2</t>
  </si>
  <si>
    <t xml:space="preserve">ASC 0096-Glossy Black </t>
  </si>
  <si>
    <t>ASC 0069-Glossy White</t>
  </si>
  <si>
    <t>AMC 0103-Silver Frost</t>
  </si>
  <si>
    <t>AMC 0086-Charcoal Metallic</t>
  </si>
  <si>
    <t>ASC 0099-Matte Black</t>
  </si>
  <si>
    <t>PO RECEIVED</t>
  </si>
  <si>
    <t>PROFORMA INVOICE SENT</t>
  </si>
  <si>
    <t>DOWNPAYMENT RECEIVED / 
IN PRODUCTION</t>
  </si>
  <si>
    <t>CONTAINER LODADED</t>
  </si>
  <si>
    <t>COMMERCIAL INVOICE  SENT</t>
  </si>
  <si>
    <t>BALANCE PAYMENT RECEIVED</t>
  </si>
  <si>
    <t>SHIPPING COMPLETE</t>
  </si>
  <si>
    <t>SI NO.</t>
  </si>
  <si>
    <t>PO#</t>
  </si>
  <si>
    <t>Rev#</t>
  </si>
  <si>
    <t>Concat</t>
  </si>
  <si>
    <t>Order Status</t>
  </si>
  <si>
    <t>Date Ordered (PO Date)</t>
  </si>
  <si>
    <t>Active</t>
  </si>
  <si>
    <t>Qty of Skids</t>
  </si>
  <si>
    <t>Stocking Location</t>
  </si>
  <si>
    <t>Port of Destination</t>
  </si>
  <si>
    <t>PO Value $</t>
  </si>
  <si>
    <t>Total M2</t>
  </si>
  <si>
    <t>Proforma Invoice #</t>
  </si>
  <si>
    <t>Proforma Invoice Date</t>
  </si>
  <si>
    <t>PO to PI</t>
  </si>
  <si>
    <t>Proforma Invoice Value (Gross)</t>
  </si>
  <si>
    <t>Downpayment Date</t>
  </si>
  <si>
    <t>PI to DP</t>
  </si>
  <si>
    <t>Downpayment Amount Received</t>
  </si>
  <si>
    <t>Production ETC (in Container)</t>
  </si>
  <si>
    <t>Shipping ETA</t>
  </si>
  <si>
    <t>ISF</t>
  </si>
  <si>
    <t>Container #</t>
  </si>
  <si>
    <t>Shipping Line</t>
  </si>
  <si>
    <t>URL</t>
  </si>
  <si>
    <t>Actual Shipping Departure</t>
  </si>
  <si>
    <t>DP to Ship</t>
  </si>
  <si>
    <t>Commercial Invoice #</t>
  </si>
  <si>
    <t>Commercial Invoice Date</t>
  </si>
  <si>
    <t>Freight</t>
  </si>
  <si>
    <t>Inland</t>
  </si>
  <si>
    <t>Commercial Invoice Value (Net)</t>
  </si>
  <si>
    <t>Balance Due</t>
  </si>
  <si>
    <t>Balance Payment Date</t>
  </si>
  <si>
    <t>CI to BP</t>
  </si>
  <si>
    <t>Balance Amount Received</t>
  </si>
  <si>
    <t>Balance Payment to Telex</t>
  </si>
  <si>
    <t>Actual Arrival at Port</t>
  </si>
  <si>
    <t>Hillsboro, TX</t>
  </si>
  <si>
    <t>NX/PI/25/05/231</t>
  </si>
  <si>
    <t>MAEU256577957</t>
  </si>
  <si>
    <t>Yes</t>
  </si>
  <si>
    <t>TRHU4810919</t>
  </si>
  <si>
    <t>MAERSK</t>
  </si>
  <si>
    <t>EBT/2025/07/157</t>
  </si>
  <si>
    <t>N/A</t>
  </si>
  <si>
    <t>NX/PI/25/05/230</t>
  </si>
  <si>
    <t>MAEU256577956</t>
  </si>
  <si>
    <t>TIIU5539094</t>
  </si>
  <si>
    <t>EBT/2025/07/156</t>
  </si>
  <si>
    <t>Granger, IN</t>
  </si>
  <si>
    <t>NX/PI/25/05/234</t>
  </si>
  <si>
    <t>HNCUDX3250859305</t>
  </si>
  <si>
    <t>HAMU1798292</t>
  </si>
  <si>
    <t>HAPAG LLOYD</t>
  </si>
  <si>
    <t>EBT/2025/08/200</t>
  </si>
  <si>
    <t>NX/PI/25/05/232</t>
  </si>
  <si>
    <t>HAMU2819682</t>
  </si>
  <si>
    <t>EBT/2025/08/201</t>
  </si>
  <si>
    <t>Nampa, ID</t>
  </si>
  <si>
    <t>NX/PI/25/05/236</t>
  </si>
  <si>
    <t>MAEU258853654</t>
  </si>
  <si>
    <t>MRSU6029820</t>
  </si>
  <si>
    <t>EBT/2025/08/202</t>
  </si>
  <si>
    <t>NX/PI/25/05/233</t>
  </si>
  <si>
    <t>TCNU3030703</t>
  </si>
  <si>
    <t>EBT/2025/08/203</t>
  </si>
  <si>
    <t>NX/PI/25/05/237</t>
  </si>
  <si>
    <t>HLCUDX3250863784</t>
  </si>
  <si>
    <t>FANU3724259</t>
  </si>
  <si>
    <t>EBT/2025/08/205</t>
  </si>
  <si>
    <t>NX/PI/20/05/238</t>
  </si>
  <si>
    <t>MAEU259368276</t>
  </si>
  <si>
    <t>MRSU3450970</t>
  </si>
  <si>
    <t>EBT/2025/09/213</t>
  </si>
  <si>
    <t>NX/PI/25/05/235</t>
  </si>
  <si>
    <t>CAIU7154057</t>
  </si>
  <si>
    <t>EBT/2025/09/212</t>
  </si>
  <si>
    <t>NX/PI/25/05/239</t>
  </si>
  <si>
    <t>MRSU4891395</t>
  </si>
  <si>
    <t>EBT/2025/09/214</t>
  </si>
  <si>
    <t>Gordon, PA</t>
  </si>
  <si>
    <t>NX/PI/25/05/241</t>
  </si>
  <si>
    <t>HLCUDX3250937287</t>
  </si>
  <si>
    <t>HAMU4331974</t>
  </si>
  <si>
    <t>EBT/2025/09/218</t>
  </si>
  <si>
    <t>NX/PI/25/05/242</t>
  </si>
  <si>
    <t>MAEU259691187</t>
  </si>
  <si>
    <t>HASU4674933</t>
  </si>
  <si>
    <t>EBT/2025/09/219</t>
  </si>
  <si>
    <t>Balance Payment Received</t>
  </si>
  <si>
    <t>NX/PI/25/08/921</t>
  </si>
  <si>
    <t>HLCUDX3250958293</t>
  </si>
  <si>
    <t>FANU3589400</t>
  </si>
  <si>
    <t>EBT/2025/09/234</t>
  </si>
  <si>
    <t>PENDING</t>
  </si>
  <si>
    <t>Ashburn, GA</t>
  </si>
  <si>
    <t>NX/PI/25/08/924</t>
  </si>
  <si>
    <t>MAEU260434809</t>
  </si>
  <si>
    <t>HASU4780600</t>
  </si>
  <si>
    <t>EBT/2025/10/242</t>
  </si>
  <si>
    <t>NX/PI/25/08/926</t>
  </si>
  <si>
    <t>MRKU4014860</t>
  </si>
  <si>
    <t>EBT/2025/10/243</t>
  </si>
  <si>
    <t>NX/PI/25/05/240</t>
  </si>
  <si>
    <t>MAEU260995743</t>
  </si>
  <si>
    <t>MRSU5330676</t>
  </si>
  <si>
    <t>EBT/2025/10/247</t>
  </si>
  <si>
    <t>Commercial Invoice Sent</t>
  </si>
  <si>
    <t>NX/PI/25/08/930</t>
  </si>
  <si>
    <t>HLCUDX3251031655</t>
  </si>
  <si>
    <t>UACU5618242</t>
  </si>
  <si>
    <t>EBT/2025/10/249</t>
  </si>
  <si>
    <t>NX/PI/25/08/931</t>
  </si>
  <si>
    <t>HAMU3284902</t>
  </si>
  <si>
    <t>EBT/2025/10/248</t>
  </si>
  <si>
    <t>NX/PI/25/09/964</t>
  </si>
  <si>
    <t>MAEU260941647</t>
  </si>
  <si>
    <t>MRKU3218387</t>
  </si>
  <si>
    <t>EBT/2025/10/253</t>
  </si>
  <si>
    <t>x</t>
  </si>
  <si>
    <t>NX/PI/25/09/965</t>
  </si>
  <si>
    <t>TRHU4149795</t>
  </si>
  <si>
    <t>EBT/2025/10/254</t>
  </si>
  <si>
    <t>NX/PI/25/08/928</t>
  </si>
  <si>
    <t>HLCUDX3251056271</t>
  </si>
  <si>
    <t>FANU3419255</t>
  </si>
  <si>
    <t>EBT/2025/10/261</t>
  </si>
  <si>
    <t>MAEU261568783</t>
  </si>
  <si>
    <t>MRKU5517957</t>
  </si>
  <si>
    <t>EBT/2025/10/262</t>
  </si>
  <si>
    <t>NX/PI/25/08/925</t>
  </si>
  <si>
    <t>MAEU261416028</t>
  </si>
  <si>
    <t>MRSU5521728</t>
  </si>
  <si>
    <t>EBT/2025/10/272</t>
  </si>
  <si>
    <t>South Paris, ME</t>
  </si>
  <si>
    <t>NX/PI/25/08/922</t>
  </si>
  <si>
    <t>HLCUDX3251115556</t>
  </si>
  <si>
    <t>HLXU8355890</t>
  </si>
  <si>
    <t>EBT/2025/10/276</t>
  </si>
  <si>
    <t>Minneota, MN</t>
  </si>
  <si>
    <t>NX/PI/25/08/932</t>
  </si>
  <si>
    <t>MAEU261736899</t>
  </si>
  <si>
    <t>MIEU3032242</t>
  </si>
  <si>
    <t>EBT/2025/10/275</t>
  </si>
  <si>
    <t>NX/PI/25/08/929</t>
  </si>
  <si>
    <t>MRKU5814338</t>
  </si>
  <si>
    <t>EBT/2025/10/274</t>
  </si>
  <si>
    <t>RELEASED</t>
  </si>
  <si>
    <t>NX/PI/25/08/923</t>
  </si>
  <si>
    <t>MEDUH9156348</t>
  </si>
  <si>
    <t>MSMU7216600</t>
  </si>
  <si>
    <t>MSC</t>
  </si>
  <si>
    <t>EBT/2025/11/288</t>
  </si>
  <si>
    <t>NX/PI/25/08/920</t>
  </si>
  <si>
    <t>MAEU262223141</t>
  </si>
  <si>
    <t>MIEU0014543</t>
  </si>
  <si>
    <t>EBT/2025/11/290</t>
  </si>
  <si>
    <t>NX/PI/25/08/927</t>
  </si>
  <si>
    <t>HLCUDX3251139170</t>
  </si>
  <si>
    <t>CAIU4301220</t>
  </si>
  <si>
    <t>EBT/2025/11/289</t>
  </si>
  <si>
    <t>NX/PI/25/09/972</t>
  </si>
  <si>
    <t>EBT/2025/12/324</t>
  </si>
  <si>
    <t>NX/PI/25/09/968</t>
  </si>
  <si>
    <t>EBT/2025/12/323</t>
  </si>
  <si>
    <t>NX/PI/25/09/969</t>
  </si>
  <si>
    <t>EBT/2025/12/332</t>
  </si>
  <si>
    <t>NX/PI/25/09/970</t>
  </si>
  <si>
    <t>EBT/2025/12/335</t>
  </si>
  <si>
    <t>NX/PI/25/09/974</t>
  </si>
  <si>
    <t>EBT/2025/12/336</t>
  </si>
  <si>
    <t>NX/PI/25/09/973</t>
  </si>
  <si>
    <t>EBT/2025/12/333</t>
  </si>
  <si>
    <t>NX/PI/25/09/971</t>
  </si>
  <si>
    <t>EBT/2026/01/007</t>
  </si>
  <si>
    <t>PO Revised</t>
  </si>
  <si>
    <t>No</t>
  </si>
  <si>
    <t>NX/PI/25/09/966</t>
  </si>
  <si>
    <t>EBT/2026/01/018</t>
  </si>
  <si>
    <t>NX/PI/25/09/967</t>
  </si>
  <si>
    <t>EBT/2026/01/017</t>
  </si>
  <si>
    <t>NX/PI/25/09/975</t>
  </si>
  <si>
    <t>EBT/2026/01/015</t>
  </si>
  <si>
    <t>NX/PI/25/09/976</t>
  </si>
  <si>
    <t>EBT/2026/01/023</t>
  </si>
  <si>
    <t>NX/PI/25/09/977</t>
  </si>
  <si>
    <t>NX/PI/25/09/978</t>
  </si>
  <si>
    <t>EBT/2026/01/030</t>
  </si>
  <si>
    <t>NX/PI/25/09/979</t>
  </si>
  <si>
    <t>EBT/2026/01/026</t>
  </si>
  <si>
    <t>NX/PI/25/09/980</t>
  </si>
  <si>
    <t>HLCUDX3260216435</t>
  </si>
  <si>
    <t>GCXU5922650</t>
  </si>
  <si>
    <t>EBT/2026/02/045</t>
  </si>
  <si>
    <t>Downpayment Received</t>
  </si>
  <si>
    <t>NX/PI/25/08/981</t>
  </si>
  <si>
    <t>EBT/2026/02/064</t>
  </si>
  <si>
    <t>NX/PI/25/08/982</t>
  </si>
  <si>
    <t>TCNU2736927</t>
  </si>
  <si>
    <t>EBT/2026/02/044</t>
  </si>
  <si>
    <t>NX/PI/25/08/983</t>
  </si>
  <si>
    <t>EBT/2026/02/065</t>
  </si>
  <si>
    <t>NX/PI/25/08/984</t>
  </si>
  <si>
    <t>EBT/2026/02/035</t>
  </si>
  <si>
    <t>NX/PI/25/08/985</t>
  </si>
  <si>
    <t>NX/PI/25/09/986</t>
  </si>
  <si>
    <t>MRKU4553538</t>
  </si>
  <si>
    <t>EBT/2026/02/048</t>
  </si>
  <si>
    <t>NX/PI/25/12/987</t>
  </si>
  <si>
    <t>Savannah, GA</t>
  </si>
  <si>
    <t>NX/PI/26/01/988</t>
  </si>
  <si>
    <t>NX/PI/26/01/989</t>
  </si>
  <si>
    <t>NX/PI/26/01/990</t>
  </si>
  <si>
    <t>NX/PI/26/01/991</t>
  </si>
  <si>
    <t>NX/PI/26/01/992</t>
  </si>
  <si>
    <t>NX/PI/26/01/993</t>
  </si>
  <si>
    <t>NX/PI/26/01/994</t>
  </si>
  <si>
    <t>NX/PI/26/01/995</t>
  </si>
  <si>
    <t>NX/PI/26/01/996</t>
  </si>
  <si>
    <t>NX/PI/26/01/997</t>
  </si>
  <si>
    <t>NX/PI/26/01/998</t>
  </si>
  <si>
    <t>NX/PI/26/01/999</t>
  </si>
  <si>
    <t>NX/PI/26/01/1000</t>
  </si>
  <si>
    <t>NX/PI/26/01/1001</t>
  </si>
  <si>
    <t>In Production</t>
  </si>
  <si>
    <t>NX/PI/26/01/1002</t>
  </si>
  <si>
    <t>NX/PI/26/01/1003</t>
  </si>
  <si>
    <t>NX/PI/26/01/1004</t>
  </si>
  <si>
    <t>NX/PI/26/01/1005</t>
  </si>
  <si>
    <t>NX/PI/26/01/1006</t>
  </si>
  <si>
    <t>MAEU266342837</t>
  </si>
  <si>
    <t>MRKU6383169</t>
  </si>
  <si>
    <t>EBT/2026/02/049</t>
  </si>
  <si>
    <t>NX/PI/26/01/1007</t>
  </si>
  <si>
    <t>MRKU5958654</t>
  </si>
  <si>
    <t>EBT/2026/02/050</t>
  </si>
  <si>
    <t>EBT/2026/01/024</t>
  </si>
  <si>
    <t>NX/PI/26/01/1008</t>
  </si>
  <si>
    <t>NX/PI/26/01/1009</t>
  </si>
  <si>
    <t>Proforma Invoice Sent</t>
  </si>
  <si>
    <t>Houston, TX</t>
  </si>
  <si>
    <t>NX/PI/26/01/1010</t>
  </si>
  <si>
    <t>NX/PI/26/01/1011</t>
  </si>
  <si>
    <t>NX/PI/26/01/1012</t>
  </si>
  <si>
    <t>NX/PI/26/01/1013</t>
  </si>
  <si>
    <t>NX/PI/26/01/1014</t>
  </si>
  <si>
    <t>NX/PI/26/01/1015</t>
  </si>
  <si>
    <t>NX/PI/26/01/1016</t>
  </si>
  <si>
    <t>NX/PI/26/01/1017</t>
  </si>
  <si>
    <t>NX/PI/26/01/1018</t>
  </si>
  <si>
    <t>NX/PI/26/01/1019</t>
  </si>
  <si>
    <t>NX/PI/26/01/1020</t>
  </si>
  <si>
    <t>NX/PI/26/01/1021</t>
  </si>
  <si>
    <t>NX/PI/26/01/1022</t>
  </si>
  <si>
    <t>NX/PI/26/01/1023</t>
  </si>
  <si>
    <t>NX/PI/26/01/1024</t>
  </si>
  <si>
    <t>NX/PI/26/01/1025</t>
  </si>
  <si>
    <t>NX/PI/26/01/1026</t>
  </si>
  <si>
    <t>NX/PI/26/01/1027</t>
  </si>
  <si>
    <t>Twin Falls, ID</t>
  </si>
  <si>
    <t>NX/PI/26/01/1028</t>
  </si>
  <si>
    <t>NX/PI/26/01/1029</t>
  </si>
  <si>
    <t>NX/PI/26/01/1030</t>
  </si>
  <si>
    <t>NX/PI/26/01/1031</t>
  </si>
  <si>
    <t>NX/PI/26/01/1032</t>
  </si>
  <si>
    <t>NX/PI/26/01/1033</t>
  </si>
  <si>
    <t>NX/PI/26/01/1034</t>
  </si>
  <si>
    <t>Savannah</t>
  </si>
  <si>
    <t>NX/PI/26/01/1035</t>
  </si>
  <si>
    <t>NX/PI/26/01/1036</t>
  </si>
  <si>
    <t>NX/PI/26/01/1037</t>
  </si>
  <si>
    <t>NX/PI/26/01/1038</t>
  </si>
  <si>
    <t>NX/PI/26/01/1039</t>
  </si>
  <si>
    <t>NX/PI/26/01/1040</t>
  </si>
  <si>
    <t>NX/PI/26/01/1041</t>
  </si>
  <si>
    <t>NX/PI/26/01/1042</t>
  </si>
  <si>
    <t>NX/PI/26/01/1043</t>
  </si>
  <si>
    <t>NX/PI/26/01/1044</t>
  </si>
  <si>
    <t>NX/PI/26/01/1045</t>
  </si>
  <si>
    <t>NX/PI/26/01/1046</t>
  </si>
  <si>
    <t>NX/PI/26/01/1047</t>
  </si>
  <si>
    <t>NX/PI/26/01/1048</t>
  </si>
  <si>
    <t>NX/PI/26/02/1049</t>
  </si>
  <si>
    <t>NX/PI/26/02/1050</t>
  </si>
  <si>
    <t>NX/PI/26/02/1051</t>
  </si>
  <si>
    <t>NX/PI/26/02/1052</t>
  </si>
  <si>
    <t>NX/PI/26/02/1053</t>
  </si>
  <si>
    <t>NX/PI/26/02/1054</t>
  </si>
  <si>
    <t>NX/PI/26/02/1055</t>
  </si>
  <si>
    <t>NX/PI/26/02/1056</t>
  </si>
  <si>
    <t>NX/PI/26/02/1057</t>
  </si>
  <si>
    <t>NX/PI/26/02/1058</t>
  </si>
  <si>
    <t>PO Received</t>
  </si>
  <si>
    <t>NX/PI/26/02/1059</t>
  </si>
  <si>
    <t>NX/PI/26/02/1060</t>
  </si>
  <si>
    <t>NX/PI/26/02/1061</t>
  </si>
  <si>
    <t>Status</t>
  </si>
  <si>
    <t>PO Date</t>
  </si>
  <si>
    <t>ETA</t>
  </si>
  <si>
    <t>Line #</t>
  </si>
  <si>
    <t>Part #</t>
  </si>
  <si>
    <t>Cust Part #</t>
  </si>
  <si>
    <t>Size</t>
  </si>
  <si>
    <t>Qty (MSF)</t>
  </si>
  <si>
    <t>Qty (M2)</t>
  </si>
  <si>
    <t>Sheets</t>
  </si>
  <si>
    <t>Skids</t>
  </si>
  <si>
    <t>Unit (MSF)</t>
  </si>
  <si>
    <t>Unit (M2)</t>
  </si>
  <si>
    <t>Ext (PO)</t>
  </si>
  <si>
    <t>Ext (Inv)</t>
  </si>
  <si>
    <t>Lead Time (days)</t>
  </si>
  <si>
    <t>Notes</t>
  </si>
  <si>
    <t>Substituted for Line Item 6 (Victory Red)</t>
  </si>
  <si>
    <t>Substituted for Line Item 7 (Victory Red)</t>
  </si>
  <si>
    <t>G1S 694445</t>
  </si>
  <si>
    <t>2MM 49" x 108" ACP</t>
  </si>
  <si>
    <t>AMC 0086 CHARCOAL METALLIC</t>
  </si>
  <si>
    <t>Product Code 1</t>
  </si>
  <si>
    <t>Product Code 2</t>
  </si>
  <si>
    <t>Item Type</t>
  </si>
  <si>
    <t>Surface</t>
  </si>
  <si>
    <t>Construction</t>
  </si>
  <si>
    <t>Thickness</t>
  </si>
  <si>
    <t>Width</t>
  </si>
  <si>
    <t>Length</t>
  </si>
  <si>
    <t>Description</t>
  </si>
  <si>
    <t>Vendor Color Code</t>
  </si>
  <si>
    <t>PRICE PER SQFT/EXWORKS</t>
  </si>
  <si>
    <t>PRICE PER M2/EXWORKS</t>
  </si>
  <si>
    <t>PRICE PER MSQ/EXWORKS</t>
  </si>
  <si>
    <t>PRICE PER SHEET</t>
  </si>
  <si>
    <t>Lead Time (Days)</t>
  </si>
  <si>
    <t>Price per m2 will increase by $0.20 for all items after the 14 POs are received for Houston</t>
  </si>
  <si>
    <t xml:space="preserve">Inches </t>
  </si>
  <si>
    <t>MM</t>
  </si>
  <si>
    <t>PL</t>
  </si>
  <si>
    <t>LAM</t>
  </si>
  <si>
    <t>ACP</t>
  </si>
  <si>
    <t>2MM</t>
  </si>
  <si>
    <t>GLOSSY BLACK</t>
  </si>
  <si>
    <t>ASC 0096</t>
  </si>
  <si>
    <t>GLOSSY WHITE</t>
  </si>
  <si>
    <t>ASC 0069</t>
  </si>
  <si>
    <t>SILVER FROST</t>
  </si>
  <si>
    <t>ASC 0103</t>
  </si>
  <si>
    <t>CHARCOAL METALLIC</t>
  </si>
  <si>
    <t>AMC 0086</t>
  </si>
  <si>
    <t>MATTE BLACK</t>
  </si>
  <si>
    <t>ASC 0099</t>
  </si>
  <si>
    <t>PEPSI BLUE</t>
  </si>
  <si>
    <t>ASC 0092</t>
  </si>
  <si>
    <t>VICTORY RED</t>
  </si>
  <si>
    <t>ASC 0089</t>
  </si>
  <si>
    <t>PEWTER</t>
  </si>
  <si>
    <t>AMC 0104</t>
  </si>
  <si>
    <t>INDIGO BLUE</t>
  </si>
  <si>
    <t>ASC 0105</t>
  </si>
  <si>
    <t>G1S 718152</t>
  </si>
  <si>
    <t>ARMY GREEN</t>
  </si>
  <si>
    <t>ASC 0164</t>
  </si>
  <si>
    <t>G1S 718722</t>
  </si>
  <si>
    <t>SAND SAHARA</t>
  </si>
  <si>
    <t>ASC 0127</t>
  </si>
  <si>
    <t>YELLOW</t>
  </si>
  <si>
    <t>ASC 0090</t>
  </si>
  <si>
    <t>ORANGE</t>
  </si>
  <si>
    <t>ASC 0091</t>
  </si>
  <si>
    <t>BRANDY WINE</t>
  </si>
  <si>
    <t>ASC 0126</t>
  </si>
  <si>
    <t>NOTE**</t>
  </si>
  <si>
    <t>Pricing has been requested to be CIF to appropriate U.S. Port as noted on PO's.  Accordingly 50% to be paid upon receipt of order then Balance 50% and inland transit and Ocean transit fees will be invoiced as separate line items to be paid with final invoice.</t>
  </si>
  <si>
    <t>Pricing has been requested to be CIF to appropriate U.S. Port as noted on PO's.  Accordingly 50% to be paid upon receipt of order then Balance 50%+ that will include inland transit and Ocean transit fees will be invoiced as separate line items to be paid with final invoice.</t>
  </si>
  <si>
    <t>OTC PROCESS STAGES</t>
  </si>
  <si>
    <t>SAILING TIMES (DAYS)</t>
  </si>
  <si>
    <t>PORTS OF ENTRY</t>
  </si>
  <si>
    <t>SHEETS PER SKID</t>
  </si>
  <si>
    <t>LEAD TIMES (DAYS)</t>
  </si>
  <si>
    <t>Departure Port</t>
  </si>
  <si>
    <t>Arrival Port</t>
  </si>
  <si>
    <t>Standard</t>
  </si>
  <si>
    <t>Standard Colors:</t>
  </si>
  <si>
    <t>Destination Port</t>
  </si>
  <si>
    <t>Jebel Ali</t>
  </si>
  <si>
    <t>Baltimore</t>
  </si>
  <si>
    <t>Non-Standard Colors:</t>
  </si>
  <si>
    <t>Oakland</t>
  </si>
  <si>
    <t>Houston</t>
  </si>
  <si>
    <t>STANDARD COLORS:</t>
  </si>
  <si>
    <t>Container Loaded</t>
  </si>
  <si>
    <t>Downpayment:</t>
  </si>
  <si>
    <t>PO Cancelled</t>
  </si>
  <si>
    <t>Container Max (M2):</t>
  </si>
  <si>
    <t>To be confirmed</t>
  </si>
  <si>
    <t>TOTAL VOLUME</t>
  </si>
  <si>
    <t>ORDER STATUS
(ACTIVE ONLY)</t>
  </si>
  <si>
    <t>TOTALS</t>
  </si>
  <si>
    <t>COLORS
(Purple are Standard Colors)</t>
  </si>
  <si>
    <t>MSF</t>
  </si>
  <si>
    <t>M2</t>
  </si>
  <si>
    <t>$</t>
  </si>
  <si>
    <t>ASC 0096 GLOSSY BLACK</t>
  </si>
  <si>
    <t>Purchase Order to Proforma Invoice:</t>
  </si>
  <si>
    <t>ASC 0069 GLOSSY WHITE</t>
  </si>
  <si>
    <t>Average Days:</t>
  </si>
  <si>
    <t>POs without PIs:</t>
  </si>
  <si>
    <t>ASC 0099 MATTE BLACK</t>
  </si>
  <si>
    <t>Proforma Invoice to Downpayment:</t>
  </si>
  <si>
    <t>ASC 0092 PEPSI BLUE</t>
  </si>
  <si>
    <t>ASC 0089 VICTORY RED</t>
  </si>
  <si>
    <t>Unpaid PIs:</t>
  </si>
  <si>
    <t>AMC 0104 PEWTER</t>
  </si>
  <si>
    <t>Unpaid Value:</t>
  </si>
  <si>
    <t>Arrived</t>
  </si>
  <si>
    <t>ASC 0105 INDIGO BLUE</t>
  </si>
  <si>
    <t>ASC 0164 ARMY GREEN</t>
  </si>
  <si>
    <t>Downpayment to Actual Shipping Departure:</t>
  </si>
  <si>
    <t>ASC 0127 SAND SAHARA</t>
  </si>
  <si>
    <t>ASC 0090 YELLOW</t>
  </si>
  <si>
    <t>DP Received, Unshipped:</t>
  </si>
  <si>
    <t>Open Orders</t>
  </si>
  <si>
    <t>ASC 0091 ORANGE</t>
  </si>
  <si>
    <t>Shipped</t>
  </si>
  <si>
    <t>ASC 0126 BRANDY WINE</t>
  </si>
  <si>
    <t>Commercial Invoice to Balance Payment:</t>
  </si>
  <si>
    <t>Unpaid CIs:</t>
  </si>
  <si>
    <t>VOLUME ON ORDER (NOT SHIPPED)</t>
  </si>
  <si>
    <t>VOLUME SHIPPED</t>
  </si>
  <si>
    <t>BOL / SWBOL</t>
  </si>
  <si>
    <t>TELEX / SEAWAY RELEASED</t>
  </si>
  <si>
    <t>Telex / Seaway Release Date</t>
  </si>
  <si>
    <t>MAEU266615843</t>
  </si>
  <si>
    <t>MRSU3951437</t>
  </si>
  <si>
    <t>Balance Payment to Telex/Seaway Release:</t>
  </si>
  <si>
    <t>Telex / Seaway Released</t>
  </si>
  <si>
    <t>Pending Telex / Seaway:</t>
  </si>
  <si>
    <t>HLCUDX3251250724</t>
  </si>
  <si>
    <t>HAMU4136263</t>
  </si>
  <si>
    <t>HLCUDX3251258631</t>
  </si>
  <si>
    <t>HAMU4437210</t>
  </si>
  <si>
    <t>MAEU263539078</t>
  </si>
  <si>
    <t>MRSU6450866</t>
  </si>
  <si>
    <t>HLCUDX3260111506</t>
  </si>
  <si>
    <t>CAAU6796532</t>
  </si>
  <si>
    <t>MAEU264177491</t>
  </si>
  <si>
    <t>MRSU3180155</t>
  </si>
  <si>
    <t>MAEU263752111</t>
  </si>
  <si>
    <t>MSKU1934770</t>
  </si>
  <si>
    <t>HLCUDX3260111488</t>
  </si>
  <si>
    <t>FANU1810168</t>
  </si>
  <si>
    <t>HLCUDX3260125251</t>
  </si>
  <si>
    <t>FANU3112649</t>
  </si>
  <si>
    <t>FANU1201789</t>
  </si>
  <si>
    <t>TRHU4801033</t>
  </si>
  <si>
    <t>MAEU265576863</t>
  </si>
  <si>
    <t>UETU8334562</t>
  </si>
  <si>
    <t>GCXU6294327</t>
  </si>
  <si>
    <t>HLBU1842250</t>
  </si>
  <si>
    <t>MAEU265601827</t>
  </si>
  <si>
    <t>MSKU9363912</t>
  </si>
  <si>
    <t>MAEU266317415</t>
  </si>
  <si>
    <t>MAEU266339308</t>
  </si>
  <si>
    <t>MAEU265230374</t>
  </si>
  <si>
    <t>MAEU266095493</t>
  </si>
  <si>
    <t>MRKU3973731</t>
  </si>
  <si>
    <t>EBT/2026/03/072</t>
  </si>
  <si>
    <t>EBT/2026/03/073</t>
  </si>
  <si>
    <t>EBT/2026/03/074</t>
  </si>
  <si>
    <t>EBT/2026/03/077</t>
  </si>
  <si>
    <t>EBT/2026/03/078</t>
  </si>
  <si>
    <t>EBT/2026/03/082</t>
  </si>
  <si>
    <t>EBT/2026/03/083</t>
  </si>
  <si>
    <t>z</t>
  </si>
  <si>
    <t>HLCUDX3260140725</t>
  </si>
  <si>
    <t>EBT/2026/03/088</t>
  </si>
  <si>
    <t>EBT/2026/03/089</t>
  </si>
  <si>
    <t>AMC 0103</t>
  </si>
  <si>
    <t>BACKLOG (SHEETS)</t>
  </si>
  <si>
    <t>ITEM</t>
  </si>
  <si>
    <t>STOCKING LOCATION</t>
  </si>
  <si>
    <t>Product Code</t>
  </si>
  <si>
    <t>SHIPPED (SHEETS)</t>
  </si>
  <si>
    <t>Not shipped due to coil shortage</t>
  </si>
  <si>
    <t>G1S 721547</t>
  </si>
  <si>
    <t>ASC 0208</t>
  </si>
  <si>
    <t>SAND SAHARA MATTE</t>
  </si>
  <si>
    <t>AMC 0103 SILVER FROST</t>
  </si>
  <si>
    <t>ASC 0208 SAND SAHARA MATTE</t>
  </si>
  <si>
    <t>SSM90</t>
  </si>
  <si>
    <t>SSM144</t>
  </si>
  <si>
    <t>MAEU267305090</t>
  </si>
  <si>
    <t>MRSU5293989</t>
  </si>
  <si>
    <t>MAEU267069226</t>
  </si>
  <si>
    <t>MRSU4855058</t>
  </si>
  <si>
    <t>MAEU267069002</t>
  </si>
  <si>
    <t>SEKU4482943</t>
  </si>
  <si>
    <t>TCLU7990639</t>
  </si>
  <si>
    <t>MSKU0033653</t>
  </si>
  <si>
    <t>CAAU9024640</t>
  </si>
  <si>
    <t>MAEU267069113</t>
  </si>
  <si>
    <t>MAEU267541715</t>
  </si>
  <si>
    <t>MRSU7758895</t>
  </si>
  <si>
    <t>MRKU3235506</t>
  </si>
  <si>
    <t>NX/PI/26/03/1062</t>
  </si>
  <si>
    <t>NX/PI/26/03/1063</t>
  </si>
  <si>
    <t>NX/PI/26/03/1064</t>
  </si>
  <si>
    <t>NX/PI/26/03/1065</t>
  </si>
  <si>
    <t>NX/PI/26/03/1066</t>
  </si>
  <si>
    <t>NX/PI/26/03/1067</t>
  </si>
  <si>
    <t>NX/PI/26/03/1068</t>
  </si>
  <si>
    <t>NX/PI/26/03/1069</t>
  </si>
  <si>
    <t>NX/PI/26/03/1070</t>
  </si>
  <si>
    <t>NX/PI/26/03/1071</t>
  </si>
  <si>
    <t>NX/PI/26/03/1072</t>
  </si>
  <si>
    <t>NX/PI/26/03/1073</t>
  </si>
  <si>
    <t>NX/PI/26/03/1074</t>
  </si>
  <si>
    <t>NX/PI/26/03/1075</t>
  </si>
  <si>
    <t>NX/PI/26/03/1076</t>
  </si>
  <si>
    <t>NX/PI/26/03/1077</t>
  </si>
  <si>
    <t>NX/PI/26/03/1078</t>
  </si>
  <si>
    <t>MRSU4589359</t>
  </si>
  <si>
    <t>CAAU796022</t>
  </si>
  <si>
    <t>EBT/2026/03/104</t>
  </si>
  <si>
    <t>EBT/2026/03/105</t>
  </si>
  <si>
    <t>EBT/2026/03/112</t>
  </si>
  <si>
    <t>EBT/2026/03/107</t>
  </si>
  <si>
    <t>EBT/2026/03/108</t>
  </si>
  <si>
    <t>..</t>
  </si>
  <si>
    <t>SHIPPING LINE URLS</t>
  </si>
  <si>
    <t>https://www.maersk.com/tracking/</t>
  </si>
  <si>
    <t>MAEU269115413</t>
  </si>
  <si>
    <t>MRSU8814139</t>
  </si>
  <si>
    <t>MRKU4897657</t>
  </si>
  <si>
    <t>MRSU7550833</t>
  </si>
  <si>
    <t>MRKU3715275</t>
  </si>
  <si>
    <t>HASU5089065</t>
  </si>
  <si>
    <t>EBT/2026/04/116</t>
  </si>
  <si>
    <t>EBT/2026/03/117</t>
  </si>
  <si>
    <t>EBT/2026/04/118</t>
  </si>
  <si>
    <t>EBT/2026/04/119</t>
  </si>
  <si>
    <t>EBT/2026/04/120</t>
  </si>
  <si>
    <t>MRKU3426930</t>
  </si>
  <si>
    <t>MSKU0344038</t>
  </si>
  <si>
    <t>MIEU0016042</t>
  </si>
  <si>
    <t>MAEU269424669</t>
  </si>
  <si>
    <t>MAEU269380123</t>
  </si>
  <si>
    <t>MRKU5655196</t>
  </si>
  <si>
    <t>MSKU0073872</t>
  </si>
  <si>
    <t>MAEU26380497</t>
  </si>
  <si>
    <t>Revision Sent?</t>
  </si>
  <si>
    <t/>
  </si>
  <si>
    <t>NX/PI/26/04/1080</t>
  </si>
  <si>
    <t>NX/PI/26/04/1079</t>
  </si>
  <si>
    <t>NX/PI/26/04/1081</t>
  </si>
  <si>
    <t>COMPLETE</t>
  </si>
  <si>
    <t>EBT/2026/04/132</t>
  </si>
  <si>
    <t>EBT/2026/04/133</t>
  </si>
  <si>
    <t>EBT/2026/04/134</t>
  </si>
  <si>
    <t>EBT/2026/04/135</t>
  </si>
  <si>
    <t>EBT/2026/04/138</t>
  </si>
  <si>
    <t>EBT/2026/04/139</t>
  </si>
  <si>
    <t>MRKU5665316</t>
  </si>
  <si>
    <t>MAEU269122800</t>
  </si>
  <si>
    <t>MRKU5882029</t>
  </si>
  <si>
    <t>MRSU3143655</t>
  </si>
  <si>
    <t>MAEU269609590</t>
  </si>
  <si>
    <t>MAEU270222362</t>
  </si>
  <si>
    <t>EBT/2026/05/152</t>
  </si>
  <si>
    <t>EBT/2026/05/153</t>
  </si>
  <si>
    <t>EBT/2026/05/154</t>
  </si>
  <si>
    <t>EBT/2026/05/155</t>
  </si>
  <si>
    <t>EBT/2026/05/156</t>
  </si>
  <si>
    <t>NX/PI/26/05/1082</t>
  </si>
  <si>
    <t>NX/PI/26/05/1083</t>
  </si>
  <si>
    <t>NX/PI/26/05/1084</t>
  </si>
  <si>
    <t>NX/PI/26/05/1085</t>
  </si>
  <si>
    <t>EBT/2026/05/164</t>
  </si>
  <si>
    <t>EBT/2026/05/165</t>
  </si>
  <si>
    <t>EBT/2026/05/162</t>
  </si>
  <si>
    <t>EBT/2026/05/163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</si>
</sst>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&quot;$&quot;\ \ 0.00"/>
    <numFmt numFmtId="167" formatCode="00000"/>
    <numFmt numFmtId="168" formatCode="&quot;$&quot;\ \ 0.0000"/>
    <numFmt numFmtId="169" formatCode="0.000"/>
    <numFmt numFmtId="170" formatCode="&quot;$&quot;#,##0"/>
    <numFmt numFmtId="171" formatCode="_(* #,##0_);_(* \(#,##0\);_(* &quot;-&quot;??_);_(@_)"/>
    <numFmt numFmtId="172" formatCode="[$-409]d\-mmm\-yy;@"/>
    <numFmt numFmtId="173" formatCode="_(&quot;$&quot;* #,##0_);_(&quot;$&quot;* \(#,##0\);_(&quot;$&quot;* &quot;-&quot;??_);_(@_)"/>
    <numFmt numFmtId="174" formatCode="&quot;$&quot;#,##0.0000"/>
    <numFmt numFmtId="175" formatCode="[$-409]d/mmm/yy;@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</font>
    <font>
      <b/>
      <sz val="14"/>
      <name val="Calibri"/>
      <family val="2"/>
      <scheme val="minor"/>
    </font>
    <font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auto="1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75" fontId="8" fillId="0" borderId="0"/>
  </cellStyleXfs>
  <cellXfs count="356">
    <xf numFmtId="0" fontId="0" fillId="0" borderId="0" xfId="0"/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6" fontId="0" fillId="3" borderId="14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166" fontId="0" fillId="3" borderId="20" xfId="0" applyNumberForma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166" fontId="3" fillId="5" borderId="20" xfId="0" applyNumberFormat="1" applyFont="1" applyFill="1" applyBorder="1" applyAlignment="1">
      <alignment horizontal="center"/>
    </xf>
    <xf numFmtId="166" fontId="0" fillId="5" borderId="20" xfId="0" applyNumberFormat="1" applyFill="1" applyBorder="1" applyAlignment="1">
      <alignment horizontal="center"/>
    </xf>
    <xf numFmtId="3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7" fontId="0" fillId="3" borderId="15" xfId="0" applyNumberFormat="1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8" xfId="0" applyBorder="1"/>
    <xf numFmtId="0" fontId="0" fillId="0" borderId="30" xfId="0" applyBorder="1"/>
    <xf numFmtId="0" fontId="0" fillId="0" borderId="32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3" fillId="0" borderId="34" xfId="0" applyFont="1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3" fillId="0" borderId="37" xfId="0" applyFont="1" applyBorder="1"/>
    <xf numFmtId="165" fontId="0" fillId="0" borderId="0" xfId="0" applyNumberFormat="1"/>
    <xf numFmtId="168" fontId="0" fillId="3" borderId="14" xfId="0" applyNumberFormat="1" applyFill="1" applyBorder="1" applyAlignment="1">
      <alignment horizontal="center"/>
    </xf>
    <xf numFmtId="168" fontId="0" fillId="3" borderId="20" xfId="0" applyNumberFormat="1" applyFill="1" applyBorder="1" applyAlignment="1">
      <alignment horizontal="center"/>
    </xf>
    <xf numFmtId="168" fontId="3" fillId="5" borderId="20" xfId="0" applyNumberFormat="1" applyFont="1" applyFill="1" applyBorder="1" applyAlignment="1">
      <alignment horizontal="center"/>
    </xf>
    <xf numFmtId="44" fontId="0" fillId="0" borderId="0" xfId="1" applyFont="1"/>
    <xf numFmtId="0" fontId="1" fillId="7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9" fontId="3" fillId="0" borderId="38" xfId="0" applyNumberFormat="1" applyFont="1" applyBorder="1"/>
    <xf numFmtId="165" fontId="1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9" fontId="0" fillId="0" borderId="1" xfId="0" applyNumberFormat="1" applyBorder="1"/>
    <xf numFmtId="44" fontId="0" fillId="0" borderId="1" xfId="1" applyFont="1" applyBorder="1"/>
    <xf numFmtId="0" fontId="3" fillId="0" borderId="29" xfId="0" applyFont="1" applyBorder="1" applyAlignment="1">
      <alignment horizontal="right"/>
    </xf>
    <xf numFmtId="0" fontId="0" fillId="0" borderId="31" xfId="0" applyBorder="1" applyAlignment="1">
      <alignment horizontal="center"/>
    </xf>
    <xf numFmtId="44" fontId="2" fillId="0" borderId="1" xfId="1" applyFont="1" applyBorder="1"/>
    <xf numFmtId="0" fontId="3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44" fontId="0" fillId="0" borderId="29" xfId="1" applyFont="1" applyBorder="1"/>
    <xf numFmtId="44" fontId="0" fillId="0" borderId="30" xfId="1" applyFont="1" applyBorder="1"/>
    <xf numFmtId="44" fontId="0" fillId="0" borderId="36" xfId="1" applyFont="1" applyBorder="1"/>
    <xf numFmtId="0" fontId="3" fillId="0" borderId="0" xfId="0" applyFont="1"/>
    <xf numFmtId="0" fontId="3" fillId="0" borderId="28" xfId="0" applyFont="1" applyBorder="1"/>
    <xf numFmtId="0" fontId="3" fillId="0" borderId="29" xfId="0" applyFont="1" applyBorder="1"/>
    <xf numFmtId="0" fontId="3" fillId="0" borderId="8" xfId="0" applyFont="1" applyBorder="1"/>
    <xf numFmtId="0" fontId="3" fillId="0" borderId="30" xfId="0" applyFont="1" applyBorder="1"/>
    <xf numFmtId="0" fontId="0" fillId="0" borderId="41" xfId="0" applyBorder="1"/>
    <xf numFmtId="0" fontId="0" fillId="10" borderId="41" xfId="0" applyFill="1" applyBorder="1"/>
    <xf numFmtId="170" fontId="0" fillId="0" borderId="0" xfId="0" applyNumberFormat="1"/>
    <xf numFmtId="1" fontId="0" fillId="3" borderId="19" xfId="0" applyNumberFormat="1" applyFill="1" applyBorder="1" applyAlignment="1">
      <alignment horizontal="center"/>
    </xf>
    <xf numFmtId="167" fontId="0" fillId="7" borderId="15" xfId="0" applyNumberFormat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1" fontId="0" fillId="7" borderId="19" xfId="0" applyNumberFormat="1" applyFill="1" applyBorder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168" fontId="0" fillId="7" borderId="14" xfId="0" applyNumberFormat="1" applyFill="1" applyBorder="1" applyAlignment="1">
      <alignment horizontal="center"/>
    </xf>
    <xf numFmtId="0" fontId="0" fillId="7" borderId="0" xfId="0" applyFill="1"/>
    <xf numFmtId="165" fontId="0" fillId="7" borderId="0" xfId="0" applyNumberFormat="1" applyFill="1"/>
    <xf numFmtId="0" fontId="0" fillId="7" borderId="21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166" fontId="0" fillId="7" borderId="20" xfId="0" applyNumberFormat="1" applyFill="1" applyBorder="1" applyAlignment="1">
      <alignment horizontal="center"/>
    </xf>
    <xf numFmtId="168" fontId="0" fillId="7" borderId="20" xfId="0" applyNumberFormat="1" applyFill="1" applyBorder="1" applyAlignment="1">
      <alignment horizontal="center"/>
    </xf>
    <xf numFmtId="166" fontId="3" fillId="7" borderId="20" xfId="0" applyNumberFormat="1" applyFont="1" applyFill="1" applyBorder="1" applyAlignment="1">
      <alignment horizontal="center"/>
    </xf>
    <xf numFmtId="168" fontId="3" fillId="7" borderId="20" xfId="0" applyNumberFormat="1" applyFont="1" applyFill="1" applyBorder="1" applyAlignment="1">
      <alignment horizontal="center"/>
    </xf>
    <xf numFmtId="1" fontId="0" fillId="7" borderId="20" xfId="0" applyNumberFormat="1" applyFill="1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0" fontId="6" fillId="0" borderId="1" xfId="0" applyFont="1" applyBorder="1"/>
    <xf numFmtId="1" fontId="6" fillId="3" borderId="20" xfId="0" applyNumberFormat="1" applyFont="1" applyFill="1" applyBorder="1" applyAlignment="1">
      <alignment horizontal="center"/>
    </xf>
    <xf numFmtId="1" fontId="6" fillId="7" borderId="20" xfId="0" applyNumberFormat="1" applyFont="1" applyFill="1" applyBorder="1" applyAlignment="1">
      <alignment horizontal="center"/>
    </xf>
    <xf numFmtId="14" fontId="10" fillId="9" borderId="1" xfId="0" applyNumberFormat="1" applyFont="1" applyFill="1" applyBorder="1" applyAlignment="1">
      <alignment horizontal="center" vertical="center" wrapText="1"/>
    </xf>
    <xf numFmtId="171" fontId="3" fillId="0" borderId="38" xfId="2" applyNumberFormat="1" applyFont="1" applyBorder="1"/>
    <xf numFmtId="44" fontId="0" fillId="0" borderId="0" xfId="0" applyNumberFormat="1"/>
    <xf numFmtId="1" fontId="0" fillId="0" borderId="1" xfId="0" applyNumberFormat="1" applyBorder="1"/>
    <xf numFmtId="0" fontId="3" fillId="7" borderId="39" xfId="0" applyFont="1" applyFill="1" applyBorder="1" applyAlignment="1">
      <alignment wrapText="1"/>
    </xf>
    <xf numFmtId="0" fontId="3" fillId="0" borderId="39" xfId="0" applyFont="1" applyBorder="1" applyAlignment="1">
      <alignment wrapText="1"/>
    </xf>
    <xf numFmtId="0" fontId="3" fillId="7" borderId="39" xfId="0" applyFont="1" applyFill="1" applyBorder="1" applyAlignment="1">
      <alignment horizontal="center" wrapText="1"/>
    </xf>
    <xf numFmtId="0" fontId="3" fillId="0" borderId="39" xfId="0" applyFont="1" applyBorder="1" applyAlignment="1">
      <alignment horizontal="center" wrapText="1"/>
    </xf>
    <xf numFmtId="44" fontId="3" fillId="0" borderId="39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44" fontId="0" fillId="0" borderId="1" xfId="0" applyNumberFormat="1" applyBorder="1"/>
    <xf numFmtId="44" fontId="0" fillId="0" borderId="41" xfId="0" applyNumberFormat="1" applyBorder="1"/>
    <xf numFmtId="2" fontId="0" fillId="0" borderId="1" xfId="0" applyNumberFormat="1" applyBorder="1"/>
    <xf numFmtId="1" fontId="0" fillId="11" borderId="20" xfId="0" applyNumberFormat="1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166" fontId="0" fillId="11" borderId="20" xfId="0" applyNumberFormat="1" applyFill="1" applyBorder="1" applyAlignment="1">
      <alignment horizontal="center"/>
    </xf>
    <xf numFmtId="168" fontId="0" fillId="11" borderId="20" xfId="0" applyNumberFormat="1" applyFill="1" applyBorder="1" applyAlignment="1">
      <alignment horizontal="center"/>
    </xf>
    <xf numFmtId="44" fontId="0" fillId="0" borderId="1" xfId="1" applyFont="1" applyFill="1" applyBorder="1"/>
    <xf numFmtId="0" fontId="0" fillId="11" borderId="1" xfId="0" applyFill="1" applyBorder="1"/>
    <xf numFmtId="0" fontId="0" fillId="12" borderId="1" xfId="0" applyFill="1" applyBorder="1"/>
    <xf numFmtId="169" fontId="0" fillId="12" borderId="1" xfId="0" applyNumberFormat="1" applyFill="1" applyBorder="1"/>
    <xf numFmtId="0" fontId="0" fillId="12" borderId="41" xfId="0" applyFill="1" applyBorder="1"/>
    <xf numFmtId="44" fontId="0" fillId="12" borderId="1" xfId="1" applyFont="1" applyFill="1" applyBorder="1"/>
    <xf numFmtId="44" fontId="0" fillId="12" borderId="1" xfId="0" applyNumberFormat="1" applyFill="1" applyBorder="1"/>
    <xf numFmtId="0" fontId="0" fillId="1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0" fillId="0" borderId="43" xfId="0" applyBorder="1"/>
    <xf numFmtId="0" fontId="0" fillId="0" borderId="4" xfId="0" applyBorder="1" applyAlignment="1">
      <alignment textRotation="90"/>
    </xf>
    <xf numFmtId="0" fontId="0" fillId="0" borderId="46" xfId="0" applyBorder="1" applyAlignment="1">
      <alignment textRotation="90"/>
    </xf>
    <xf numFmtId="0" fontId="3" fillId="0" borderId="5" xfId="0" applyFont="1" applyBorder="1" applyAlignment="1">
      <alignment textRotation="90"/>
    </xf>
    <xf numFmtId="0" fontId="0" fillId="0" borderId="47" xfId="0" applyBorder="1"/>
    <xf numFmtId="0" fontId="0" fillId="0" borderId="48" xfId="0" applyBorder="1"/>
    <xf numFmtId="0" fontId="3" fillId="0" borderId="50" xfId="0" applyFont="1" applyBorder="1"/>
    <xf numFmtId="0" fontId="3" fillId="0" borderId="36" xfId="0" applyFont="1" applyBorder="1"/>
    <xf numFmtId="0" fontId="3" fillId="0" borderId="45" xfId="0" applyFont="1" applyBorder="1" applyAlignment="1">
      <alignment horizontal="center" vertical="center" wrapText="1"/>
    </xf>
    <xf numFmtId="2" fontId="0" fillId="6" borderId="1" xfId="0" applyNumberFormat="1" applyFill="1" applyBorder="1"/>
    <xf numFmtId="171" fontId="0" fillId="0" borderId="42" xfId="2" applyNumberFormat="1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3" borderId="47" xfId="0" applyFill="1" applyBorder="1"/>
    <xf numFmtId="171" fontId="0" fillId="0" borderId="0" xfId="2" applyNumberFormat="1" applyFont="1" applyBorder="1"/>
    <xf numFmtId="171" fontId="0" fillId="0" borderId="29" xfId="2" applyNumberFormat="1" applyFont="1" applyBorder="1"/>
    <xf numFmtId="171" fontId="0" fillId="0" borderId="49" xfId="2" applyNumberFormat="1" applyFont="1" applyBorder="1"/>
    <xf numFmtId="171" fontId="3" fillId="0" borderId="36" xfId="0" applyNumberFormat="1" applyFont="1" applyBorder="1"/>
    <xf numFmtId="171" fontId="3" fillId="0" borderId="30" xfId="0" applyNumberFormat="1" applyFont="1" applyBorder="1"/>
    <xf numFmtId="0" fontId="3" fillId="0" borderId="51" xfId="0" applyFont="1" applyBorder="1"/>
    <xf numFmtId="0" fontId="0" fillId="14" borderId="48" xfId="0" applyFill="1" applyBorder="1"/>
    <xf numFmtId="0" fontId="0" fillId="14" borderId="42" xfId="0" applyFill="1" applyBorder="1"/>
    <xf numFmtId="0" fontId="0" fillId="14" borderId="44" xfId="0" applyFill="1" applyBorder="1"/>
    <xf numFmtId="0" fontId="3" fillId="14" borderId="49" xfId="0" applyFont="1" applyFill="1" applyBorder="1"/>
    <xf numFmtId="172" fontId="5" fillId="0" borderId="1" xfId="0" applyNumberFormat="1" applyFont="1" applyBorder="1" applyAlignment="1">
      <alignment horizontal="center" vertical="center"/>
    </xf>
    <xf numFmtId="172" fontId="5" fillId="0" borderId="22" xfId="0" applyNumberFormat="1" applyFont="1" applyBorder="1" applyAlignment="1">
      <alignment horizontal="center" vertical="center"/>
    </xf>
    <xf numFmtId="172" fontId="13" fillId="0" borderId="1" xfId="0" applyNumberFormat="1" applyFont="1" applyBorder="1" applyAlignment="1">
      <alignment horizontal="center" vertical="center"/>
    </xf>
    <xf numFmtId="172" fontId="13" fillId="0" borderId="41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/>
    </xf>
    <xf numFmtId="16" fontId="0" fillId="0" borderId="0" xfId="0" applyNumberFormat="1"/>
    <xf numFmtId="2" fontId="0" fillId="0" borderId="0" xfId="0" applyNumberFormat="1"/>
    <xf numFmtId="44" fontId="5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52" xfId="0" applyBorder="1"/>
    <xf numFmtId="0" fontId="0" fillId="0" borderId="53" xfId="0" applyBorder="1"/>
    <xf numFmtId="0" fontId="3" fillId="0" borderId="54" xfId="0" applyFont="1" applyBorder="1"/>
    <xf numFmtId="0" fontId="0" fillId="0" borderId="55" xfId="0" applyBorder="1"/>
    <xf numFmtId="0" fontId="0" fillId="0" borderId="33" xfId="0" applyBorder="1"/>
    <xf numFmtId="0" fontId="0" fillId="0" borderId="56" xfId="0" applyBorder="1"/>
    <xf numFmtId="0" fontId="3" fillId="0" borderId="27" xfId="0" applyFont="1" applyBorder="1"/>
    <xf numFmtId="0" fontId="3" fillId="0" borderId="47" xfId="0" applyFont="1" applyBorder="1"/>
    <xf numFmtId="0" fontId="0" fillId="0" borderId="57" xfId="0" applyBorder="1"/>
    <xf numFmtId="0" fontId="0" fillId="0" borderId="58" xfId="0" applyBorder="1"/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8" fontId="0" fillId="0" borderId="20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0" fillId="7" borderId="59" xfId="0" applyFill="1" applyBorder="1"/>
    <xf numFmtId="0" fontId="0" fillId="0" borderId="20" xfId="0" applyBorder="1"/>
    <xf numFmtId="0" fontId="0" fillId="7" borderId="20" xfId="0" applyFill="1" applyBorder="1"/>
    <xf numFmtId="0" fontId="0" fillId="0" borderId="7" xfId="0" applyBorder="1"/>
    <xf numFmtId="0" fontId="0" fillId="0" borderId="60" xfId="0" applyBorder="1"/>
    <xf numFmtId="171" fontId="0" fillId="0" borderId="61" xfId="2" applyNumberFormat="1" applyFont="1" applyBorder="1"/>
    <xf numFmtId="173" fontId="0" fillId="0" borderId="29" xfId="1" applyNumberFormat="1" applyFont="1" applyBorder="1"/>
    <xf numFmtId="173" fontId="3" fillId="0" borderId="30" xfId="1" applyNumberFormat="1" applyFont="1" applyBorder="1"/>
    <xf numFmtId="0" fontId="3" fillId="0" borderId="14" xfId="0" applyFont="1" applyBorder="1" applyAlignment="1">
      <alignment horizontal="center"/>
    </xf>
    <xf numFmtId="173" fontId="0" fillId="0" borderId="62" xfId="1" applyNumberFormat="1" applyFont="1" applyBorder="1"/>
    <xf numFmtId="44" fontId="6" fillId="0" borderId="1" xfId="1" applyFont="1" applyFill="1" applyBorder="1" applyAlignment="1">
      <alignment vertical="center"/>
    </xf>
    <xf numFmtId="44" fontId="6" fillId="0" borderId="1" xfId="1" applyFont="1" applyFill="1" applyBorder="1"/>
    <xf numFmtId="172" fontId="0" fillId="0" borderId="1" xfId="0" applyNumberForma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44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9" fontId="6" fillId="0" borderId="1" xfId="0" applyNumberFormat="1" applyFont="1" applyBorder="1"/>
    <xf numFmtId="0" fontId="6" fillId="0" borderId="41" xfId="0" applyFont="1" applyBorder="1"/>
    <xf numFmtId="44" fontId="6" fillId="0" borderId="1" xfId="0" applyNumberFormat="1" applyFont="1" applyBorder="1"/>
    <xf numFmtId="0" fontId="6" fillId="0" borderId="0" xfId="0" applyFont="1"/>
    <xf numFmtId="0" fontId="0" fillId="16" borderId="1" xfId="0" applyFill="1" applyBorder="1"/>
    <xf numFmtId="172" fontId="0" fillId="16" borderId="1" xfId="0" applyNumberFormat="1" applyFill="1" applyBorder="1"/>
    <xf numFmtId="169" fontId="0" fillId="16" borderId="1" xfId="0" applyNumberFormat="1" applyFill="1" applyBorder="1"/>
    <xf numFmtId="0" fontId="0" fillId="16" borderId="41" xfId="0" applyFill="1" applyBorder="1"/>
    <xf numFmtId="44" fontId="0" fillId="16" borderId="1" xfId="1" applyFont="1" applyFill="1" applyBorder="1"/>
    <xf numFmtId="44" fontId="2" fillId="16" borderId="1" xfId="1" applyFont="1" applyFill="1" applyBorder="1"/>
    <xf numFmtId="44" fontId="0" fillId="16" borderId="1" xfId="0" applyNumberFormat="1" applyFill="1" applyBorder="1"/>
    <xf numFmtId="0" fontId="0" fillId="16" borderId="0" xfId="0" applyFill="1"/>
    <xf numFmtId="172" fontId="6" fillId="0" borderId="1" xfId="0" applyNumberFormat="1" applyFont="1" applyBorder="1"/>
    <xf numFmtId="174" fontId="0" fillId="0" borderId="0" xfId="0" applyNumberFormat="1"/>
    <xf numFmtId="0" fontId="0" fillId="15" borderId="1" xfId="0" applyFill="1" applyBorder="1"/>
    <xf numFmtId="172" fontId="0" fillId="15" borderId="1" xfId="0" applyNumberFormat="1" applyFill="1" applyBorder="1"/>
    <xf numFmtId="169" fontId="0" fillId="15" borderId="1" xfId="0" applyNumberFormat="1" applyFill="1" applyBorder="1"/>
    <xf numFmtId="0" fontId="0" fillId="15" borderId="41" xfId="0" applyFill="1" applyBorder="1"/>
    <xf numFmtId="44" fontId="0" fillId="15" borderId="1" xfId="1" applyFont="1" applyFill="1" applyBorder="1"/>
    <xf numFmtId="44" fontId="0" fillId="15" borderId="1" xfId="0" applyNumberFormat="1" applyFill="1" applyBorder="1"/>
    <xf numFmtId="0" fontId="0" fillId="15" borderId="0" xfId="0" applyFill="1"/>
    <xf numFmtId="1" fontId="13" fillId="0" borderId="1" xfId="0" applyNumberFormat="1" applyFont="1" applyBorder="1" applyAlignment="1">
      <alignment horizontal="center" vertical="center"/>
    </xf>
    <xf numFmtId="2" fontId="0" fillId="0" borderId="29" xfId="0" applyNumberFormat="1" applyBorder="1"/>
    <xf numFmtId="173" fontId="0" fillId="0" borderId="30" xfId="1" applyNumberFormat="1" applyFont="1" applyBorder="1"/>
    <xf numFmtId="0" fontId="5" fillId="7" borderId="1" xfId="0" applyFont="1" applyFill="1" applyBorder="1" applyAlignment="1">
      <alignment horizontal="center" vertical="center"/>
    </xf>
    <xf numFmtId="169" fontId="0" fillId="0" borderId="0" xfId="0" applyNumberFormat="1"/>
    <xf numFmtId="0" fontId="3" fillId="0" borderId="0" xfId="0" applyFont="1" applyAlignment="1">
      <alignment horizontal="center" wrapText="1"/>
    </xf>
    <xf numFmtId="0" fontId="0" fillId="17" borderId="1" xfId="0" applyFill="1" applyBorder="1"/>
    <xf numFmtId="172" fontId="0" fillId="17" borderId="1" xfId="0" applyNumberFormat="1" applyFill="1" applyBorder="1"/>
    <xf numFmtId="169" fontId="0" fillId="17" borderId="1" xfId="0" applyNumberFormat="1" applyFill="1" applyBorder="1"/>
    <xf numFmtId="0" fontId="0" fillId="17" borderId="41" xfId="0" applyFill="1" applyBorder="1"/>
    <xf numFmtId="44" fontId="0" fillId="17" borderId="1" xfId="1" applyFont="1" applyFill="1" applyBorder="1"/>
    <xf numFmtId="44" fontId="0" fillId="17" borderId="1" xfId="0" applyNumberFormat="1" applyFill="1" applyBorder="1"/>
    <xf numFmtId="0" fontId="0" fillId="17" borderId="0" xfId="0" applyFill="1"/>
    <xf numFmtId="0" fontId="0" fillId="17" borderId="25" xfId="0" applyFill="1" applyBorder="1"/>
    <xf numFmtId="0" fontId="0" fillId="17" borderId="22" xfId="0" applyFill="1" applyBorder="1"/>
    <xf numFmtId="0" fontId="0" fillId="0" borderId="63" xfId="0" applyBorder="1"/>
    <xf numFmtId="1" fontId="0" fillId="17" borderId="1" xfId="0" applyNumberFormat="1" applyFill="1" applyBorder="1" applyAlignment="1">
      <alignment horizontal="center"/>
    </xf>
    <xf numFmtId="43" fontId="5" fillId="0" borderId="1" xfId="2" applyFont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 wrapText="1"/>
    </xf>
    <xf numFmtId="172" fontId="11" fillId="0" borderId="1" xfId="0" applyNumberFormat="1" applyFont="1" applyBorder="1" applyAlignment="1">
      <alignment horizontal="center" vertical="center"/>
    </xf>
    <xf numFmtId="172" fontId="11" fillId="0" borderId="22" xfId="0" applyNumberFormat="1" applyFont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172" fontId="5" fillId="19" borderId="1" xfId="0" applyNumberFormat="1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textRotation="90"/>
    </xf>
    <xf numFmtId="0" fontId="3" fillId="0" borderId="68" xfId="0" applyFont="1" applyBorder="1" applyAlignment="1">
      <alignment horizontal="center" textRotation="90"/>
    </xf>
    <xf numFmtId="0" fontId="3" fillId="0" borderId="66" xfId="0" applyFont="1" applyBorder="1" applyAlignment="1">
      <alignment horizontal="center" textRotation="90"/>
    </xf>
    <xf numFmtId="0" fontId="3" fillId="0" borderId="69" xfId="0" applyFont="1" applyBorder="1" applyAlignment="1">
      <alignment horizontal="center" textRotation="90"/>
    </xf>
    <xf numFmtId="1" fontId="0" fillId="0" borderId="18" xfId="0" applyNumberFormat="1" applyBorder="1" applyAlignment="1">
      <alignment horizontal="center"/>
    </xf>
    <xf numFmtId="0" fontId="0" fillId="0" borderId="70" xfId="0" applyBorder="1"/>
    <xf numFmtId="171" fontId="0" fillId="0" borderId="16" xfId="2" applyNumberFormat="1" applyFont="1" applyBorder="1"/>
    <xf numFmtId="171" fontId="0" fillId="0" borderId="70" xfId="2" applyNumberFormat="1" applyFont="1" applyBorder="1"/>
    <xf numFmtId="171" fontId="3" fillId="0" borderId="34" xfId="2" applyNumberFormat="1" applyFont="1" applyBorder="1"/>
    <xf numFmtId="1" fontId="0" fillId="0" borderId="24" xfId="0" applyNumberFormat="1" applyBorder="1" applyAlignment="1">
      <alignment horizontal="center"/>
    </xf>
    <xf numFmtId="171" fontId="3" fillId="0" borderId="71" xfId="2" applyNumberFormat="1" applyFont="1" applyBorder="1"/>
    <xf numFmtId="1" fontId="6" fillId="0" borderId="24" xfId="0" applyNumberFormat="1" applyFont="1" applyBorder="1" applyAlignment="1">
      <alignment horizontal="center"/>
    </xf>
    <xf numFmtId="1" fontId="0" fillId="0" borderId="72" xfId="0" applyNumberFormat="1" applyBorder="1" applyAlignment="1">
      <alignment horizontal="center"/>
    </xf>
    <xf numFmtId="0" fontId="0" fillId="0" borderId="73" xfId="0" applyBorder="1"/>
    <xf numFmtId="171" fontId="0" fillId="0" borderId="74" xfId="2" applyNumberFormat="1" applyFont="1" applyBorder="1"/>
    <xf numFmtId="171" fontId="0" fillId="0" borderId="73" xfId="2" applyNumberFormat="1" applyFont="1" applyBorder="1"/>
    <xf numFmtId="171" fontId="3" fillId="0" borderId="75" xfId="2" applyNumberFormat="1" applyFont="1" applyBorder="1"/>
    <xf numFmtId="3" fontId="0" fillId="0" borderId="50" xfId="0" applyNumberFormat="1" applyBorder="1"/>
    <xf numFmtId="0" fontId="3" fillId="0" borderId="76" xfId="0" applyFont="1" applyBorder="1"/>
    <xf numFmtId="171" fontId="3" fillId="0" borderId="35" xfId="0" applyNumberFormat="1" applyFont="1" applyBorder="1"/>
    <xf numFmtId="171" fontId="3" fillId="0" borderId="77" xfId="0" applyNumberFormat="1" applyFont="1" applyBorder="1"/>
    <xf numFmtId="171" fontId="3" fillId="0" borderId="76" xfId="0" applyNumberFormat="1" applyFont="1" applyBorder="1"/>
    <xf numFmtId="171" fontId="0" fillId="0" borderId="31" xfId="2" applyNumberFormat="1" applyFont="1" applyBorder="1"/>
    <xf numFmtId="171" fontId="3" fillId="0" borderId="57" xfId="0" applyNumberFormat="1" applyFont="1" applyBorder="1"/>
    <xf numFmtId="171" fontId="0" fillId="0" borderId="78" xfId="2" applyNumberFormat="1" applyFont="1" applyBorder="1"/>
    <xf numFmtId="0" fontId="3" fillId="0" borderId="79" xfId="0" applyFont="1" applyBorder="1" applyAlignment="1">
      <alignment horizontal="center" textRotation="90"/>
    </xf>
    <xf numFmtId="171" fontId="0" fillId="0" borderId="32" xfId="2" applyNumberFormat="1" applyFont="1" applyBorder="1"/>
    <xf numFmtId="171" fontId="0" fillId="0" borderId="80" xfId="2" applyNumberFormat="1" applyFont="1" applyBorder="1"/>
    <xf numFmtId="171" fontId="3" fillId="0" borderId="81" xfId="2" applyNumberFormat="1" applyFont="1" applyBorder="1"/>
    <xf numFmtId="171" fontId="0" fillId="0" borderId="82" xfId="2" applyNumberFormat="1" applyFont="1" applyBorder="1"/>
    <xf numFmtId="171" fontId="0" fillId="0" borderId="83" xfId="2" applyNumberFormat="1" applyFont="1" applyBorder="1"/>
    <xf numFmtId="1" fontId="0" fillId="0" borderId="84" xfId="0" applyNumberFormat="1" applyBorder="1" applyAlignment="1">
      <alignment horizontal="center"/>
    </xf>
    <xf numFmtId="0" fontId="5" fillId="14" borderId="1" xfId="0" applyFont="1" applyFill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165" fontId="5" fillId="20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172" fontId="17" fillId="0" borderId="1" xfId="0" applyNumberFormat="1" applyFont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33" xfId="0" applyFont="1" applyFill="1" applyBorder="1" applyAlignment="1">
      <alignment horizontal="center"/>
    </xf>
    <xf numFmtId="0" fontId="7" fillId="8" borderId="27" xfId="0" applyFont="1" applyFill="1" applyBorder="1" applyAlignment="1">
      <alignment horizontal="center"/>
    </xf>
    <xf numFmtId="0" fontId="3" fillId="0" borderId="6" xfId="0" applyFont="1" applyBorder="1"/>
    <xf numFmtId="0" fontId="3" fillId="0" borderId="5" xfId="0" applyFont="1" applyBorder="1"/>
    <xf numFmtId="0" fontId="7" fillId="8" borderId="37" xfId="0" applyFont="1" applyFill="1" applyBorder="1" applyAlignment="1">
      <alignment horizontal="center"/>
    </xf>
    <xf numFmtId="0" fontId="7" fillId="8" borderId="64" xfId="0" applyFont="1" applyFill="1" applyBorder="1" applyAlignment="1">
      <alignment horizontal="center"/>
    </xf>
    <xf numFmtId="0" fontId="7" fillId="8" borderId="38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14" fontId="9" fillId="2" borderId="25" xfId="0" applyNumberFormat="1" applyFont="1" applyFill="1" applyBorder="1" applyAlignment="1">
      <alignment horizontal="center" vertical="center" wrapText="1"/>
    </xf>
    <xf numFmtId="14" fontId="9" fillId="2" borderId="22" xfId="0" applyNumberFormat="1" applyFont="1" applyFill="1" applyBorder="1" applyAlignment="1">
      <alignment horizontal="center" vertical="center" wrapText="1"/>
    </xf>
    <xf numFmtId="14" fontId="9" fillId="2" borderId="40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10" fillId="9" borderId="1" xfId="0" applyNumberFormat="1" applyFont="1" applyFill="1" applyBorder="1" applyAlignment="1">
      <alignment horizontal="center" vertical="center" wrapText="1"/>
    </xf>
    <xf numFmtId="0" fontId="9" fillId="15" borderId="25" xfId="0" applyFont="1" applyFill="1" applyBorder="1" applyAlignment="1">
      <alignment horizontal="center" vertical="center" wrapText="1"/>
    </xf>
    <xf numFmtId="0" fontId="9" fillId="15" borderId="40" xfId="0" applyFont="1" applyFill="1" applyBorder="1" applyAlignment="1">
      <alignment horizontal="center" vertical="center" wrapText="1"/>
    </xf>
    <xf numFmtId="0" fontId="9" fillId="15" borderId="22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9" borderId="40" xfId="0" applyFont="1" applyFill="1" applyBorder="1" applyAlignment="1">
      <alignment horizontal="center" vertical="center" wrapText="1"/>
    </xf>
    <xf numFmtId="0" fontId="10" fillId="9" borderId="2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 wrapText="1"/>
    </xf>
    <xf numFmtId="166" fontId="3" fillId="4" borderId="9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8" borderId="2" xfId="0" applyFont="1" applyFill="1" applyBorder="1" applyAlignment="1">
      <alignment horizontal="left"/>
    </xf>
    <xf numFmtId="0" fontId="7" fillId="8" borderId="27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7" fillId="8" borderId="33" xfId="0" applyFont="1" applyFill="1" applyBorder="1" applyAlignment="1">
      <alignment horizontal="left"/>
    </xf>
    <xf numFmtId="0" fontId="0" fillId="0" borderId="1" xfId="0" applyBorder="1"/>
    <xf numFmtId="0" fontId="16" fillId="0" borderId="1" xfId="5" applyBorder="1" applyAlignment="1"/>
    <xf numFmtId="0" fontId="7" fillId="8" borderId="0" xfId="0" applyFont="1" applyFill="1" applyAlignment="1">
      <alignment horizontal="center"/>
    </xf>
  </cellXfs>
  <cellStyles count="7">
    <cellStyle name="Comma" xfId="2" builtinId="3"/>
    <cellStyle name="Comma 2" xfId="3" xr:uid="{85055683-90A3-46BF-A28B-F327EC246714}"/>
    <cellStyle name="Comma 2 2" xfId="4" xr:uid="{4625F427-5E59-4364-92CE-8FA2626985BA}"/>
    <cellStyle name="Currency" xfId="1" builtinId="4"/>
    <cellStyle name="Hyperlink" xfId="5" builtinId="8"/>
    <cellStyle name="Normal" xfId="0" builtinId="0"/>
    <cellStyle name="Normal 10" xfId="6" xr:uid="{50AF973F-AE62-486D-B0CF-FC0D0BBAA050}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5462330-E1E1-40C1-8068-D9346DDDEEFD}">
    <nsvFilter filterId="{B13FB30B-606F-4EB4-AEC7-9F16405607B3}" ref="A3:AP300" tableId="0"/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l.uk-1.a.mimecastprotect.com/l?domain=maersk.com&amp;t=AQICAHi-3eFlu40qm0xHsXo2RboSpleH7UbKTLFspGJKOB-l7AEE7JqrwWv37jNw8DwmNoJdAAAAzjCBywYJKoZIhvcNAQcGoIG9MIG6AgEAMIG0BgkqhkiG9w0BBwEwHgYJYIZIAWUDBAEuMBEEDMcvFiU428oh6EJbKgIBEICBhtIMYvvg8vKrJ5kJ_0prUXPEpX9wJDHh_q9X-joW3BcPYTZF-Ncl3AJeB3ovbrGzKSbE1lntGTR9f3XMB7mlpjYENjXMzoNKl9yutRml_o0pKzZGesawkUYgRA0a6-EXmCwfvL2U_CYxn2i0tG4JJ3zfIHmwb8Cqi3B2_Pz3gf1PvuzCKLzC&amp;r=/s/c9k-CzX5zHnlM0MYi4gPXnJimlYQOlcYcGSKEJ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37C9-8428-42C4-99A3-9CBB3753E51E}">
  <sheetPr codeName="Sheet1"/>
  <dimension ref="A1:H59"/>
  <sheetViews>
    <sheetView topLeftCell="A34" workbookViewId="0">
      <selection activeCell="H60" sqref="H60"/>
    </sheetView>
  </sheetViews>
  <sheetFormatPr defaultRowHeight="14.4" x14ac:dyDescent="0.3"/>
  <cols>
    <col min="1" max="1" width="9" style="30" bestFit="1" customWidth="1"/>
    <col min="2" max="2" width="24.5546875" bestFit="1" customWidth="1"/>
    <col min="3" max="3" width="7.6640625" style="30" bestFit="1" customWidth="1"/>
    <col min="4" max="4" width="6.6640625" style="30" bestFit="1" customWidth="1"/>
    <col min="5" max="5" width="7.44140625" style="30" bestFit="1" customWidth="1"/>
    <col min="6" max="6" width="6.5546875" style="30" bestFit="1" customWidth="1"/>
    <col min="7" max="8" width="8.5546875" customWidth="1"/>
  </cols>
  <sheetData>
    <row r="1" spans="1:8" s="30" customFormat="1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</row>
    <row r="2" spans="1:8" x14ac:dyDescent="0.3">
      <c r="A2" s="30">
        <v>24045976</v>
      </c>
      <c r="B2" t="s">
        <v>8</v>
      </c>
      <c r="C2" s="30">
        <v>49</v>
      </c>
      <c r="D2" s="30">
        <v>96</v>
      </c>
      <c r="E2" s="30">
        <v>1245</v>
      </c>
      <c r="F2" s="30">
        <v>2440</v>
      </c>
      <c r="G2">
        <v>2000</v>
      </c>
      <c r="H2">
        <v>6075.6</v>
      </c>
    </row>
    <row r="3" spans="1:8" x14ac:dyDescent="0.3">
      <c r="A3" s="30">
        <v>24045976</v>
      </c>
      <c r="B3" t="s">
        <v>8</v>
      </c>
      <c r="C3" s="30">
        <v>49</v>
      </c>
      <c r="D3" s="30">
        <v>108</v>
      </c>
      <c r="E3" s="30">
        <v>1245</v>
      </c>
      <c r="F3" s="30">
        <v>2745</v>
      </c>
      <c r="G3">
        <v>600</v>
      </c>
      <c r="H3">
        <v>2050.5150000000003</v>
      </c>
    </row>
    <row r="4" spans="1:8" x14ac:dyDescent="0.3">
      <c r="A4" s="30">
        <v>24045985</v>
      </c>
      <c r="B4" t="s">
        <v>8</v>
      </c>
      <c r="C4" s="30">
        <v>49</v>
      </c>
      <c r="D4" s="30">
        <v>96</v>
      </c>
      <c r="E4" s="30">
        <v>1245</v>
      </c>
      <c r="F4" s="30">
        <v>2440</v>
      </c>
      <c r="G4">
        <v>800</v>
      </c>
      <c r="H4">
        <v>2430.2400000000002</v>
      </c>
    </row>
    <row r="5" spans="1:8" x14ac:dyDescent="0.3">
      <c r="A5" s="30">
        <v>24045985</v>
      </c>
      <c r="B5" t="s">
        <v>9</v>
      </c>
      <c r="C5" s="30">
        <v>49</v>
      </c>
      <c r="D5" s="30">
        <v>96</v>
      </c>
      <c r="E5" s="30">
        <v>1245</v>
      </c>
      <c r="F5" s="30">
        <v>2440</v>
      </c>
      <c r="G5">
        <v>800</v>
      </c>
      <c r="H5">
        <v>2430.2400000000002</v>
      </c>
    </row>
    <row r="6" spans="1:8" x14ac:dyDescent="0.3">
      <c r="A6" s="30">
        <v>24045985</v>
      </c>
      <c r="B6" t="s">
        <v>10</v>
      </c>
      <c r="C6" s="30">
        <v>49</v>
      </c>
      <c r="D6" s="30">
        <v>96</v>
      </c>
      <c r="E6" s="30">
        <v>1245</v>
      </c>
      <c r="F6" s="30">
        <v>2440</v>
      </c>
      <c r="G6">
        <v>600</v>
      </c>
      <c r="H6">
        <v>1822.68</v>
      </c>
    </row>
    <row r="7" spans="1:8" x14ac:dyDescent="0.3">
      <c r="A7" s="30">
        <v>24045985</v>
      </c>
      <c r="B7" t="s">
        <v>11</v>
      </c>
      <c r="C7" s="30">
        <v>49</v>
      </c>
      <c r="D7" s="30">
        <v>96</v>
      </c>
      <c r="E7" s="30">
        <v>1245</v>
      </c>
      <c r="F7" s="30">
        <v>2440</v>
      </c>
      <c r="G7">
        <v>600</v>
      </c>
      <c r="H7">
        <v>1822.68</v>
      </c>
    </row>
    <row r="8" spans="1:8" x14ac:dyDescent="0.3">
      <c r="A8" s="30">
        <v>24045987</v>
      </c>
      <c r="B8" t="s">
        <v>8</v>
      </c>
      <c r="C8" s="30">
        <v>49</v>
      </c>
      <c r="D8" s="30">
        <v>96</v>
      </c>
      <c r="E8" s="30">
        <v>1245</v>
      </c>
      <c r="F8" s="30">
        <v>2440</v>
      </c>
      <c r="G8">
        <v>200</v>
      </c>
      <c r="H8">
        <v>607.56000000000006</v>
      </c>
    </row>
    <row r="9" spans="1:8" x14ac:dyDescent="0.3">
      <c r="A9" s="30">
        <v>24045987</v>
      </c>
      <c r="B9" t="s">
        <v>8</v>
      </c>
      <c r="C9" s="30">
        <v>49</v>
      </c>
      <c r="D9" s="30">
        <v>108</v>
      </c>
      <c r="E9" s="30">
        <v>1245</v>
      </c>
      <c r="F9" s="30">
        <v>2745</v>
      </c>
      <c r="G9">
        <v>400</v>
      </c>
      <c r="H9">
        <v>1367.0100000000002</v>
      </c>
    </row>
    <row r="10" spans="1:8" x14ac:dyDescent="0.3">
      <c r="A10" s="30">
        <v>24045987</v>
      </c>
      <c r="B10" t="s">
        <v>9</v>
      </c>
      <c r="C10" s="30">
        <v>49</v>
      </c>
      <c r="D10" s="30">
        <v>96</v>
      </c>
      <c r="E10" s="30">
        <v>1245</v>
      </c>
      <c r="F10" s="30">
        <v>2440</v>
      </c>
      <c r="G10">
        <v>800</v>
      </c>
      <c r="H10">
        <v>2430.2400000000002</v>
      </c>
    </row>
    <row r="11" spans="1:8" x14ac:dyDescent="0.3">
      <c r="A11" s="30">
        <v>24045987</v>
      </c>
      <c r="B11" t="s">
        <v>9</v>
      </c>
      <c r="C11" s="30">
        <v>49</v>
      </c>
      <c r="D11" s="30">
        <v>108</v>
      </c>
      <c r="E11" s="30">
        <v>1245</v>
      </c>
      <c r="F11" s="30">
        <v>2745</v>
      </c>
      <c r="G11">
        <v>400</v>
      </c>
      <c r="H11">
        <v>1367.0100000000002</v>
      </c>
    </row>
    <row r="12" spans="1:8" x14ac:dyDescent="0.3">
      <c r="A12" s="30">
        <v>24045987</v>
      </c>
      <c r="B12" t="s">
        <v>10</v>
      </c>
      <c r="C12" s="30">
        <v>49</v>
      </c>
      <c r="D12" s="30">
        <v>96</v>
      </c>
      <c r="E12" s="30">
        <v>1245</v>
      </c>
      <c r="F12" s="30">
        <v>2440</v>
      </c>
      <c r="G12">
        <v>200</v>
      </c>
      <c r="H12">
        <v>607.56000000000006</v>
      </c>
    </row>
    <row r="13" spans="1:8" x14ac:dyDescent="0.3">
      <c r="A13" s="30">
        <v>24045987</v>
      </c>
      <c r="B13" t="s">
        <v>10</v>
      </c>
      <c r="C13" s="30">
        <v>49</v>
      </c>
      <c r="D13" s="30">
        <v>108</v>
      </c>
      <c r="E13" s="30">
        <v>1245</v>
      </c>
      <c r="F13" s="30">
        <v>2745</v>
      </c>
      <c r="G13">
        <v>200</v>
      </c>
      <c r="H13">
        <v>683.50500000000011</v>
      </c>
    </row>
    <row r="14" spans="1:8" x14ac:dyDescent="0.3">
      <c r="A14" s="30">
        <v>24045987</v>
      </c>
      <c r="B14" t="s">
        <v>11</v>
      </c>
      <c r="C14" s="30">
        <v>49</v>
      </c>
      <c r="D14" s="30">
        <v>96</v>
      </c>
      <c r="E14" s="30">
        <v>1245</v>
      </c>
      <c r="F14" s="30">
        <v>2440</v>
      </c>
      <c r="G14">
        <v>200</v>
      </c>
      <c r="H14">
        <v>607.56000000000006</v>
      </c>
    </row>
    <row r="15" spans="1:8" x14ac:dyDescent="0.3">
      <c r="A15" s="30">
        <v>24045987</v>
      </c>
      <c r="B15" t="s">
        <v>11</v>
      </c>
      <c r="C15" s="30">
        <v>49</v>
      </c>
      <c r="D15" s="30">
        <v>108</v>
      </c>
      <c r="E15" s="30">
        <v>1245</v>
      </c>
      <c r="F15" s="30">
        <v>2745</v>
      </c>
      <c r="G15">
        <v>200</v>
      </c>
      <c r="H15">
        <v>683.50500000000011</v>
      </c>
    </row>
    <row r="16" spans="1:8" x14ac:dyDescent="0.3">
      <c r="A16" s="30">
        <v>24034182</v>
      </c>
      <c r="B16" t="s">
        <v>8</v>
      </c>
      <c r="C16" s="30">
        <v>49</v>
      </c>
      <c r="D16" s="30">
        <v>96</v>
      </c>
      <c r="E16" s="30">
        <v>1245</v>
      </c>
      <c r="F16" s="30">
        <v>2440</v>
      </c>
      <c r="G16">
        <v>1400</v>
      </c>
      <c r="H16">
        <v>4252.92</v>
      </c>
    </row>
    <row r="17" spans="1:8" x14ac:dyDescent="0.3">
      <c r="A17" s="30">
        <v>24034182</v>
      </c>
      <c r="B17" t="s">
        <v>9</v>
      </c>
      <c r="C17" s="30">
        <v>49</v>
      </c>
      <c r="D17" s="30">
        <v>96</v>
      </c>
      <c r="E17" s="30">
        <v>1245</v>
      </c>
      <c r="F17" s="30">
        <v>2440</v>
      </c>
      <c r="G17">
        <v>1400</v>
      </c>
      <c r="H17">
        <v>4252.92</v>
      </c>
    </row>
    <row r="18" spans="1:8" x14ac:dyDescent="0.3">
      <c r="A18" s="30">
        <v>24045978</v>
      </c>
      <c r="B18" t="s">
        <v>9</v>
      </c>
      <c r="C18" s="30">
        <v>49</v>
      </c>
      <c r="D18" s="30">
        <v>96</v>
      </c>
      <c r="E18" s="30">
        <v>1245</v>
      </c>
      <c r="F18" s="30">
        <v>2440</v>
      </c>
      <c r="G18">
        <v>2000</v>
      </c>
      <c r="H18">
        <v>6075.6</v>
      </c>
    </row>
    <row r="19" spans="1:8" x14ac:dyDescent="0.3">
      <c r="A19" s="30">
        <v>24045978</v>
      </c>
      <c r="B19" t="s">
        <v>9</v>
      </c>
      <c r="C19" s="30">
        <v>49</v>
      </c>
      <c r="D19" s="30">
        <v>108</v>
      </c>
      <c r="E19" s="30">
        <v>1245</v>
      </c>
      <c r="F19" s="30">
        <v>2745</v>
      </c>
      <c r="G19">
        <v>600</v>
      </c>
      <c r="H19">
        <v>2050.5150000000003</v>
      </c>
    </row>
    <row r="20" spans="1:8" x14ac:dyDescent="0.3">
      <c r="A20" s="30">
        <v>24045980</v>
      </c>
      <c r="B20" t="s">
        <v>10</v>
      </c>
      <c r="C20" s="30">
        <v>49</v>
      </c>
      <c r="D20" s="30">
        <v>96</v>
      </c>
      <c r="E20" s="30">
        <v>1245</v>
      </c>
      <c r="F20" s="30">
        <v>2440</v>
      </c>
      <c r="G20">
        <v>2400</v>
      </c>
      <c r="H20">
        <v>7290.72</v>
      </c>
    </row>
    <row r="21" spans="1:8" x14ac:dyDescent="0.3">
      <c r="A21" s="30">
        <v>24045980</v>
      </c>
      <c r="B21" t="s">
        <v>10</v>
      </c>
      <c r="C21" s="30">
        <v>49</v>
      </c>
      <c r="D21" s="30">
        <v>108</v>
      </c>
      <c r="E21" s="30">
        <v>1245</v>
      </c>
      <c r="F21" s="30">
        <v>2745</v>
      </c>
      <c r="G21">
        <v>400</v>
      </c>
      <c r="H21">
        <v>1367.0100000000002</v>
      </c>
    </row>
    <row r="22" spans="1:8" x14ac:dyDescent="0.3">
      <c r="A22" s="30">
        <v>24045982</v>
      </c>
      <c r="B22" t="s">
        <v>11</v>
      </c>
      <c r="C22" s="30">
        <v>49</v>
      </c>
      <c r="D22" s="30">
        <v>96</v>
      </c>
      <c r="E22" s="30">
        <v>1245</v>
      </c>
      <c r="F22" s="30">
        <v>2440</v>
      </c>
      <c r="G22">
        <v>2400</v>
      </c>
      <c r="H22">
        <v>7290.72</v>
      </c>
    </row>
    <row r="23" spans="1:8" x14ac:dyDescent="0.3">
      <c r="A23" s="30">
        <v>24045982</v>
      </c>
      <c r="B23" t="s">
        <v>11</v>
      </c>
      <c r="C23" s="30">
        <v>49</v>
      </c>
      <c r="D23" s="30">
        <v>108</v>
      </c>
      <c r="E23" s="30">
        <v>1245</v>
      </c>
      <c r="F23" s="30">
        <v>2745</v>
      </c>
      <c r="G23">
        <v>400</v>
      </c>
      <c r="H23">
        <v>1367.0100000000002</v>
      </c>
    </row>
    <row r="24" spans="1:8" x14ac:dyDescent="0.3">
      <c r="A24" s="30">
        <v>52930001</v>
      </c>
      <c r="B24" t="s">
        <v>12</v>
      </c>
      <c r="C24" s="30">
        <v>49</v>
      </c>
      <c r="D24" s="30">
        <v>90</v>
      </c>
      <c r="E24" s="30">
        <v>1245</v>
      </c>
      <c r="F24" s="30">
        <v>2286</v>
      </c>
      <c r="G24">
        <v>200</v>
      </c>
      <c r="H24">
        <v>569.21400000000006</v>
      </c>
    </row>
    <row r="25" spans="1:8" x14ac:dyDescent="0.3">
      <c r="A25" s="30">
        <v>52930001</v>
      </c>
      <c r="B25" t="s">
        <v>12</v>
      </c>
      <c r="C25" s="30">
        <v>49</v>
      </c>
      <c r="D25" s="30">
        <v>96</v>
      </c>
      <c r="E25" s="30">
        <v>1245</v>
      </c>
      <c r="F25" s="30">
        <v>2440</v>
      </c>
      <c r="G25">
        <v>1400</v>
      </c>
      <c r="H25">
        <v>4252.92</v>
      </c>
    </row>
    <row r="26" spans="1:8" x14ac:dyDescent="0.3">
      <c r="A26" s="30">
        <v>52930001</v>
      </c>
      <c r="B26" t="s">
        <v>12</v>
      </c>
      <c r="C26" s="30">
        <v>49</v>
      </c>
      <c r="D26" s="30">
        <v>108</v>
      </c>
      <c r="E26" s="30">
        <v>1245</v>
      </c>
      <c r="F26" s="30">
        <v>2745</v>
      </c>
      <c r="G26">
        <v>1000</v>
      </c>
      <c r="H26">
        <v>3417.5250000000005</v>
      </c>
    </row>
    <row r="27" spans="1:8" x14ac:dyDescent="0.3">
      <c r="A27" s="30">
        <v>24034183</v>
      </c>
      <c r="B27" t="s">
        <v>10</v>
      </c>
      <c r="C27" s="30">
        <v>49</v>
      </c>
      <c r="D27" s="30">
        <v>96</v>
      </c>
      <c r="E27" s="30">
        <v>1245</v>
      </c>
      <c r="F27" s="30">
        <v>2440</v>
      </c>
      <c r="G27">
        <v>1400</v>
      </c>
      <c r="H27">
        <v>4252.92</v>
      </c>
    </row>
    <row r="28" spans="1:8" x14ac:dyDescent="0.3">
      <c r="A28" s="30">
        <v>24034183</v>
      </c>
      <c r="B28" t="s">
        <v>11</v>
      </c>
      <c r="C28" s="30">
        <v>49</v>
      </c>
      <c r="D28" s="30">
        <v>96</v>
      </c>
      <c r="E28" s="30">
        <v>1245</v>
      </c>
      <c r="F28" s="30">
        <v>2440</v>
      </c>
      <c r="G28">
        <v>1400</v>
      </c>
      <c r="H28">
        <v>4252.92</v>
      </c>
    </row>
    <row r="29" spans="1:8" x14ac:dyDescent="0.3">
      <c r="A29" s="30">
        <v>52930031</v>
      </c>
      <c r="B29" t="s">
        <v>8</v>
      </c>
      <c r="C29" s="30">
        <v>49</v>
      </c>
      <c r="D29" s="30">
        <v>108</v>
      </c>
      <c r="E29" s="30">
        <v>1245</v>
      </c>
      <c r="F29" s="30">
        <v>2745</v>
      </c>
      <c r="G29">
        <v>200</v>
      </c>
      <c r="H29">
        <v>683.50500000000011</v>
      </c>
    </row>
    <row r="30" spans="1:8" x14ac:dyDescent="0.3">
      <c r="A30" s="30">
        <v>52930031</v>
      </c>
      <c r="B30" t="s">
        <v>9</v>
      </c>
      <c r="C30" s="30">
        <v>49</v>
      </c>
      <c r="D30" s="30">
        <v>96</v>
      </c>
      <c r="E30" s="30">
        <v>1245</v>
      </c>
      <c r="F30" s="30">
        <v>2440</v>
      </c>
      <c r="G30">
        <v>600</v>
      </c>
      <c r="H30">
        <v>1822.68</v>
      </c>
    </row>
    <row r="31" spans="1:8" x14ac:dyDescent="0.3">
      <c r="A31" s="30">
        <v>52930031</v>
      </c>
      <c r="B31" t="s">
        <v>9</v>
      </c>
      <c r="C31" s="30">
        <v>49</v>
      </c>
      <c r="D31" s="30">
        <v>108</v>
      </c>
      <c r="E31" s="30">
        <v>1245</v>
      </c>
      <c r="F31" s="30">
        <v>2745</v>
      </c>
      <c r="G31">
        <v>400</v>
      </c>
      <c r="H31">
        <v>1367.0100000000002</v>
      </c>
    </row>
    <row r="32" spans="1:8" x14ac:dyDescent="0.3">
      <c r="A32" s="30">
        <v>52930031</v>
      </c>
      <c r="B32" t="s">
        <v>10</v>
      </c>
      <c r="C32" s="30">
        <v>49</v>
      </c>
      <c r="D32" s="30">
        <v>90</v>
      </c>
      <c r="E32" s="30">
        <v>1245</v>
      </c>
      <c r="F32" s="30">
        <v>2286</v>
      </c>
      <c r="G32">
        <v>200</v>
      </c>
      <c r="H32">
        <v>569.21400000000006</v>
      </c>
    </row>
    <row r="33" spans="1:8" x14ac:dyDescent="0.3">
      <c r="A33" s="30">
        <v>52930031</v>
      </c>
      <c r="B33" t="s">
        <v>10</v>
      </c>
      <c r="C33" s="30">
        <v>49</v>
      </c>
      <c r="D33" s="30">
        <v>96</v>
      </c>
      <c r="E33" s="30">
        <v>1245</v>
      </c>
      <c r="F33" s="30">
        <v>2440</v>
      </c>
      <c r="G33">
        <v>200</v>
      </c>
      <c r="H33">
        <v>607.56000000000006</v>
      </c>
    </row>
    <row r="34" spans="1:8" x14ac:dyDescent="0.3">
      <c r="A34" s="30">
        <v>52930031</v>
      </c>
      <c r="B34" t="s">
        <v>10</v>
      </c>
      <c r="C34" s="30">
        <v>49</v>
      </c>
      <c r="D34" s="30">
        <v>108</v>
      </c>
      <c r="E34" s="30">
        <v>1245</v>
      </c>
      <c r="F34" s="30">
        <v>2745</v>
      </c>
      <c r="G34">
        <v>200</v>
      </c>
      <c r="H34">
        <v>683.50500000000011</v>
      </c>
    </row>
    <row r="35" spans="1:8" x14ac:dyDescent="0.3">
      <c r="A35" s="30">
        <v>52930031</v>
      </c>
      <c r="B35" t="s">
        <v>11</v>
      </c>
      <c r="C35" s="30">
        <v>49</v>
      </c>
      <c r="D35" s="30">
        <v>96</v>
      </c>
      <c r="E35" s="30">
        <v>1245</v>
      </c>
      <c r="F35" s="30">
        <v>2440</v>
      </c>
      <c r="G35">
        <v>400</v>
      </c>
      <c r="H35">
        <v>1215.1200000000001</v>
      </c>
    </row>
    <row r="36" spans="1:8" x14ac:dyDescent="0.3">
      <c r="A36" s="30">
        <v>52930031</v>
      </c>
      <c r="B36" t="s">
        <v>11</v>
      </c>
      <c r="C36" s="30">
        <v>49</v>
      </c>
      <c r="D36" s="30">
        <v>108</v>
      </c>
      <c r="E36" s="30">
        <v>1245</v>
      </c>
      <c r="F36" s="30">
        <v>2745</v>
      </c>
      <c r="G36">
        <v>400</v>
      </c>
      <c r="H36">
        <v>1367.0100000000002</v>
      </c>
    </row>
    <row r="37" spans="1:8" x14ac:dyDescent="0.3">
      <c r="A37" s="30">
        <v>24034224</v>
      </c>
      <c r="B37" t="s">
        <v>8</v>
      </c>
      <c r="C37" s="30">
        <v>49</v>
      </c>
      <c r="D37" s="30">
        <v>108</v>
      </c>
      <c r="E37" s="30">
        <v>1245</v>
      </c>
      <c r="F37" s="30">
        <v>2745</v>
      </c>
      <c r="G37">
        <v>600</v>
      </c>
      <c r="H37">
        <v>2050.5150000000003</v>
      </c>
    </row>
    <row r="38" spans="1:8" x14ac:dyDescent="0.3">
      <c r="A38" s="30">
        <v>24034224</v>
      </c>
      <c r="B38" t="s">
        <v>8</v>
      </c>
      <c r="C38" s="30">
        <v>49</v>
      </c>
      <c r="D38" s="30">
        <v>144</v>
      </c>
      <c r="E38" s="30">
        <v>1245</v>
      </c>
      <c r="F38" s="30">
        <v>3658</v>
      </c>
      <c r="G38">
        <v>200</v>
      </c>
      <c r="H38">
        <v>910.8420000000001</v>
      </c>
    </row>
    <row r="39" spans="1:8" x14ac:dyDescent="0.3">
      <c r="A39" s="30">
        <v>24034224</v>
      </c>
      <c r="B39" t="s">
        <v>9</v>
      </c>
      <c r="C39" s="30">
        <v>49</v>
      </c>
      <c r="D39" s="30">
        <v>108</v>
      </c>
      <c r="E39" s="30">
        <v>1245</v>
      </c>
      <c r="F39" s="30">
        <v>2745</v>
      </c>
      <c r="G39">
        <v>600</v>
      </c>
      <c r="H39">
        <v>2050.5150000000003</v>
      </c>
    </row>
    <row r="40" spans="1:8" x14ac:dyDescent="0.3">
      <c r="A40" s="30">
        <v>24034224</v>
      </c>
      <c r="B40" t="s">
        <v>9</v>
      </c>
      <c r="C40" s="30">
        <v>49</v>
      </c>
      <c r="D40" s="30">
        <v>144</v>
      </c>
      <c r="E40" s="30">
        <v>1245</v>
      </c>
      <c r="F40" s="30">
        <v>3658</v>
      </c>
      <c r="G40">
        <v>200</v>
      </c>
      <c r="H40">
        <v>910.8420000000001</v>
      </c>
    </row>
    <row r="41" spans="1:8" x14ac:dyDescent="0.3">
      <c r="A41" s="30">
        <v>24034224</v>
      </c>
      <c r="B41" t="s">
        <v>10</v>
      </c>
      <c r="C41" s="30">
        <v>49</v>
      </c>
      <c r="D41" s="30">
        <v>108</v>
      </c>
      <c r="E41" s="30">
        <v>1245</v>
      </c>
      <c r="F41" s="30">
        <v>2745</v>
      </c>
      <c r="G41">
        <v>200</v>
      </c>
      <c r="H41">
        <v>683.50500000000011</v>
      </c>
    </row>
    <row r="42" spans="1:8" x14ac:dyDescent="0.3">
      <c r="A42" s="30">
        <v>24034224</v>
      </c>
      <c r="B42" t="s">
        <v>10</v>
      </c>
      <c r="C42" s="30">
        <v>49</v>
      </c>
      <c r="D42" s="30">
        <v>144</v>
      </c>
      <c r="E42" s="30">
        <v>1245</v>
      </c>
      <c r="F42" s="30">
        <v>3658</v>
      </c>
      <c r="G42">
        <v>200</v>
      </c>
      <c r="H42">
        <v>910.8420000000001</v>
      </c>
    </row>
    <row r="43" spans="1:8" x14ac:dyDescent="0.3">
      <c r="A43" s="30">
        <v>24034224</v>
      </c>
      <c r="B43" t="s">
        <v>11</v>
      </c>
      <c r="C43" s="30">
        <v>49</v>
      </c>
      <c r="D43" s="30">
        <v>108</v>
      </c>
      <c r="E43" s="30">
        <v>1245</v>
      </c>
      <c r="F43" s="30">
        <v>2745</v>
      </c>
      <c r="G43">
        <v>200</v>
      </c>
      <c r="H43">
        <v>683.50500000000011</v>
      </c>
    </row>
    <row r="44" spans="1:8" x14ac:dyDescent="0.3">
      <c r="A44" s="30">
        <v>24034229</v>
      </c>
      <c r="B44" t="s">
        <v>8</v>
      </c>
      <c r="C44" s="30">
        <v>49</v>
      </c>
      <c r="D44" s="30">
        <v>108</v>
      </c>
      <c r="E44" s="30">
        <v>1245</v>
      </c>
      <c r="F44" s="30">
        <v>2745</v>
      </c>
      <c r="G44">
        <v>400</v>
      </c>
      <c r="H44">
        <v>1367.0100000000002</v>
      </c>
    </row>
    <row r="45" spans="1:8" x14ac:dyDescent="0.3">
      <c r="A45" s="30">
        <v>24034229</v>
      </c>
      <c r="B45" t="s">
        <v>8</v>
      </c>
      <c r="C45" s="30">
        <v>49</v>
      </c>
      <c r="D45" s="30">
        <v>144</v>
      </c>
      <c r="E45" s="30">
        <v>1245</v>
      </c>
      <c r="F45" s="30">
        <v>3658</v>
      </c>
      <c r="G45">
        <v>200</v>
      </c>
      <c r="H45">
        <v>910.8420000000001</v>
      </c>
    </row>
    <row r="46" spans="1:8" x14ac:dyDescent="0.3">
      <c r="A46" s="30">
        <v>24034229</v>
      </c>
      <c r="B46" t="s">
        <v>9</v>
      </c>
      <c r="C46" s="30">
        <v>49</v>
      </c>
      <c r="D46" s="30">
        <v>108</v>
      </c>
      <c r="E46" s="30">
        <v>1245</v>
      </c>
      <c r="F46" s="30">
        <v>2745</v>
      </c>
      <c r="G46">
        <v>800</v>
      </c>
      <c r="H46">
        <v>2734.0200000000004</v>
      </c>
    </row>
    <row r="47" spans="1:8" x14ac:dyDescent="0.3">
      <c r="A47" s="30">
        <v>24034229</v>
      </c>
      <c r="B47" t="s">
        <v>10</v>
      </c>
      <c r="C47" s="30">
        <v>49</v>
      </c>
      <c r="D47" s="30">
        <v>108</v>
      </c>
      <c r="E47" s="30">
        <v>1245</v>
      </c>
      <c r="F47" s="30">
        <v>2745</v>
      </c>
      <c r="G47">
        <v>200</v>
      </c>
      <c r="H47">
        <v>683.50500000000011</v>
      </c>
    </row>
    <row r="48" spans="1:8" x14ac:dyDescent="0.3">
      <c r="A48" s="30">
        <v>24034229</v>
      </c>
      <c r="B48" t="s">
        <v>10</v>
      </c>
      <c r="C48" s="30">
        <v>49</v>
      </c>
      <c r="D48" s="30">
        <v>144</v>
      </c>
      <c r="E48" s="30">
        <v>1245</v>
      </c>
      <c r="F48" s="30">
        <v>3658</v>
      </c>
      <c r="G48">
        <v>200</v>
      </c>
      <c r="H48">
        <v>910.8420000000001</v>
      </c>
    </row>
    <row r="49" spans="1:8" x14ac:dyDescent="0.3">
      <c r="A49" s="30">
        <v>24034229</v>
      </c>
      <c r="B49" t="s">
        <v>11</v>
      </c>
      <c r="C49" s="30">
        <v>49</v>
      </c>
      <c r="D49" s="30">
        <v>108</v>
      </c>
      <c r="E49" s="30">
        <v>1245</v>
      </c>
      <c r="F49" s="30">
        <v>2745</v>
      </c>
      <c r="G49">
        <v>200</v>
      </c>
      <c r="H49">
        <v>683.50500000000011</v>
      </c>
    </row>
    <row r="50" spans="1:8" x14ac:dyDescent="0.3">
      <c r="A50" s="30">
        <v>24034229</v>
      </c>
      <c r="B50" t="s">
        <v>11</v>
      </c>
      <c r="C50" s="30">
        <v>49</v>
      </c>
      <c r="D50" s="30">
        <v>144</v>
      </c>
      <c r="E50" s="30">
        <v>1245</v>
      </c>
      <c r="F50" s="30">
        <v>3658</v>
      </c>
      <c r="G50">
        <v>200</v>
      </c>
      <c r="H50">
        <v>910.8420000000001</v>
      </c>
    </row>
    <row r="51" spans="1:8" x14ac:dyDescent="0.3">
      <c r="A51" s="30">
        <v>52923929</v>
      </c>
      <c r="B51" t="s">
        <v>8</v>
      </c>
      <c r="C51" s="30">
        <v>49</v>
      </c>
      <c r="D51" s="30">
        <v>108</v>
      </c>
      <c r="E51" s="30">
        <v>1245</v>
      </c>
      <c r="F51" s="30">
        <v>2745</v>
      </c>
      <c r="G51">
        <v>400</v>
      </c>
      <c r="H51">
        <v>1367.0100000000002</v>
      </c>
    </row>
    <row r="52" spans="1:8" x14ac:dyDescent="0.3">
      <c r="A52" s="30">
        <v>52923929</v>
      </c>
      <c r="B52" t="s">
        <v>8</v>
      </c>
      <c r="C52" s="30">
        <v>49</v>
      </c>
      <c r="D52" s="30">
        <v>96</v>
      </c>
      <c r="E52" s="30">
        <v>1245</v>
      </c>
      <c r="F52" s="30">
        <v>2440</v>
      </c>
      <c r="G52">
        <v>400</v>
      </c>
      <c r="H52">
        <v>1215.1200000000001</v>
      </c>
    </row>
    <row r="53" spans="1:8" x14ac:dyDescent="0.3">
      <c r="A53" s="30">
        <v>52923929</v>
      </c>
      <c r="B53" t="s">
        <v>9</v>
      </c>
      <c r="C53" s="30">
        <v>49</v>
      </c>
      <c r="D53" s="30">
        <v>96</v>
      </c>
      <c r="E53" s="30">
        <v>1245</v>
      </c>
      <c r="F53" s="30">
        <v>2440</v>
      </c>
      <c r="G53">
        <v>200</v>
      </c>
      <c r="H53">
        <v>607.56000000000006</v>
      </c>
    </row>
    <row r="54" spans="1:8" x14ac:dyDescent="0.3">
      <c r="A54" s="30">
        <v>52923929</v>
      </c>
      <c r="B54" t="s">
        <v>9</v>
      </c>
      <c r="C54" s="30">
        <v>49</v>
      </c>
      <c r="D54" s="30">
        <v>108</v>
      </c>
      <c r="E54" s="30">
        <v>1245</v>
      </c>
      <c r="F54" s="30">
        <v>2745</v>
      </c>
      <c r="G54">
        <v>400</v>
      </c>
      <c r="H54">
        <v>1367.0100000000002</v>
      </c>
    </row>
    <row r="55" spans="1:8" x14ac:dyDescent="0.3">
      <c r="A55" s="30">
        <v>52923929</v>
      </c>
      <c r="B55" t="s">
        <v>10</v>
      </c>
      <c r="C55" s="30">
        <v>49</v>
      </c>
      <c r="D55" s="30">
        <v>96</v>
      </c>
      <c r="E55" s="30">
        <v>1245</v>
      </c>
      <c r="F55" s="30">
        <v>2440</v>
      </c>
      <c r="G55">
        <v>200</v>
      </c>
      <c r="H55">
        <v>607.56000000000006</v>
      </c>
    </row>
    <row r="56" spans="1:8" x14ac:dyDescent="0.3">
      <c r="A56" s="30">
        <v>52923929</v>
      </c>
      <c r="B56" t="s">
        <v>10</v>
      </c>
      <c r="C56" s="30">
        <v>49</v>
      </c>
      <c r="D56" s="30">
        <v>108</v>
      </c>
      <c r="E56" s="30">
        <v>1245</v>
      </c>
      <c r="F56" s="30">
        <v>2745</v>
      </c>
      <c r="G56">
        <v>200</v>
      </c>
      <c r="H56">
        <v>683.50500000000011</v>
      </c>
    </row>
    <row r="57" spans="1:8" x14ac:dyDescent="0.3">
      <c r="A57" s="30">
        <v>52923929</v>
      </c>
      <c r="B57" t="s">
        <v>11</v>
      </c>
      <c r="C57" s="30">
        <v>49</v>
      </c>
      <c r="D57" s="30">
        <v>96</v>
      </c>
      <c r="E57" s="30">
        <v>1245</v>
      </c>
      <c r="F57" s="30">
        <v>2440</v>
      </c>
      <c r="G57">
        <v>400</v>
      </c>
      <c r="H57">
        <v>1215.1200000000001</v>
      </c>
    </row>
    <row r="58" spans="1:8" x14ac:dyDescent="0.3">
      <c r="A58" s="30">
        <v>52923929</v>
      </c>
      <c r="B58" t="s">
        <v>11</v>
      </c>
      <c r="C58" s="30">
        <v>49</v>
      </c>
      <c r="D58" s="30">
        <v>108</v>
      </c>
      <c r="E58" s="30">
        <v>1245</v>
      </c>
      <c r="F58" s="30">
        <v>2745</v>
      </c>
      <c r="G58">
        <v>400</v>
      </c>
      <c r="H58">
        <v>1367.0100000000002</v>
      </c>
    </row>
    <row r="59" spans="1:8" x14ac:dyDescent="0.3">
      <c r="G59">
        <f>SUM(G2:G58)</f>
        <v>34000</v>
      </c>
      <c r="H59">
        <f>SUM(H2:H58)</f>
        <v>108825.45000000001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FA19-5E96-4A2F-903B-862F10B389F9}">
  <sheetPr codeName="Sheet7"/>
  <dimension ref="C1:AG59"/>
  <sheetViews>
    <sheetView topLeftCell="A3" zoomScale="120" zoomScaleNormal="120" workbookViewId="0">
      <selection activeCell="N7" sqref="N7"/>
    </sheetView>
  </sheetViews>
  <sheetFormatPr defaultRowHeight="14.4" x14ac:dyDescent="0.3"/>
  <cols>
    <col min="3" max="3" width="23.109375" bestFit="1" customWidth="1"/>
    <col min="4" max="9" width="3.5546875" bestFit="1" customWidth="1"/>
    <col min="10" max="12" width="3.5546875" customWidth="1"/>
    <col min="13" max="13" width="3.5546875" bestFit="1" customWidth="1"/>
    <col min="14" max="14" width="5.33203125" customWidth="1"/>
    <col min="17" max="17" width="28.33203125" bestFit="1" customWidth="1"/>
    <col min="18" max="18" width="10.33203125" bestFit="1" customWidth="1"/>
    <col min="20" max="20" width="11.5546875" customWidth="1"/>
    <col min="21" max="21" width="13.109375" customWidth="1"/>
    <col min="28" max="28" width="29.88671875" customWidth="1"/>
    <col min="29" max="29" width="11.33203125" bestFit="1" customWidth="1"/>
  </cols>
  <sheetData>
    <row r="1" spans="3:33" ht="15" thickBot="1" x14ac:dyDescent="0.35"/>
    <row r="2" spans="3:33" ht="15" thickBot="1" x14ac:dyDescent="0.35">
      <c r="Q2" s="312" t="s">
        <v>415</v>
      </c>
      <c r="R2" s="313"/>
      <c r="S2" s="313"/>
      <c r="T2" s="313"/>
      <c r="U2" s="314"/>
    </row>
    <row r="3" spans="3:33" ht="74.400000000000006" thickBot="1" x14ac:dyDescent="0.35">
      <c r="C3" s="148" t="s">
        <v>416</v>
      </c>
      <c r="D3" s="141" t="s">
        <v>155</v>
      </c>
      <c r="E3" s="141" t="s">
        <v>116</v>
      </c>
      <c r="F3" s="141" t="s">
        <v>58</v>
      </c>
      <c r="G3" s="141" t="s">
        <v>79</v>
      </c>
      <c r="H3" s="141" t="s">
        <v>70</v>
      </c>
      <c r="I3" s="141" t="s">
        <v>101</v>
      </c>
      <c r="J3" s="141" t="s">
        <v>160</v>
      </c>
      <c r="K3" s="141" t="s">
        <v>261</v>
      </c>
      <c r="L3" s="141" t="s">
        <v>280</v>
      </c>
      <c r="M3" s="142" t="s">
        <v>230</v>
      </c>
      <c r="N3" s="143" t="s">
        <v>417</v>
      </c>
      <c r="Q3" s="170" t="s">
        <v>418</v>
      </c>
      <c r="R3" s="151" t="s">
        <v>326</v>
      </c>
      <c r="S3" s="151" t="s">
        <v>419</v>
      </c>
      <c r="T3" s="152" t="s">
        <v>420</v>
      </c>
      <c r="U3" s="212" t="s">
        <v>421</v>
      </c>
      <c r="AF3" s="172"/>
      <c r="AG3" s="172"/>
    </row>
    <row r="4" spans="3:33" x14ac:dyDescent="0.3">
      <c r="C4" s="144" t="s">
        <v>313</v>
      </c>
      <c r="D4">
        <f>COUNTIFS('Order Summary'!$G:$G,"Yes",'Order Summary'!$I:$I,Dashboard!D$3,'Order Summary'!$E:$E,Dashboard!$C4)</f>
        <v>1</v>
      </c>
      <c r="E4">
        <f>COUNTIFS('Order Summary'!$G:$G,"Yes",'Order Summary'!$I:$I,Dashboard!E$3,'Order Summary'!$E:$E,Dashboard!$C4)</f>
        <v>0</v>
      </c>
      <c r="F4">
        <f>COUNTIFS('Order Summary'!$G:$G,"Yes",'Order Summary'!$I:$I,Dashboard!F$3,'Order Summary'!$E:$E,Dashboard!$C4)</f>
        <v>8</v>
      </c>
      <c r="G4">
        <f>COUNTIFS('Order Summary'!$G:$G,"Yes",'Order Summary'!$I:$I,Dashboard!G$3,'Order Summary'!$E:$E,Dashboard!$C4)</f>
        <v>2</v>
      </c>
      <c r="H4">
        <f>COUNTIFS('Order Summary'!$G:$G,"Yes",'Order Summary'!$I:$I,Dashboard!H$3,'Order Summary'!$E:$E,Dashboard!$C4)</f>
        <v>5</v>
      </c>
      <c r="I4">
        <f>COUNTIFS('Order Summary'!$G:$G,"Yes",'Order Summary'!$I:$I,Dashboard!I$3,'Order Summary'!$E:$E,Dashboard!$C4)</f>
        <v>1</v>
      </c>
      <c r="J4">
        <f>COUNTIFS('Order Summary'!$G:$G,"Yes",'Order Summary'!$I:$I,Dashboard!J$3,'Order Summary'!$E:$E,Dashboard!$C4)</f>
        <v>6</v>
      </c>
      <c r="K4">
        <f>COUNTIFS('Order Summary'!$G:$G,"Yes",'Order Summary'!$I:$I,Dashboard!K$3,'Order Summary'!$E:$E,Dashboard!$C4)</f>
        <v>0</v>
      </c>
      <c r="L4">
        <f>COUNTIFS('Order Summary'!$G:$G,"Yes",'Order Summary'!$I:$I,Dashboard!L$3,'Order Summary'!$E:$E,Dashboard!$C4)</f>
        <v>1</v>
      </c>
      <c r="M4" s="140">
        <f>COUNTIFS('Order Summary'!$G:$G,"Yes",'Order Summary'!$I:$I,Dashboard!M$3,'Order Summary'!$E:$E,Dashboard!$C4)</f>
        <v>0</v>
      </c>
      <c r="N4" s="68">
        <f>SUM(D4:M4)</f>
        <v>24</v>
      </c>
      <c r="Q4" s="153" t="s">
        <v>422</v>
      </c>
      <c r="R4" s="154">
        <f>SUMIFS('Order Details'!$Q:$Q,'Order Details'!$N:$N,Dashboard!$Q4,'Order Details'!$E:$E,"Yes")</f>
        <v>87500</v>
      </c>
      <c r="S4" s="154">
        <f>SUMIFS('Order Details'!$O:$O,'Order Details'!$N:$N,Dashboard!$Q4,'Order Details'!$E:$E,"Yes")</f>
        <v>3060.1200000000003</v>
      </c>
      <c r="T4" s="155">
        <f>SUMIFS('Order Details'!$P:$P,'Order Details'!$N:$N,Dashboard!$Q4,'Order Details'!$E:$E,"Yes")</f>
        <v>281970.21450000018</v>
      </c>
      <c r="U4" s="210">
        <f>SUMIFS('Order Details'!$V:$V,'Order Details'!$N:$N,Dashboard!$Q4,'Order Details'!$E:$E,"Yes")</f>
        <v>2144825.557624999</v>
      </c>
      <c r="AB4" s="315" t="s">
        <v>423</v>
      </c>
      <c r="AC4" s="316"/>
    </row>
    <row r="5" spans="3:33" x14ac:dyDescent="0.3">
      <c r="C5" s="144" t="s">
        <v>260</v>
      </c>
      <c r="D5">
        <f>COUNTIFS('Order Summary'!$G:$G,"Yes",'Order Summary'!$I:$I,Dashboard!D$3,'Order Summary'!$E:$E,Dashboard!$C5)</f>
        <v>2</v>
      </c>
      <c r="E5">
        <f>COUNTIFS('Order Summary'!$G:$G,"Yes",'Order Summary'!$I:$I,Dashboard!E$3,'Order Summary'!$E:$E,Dashboard!$C5)</f>
        <v>0</v>
      </c>
      <c r="F5">
        <f>COUNTIFS('Order Summary'!$G:$G,"Yes",'Order Summary'!$I:$I,Dashboard!F$3,'Order Summary'!$E:$E,Dashboard!$C5)</f>
        <v>1</v>
      </c>
      <c r="G5">
        <f>COUNTIFS('Order Summary'!$G:$G,"Yes",'Order Summary'!$I:$I,Dashboard!G$3,'Order Summary'!$E:$E,Dashboard!$C5)</f>
        <v>0</v>
      </c>
      <c r="H5">
        <f>COUNTIFS('Order Summary'!$G:$G,"Yes",'Order Summary'!$I:$I,Dashboard!H$3,'Order Summary'!$E:$E,Dashboard!$C5)</f>
        <v>0</v>
      </c>
      <c r="I5">
        <f>COUNTIFS('Order Summary'!$G:$G,"Yes",'Order Summary'!$I:$I,Dashboard!I$3,'Order Summary'!$E:$E,Dashboard!$C5)</f>
        <v>10</v>
      </c>
      <c r="J5">
        <f>COUNTIFS('Order Summary'!$G:$G,"Yes",'Order Summary'!$I:$I,Dashboard!J$3,'Order Summary'!$E:$E,Dashboard!$C5)</f>
        <v>0</v>
      </c>
      <c r="K5">
        <f>COUNTIFS('Order Summary'!$G:$G,"Yes",'Order Summary'!$I:$I,Dashboard!K$3,'Order Summary'!$E:$E,Dashboard!$C5)</f>
        <v>0</v>
      </c>
      <c r="L5">
        <f>COUNTIFS('Order Summary'!$G:$G,"Yes",'Order Summary'!$I:$I,Dashboard!L$3,'Order Summary'!$E:$E,Dashboard!$C5)</f>
        <v>0</v>
      </c>
      <c r="M5" s="140">
        <f>COUNTIFS('Order Summary'!$G:$G,"Yes",'Order Summary'!$I:$I,Dashboard!M$3,'Order Summary'!$E:$E,Dashboard!$C5)</f>
        <v>0</v>
      </c>
      <c r="N5" s="68">
        <f t="shared" ref="N5:N12" si="0">SUM(D5:M5)</f>
        <v>13</v>
      </c>
      <c r="Q5" s="153" t="s">
        <v>424</v>
      </c>
      <c r="R5" s="154">
        <f>SUMIFS('Order Details'!$Q:$Q,'Order Details'!$N:$N,Dashboard!$Q5,'Order Details'!$E:$E,"Yes")</f>
        <v>121850</v>
      </c>
      <c r="S5" s="154">
        <f>SUMIFS('Order Details'!$O:$O,'Order Details'!$N:$N,Dashboard!$Q5,'Order Details'!$E:$E,"Yes")</f>
        <v>4169.1193333333349</v>
      </c>
      <c r="T5" s="155">
        <f>SUMIFS('Order Details'!$P:$P,'Order Details'!$N:$N,Dashboard!$Q5,'Order Details'!$E:$E,"Yes")</f>
        <v>387377.82825000025</v>
      </c>
      <c r="U5" s="210">
        <f>SUMIFS('Order Details'!$V:$V,'Order Details'!$N:$N,Dashboard!$Q5,'Order Details'!$E:$E,"Yes")</f>
        <v>2958298.3428224977</v>
      </c>
      <c r="AB5" s="33" t="s">
        <v>425</v>
      </c>
      <c r="AC5" s="245">
        <f>AVERAGEIFS('Order Summary'!$O$4:$O$200,'Order Summary'!$O$4:$O$200,"&lt;&gt;"&amp;"",'Order Summary'!$G$4:$G$200,"Yes")</f>
        <v>7.6058394160583944</v>
      </c>
    </row>
    <row r="6" spans="3:33" ht="15" thickBot="1" x14ac:dyDescent="0.35">
      <c r="C6" s="144" t="s">
        <v>215</v>
      </c>
      <c r="D6">
        <f>COUNTIFS('Order Summary'!$G:$G,"Yes",'Order Summary'!$I:$I,Dashboard!D$3,'Order Summary'!$E:$E,Dashboard!$C6)</f>
        <v>0</v>
      </c>
      <c r="E6">
        <f>COUNTIFS('Order Summary'!$G:$G,"Yes",'Order Summary'!$I:$I,Dashboard!E$3,'Order Summary'!$E:$E,Dashboard!$C6)</f>
        <v>3</v>
      </c>
      <c r="F6">
        <f>COUNTIFS('Order Summary'!$G:$G,"Yes",'Order Summary'!$I:$I,Dashboard!F$3,'Order Summary'!$E:$E,Dashboard!$C6)</f>
        <v>2</v>
      </c>
      <c r="G6">
        <f>COUNTIFS('Order Summary'!$G:$G,"Yes",'Order Summary'!$I:$I,Dashboard!G$3,'Order Summary'!$E:$E,Dashboard!$C6)</f>
        <v>11</v>
      </c>
      <c r="H6">
        <f>COUNTIFS('Order Summary'!$G:$G,"Yes",'Order Summary'!$I:$I,Dashboard!H$3,'Order Summary'!$E:$E,Dashboard!$C6)</f>
        <v>3</v>
      </c>
      <c r="I6">
        <f>COUNTIFS('Order Summary'!$G:$G,"Yes",'Order Summary'!$I:$I,Dashboard!I$3,'Order Summary'!$E:$E,Dashboard!$C6)</f>
        <v>1</v>
      </c>
      <c r="J6">
        <f>COUNTIFS('Order Summary'!$G:$G,"Yes",'Order Summary'!$I:$I,Dashboard!J$3,'Order Summary'!$E:$E,Dashboard!$C6)</f>
        <v>0</v>
      </c>
      <c r="K6">
        <f>COUNTIFS('Order Summary'!$G:$G,"Yes",'Order Summary'!$I:$I,Dashboard!K$3,'Order Summary'!$E:$E,Dashboard!$C6)</f>
        <v>0</v>
      </c>
      <c r="L6">
        <f>COUNTIFS('Order Summary'!$G:$G,"Yes",'Order Summary'!$I:$I,Dashboard!L$3,'Order Summary'!$E:$E,Dashboard!$C6)</f>
        <v>1</v>
      </c>
      <c r="M6" s="140">
        <f>COUNTIFS('Order Summary'!$G:$G,"Yes",'Order Summary'!$I:$I,Dashboard!M$3,'Order Summary'!$E:$E,Dashboard!$C6)</f>
        <v>0</v>
      </c>
      <c r="N6" s="68">
        <f t="shared" si="0"/>
        <v>21</v>
      </c>
      <c r="Q6" s="153" t="s">
        <v>507</v>
      </c>
      <c r="R6" s="154">
        <f>SUMIFS('Order Details'!$Q:$Q,'Order Details'!$N:$N,Dashboard!$Q6,'Order Details'!$E:$E,"Yes")</f>
        <v>70650</v>
      </c>
      <c r="S6" s="154">
        <f>SUMIFS('Order Details'!$O:$O,'Order Details'!$N:$N,Dashboard!$Q6,'Order Details'!$E:$E,"Yes")</f>
        <v>2449.2863333333321</v>
      </c>
      <c r="T6" s="155">
        <f>SUMIFS('Order Details'!$P:$P,'Order Details'!$N:$N,Dashboard!$Q6,'Order Details'!$E:$E,"Yes")</f>
        <v>227447.61825000012</v>
      </c>
      <c r="U6" s="210">
        <f>SUMIFS('Order Details'!$V:$V,'Order Details'!$N:$N,Dashboard!$Q6,'Order Details'!$E:$E,"Yes")</f>
        <v>1728889.6272224986</v>
      </c>
      <c r="AB6" s="35" t="s">
        <v>426</v>
      </c>
      <c r="AC6" s="36">
        <f>COUNTIFS('Order Summary'!$O$4:$O$200,"",'Order Summary'!$F$4:$F$200,"&lt;&gt;"&amp;"",'Order Summary'!$G$4:$G$200,"Yes")</f>
        <v>11</v>
      </c>
    </row>
    <row r="7" spans="3:33" ht="15" thickBot="1" x14ac:dyDescent="0.35">
      <c r="C7" s="144" t="s">
        <v>245</v>
      </c>
      <c r="D7">
        <f>COUNTIFS('Order Summary'!$G:$G,"Yes",'Order Summary'!$I:$I,Dashboard!D$3,'Order Summary'!$E:$E,Dashboard!$C7)</f>
        <v>0</v>
      </c>
      <c r="E7">
        <f>COUNTIFS('Order Summary'!$G:$G,"Yes",'Order Summary'!$I:$I,Dashboard!E$3,'Order Summary'!$E:$E,Dashboard!$C7)</f>
        <v>0</v>
      </c>
      <c r="F7">
        <f>COUNTIFS('Order Summary'!$G:$G,"Yes",'Order Summary'!$I:$I,Dashboard!F$3,'Order Summary'!$E:$E,Dashboard!$C7)</f>
        <v>0</v>
      </c>
      <c r="G7">
        <f>COUNTIFS('Order Summary'!$G:$G,"Yes",'Order Summary'!$I:$I,Dashboard!G$3,'Order Summary'!$E:$E,Dashboard!$C7)</f>
        <v>0</v>
      </c>
      <c r="H7">
        <f>COUNTIFS('Order Summary'!$G:$G,"Yes",'Order Summary'!$I:$I,Dashboard!H$3,'Order Summary'!$E:$E,Dashboard!$C7)</f>
        <v>0</v>
      </c>
      <c r="I7">
        <f>COUNTIFS('Order Summary'!$G:$G,"Yes",'Order Summary'!$I:$I,Dashboard!I$3,'Order Summary'!$E:$E,Dashboard!$C7)</f>
        <v>0</v>
      </c>
      <c r="J7">
        <f>COUNTIFS('Order Summary'!$G:$G,"Yes",'Order Summary'!$I:$I,Dashboard!J$3,'Order Summary'!$E:$E,Dashboard!$C7)</f>
        <v>0</v>
      </c>
      <c r="K7">
        <f>COUNTIFS('Order Summary'!$G:$G,"Yes",'Order Summary'!$I:$I,Dashboard!K$3,'Order Summary'!$E:$E,Dashboard!$C7)</f>
        <v>0</v>
      </c>
      <c r="L7">
        <f>COUNTIFS('Order Summary'!$G:$G,"Yes",'Order Summary'!$I:$I,Dashboard!L$3,'Order Summary'!$E:$E,Dashboard!$C7)</f>
        <v>4</v>
      </c>
      <c r="M7" s="140">
        <f>COUNTIFS('Order Summary'!$G:$G,"Yes",'Order Summary'!$I:$I,Dashboard!M$3,'Order Summary'!$E:$E,Dashboard!$C7)</f>
        <v>2</v>
      </c>
      <c r="N7" s="68">
        <f t="shared" si="0"/>
        <v>6</v>
      </c>
      <c r="Q7" s="153" t="s">
        <v>338</v>
      </c>
      <c r="R7" s="154">
        <f>SUMIFS('Order Details'!$Q:$Q,'Order Details'!$N:$N,Dashboard!$Q7,'Order Details'!$E:$E,"Yes")</f>
        <v>66950</v>
      </c>
      <c r="S7" s="154">
        <f>SUMIFS('Order Details'!$O:$O,'Order Details'!$N:$N,Dashboard!$Q7,'Order Details'!$E:$E,"Yes")</f>
        <v>2304.3303333333329</v>
      </c>
      <c r="T7" s="155">
        <f>SUMIFS('Order Details'!$P:$P,'Order Details'!$N:$N,Dashboard!$Q7,'Order Details'!$E:$E,"Yes")</f>
        <v>213971.61375000011</v>
      </c>
      <c r="U7" s="210">
        <f>SUMIFS('Order Details'!$V:$V,'Order Details'!$N:$N,Dashboard!$Q7,'Order Details'!$E:$E,"Yes")</f>
        <v>1739661.9673125001</v>
      </c>
    </row>
    <row r="8" spans="3:33" x14ac:dyDescent="0.3">
      <c r="C8" s="144" t="s">
        <v>410</v>
      </c>
      <c r="D8">
        <f>COUNTIFS('Order Summary'!$G:$G,"Yes",'Order Summary'!$I:$I,Dashboard!D$3,'Order Summary'!$E:$E,Dashboard!$C8)</f>
        <v>0</v>
      </c>
      <c r="E8">
        <f>COUNTIFS('Order Summary'!$G:$G,"Yes",'Order Summary'!$I:$I,Dashboard!E$3,'Order Summary'!$E:$E,Dashboard!$C8)</f>
        <v>0</v>
      </c>
      <c r="F8">
        <f>COUNTIFS('Order Summary'!$G:$G,"Yes",'Order Summary'!$I:$I,Dashboard!F$3,'Order Summary'!$E:$E,Dashboard!$C8)</f>
        <v>0</v>
      </c>
      <c r="G8">
        <f>COUNTIFS('Order Summary'!$G:$G,"Yes",'Order Summary'!$I:$I,Dashboard!G$3,'Order Summary'!$E:$E,Dashboard!$C8)</f>
        <v>0</v>
      </c>
      <c r="H8">
        <f>COUNTIFS('Order Summary'!$G:$G,"Yes",'Order Summary'!$I:$I,Dashboard!H$3,'Order Summary'!$E:$E,Dashboard!$C8)</f>
        <v>0</v>
      </c>
      <c r="I8">
        <f>COUNTIFS('Order Summary'!$G:$G,"Yes",'Order Summary'!$I:$I,Dashboard!I$3,'Order Summary'!$E:$E,Dashboard!$C8)</f>
        <v>0</v>
      </c>
      <c r="J8">
        <f>COUNTIFS('Order Summary'!$G:$G,"Yes",'Order Summary'!$I:$I,Dashboard!J$3,'Order Summary'!$E:$E,Dashboard!$C8)</f>
        <v>0</v>
      </c>
      <c r="K8">
        <f>COUNTIFS('Order Summary'!$G:$G,"Yes",'Order Summary'!$I:$I,Dashboard!K$3,'Order Summary'!$E:$E,Dashboard!$C8)</f>
        <v>1</v>
      </c>
      <c r="L8">
        <f>COUNTIFS('Order Summary'!$G:$G,"Yes",'Order Summary'!$I:$I,Dashboard!L$3,'Order Summary'!$E:$E,Dashboard!$C8)</f>
        <v>0</v>
      </c>
      <c r="M8" s="140">
        <f>COUNTIFS('Order Summary'!$G:$G,"Yes",'Order Summary'!$I:$I,Dashboard!M$3,'Order Summary'!$E:$E,Dashboard!$C8)</f>
        <v>2</v>
      </c>
      <c r="N8" s="68">
        <f t="shared" si="0"/>
        <v>3</v>
      </c>
      <c r="Q8" s="144" t="s">
        <v>427</v>
      </c>
      <c r="R8" s="154">
        <f>SUMIFS('Order Details'!$Q:$Q,'Order Details'!$N:$N,Dashboard!$Q8,'Order Details'!$E:$E,"Yes")</f>
        <v>7800</v>
      </c>
      <c r="S8" s="154">
        <f>SUMIFS('Order Details'!$O:$O,'Order Details'!$N:$N,Dashboard!$Q8,'Order Details'!$E:$E,"Yes")</f>
        <v>261.74166666666667</v>
      </c>
      <c r="T8" s="155">
        <f>SUMIFS('Order Details'!$P:$P,'Order Details'!$N:$N,Dashboard!$Q8,'Order Details'!$E:$E,"Yes")</f>
        <v>24338.505000000005</v>
      </c>
      <c r="U8" s="210">
        <f>SUMIFS('Order Details'!$V:$V,'Order Details'!$N:$N,Dashboard!$Q8,'Order Details'!$E:$E,"Yes")</f>
        <v>196411.73535000003</v>
      </c>
      <c r="AB8" s="315" t="s">
        <v>428</v>
      </c>
      <c r="AC8" s="316"/>
    </row>
    <row r="9" spans="3:33" x14ac:dyDescent="0.3">
      <c r="C9" s="144" t="s">
        <v>128</v>
      </c>
      <c r="D9">
        <f>COUNTIFS('Order Summary'!$G:$G,"Yes",'Order Summary'!$I:$I,Dashboard!D$3,'Order Summary'!$E:$E,Dashboard!$C9)</f>
        <v>0</v>
      </c>
      <c r="E9">
        <f>COUNTIFS('Order Summary'!$G:$G,"Yes",'Order Summary'!$I:$I,Dashboard!E$3,'Order Summary'!$E:$E,Dashboard!$C9)</f>
        <v>0</v>
      </c>
      <c r="F9">
        <f>COUNTIFS('Order Summary'!$G:$G,"Yes",'Order Summary'!$I:$I,Dashboard!F$3,'Order Summary'!$E:$E,Dashboard!$C9)</f>
        <v>0</v>
      </c>
      <c r="G9">
        <f>COUNTIFS('Order Summary'!$G:$G,"Yes",'Order Summary'!$I:$I,Dashboard!G$3,'Order Summary'!$E:$E,Dashboard!$C9)</f>
        <v>2</v>
      </c>
      <c r="H9">
        <f>COUNTIFS('Order Summary'!$G:$G,"Yes",'Order Summary'!$I:$I,Dashboard!H$3,'Order Summary'!$E:$E,Dashboard!$C9)</f>
        <v>1</v>
      </c>
      <c r="I9">
        <f>COUNTIFS('Order Summary'!$G:$G,"Yes",'Order Summary'!$I:$I,Dashboard!I$3,'Order Summary'!$E:$E,Dashboard!$C9)</f>
        <v>0</v>
      </c>
      <c r="J9">
        <f>COUNTIFS('Order Summary'!$G:$G,"Yes",'Order Summary'!$I:$I,Dashboard!J$3,'Order Summary'!$E:$E,Dashboard!$C9)</f>
        <v>0</v>
      </c>
      <c r="K9">
        <f>COUNTIFS('Order Summary'!$G:$G,"Yes",'Order Summary'!$I:$I,Dashboard!K$3,'Order Summary'!$E:$E,Dashboard!$C9)</f>
        <v>5</v>
      </c>
      <c r="L9">
        <f>COUNTIFS('Order Summary'!$G:$G,"Yes",'Order Summary'!$I:$I,Dashboard!L$3,'Order Summary'!$E:$E,Dashboard!$C9)</f>
        <v>1</v>
      </c>
      <c r="M9" s="140">
        <f>COUNTIFS('Order Summary'!$G:$G,"Yes",'Order Summary'!$I:$I,Dashboard!M$3,'Order Summary'!$E:$E,Dashboard!$C9)</f>
        <v>4</v>
      </c>
      <c r="N9" s="68">
        <f t="shared" si="0"/>
        <v>13</v>
      </c>
      <c r="Q9" s="144" t="s">
        <v>429</v>
      </c>
      <c r="R9" s="154">
        <f>SUMIFS('Order Details'!$Q:$Q,'Order Details'!$N:$N,Dashboard!$Q9,'Order Details'!$E:$E,"Yes")</f>
        <v>800</v>
      </c>
      <c r="S9" s="154">
        <f>SUMIFS('Order Details'!$O:$O,'Order Details'!$N:$N,Dashboard!$Q9,'Order Details'!$E:$E,"Yes")</f>
        <v>28.652000000000001</v>
      </c>
      <c r="T9" s="155">
        <f>SUMIFS('Order Details'!$P:$P,'Order Details'!$N:$N,Dashboard!$Q9,'Order Details'!$E:$E,"Yes")</f>
        <v>2664.3</v>
      </c>
      <c r="U9" s="210">
        <f>SUMIFS('Order Details'!$V:$V,'Order Details'!$N:$N,Dashboard!$Q9,'Order Details'!$E:$E,"Yes")</f>
        <v>20214.069000000003</v>
      </c>
      <c r="AB9" s="33" t="s">
        <v>425</v>
      </c>
      <c r="AC9" s="245">
        <f>AVERAGEIFS('Order Summary'!$R$4:$R$200,'Order Summary'!$R$4:$R$200,"&lt;&gt;"&amp;"",'Order Summary'!$G$4:$G$200,"Yes")</f>
        <v>30.146788990825687</v>
      </c>
    </row>
    <row r="10" spans="3:33" x14ac:dyDescent="0.3">
      <c r="C10" s="144" t="s">
        <v>110</v>
      </c>
      <c r="D10">
        <f>COUNTIFS('Order Summary'!$G:$G,"Yes",'Order Summary'!$I:$I,Dashboard!D$3,'Order Summary'!$E:$E,Dashboard!$C10)</f>
        <v>0</v>
      </c>
      <c r="E10">
        <f>COUNTIFS('Order Summary'!$G:$G,"Yes",'Order Summary'!$I:$I,Dashboard!E$3,'Order Summary'!$E:$E,Dashboard!$C10)</f>
        <v>4</v>
      </c>
      <c r="F10">
        <f>COUNTIFS('Order Summary'!$G:$G,"Yes",'Order Summary'!$I:$I,Dashboard!F$3,'Order Summary'!$E:$E,Dashboard!$C10)</f>
        <v>0</v>
      </c>
      <c r="G10">
        <f>COUNTIFS('Order Summary'!$G:$G,"Yes",'Order Summary'!$I:$I,Dashboard!G$3,'Order Summary'!$E:$E,Dashboard!$C10)</f>
        <v>3</v>
      </c>
      <c r="H10">
        <f>COUNTIFS('Order Summary'!$G:$G,"Yes",'Order Summary'!$I:$I,Dashboard!H$3,'Order Summary'!$E:$E,Dashboard!$C10)</f>
        <v>3</v>
      </c>
      <c r="I10">
        <f>COUNTIFS('Order Summary'!$G:$G,"Yes",'Order Summary'!$I:$I,Dashboard!I$3,'Order Summary'!$E:$E,Dashboard!$C10)</f>
        <v>0</v>
      </c>
      <c r="J10">
        <f>COUNTIFS('Order Summary'!$G:$G,"Yes",'Order Summary'!$I:$I,Dashboard!J$3,'Order Summary'!$E:$E,Dashboard!$C10)</f>
        <v>1</v>
      </c>
      <c r="K10">
        <f>COUNTIFS('Order Summary'!$G:$G,"Yes",'Order Summary'!$I:$I,Dashboard!K$3,'Order Summary'!$E:$E,Dashboard!$C10)</f>
        <v>8</v>
      </c>
      <c r="L10">
        <f>COUNTIFS('Order Summary'!$G:$G,"Yes",'Order Summary'!$I:$I,Dashboard!L$3,'Order Summary'!$E:$E,Dashboard!$C10)</f>
        <v>0</v>
      </c>
      <c r="M10" s="140">
        <f>COUNTIFS('Order Summary'!$G:$G,"Yes",'Order Summary'!$I:$I,Dashboard!M$3,'Order Summary'!$E:$E,Dashboard!$C10)</f>
        <v>4</v>
      </c>
      <c r="N10" s="68">
        <f t="shared" si="0"/>
        <v>23</v>
      </c>
      <c r="Q10" s="153" t="s">
        <v>430</v>
      </c>
      <c r="R10" s="154">
        <f>SUMIFS('Order Details'!$Q:$Q,'Order Details'!$N:$N,Dashboard!$Q10,'Order Details'!$E:$E,"Yes")</f>
        <v>9400</v>
      </c>
      <c r="S10" s="154">
        <f>SUMIFS('Order Details'!$O:$O,'Order Details'!$N:$N,Dashboard!$Q10,'Order Details'!$E:$E,"Yes")</f>
        <v>325.98533333333341</v>
      </c>
      <c r="T10" s="155">
        <f>SUMIFS('Order Details'!$P:$P,'Order Details'!$N:$N,Dashboard!$Q10,'Order Details'!$E:$E,"Yes")</f>
        <v>30314.007000000009</v>
      </c>
      <c r="U10" s="210">
        <f>SUMIFS('Order Details'!$V:$V,'Order Details'!$N:$N,Dashboard!$Q10,'Order Details'!$E:$E,"Yes")</f>
        <v>231395.89671000006</v>
      </c>
      <c r="AB10" s="33" t="s">
        <v>431</v>
      </c>
      <c r="AC10" s="34">
        <f>COUNTIFS('Order Summary'!$R$4:$R$200,"",'Order Summary'!$N$4:$N$200,"&lt;&gt;"&amp;"",'Order Summary'!$G$4:$G$200,"Yes")</f>
        <v>26</v>
      </c>
    </row>
    <row r="11" spans="3:33" ht="15" thickBot="1" x14ac:dyDescent="0.35">
      <c r="C11" s="144" t="s">
        <v>455</v>
      </c>
      <c r="D11">
        <f>COUNTIFS('Order Summary'!$G:$G,"Yes",'Order Summary'!$I:$I,Dashboard!D$3,'Order Summary'!$E:$E,Dashboard!$C11)</f>
        <v>1</v>
      </c>
      <c r="E11">
        <f>COUNTIFS('Order Summary'!$G:$G,"Yes",'Order Summary'!$I:$I,Dashboard!E$3,'Order Summary'!$E:$E,Dashboard!$C11)</f>
        <v>6</v>
      </c>
      <c r="F11">
        <f>COUNTIFS('Order Summary'!$G:$G,"Yes",'Order Summary'!$I:$I,Dashboard!F$3,'Order Summary'!$E:$E,Dashboard!$C11)</f>
        <v>11</v>
      </c>
      <c r="G11">
        <f>COUNTIFS('Order Summary'!$G:$G,"Yes",'Order Summary'!$I:$I,Dashboard!G$3,'Order Summary'!$E:$E,Dashboard!$C11)</f>
        <v>11</v>
      </c>
      <c r="H11">
        <f>COUNTIFS('Order Summary'!$G:$G,"Yes",'Order Summary'!$I:$I,Dashboard!H$3,'Order Summary'!$E:$E,Dashboard!$C11)</f>
        <v>11</v>
      </c>
      <c r="I11">
        <f>COUNTIFS('Order Summary'!$G:$G,"Yes",'Order Summary'!$I:$I,Dashboard!I$3,'Order Summary'!$E:$E,Dashboard!$C11)</f>
        <v>2</v>
      </c>
      <c r="J11">
        <f>COUNTIFS('Order Summary'!$G:$G,"Yes",'Order Summary'!$I:$I,Dashboard!J$3,'Order Summary'!$E:$E,Dashboard!$C11)</f>
        <v>2</v>
      </c>
      <c r="K11">
        <f>COUNTIFS('Order Summary'!$G:$G,"Yes",'Order Summary'!$I:$I,Dashboard!K$3,'Order Summary'!$E:$E,Dashboard!$C11)</f>
        <v>0</v>
      </c>
      <c r="L11">
        <f>COUNTIFS('Order Summary'!$G:$G,"Yes",'Order Summary'!$I:$I,Dashboard!L$3,'Order Summary'!$E:$E,Dashboard!$C11)</f>
        <v>0</v>
      </c>
      <c r="M11" s="140">
        <f>COUNTIFS('Order Summary'!$G:$G,"Yes",'Order Summary'!$I:$I,Dashboard!M$3,'Order Summary'!$E:$E,Dashboard!$C11)</f>
        <v>2</v>
      </c>
      <c r="N11" s="68">
        <f t="shared" ref="N11" si="1">SUM(D11:M11)</f>
        <v>46</v>
      </c>
      <c r="Q11" s="144" t="s">
        <v>432</v>
      </c>
      <c r="R11" s="154">
        <f>SUMIFS('Order Details'!$Q:$Q,'Order Details'!$N:$N,Dashboard!$Q11,'Order Details'!$E:$E,"Yes")</f>
        <v>0</v>
      </c>
      <c r="S11" s="154">
        <f>SUMIFS('Order Details'!$O:$O,'Order Details'!$N:$N,Dashboard!$Q11,'Order Details'!$E:$E,"Yes")</f>
        <v>0</v>
      </c>
      <c r="T11" s="155">
        <f>SUMIFS('Order Details'!$P:$P,'Order Details'!$N:$N,Dashboard!$Q11,'Order Details'!$E:$E,"Yes")</f>
        <v>0</v>
      </c>
      <c r="U11" s="210">
        <f>SUMIFS('Order Details'!$V:$V,'Order Details'!$N:$N,Dashboard!$Q11,'Order Details'!$E:$E,"Yes")</f>
        <v>0</v>
      </c>
      <c r="AB11" s="35" t="s">
        <v>433</v>
      </c>
      <c r="AC11" s="246">
        <f>SUMIFS('Order Summary'!$P$4:$P$200,'Order Summary'!$R$4:$R$200,"",'Order Summary'!$N$4:$N$200,"&lt;&gt;"&amp;"",'Order Summary'!$G$4:$G$200,"Yes")*'Master Data'!$P$12</f>
        <v>843699.40999999992</v>
      </c>
    </row>
    <row r="12" spans="3:33" ht="15" thickBot="1" x14ac:dyDescent="0.35">
      <c r="C12" s="160" t="s">
        <v>434</v>
      </c>
      <c r="D12" s="161">
        <f>COUNTIFS('Order Summary'!$G:$G,"Yes",'Order Summary'!$I:$I,Dashboard!D$3,'Order Summary'!$AO:$AO,"&lt;&gt;"&amp;"",'Order Summary'!$AO:$AO,"&lt;&gt;"&amp;"PENDING")</f>
        <v>1</v>
      </c>
      <c r="E12" s="161">
        <f>COUNTIFS('Order Summary'!$G:$G,"Yes",'Order Summary'!$I:$I,Dashboard!E$3,'Order Summary'!$AO:$AO,"&lt;&gt;"&amp;"",'Order Summary'!$AO:$AO,"&lt;&gt;"&amp;"PENDING")</f>
        <v>6</v>
      </c>
      <c r="F12" s="161">
        <f>COUNTIFS('Order Summary'!$G:$G,"Yes",'Order Summary'!$I:$I,Dashboard!F$3,'Order Summary'!$AO:$AO,"&lt;&gt;"&amp;"",'Order Summary'!$AO:$AO,"&lt;&gt;"&amp;"PENDING")</f>
        <v>9</v>
      </c>
      <c r="G12" s="161">
        <f>COUNTIFS('Order Summary'!$G:$G,"Yes",'Order Summary'!$I:$I,Dashboard!G$3,'Order Summary'!$AO:$AO,"&lt;&gt;"&amp;"",'Order Summary'!$AO:$AO,"&lt;&gt;"&amp;"PENDING")</f>
        <v>9</v>
      </c>
      <c r="H12" s="161">
        <f>COUNTIFS('Order Summary'!$G:$G,"Yes",'Order Summary'!$I:$I,Dashboard!H$3,'Order Summary'!$AO:$AO,"&lt;&gt;"&amp;"",'Order Summary'!$AO:$AO,"&lt;&gt;"&amp;"PENDING")</f>
        <v>13</v>
      </c>
      <c r="I12" s="161">
        <f>COUNTIFS('Order Summary'!$G:$G,"Yes",'Order Summary'!$I:$I,Dashboard!I$3,'Order Summary'!$AO:$AO,"&lt;&gt;"&amp;"",'Order Summary'!$AO:$AO,"&lt;&gt;"&amp;"PENDING")</f>
        <v>1</v>
      </c>
      <c r="J12" s="161">
        <f>COUNTIFS('Order Summary'!$G:$G,"Yes",'Order Summary'!$I:$I,Dashboard!J$3,'Order Summary'!$AO:$AO,"&lt;&gt;"&amp;"",'Order Summary'!$AO:$AO,"&lt;&gt;"&amp;"PENDING")</f>
        <v>3</v>
      </c>
      <c r="K12" s="161">
        <f>COUNTIFS('Order Summary'!$G:$G,"Yes",'Order Summary'!$I:$I,Dashboard!K$3,'Order Summary'!$AO:$AO,"&lt;&gt;"&amp;"",'Order Summary'!$AO:$AO,"&lt;&gt;"&amp;"PENDING")</f>
        <v>0</v>
      </c>
      <c r="L12" s="161">
        <f>COUNTIFS('Order Summary'!$G:$G,"Yes",'Order Summary'!$I:$I,Dashboard!L$3,'Order Summary'!$AO:$AO,"&lt;&gt;"&amp;"",'Order Summary'!$AO:$AO,"&lt;&gt;"&amp;"PENDING")</f>
        <v>0</v>
      </c>
      <c r="M12" s="162">
        <f>COUNTIFS('Order Summary'!$G:$G,"Yes",'Order Summary'!$I:$I,Dashboard!M$3,'Order Summary'!$AO:$AO,"&lt;&gt;"&amp;"",'Order Summary'!$AO:$AO,"&lt;&gt;"&amp;"PENDING")</f>
        <v>2</v>
      </c>
      <c r="N12" s="163">
        <f t="shared" si="0"/>
        <v>44</v>
      </c>
      <c r="Q12" s="153" t="s">
        <v>435</v>
      </c>
      <c r="R12" s="154">
        <f>SUMIFS('Order Details'!$Q:$Q,'Order Details'!$N:$N,Dashboard!$Q12,'Order Details'!$E:$E,"Yes")</f>
        <v>8950</v>
      </c>
      <c r="S12" s="154">
        <f>SUMIFS('Order Details'!$O:$O,'Order Details'!$N:$N,Dashboard!$Q12,'Order Details'!$E:$E,"Yes")</f>
        <v>306.18033333333346</v>
      </c>
      <c r="T12" s="155">
        <f>SUMIFS('Order Details'!$P:$P,'Order Details'!$N:$N,Dashboard!$Q12,'Order Details'!$E:$E,"Yes")</f>
        <v>28472.340750000007</v>
      </c>
      <c r="U12" s="210">
        <f>SUMIFS('Order Details'!$V:$V,'Order Details'!$N:$N,Dashboard!$Q12,'Order Details'!$E:$E,"Yes")</f>
        <v>232869.03860249999</v>
      </c>
    </row>
    <row r="13" spans="3:33" ht="15.6" thickTop="1" thickBot="1" x14ac:dyDescent="0.35">
      <c r="C13" s="146" t="s">
        <v>417</v>
      </c>
      <c r="D13" s="147">
        <f t="shared" ref="D13:N13" si="2">SUM(D4:D11)</f>
        <v>4</v>
      </c>
      <c r="E13" s="147">
        <f t="shared" si="2"/>
        <v>13</v>
      </c>
      <c r="F13" s="147">
        <f t="shared" si="2"/>
        <v>22</v>
      </c>
      <c r="G13" s="147">
        <f t="shared" si="2"/>
        <v>29</v>
      </c>
      <c r="H13" s="147">
        <f t="shared" si="2"/>
        <v>23</v>
      </c>
      <c r="I13" s="147">
        <f t="shared" si="2"/>
        <v>14</v>
      </c>
      <c r="J13" s="147">
        <f>SUM(J4:J11)</f>
        <v>9</v>
      </c>
      <c r="K13" s="147">
        <f>SUM(K4:K11)</f>
        <v>14</v>
      </c>
      <c r="L13" s="147">
        <f>SUM(L4:L11)</f>
        <v>7</v>
      </c>
      <c r="M13" s="159">
        <f t="shared" si="2"/>
        <v>14</v>
      </c>
      <c r="N13" s="70">
        <f t="shared" si="2"/>
        <v>149</v>
      </c>
      <c r="Q13" s="144" t="s">
        <v>436</v>
      </c>
      <c r="R13" s="154">
        <f>SUMIFS('Order Details'!$Q:$Q,'Order Details'!$N:$N,Dashboard!$Q13,'Order Details'!$E:$E,"Yes")</f>
        <v>4200</v>
      </c>
      <c r="S13" s="154">
        <f>SUMIFS('Order Details'!$O:$O,'Order Details'!$N:$N,Dashboard!$Q13,'Order Details'!$E:$E,"Yes")</f>
        <v>139.34299999999999</v>
      </c>
      <c r="T13" s="155">
        <f>SUMIFS('Order Details'!$P:$P,'Order Details'!$N:$N,Dashboard!$Q13,'Order Details'!$E:$E,"Yes")</f>
        <v>12957.213000000002</v>
      </c>
      <c r="U13" s="210">
        <f>SUMIFS('Order Details'!$V:$V,'Order Details'!$N:$N,Dashboard!$Q13,'Order Details'!$E:$E,"Yes")</f>
        <v>106305.71691</v>
      </c>
      <c r="AB13" s="315" t="s">
        <v>437</v>
      </c>
      <c r="AC13" s="316"/>
    </row>
    <row r="14" spans="3:33" x14ac:dyDescent="0.3">
      <c r="Q14" s="144" t="s">
        <v>438</v>
      </c>
      <c r="R14" s="154">
        <f>SUMIFS('Order Details'!$Q:$Q,'Order Details'!$N:$N,Dashboard!$Q14,'Order Details'!$E:$E,"Yes")</f>
        <v>1400</v>
      </c>
      <c r="S14" s="154">
        <f>SUMIFS('Order Details'!$O:$O,'Order Details'!$N:$N,Dashboard!$Q14,'Order Details'!$E:$E,"Yes")</f>
        <v>45.732999999999997</v>
      </c>
      <c r="T14" s="155">
        <f>SUMIFS('Order Details'!$P:$P,'Order Details'!$N:$N,Dashboard!$Q14,'Order Details'!$E:$E,"Yes")</f>
        <v>4252.1730000000007</v>
      </c>
      <c r="U14" s="210">
        <f>SUMIFS('Order Details'!$V:$V,'Order Details'!$N:$N,Dashboard!$Q14,'Order Details'!$E:$E,"Yes")</f>
        <v>34315.036110000008</v>
      </c>
      <c r="AB14" s="33" t="s">
        <v>425</v>
      </c>
      <c r="AC14" s="245">
        <f>AVERAGEIFS('Order Summary'!$AB$4:$AB$200,'Order Summary'!$AB$4:$AB$200,"&lt;&gt;"&amp;"",'Order Summary'!$G$4:$G$200,"Yes")</f>
        <v>67.821428571428569</v>
      </c>
    </row>
    <row r="15" spans="3:33" ht="15" thickBot="1" x14ac:dyDescent="0.35">
      <c r="Q15" s="144" t="s">
        <v>508</v>
      </c>
      <c r="R15" s="154">
        <f>SUMIFS('Order Details'!$Q:$Q,'Order Details'!$N:$N,Dashboard!$Q15,'Order Details'!$E:$E,"Yes")</f>
        <v>2400</v>
      </c>
      <c r="S15" s="154">
        <f>SUMIFS('Order Details'!$O:$O,'Order Details'!$N:$N,Dashboard!$Q15,'Order Details'!$E:$E,"Yes")</f>
        <v>80.168999999999997</v>
      </c>
      <c r="T15" s="155">
        <f>SUMIFS('Order Details'!$P:$P,'Order Details'!$N:$N,Dashboard!$Q15,'Order Details'!$E:$E,"Yes")</f>
        <v>7455.0600000000013</v>
      </c>
      <c r="U15" s="210">
        <f>SUMIFS('Order Details'!$V:$V,'Order Details'!$N:$N,Dashboard!$Q15,'Order Details'!$E:$E,"Yes")</f>
        <v>61653.3462</v>
      </c>
      <c r="AB15" s="35" t="s">
        <v>440</v>
      </c>
      <c r="AC15" s="36">
        <f>COUNTIFS('Order Summary'!$Q4:$Q200,"&lt;&gt;"&amp;"",'Order Summary'!$AA4:$AA200,"",'Order Summary'!$G$4:$G$200,"Yes")</f>
        <v>36</v>
      </c>
    </row>
    <row r="16" spans="3:33" ht="15" thickBot="1" x14ac:dyDescent="0.35">
      <c r="C16" s="178" t="s">
        <v>441</v>
      </c>
      <c r="D16" s="179">
        <f>SUM(D4:D7)</f>
        <v>3</v>
      </c>
      <c r="E16" s="180">
        <f t="shared" ref="E16:N16" si="3">SUM(E4:E7)</f>
        <v>3</v>
      </c>
      <c r="F16" s="180">
        <f t="shared" si="3"/>
        <v>11</v>
      </c>
      <c r="G16" s="180">
        <f t="shared" si="3"/>
        <v>13</v>
      </c>
      <c r="H16" s="180">
        <f t="shared" si="3"/>
        <v>8</v>
      </c>
      <c r="I16" s="180">
        <f t="shared" si="3"/>
        <v>12</v>
      </c>
      <c r="J16" s="180">
        <f>SUM(J4:J7)</f>
        <v>6</v>
      </c>
      <c r="K16" s="180">
        <f>SUM(K4:K7)</f>
        <v>0</v>
      </c>
      <c r="L16" s="180">
        <f>SUM(L4:L7)</f>
        <v>6</v>
      </c>
      <c r="M16" s="181">
        <f t="shared" si="3"/>
        <v>2</v>
      </c>
      <c r="N16" s="182">
        <f t="shared" si="3"/>
        <v>64</v>
      </c>
      <c r="Q16" s="144" t="s">
        <v>439</v>
      </c>
      <c r="R16" s="154">
        <f>SUMIFS('Order Details'!$Q:$Q,'Order Details'!$N:$N,Dashboard!$Q16,'Order Details'!$E:$E,"Yes")</f>
        <v>0</v>
      </c>
      <c r="S16" s="154">
        <f>SUMIFS('Order Details'!$O:$O,'Order Details'!$N:$N,Dashboard!$Q16,'Order Details'!$E:$E,"Yes")</f>
        <v>0</v>
      </c>
      <c r="T16" s="155">
        <f>SUMIFS('Order Details'!$P:$P,'Order Details'!$N:$N,Dashboard!$Q16,'Order Details'!$E:$E,"Yes")</f>
        <v>0</v>
      </c>
      <c r="U16" s="210">
        <f>SUMIFS('Order Details'!$V:$V,'Order Details'!$N:$N,Dashboard!$Q16,'Order Details'!$E:$E,"Yes")</f>
        <v>0</v>
      </c>
    </row>
    <row r="17" spans="3:29" x14ac:dyDescent="0.3">
      <c r="C17" s="183" t="s">
        <v>443</v>
      </c>
      <c r="D17" s="177">
        <f>SUM(D8:D11)-D12</f>
        <v>0</v>
      </c>
      <c r="E17">
        <f t="shared" ref="E17:N17" si="4">SUM(E8:E11)-E12</f>
        <v>4</v>
      </c>
      <c r="F17">
        <f t="shared" si="4"/>
        <v>2</v>
      </c>
      <c r="G17">
        <f t="shared" si="4"/>
        <v>7</v>
      </c>
      <c r="H17">
        <f t="shared" si="4"/>
        <v>2</v>
      </c>
      <c r="I17">
        <f t="shared" si="4"/>
        <v>1</v>
      </c>
      <c r="J17">
        <f>SUM(J8:J11)-J12</f>
        <v>0</v>
      </c>
      <c r="K17">
        <f>SUM(K8:K11)-K12</f>
        <v>14</v>
      </c>
      <c r="L17">
        <f>SUM(L8:L11)-L12</f>
        <v>1</v>
      </c>
      <c r="M17" s="140">
        <f t="shared" si="4"/>
        <v>10</v>
      </c>
      <c r="N17" s="68">
        <f t="shared" si="4"/>
        <v>41</v>
      </c>
      <c r="Q17" s="144" t="s">
        <v>442</v>
      </c>
      <c r="R17" s="154">
        <f>SUMIFS('Order Details'!$Q:$Q,'Order Details'!$N:$N,Dashboard!$Q17,'Order Details'!$E:$E,"Yes")</f>
        <v>0</v>
      </c>
      <c r="S17" s="154">
        <f>SUMIFS('Order Details'!$O:$O,'Order Details'!$N:$N,Dashboard!$Q17,'Order Details'!$E:$E,"Yes")</f>
        <v>0</v>
      </c>
      <c r="T17" s="155">
        <f>SUMIFS('Order Details'!$P:$P,'Order Details'!$N:$N,Dashboard!$Q17,'Order Details'!$E:$E,"Yes")</f>
        <v>0</v>
      </c>
      <c r="U17" s="210">
        <f>SUMIFS('Order Details'!$V:$V,'Order Details'!$N:$N,Dashboard!$Q17,'Order Details'!$E:$E,"Yes")</f>
        <v>0</v>
      </c>
      <c r="AB17" s="315" t="s">
        <v>445</v>
      </c>
      <c r="AC17" s="316"/>
    </row>
    <row r="18" spans="3:29" ht="15" thickBot="1" x14ac:dyDescent="0.35">
      <c r="C18" s="146" t="s">
        <v>434</v>
      </c>
      <c r="D18" s="184">
        <f>D12</f>
        <v>1</v>
      </c>
      <c r="E18" s="40">
        <f t="shared" ref="E18:N18" si="5">E12</f>
        <v>6</v>
      </c>
      <c r="F18" s="40">
        <f t="shared" si="5"/>
        <v>9</v>
      </c>
      <c r="G18" s="40">
        <f t="shared" si="5"/>
        <v>9</v>
      </c>
      <c r="H18" s="40">
        <f t="shared" si="5"/>
        <v>13</v>
      </c>
      <c r="I18" s="40">
        <f t="shared" si="5"/>
        <v>1</v>
      </c>
      <c r="J18" s="40">
        <f>J12</f>
        <v>3</v>
      </c>
      <c r="K18" s="40">
        <f>K12</f>
        <v>0</v>
      </c>
      <c r="L18" s="40">
        <f>L12</f>
        <v>0</v>
      </c>
      <c r="M18" s="185">
        <f t="shared" si="5"/>
        <v>2</v>
      </c>
      <c r="N18" s="70">
        <f t="shared" si="5"/>
        <v>44</v>
      </c>
      <c r="Q18" s="145" t="s">
        <v>444</v>
      </c>
      <c r="R18" s="150">
        <f>SUMIFS('Order Details'!$Q:$Q,'Order Details'!$N:$N,Dashboard!$Q18,'Order Details'!$E:$E,"Yes")</f>
        <v>0</v>
      </c>
      <c r="S18" s="150">
        <f>SUMIFS('Order Details'!$O:$O,'Order Details'!$N:$N,Dashboard!$Q18,'Order Details'!$E:$E,"Yes")</f>
        <v>0</v>
      </c>
      <c r="T18" s="156">
        <f>SUMIFS('Order Details'!$P:$P,'Order Details'!$N:$N,Dashboard!$Q18,'Order Details'!$E:$E,"Yes")</f>
        <v>0</v>
      </c>
      <c r="U18" s="213">
        <f>SUMIFS('Order Details'!$V:$V,'Order Details'!$N:$N,Dashboard!$Q18,'Order Details'!$E:$E,"Yes")</f>
        <v>0</v>
      </c>
      <c r="AB18" s="33" t="s">
        <v>425</v>
      </c>
      <c r="AC18" s="245">
        <f>AVERAGEIFS('Order Summary'!$AK$4:$AK$200,'Order Summary'!$AK$4:$AK$200,"&lt;&gt;"&amp;"",'Order Summary'!$G$4:$G$200,"Yes")</f>
        <v>19.03125</v>
      </c>
    </row>
    <row r="19" spans="3:29" ht="15" thickBot="1" x14ac:dyDescent="0.35">
      <c r="Q19" s="146" t="s">
        <v>417</v>
      </c>
      <c r="R19" s="157">
        <f>SUM(R4:R18)</f>
        <v>381900</v>
      </c>
      <c r="S19" s="157">
        <f>SUM(S4:S18)</f>
        <v>13170.660333333335</v>
      </c>
      <c r="T19" s="158">
        <f>SUM(T4:T18)</f>
        <v>1221220.8735000007</v>
      </c>
      <c r="U19" s="211">
        <f>SUM(U4:U18)</f>
        <v>9454840.3338649981</v>
      </c>
      <c r="AB19" s="33" t="s">
        <v>446</v>
      </c>
      <c r="AC19" s="34">
        <f>COUNTIFS('Order Summary'!$AK$4:$AK$200,"",'Order Summary'!$AD$4:$AD$200,"&lt;&gt;"&amp;"",'Order Summary'!$G$4:$G$200,"Yes")</f>
        <v>19</v>
      </c>
    </row>
    <row r="20" spans="3:29" ht="15" thickBot="1" x14ac:dyDescent="0.35">
      <c r="AB20" s="35" t="s">
        <v>433</v>
      </c>
      <c r="AC20" s="246">
        <f>SUMIFS('Order Summary'!$AI$4:$AI$200,'Order Summary'!$AK$4:$AK$200,"",'Order Summary'!$AD$4:$AD$200,"&lt;&gt;"&amp;"",'Order Summary'!$G$4:$G$200,"Yes")</f>
        <v>758670.84999999986</v>
      </c>
    </row>
    <row r="21" spans="3:29" ht="15" thickBot="1" x14ac:dyDescent="0.35"/>
    <row r="22" spans="3:29" ht="15" thickBot="1" x14ac:dyDescent="0.35">
      <c r="Q22" s="312" t="s">
        <v>447</v>
      </c>
      <c r="R22" s="313"/>
      <c r="S22" s="313"/>
      <c r="T22" s="313"/>
      <c r="U22" s="314"/>
      <c r="AB22" s="315" t="s">
        <v>454</v>
      </c>
      <c r="AC22" s="316"/>
    </row>
    <row r="23" spans="3:29" ht="28.8" x14ac:dyDescent="0.3">
      <c r="Q23" s="170" t="s">
        <v>418</v>
      </c>
      <c r="R23" s="151" t="s">
        <v>326</v>
      </c>
      <c r="S23" s="151" t="s">
        <v>419</v>
      </c>
      <c r="T23" s="152" t="s">
        <v>420</v>
      </c>
      <c r="U23" s="212" t="s">
        <v>421</v>
      </c>
      <c r="AB23" s="33" t="s">
        <v>425</v>
      </c>
      <c r="AC23" s="245">
        <f>AVERAGEIFS('Order Summary'!$AN$4:$AN$200,'Order Summary'!$AN$4:$AN$200,"&lt;&gt;"&amp;"",'Order Summary'!$G$4:$G$200,"Yes")</f>
        <v>40.6</v>
      </c>
    </row>
    <row r="24" spans="3:29" ht="15" thickBot="1" x14ac:dyDescent="0.35">
      <c r="Q24" s="153" t="s">
        <v>422</v>
      </c>
      <c r="R24" s="154">
        <f>SUMIFS('Order Details'!$Q:$Q,'Order Details'!$N:$N,Dashboard!$Q24,'Order Details'!$E:$E,"Yes",'Order Details'!$C:$C,'Master Data'!$C$4)+SUMIFS('Order Details'!$Q:$Q,'Order Details'!$N:$N,Dashboard!$Q24,'Order Details'!$E:$E,"Yes",'Order Details'!$C:$C,'Master Data'!$C$5)+SUMIFS('Order Details'!$Q:$Q,'Order Details'!$N:$N,Dashboard!$Q24,'Order Details'!$E:$E,"Yes",'Order Details'!$C:$C,'Master Data'!$C$6)+SUMIFS('Order Details'!$Q:$Q,'Order Details'!$N:$N,Dashboard!$Q24,'Order Details'!$E:$E,"Yes",'Order Details'!$C:$C,'Master Data'!$C$7)</f>
        <v>36500</v>
      </c>
      <c r="S24" s="154">
        <f>SUMIFS('Order Details'!$O:$O,'Order Details'!$N:$N,Dashboard!$Q24,'Order Details'!$E:$E,"Yes",'Order Details'!$C:$C,'Master Data'!$C$4)+SUMIFS('Order Details'!$O:$O,'Order Details'!$N:$N,Dashboard!$Q24,'Order Details'!$E:$E,"Yes",'Order Details'!$C:$C,'Master Data'!$C$5)+SUMIFS('Order Details'!$O:$O,'Order Details'!$N:$N,Dashboard!$Q24,'Order Details'!$E:$E,"Yes",'Order Details'!$C:$C,'Master Data'!$C$6)+SUMIFS('Order Details'!$O:$O,'Order Details'!$N:$N,Dashboard!$Q24,'Order Details'!$E:$E,"Yes",'Order Details'!$C:$C,'Master Data'!$C$7)</f>
        <v>1252.4260000000004</v>
      </c>
      <c r="T24" s="155">
        <f>SUMIFS('Order Details'!$P:$P,'Order Details'!$N:$N,Dashboard!$Q24,'Order Details'!$E:$E,"Yes",'Order Details'!$C:$C,'Master Data'!$C$4)+SUMIFS('Order Details'!$P:$P,'Order Details'!$N:$N,Dashboard!$Q24,'Order Details'!$E:$E,"Yes",'Order Details'!$C:$C,'Master Data'!$C$5)+SUMIFS('Order Details'!$P:$P,'Order Details'!$N:$N,Dashboard!$Q24,'Order Details'!$E:$E,"Yes",'Order Details'!$C:$C,'Master Data'!$C$6)+SUMIFS('Order Details'!$P:$P,'Order Details'!$N:$N,Dashboard!$Q24,'Order Details'!$E:$E,"Yes",'Order Details'!$C:$C,'Master Data'!$C$7)</f>
        <v>116462.15549999999</v>
      </c>
      <c r="U24" s="210">
        <f>SUMIFS('Order Details'!$V:$V,'Order Details'!$N:$N,Dashboard!$Q24,'Order Details'!$E:$E,"Yes",'Order Details'!$C:$C,'Master Data'!$C$4)+SUMIFS('Order Details'!$V:$V,'Order Details'!$N:$N,Dashboard!$Q24,'Order Details'!$E:$E,"Yes",'Order Details'!$C:$C,'Master Data'!$C$5)+SUMIFS('Order Details'!$V:$V,'Order Details'!$N:$N,Dashboard!$Q24,'Order Details'!$E:$E,"Yes",'Order Details'!$C:$C,'Master Data'!$C$6)+SUMIFS('Order Details'!$V:$V,'Order Details'!$N:$N,Dashboard!$Q24,'Order Details'!$E:$E,"Yes",'Order Details'!$C:$C,'Master Data'!$C$7)</f>
        <v>898551.29401500011</v>
      </c>
      <c r="AB24" s="35" t="s">
        <v>456</v>
      </c>
      <c r="AC24" s="36">
        <f>COUNTIFS('Order Summary'!$AJ4:$AJ200,"&lt;&gt;"&amp;"",'Order Summary'!$AM4:$AM200,"",'Order Summary'!$G$4:$G$200,"Yes")+COUNTIFS('Order Summary'!$AJ4:$AJ200,"&lt;&gt;"&amp;"",'Order Summary'!$AM4:$AM200,"PENDING",'Order Summary'!$G$4:$G$200,"Yes")</f>
        <v>33</v>
      </c>
    </row>
    <row r="25" spans="3:29" x14ac:dyDescent="0.3">
      <c r="Q25" s="153" t="s">
        <v>424</v>
      </c>
      <c r="R25" s="154">
        <f>SUMIFS('Order Details'!$Q:$Q,'Order Details'!$N:$N,Dashboard!$Q25,'Order Details'!$E:$E,"Yes",'Order Details'!$C:$C,'Master Data'!$C$4)+SUMIFS('Order Details'!$Q:$Q,'Order Details'!$N:$N,Dashboard!$Q25,'Order Details'!$E:$E,"Yes",'Order Details'!$C:$C,'Master Data'!$C$5)+SUMIFS('Order Details'!$Q:$Q,'Order Details'!$N:$N,Dashboard!$Q25,'Order Details'!$E:$E,"Yes",'Order Details'!$C:$C,'Master Data'!$C$6)+SUMIFS('Order Details'!$Q:$Q,'Order Details'!$N:$N,Dashboard!$Q25,'Order Details'!$E:$E,"Yes",'Order Details'!$C:$C,'Master Data'!$C$7)</f>
        <v>66100</v>
      </c>
      <c r="S25" s="154">
        <f>SUMIFS('Order Details'!$O:$O,'Order Details'!$N:$N,Dashboard!$Q25,'Order Details'!$E:$E,"Yes",'Order Details'!$C:$C,'Master Data'!$C$4)+SUMIFS('Order Details'!$O:$O,'Order Details'!$N:$N,Dashboard!$Q25,'Order Details'!$E:$E,"Yes",'Order Details'!$C:$C,'Master Data'!$C$5)+SUMIFS('Order Details'!$O:$O,'Order Details'!$N:$N,Dashboard!$Q25,'Order Details'!$E:$E,"Yes",'Order Details'!$C:$C,'Master Data'!$C$6)+SUMIFS('Order Details'!$O:$O,'Order Details'!$N:$N,Dashboard!$Q25,'Order Details'!$E:$E,"Yes",'Order Details'!$C:$C,'Master Data'!$C$7)</f>
        <v>2234.4340000000002</v>
      </c>
      <c r="T25" s="155">
        <f>SUMIFS('Order Details'!$P:$P,'Order Details'!$N:$N,Dashboard!$Q25,'Order Details'!$E:$E,"Yes",'Order Details'!$C:$C,'Master Data'!$C$4)+SUMIFS('Order Details'!$P:$P,'Order Details'!$N:$N,Dashboard!$Q25,'Order Details'!$E:$E,"Yes",'Order Details'!$C:$C,'Master Data'!$C$5)+SUMIFS('Order Details'!$P:$P,'Order Details'!$N:$N,Dashboard!$Q25,'Order Details'!$E:$E,"Yes",'Order Details'!$C:$C,'Master Data'!$C$6)+SUMIFS('Order Details'!$P:$P,'Order Details'!$N:$N,Dashboard!$Q25,'Order Details'!$E:$E,"Yes",'Order Details'!$C:$C,'Master Data'!$C$7)</f>
        <v>207781.16250000001</v>
      </c>
      <c r="U25" s="210">
        <f>SUMIFS('Order Details'!$V:$V,'Order Details'!$N:$N,Dashboard!$Q25,'Order Details'!$E:$E,"Yes",'Order Details'!$C:$C,'Master Data'!$C$4)+SUMIFS('Order Details'!$V:$V,'Order Details'!$N:$N,Dashboard!$Q25,'Order Details'!$E:$E,"Yes",'Order Details'!$C:$C,'Master Data'!$C$5)+SUMIFS('Order Details'!$V:$V,'Order Details'!$N:$N,Dashboard!$Q25,'Order Details'!$E:$E,"Yes",'Order Details'!$C:$C,'Master Data'!$C$6)+SUMIFS('Order Details'!$V:$V,'Order Details'!$N:$N,Dashboard!$Q25,'Order Details'!$E:$E,"Yes",'Order Details'!$C:$C,'Master Data'!$C$7)</f>
        <v>1604447.2181250004</v>
      </c>
    </row>
    <row r="26" spans="3:29" x14ac:dyDescent="0.3">
      <c r="Q26" s="153" t="s">
        <v>507</v>
      </c>
      <c r="R26" s="154">
        <f>SUMIFS('Order Details'!$Q:$Q,'Order Details'!$N:$N,Dashboard!$Q26,'Order Details'!$E:$E,"Yes",'Order Details'!$C:$C,'Master Data'!$C$4)+SUMIFS('Order Details'!$Q:$Q,'Order Details'!$N:$N,Dashboard!$Q26,'Order Details'!$E:$E,"Yes",'Order Details'!$C:$C,'Master Data'!$C$5)+SUMIFS('Order Details'!$Q:$Q,'Order Details'!$N:$N,Dashboard!$Q26,'Order Details'!$E:$E,"Yes",'Order Details'!$C:$C,'Master Data'!$C$6)+SUMIFS('Order Details'!$Q:$Q,'Order Details'!$N:$N,Dashboard!$Q26,'Order Details'!$E:$E,"Yes",'Order Details'!$C:$C,'Master Data'!$C$7)</f>
        <v>25200</v>
      </c>
      <c r="S26" s="154">
        <f>SUMIFS('Order Details'!$O:$O,'Order Details'!$N:$N,Dashboard!$Q26,'Order Details'!$E:$E,"Yes",'Order Details'!$C:$C,'Master Data'!$C$4)+SUMIFS('Order Details'!$O:$O,'Order Details'!$N:$N,Dashboard!$Q26,'Order Details'!$E:$E,"Yes",'Order Details'!$C:$C,'Master Data'!$C$5)+SUMIFS('Order Details'!$O:$O,'Order Details'!$N:$N,Dashboard!$Q26,'Order Details'!$E:$E,"Yes",'Order Details'!$C:$C,'Master Data'!$C$6)+SUMIFS('Order Details'!$O:$O,'Order Details'!$N:$N,Dashboard!$Q26,'Order Details'!$E:$E,"Yes",'Order Details'!$C:$C,'Master Data'!$C$7)</f>
        <v>857.80499999999995</v>
      </c>
      <c r="T26" s="155">
        <f>SUMIFS('Order Details'!$P:$P,'Order Details'!$N:$N,Dashboard!$Q26,'Order Details'!$E:$E,"Yes",'Order Details'!$C:$C,'Master Data'!$C$4)+SUMIFS('Order Details'!$P:$P,'Order Details'!$N:$N,Dashboard!$Q26,'Order Details'!$E:$E,"Yes",'Order Details'!$C:$C,'Master Data'!$C$5)+SUMIFS('Order Details'!$P:$P,'Order Details'!$N:$N,Dashboard!$Q26,'Order Details'!$E:$E,"Yes",'Order Details'!$C:$C,'Master Data'!$C$6)+SUMIFS('Order Details'!$P:$P,'Order Details'!$N:$N,Dashboard!$Q26,'Order Details'!$E:$E,"Yes",'Order Details'!$C:$C,'Master Data'!$C$7)</f>
        <v>79768.146000000008</v>
      </c>
      <c r="U26" s="210">
        <f>SUMIFS('Order Details'!$V:$V,'Order Details'!$N:$N,Dashboard!$Q26,'Order Details'!$E:$E,"Yes",'Order Details'!$C:$C,'Master Data'!$C$4)+SUMIFS('Order Details'!$V:$V,'Order Details'!$N:$N,Dashboard!$Q26,'Order Details'!$E:$E,"Yes",'Order Details'!$C:$C,'Master Data'!$C$5)+SUMIFS('Order Details'!$V:$V,'Order Details'!$N:$N,Dashboard!$Q26,'Order Details'!$E:$E,"Yes",'Order Details'!$C:$C,'Master Data'!$C$6)+SUMIFS('Order Details'!$V:$V,'Order Details'!$N:$N,Dashboard!$Q26,'Order Details'!$E:$E,"Yes",'Order Details'!$C:$C,'Master Data'!$C$7)</f>
        <v>616120.47558000009</v>
      </c>
    </row>
    <row r="27" spans="3:29" x14ac:dyDescent="0.3">
      <c r="Q27" s="153" t="s">
        <v>338</v>
      </c>
      <c r="R27" s="154">
        <f>SUMIFS('Order Details'!$Q:$Q,'Order Details'!$N:$N,Dashboard!$Q27,'Order Details'!$E:$E,"Yes",'Order Details'!$C:$C,'Master Data'!$C$4)+SUMIFS('Order Details'!$Q:$Q,'Order Details'!$N:$N,Dashboard!$Q27,'Order Details'!$E:$E,"Yes",'Order Details'!$C:$C,'Master Data'!$C$5)+SUMIFS('Order Details'!$Q:$Q,'Order Details'!$N:$N,Dashboard!$Q27,'Order Details'!$E:$E,"Yes",'Order Details'!$C:$C,'Master Data'!$C$6)+SUMIFS('Order Details'!$Q:$Q,'Order Details'!$N:$N,Dashboard!$Q27,'Order Details'!$E:$E,"Yes",'Order Details'!$C:$C,'Master Data'!$C$7)</f>
        <v>15750</v>
      </c>
      <c r="S27" s="154">
        <f>SUMIFS('Order Details'!$O:$O,'Order Details'!$N:$N,Dashboard!$Q27,'Order Details'!$E:$E,"Yes",'Order Details'!$C:$C,'Master Data'!$C$4)+SUMIFS('Order Details'!$O:$O,'Order Details'!$N:$N,Dashboard!$Q27,'Order Details'!$E:$E,"Yes",'Order Details'!$C:$C,'Master Data'!$C$5)+SUMIFS('Order Details'!$O:$O,'Order Details'!$N:$N,Dashboard!$Q27,'Order Details'!$E:$E,"Yes",'Order Details'!$C:$C,'Master Data'!$C$6)+SUMIFS('Order Details'!$O:$O,'Order Details'!$N:$N,Dashboard!$Q27,'Order Details'!$E:$E,"Yes",'Order Details'!$C:$C,'Master Data'!$C$7)</f>
        <v>541.58600000000001</v>
      </c>
      <c r="T27" s="155">
        <f>SUMIFS('Order Details'!$P:$P,'Order Details'!$N:$N,Dashboard!$Q27,'Order Details'!$E:$E,"Yes",'Order Details'!$C:$C,'Master Data'!$C$4)+SUMIFS('Order Details'!$P:$P,'Order Details'!$N:$N,Dashboard!$Q27,'Order Details'!$E:$E,"Yes",'Order Details'!$C:$C,'Master Data'!$C$5)+SUMIFS('Order Details'!$P:$P,'Order Details'!$N:$N,Dashboard!$Q27,'Order Details'!$E:$E,"Yes",'Order Details'!$C:$C,'Master Data'!$C$6)+SUMIFS('Order Details'!$P:$P,'Order Details'!$N:$N,Dashboard!$Q27,'Order Details'!$E:$E,"Yes",'Order Details'!$C:$C,'Master Data'!$C$7)</f>
        <v>50362.179750000003</v>
      </c>
      <c r="U27" s="210">
        <f>SUMIFS('Order Details'!$V:$V,'Order Details'!$N:$N,Dashboard!$Q27,'Order Details'!$E:$E,"Yes",'Order Details'!$C:$C,'Master Data'!$C$4)+SUMIFS('Order Details'!$V:$V,'Order Details'!$N:$N,Dashboard!$Q27,'Order Details'!$E:$E,"Yes",'Order Details'!$C:$C,'Master Data'!$C$5)+SUMIFS('Order Details'!$V:$V,'Order Details'!$N:$N,Dashboard!$Q27,'Order Details'!$E:$E,"Yes",'Order Details'!$C:$C,'Master Data'!$C$6)+SUMIFS('Order Details'!$V:$V,'Order Details'!$N:$N,Dashboard!$Q27,'Order Details'!$E:$E,"Yes",'Order Details'!$C:$C,'Master Data'!$C$7)</f>
        <v>416252.20253250003</v>
      </c>
    </row>
    <row r="28" spans="3:29" x14ac:dyDescent="0.3">
      <c r="Q28" s="144" t="s">
        <v>427</v>
      </c>
      <c r="R28" s="154">
        <f>SUMIFS('Order Details'!$Q:$Q,'Order Details'!$N:$N,Dashboard!$Q28,'Order Details'!$E:$E,"Yes",'Order Details'!$C:$C,'Master Data'!$C$4)+SUMIFS('Order Details'!$Q:$Q,'Order Details'!$N:$N,Dashboard!$Q28,'Order Details'!$E:$E,"Yes",'Order Details'!$C:$C,'Master Data'!$C$5)+SUMIFS('Order Details'!$Q:$Q,'Order Details'!$N:$N,Dashboard!$Q28,'Order Details'!$E:$E,"Yes",'Order Details'!$C:$C,'Master Data'!$C$6)+SUMIFS('Order Details'!$Q:$Q,'Order Details'!$N:$N,Dashboard!$Q28,'Order Details'!$E:$E,"Yes",'Order Details'!$C:$C,'Master Data'!$C$7)</f>
        <v>0</v>
      </c>
      <c r="S28" s="154">
        <f>SUMIFS('Order Details'!$O:$O,'Order Details'!$N:$N,Dashboard!$Q28,'Order Details'!$E:$E,"Yes",'Order Details'!$C:$C,'Master Data'!$C$4)+SUMIFS('Order Details'!$O:$O,'Order Details'!$N:$N,Dashboard!$Q28,'Order Details'!$E:$E,"Yes",'Order Details'!$C:$C,'Master Data'!$C$5)+SUMIFS('Order Details'!$O:$O,'Order Details'!$N:$N,Dashboard!$Q28,'Order Details'!$E:$E,"Yes",'Order Details'!$C:$C,'Master Data'!$C$6)+SUMIFS('Order Details'!$O:$O,'Order Details'!$N:$N,Dashboard!$Q28,'Order Details'!$E:$E,"Yes",'Order Details'!$C:$C,'Master Data'!$C$7)</f>
        <v>0</v>
      </c>
      <c r="T28" s="155">
        <f>SUMIFS('Order Details'!$P:$P,'Order Details'!$N:$N,Dashboard!$Q28,'Order Details'!$E:$E,"Yes",'Order Details'!$C:$C,'Master Data'!$C$4)+SUMIFS('Order Details'!$P:$P,'Order Details'!$N:$N,Dashboard!$Q28,'Order Details'!$E:$E,"Yes",'Order Details'!$C:$C,'Master Data'!$C$5)+SUMIFS('Order Details'!$P:$P,'Order Details'!$N:$N,Dashboard!$Q28,'Order Details'!$E:$E,"Yes",'Order Details'!$C:$C,'Master Data'!$C$6)+SUMIFS('Order Details'!$P:$P,'Order Details'!$N:$N,Dashboard!$Q28,'Order Details'!$E:$E,"Yes",'Order Details'!$C:$C,'Master Data'!$C$7)</f>
        <v>0</v>
      </c>
      <c r="U28" s="210">
        <f>SUMIFS('Order Details'!$V:$V,'Order Details'!$N:$N,Dashboard!$Q28,'Order Details'!$E:$E,"Yes",'Order Details'!$C:$C,'Master Data'!$C$4)+SUMIFS('Order Details'!$V:$V,'Order Details'!$N:$N,Dashboard!$Q28,'Order Details'!$E:$E,"Yes",'Order Details'!$C:$C,'Master Data'!$C$5)+SUMIFS('Order Details'!$V:$V,'Order Details'!$N:$N,Dashboard!$Q28,'Order Details'!$E:$E,"Yes",'Order Details'!$C:$C,'Master Data'!$C$6)+SUMIFS('Order Details'!$V:$V,'Order Details'!$N:$N,Dashboard!$Q28,'Order Details'!$E:$E,"Yes",'Order Details'!$C:$C,'Master Data'!$C$7)</f>
        <v>0</v>
      </c>
    </row>
    <row r="29" spans="3:29" x14ac:dyDescent="0.3">
      <c r="Q29" s="144" t="s">
        <v>429</v>
      </c>
      <c r="R29" s="154">
        <f>SUMIFS('Order Details'!$Q:$Q,'Order Details'!$N:$N,Dashboard!$Q29,'Order Details'!$E:$E,"Yes",'Order Details'!$C:$C,'Master Data'!$C$4)+SUMIFS('Order Details'!$Q:$Q,'Order Details'!$N:$N,Dashboard!$Q29,'Order Details'!$E:$E,"Yes",'Order Details'!$C:$C,'Master Data'!$C$5)+SUMIFS('Order Details'!$Q:$Q,'Order Details'!$N:$N,Dashboard!$Q29,'Order Details'!$E:$E,"Yes",'Order Details'!$C:$C,'Master Data'!$C$6)+SUMIFS('Order Details'!$Q:$Q,'Order Details'!$N:$N,Dashboard!$Q29,'Order Details'!$E:$E,"Yes",'Order Details'!$C:$C,'Master Data'!$C$7)</f>
        <v>200</v>
      </c>
      <c r="S29" s="154">
        <f>SUMIFS('Order Details'!$O:$O,'Order Details'!$N:$N,Dashboard!$Q29,'Order Details'!$E:$E,"Yes",'Order Details'!$C:$C,'Master Data'!$C$4)+SUMIFS('Order Details'!$O:$O,'Order Details'!$N:$N,Dashboard!$Q29,'Order Details'!$E:$E,"Yes",'Order Details'!$C:$C,'Master Data'!$C$5)+SUMIFS('Order Details'!$O:$O,'Order Details'!$N:$N,Dashboard!$Q29,'Order Details'!$E:$E,"Yes",'Order Details'!$C:$C,'Master Data'!$C$6)+SUMIFS('Order Details'!$O:$O,'Order Details'!$N:$N,Dashboard!$Q29,'Order Details'!$E:$E,"Yes",'Order Details'!$C:$C,'Master Data'!$C$7)</f>
        <v>8.1669999999999998</v>
      </c>
      <c r="T29" s="155">
        <f>SUMIFS('Order Details'!$P:$P,'Order Details'!$N:$N,Dashboard!$Q29,'Order Details'!$E:$E,"Yes",'Order Details'!$C:$C,'Master Data'!$C$4)+SUMIFS('Order Details'!$P:$P,'Order Details'!$N:$N,Dashboard!$Q29,'Order Details'!$E:$E,"Yes",'Order Details'!$C:$C,'Master Data'!$C$5)+SUMIFS('Order Details'!$P:$P,'Order Details'!$N:$N,Dashboard!$Q29,'Order Details'!$E:$E,"Yes",'Order Details'!$C:$C,'Master Data'!$C$6)+SUMIFS('Order Details'!$P:$P,'Order Details'!$N:$N,Dashboard!$Q29,'Order Details'!$E:$E,"Yes",'Order Details'!$C:$C,'Master Data'!$C$7)</f>
        <v>759.45</v>
      </c>
      <c r="U29" s="210">
        <f>SUMIFS('Order Details'!$V:$V,'Order Details'!$N:$N,Dashboard!$Q29,'Order Details'!$E:$E,"Yes",'Order Details'!$C:$C,'Master Data'!$C$4)+SUMIFS('Order Details'!$V:$V,'Order Details'!$N:$N,Dashboard!$Q29,'Order Details'!$E:$E,"Yes",'Order Details'!$C:$C,'Master Data'!$C$5)+SUMIFS('Order Details'!$V:$V,'Order Details'!$N:$N,Dashboard!$Q29,'Order Details'!$E:$E,"Yes",'Order Details'!$C:$C,'Master Data'!$C$6)+SUMIFS('Order Details'!$V:$V,'Order Details'!$N:$N,Dashboard!$Q29,'Order Details'!$E:$E,"Yes",'Order Details'!$C:$C,'Master Data'!$C$7)</f>
        <v>5870.5485000000008</v>
      </c>
    </row>
    <row r="30" spans="3:29" x14ac:dyDescent="0.3">
      <c r="Q30" s="153" t="s">
        <v>430</v>
      </c>
      <c r="R30" s="154">
        <f>SUMIFS('Order Details'!$Q:$Q,'Order Details'!$N:$N,Dashboard!$Q30,'Order Details'!$E:$E,"Yes",'Order Details'!$C:$C,'Master Data'!$C$4)+SUMIFS('Order Details'!$Q:$Q,'Order Details'!$N:$N,Dashboard!$Q30,'Order Details'!$E:$E,"Yes",'Order Details'!$C:$C,'Master Data'!$C$5)+SUMIFS('Order Details'!$Q:$Q,'Order Details'!$N:$N,Dashboard!$Q30,'Order Details'!$E:$E,"Yes",'Order Details'!$C:$C,'Master Data'!$C$6)+SUMIFS('Order Details'!$Q:$Q,'Order Details'!$N:$N,Dashboard!$Q30,'Order Details'!$E:$E,"Yes",'Order Details'!$C:$C,'Master Data'!$C$7)</f>
        <v>8400</v>
      </c>
      <c r="S30" s="154">
        <f>SUMIFS('Order Details'!$O:$O,'Order Details'!$N:$N,Dashboard!$Q30,'Order Details'!$E:$E,"Yes",'Order Details'!$C:$C,'Master Data'!$C$4)+SUMIFS('Order Details'!$O:$O,'Order Details'!$N:$N,Dashboard!$Q30,'Order Details'!$E:$E,"Yes",'Order Details'!$C:$C,'Master Data'!$C$5)+SUMIFS('Order Details'!$O:$O,'Order Details'!$N:$N,Dashboard!$Q30,'Order Details'!$E:$E,"Yes",'Order Details'!$C:$C,'Master Data'!$C$6)+SUMIFS('Order Details'!$O:$O,'Order Details'!$N:$N,Dashboard!$Q30,'Order Details'!$E:$E,"Yes",'Order Details'!$C:$C,'Master Data'!$C$7)</f>
        <v>291.68499999999995</v>
      </c>
      <c r="T30" s="155">
        <f>SUMIFS('Order Details'!$P:$P,'Order Details'!$N:$N,Dashboard!$Q30,'Order Details'!$E:$E,"Yes",'Order Details'!$C:$C,'Master Data'!$C$4)+SUMIFS('Order Details'!$P:$P,'Order Details'!$N:$N,Dashboard!$Q30,'Order Details'!$E:$E,"Yes",'Order Details'!$C:$C,'Master Data'!$C$5)+SUMIFS('Order Details'!$P:$P,'Order Details'!$N:$N,Dashboard!$Q30,'Order Details'!$E:$E,"Yes",'Order Details'!$C:$C,'Master Data'!$C$6)+SUMIFS('Order Details'!$P:$P,'Order Details'!$N:$N,Dashboard!$Q30,'Order Details'!$E:$E,"Yes",'Order Details'!$C:$C,'Master Data'!$C$7)</f>
        <v>27124.31700000001</v>
      </c>
      <c r="U30" s="210">
        <f>SUMIFS('Order Details'!$V:$V,'Order Details'!$N:$N,Dashboard!$Q30,'Order Details'!$E:$E,"Yes",'Order Details'!$C:$C,'Master Data'!$C$4)+SUMIFS('Order Details'!$V:$V,'Order Details'!$N:$N,Dashboard!$Q30,'Order Details'!$E:$E,"Yes",'Order Details'!$C:$C,'Master Data'!$C$5)+SUMIFS('Order Details'!$V:$V,'Order Details'!$N:$N,Dashboard!$Q30,'Order Details'!$E:$E,"Yes",'Order Details'!$C:$C,'Master Data'!$C$6)+SUMIFS('Order Details'!$V:$V,'Order Details'!$N:$N,Dashboard!$Q30,'Order Details'!$E:$E,"Yes",'Order Details'!$C:$C,'Master Data'!$C$7)</f>
        <v>207377.53101000004</v>
      </c>
    </row>
    <row r="31" spans="3:29" x14ac:dyDescent="0.3">
      <c r="Q31" s="144" t="s">
        <v>432</v>
      </c>
      <c r="R31" s="154">
        <f>SUMIFS('Order Details'!$Q:$Q,'Order Details'!$N:$N,Dashboard!$Q31,'Order Details'!$E:$E,"Yes",'Order Details'!$C:$C,'Master Data'!$C$4)+SUMIFS('Order Details'!$Q:$Q,'Order Details'!$N:$N,Dashboard!$Q31,'Order Details'!$E:$E,"Yes",'Order Details'!$C:$C,'Master Data'!$C$5)+SUMIFS('Order Details'!$Q:$Q,'Order Details'!$N:$N,Dashboard!$Q31,'Order Details'!$E:$E,"Yes",'Order Details'!$C:$C,'Master Data'!$C$6)+SUMIFS('Order Details'!$Q:$Q,'Order Details'!$N:$N,Dashboard!$Q31,'Order Details'!$E:$E,"Yes",'Order Details'!$C:$C,'Master Data'!$C$7)</f>
        <v>0</v>
      </c>
      <c r="S31" s="154">
        <f>SUMIFS('Order Details'!$O:$O,'Order Details'!$N:$N,Dashboard!$Q31,'Order Details'!$E:$E,"Yes",'Order Details'!$C:$C,'Master Data'!$C$4)+SUMIFS('Order Details'!$O:$O,'Order Details'!$N:$N,Dashboard!$Q31,'Order Details'!$E:$E,"Yes",'Order Details'!$C:$C,'Master Data'!$C$5)+SUMIFS('Order Details'!$O:$O,'Order Details'!$N:$N,Dashboard!$Q31,'Order Details'!$E:$E,"Yes",'Order Details'!$C:$C,'Master Data'!$C$6)+SUMIFS('Order Details'!$O:$O,'Order Details'!$N:$N,Dashboard!$Q31,'Order Details'!$E:$E,"Yes",'Order Details'!$C:$C,'Master Data'!$C$7)</f>
        <v>0</v>
      </c>
      <c r="T31" s="155">
        <f>SUMIFS('Order Details'!$P:$P,'Order Details'!$N:$N,Dashboard!$Q31,'Order Details'!$E:$E,"Yes",'Order Details'!$C:$C,'Master Data'!$C$4)+SUMIFS('Order Details'!$P:$P,'Order Details'!$N:$N,Dashboard!$Q31,'Order Details'!$E:$E,"Yes",'Order Details'!$C:$C,'Master Data'!$C$5)+SUMIFS('Order Details'!$P:$P,'Order Details'!$N:$N,Dashboard!$Q31,'Order Details'!$E:$E,"Yes",'Order Details'!$C:$C,'Master Data'!$C$6)+SUMIFS('Order Details'!$P:$P,'Order Details'!$N:$N,Dashboard!$Q31,'Order Details'!$E:$E,"Yes",'Order Details'!$C:$C,'Master Data'!$C$7)</f>
        <v>0</v>
      </c>
      <c r="U31" s="210">
        <f>SUMIFS('Order Details'!$V:$V,'Order Details'!$N:$N,Dashboard!$Q31,'Order Details'!$E:$E,"Yes",'Order Details'!$C:$C,'Master Data'!$C$4)+SUMIFS('Order Details'!$V:$V,'Order Details'!$N:$N,Dashboard!$Q31,'Order Details'!$E:$E,"Yes",'Order Details'!$C:$C,'Master Data'!$C$5)+SUMIFS('Order Details'!$V:$V,'Order Details'!$N:$N,Dashboard!$Q31,'Order Details'!$E:$E,"Yes",'Order Details'!$C:$C,'Master Data'!$C$6)+SUMIFS('Order Details'!$V:$V,'Order Details'!$N:$N,Dashboard!$Q31,'Order Details'!$E:$E,"Yes",'Order Details'!$C:$C,'Master Data'!$C$7)</f>
        <v>0</v>
      </c>
    </row>
    <row r="32" spans="3:29" x14ac:dyDescent="0.3">
      <c r="Q32" s="153" t="s">
        <v>435</v>
      </c>
      <c r="R32" s="154">
        <f>SUMIFS('Order Details'!$Q:$Q,'Order Details'!$N:$N,Dashboard!$Q32,'Order Details'!$E:$E,"Yes",'Order Details'!$C:$C,'Master Data'!$C$4)+SUMIFS('Order Details'!$Q:$Q,'Order Details'!$N:$N,Dashboard!$Q32,'Order Details'!$E:$E,"Yes",'Order Details'!$C:$C,'Master Data'!$C$5)+SUMIFS('Order Details'!$Q:$Q,'Order Details'!$N:$N,Dashboard!$Q32,'Order Details'!$E:$E,"Yes",'Order Details'!$C:$C,'Master Data'!$C$6)+SUMIFS('Order Details'!$Q:$Q,'Order Details'!$N:$N,Dashboard!$Q32,'Order Details'!$E:$E,"Yes",'Order Details'!$C:$C,'Master Data'!$C$7)</f>
        <v>7750</v>
      </c>
      <c r="S32" s="154">
        <f>SUMIFS('Order Details'!$O:$O,'Order Details'!$N:$N,Dashboard!$Q32,'Order Details'!$E:$E,"Yes",'Order Details'!$C:$C,'Master Data'!$C$4)+SUMIFS('Order Details'!$O:$O,'Order Details'!$N:$N,Dashboard!$Q32,'Order Details'!$E:$E,"Yes",'Order Details'!$C:$C,'Master Data'!$C$5)+SUMIFS('Order Details'!$O:$O,'Order Details'!$N:$N,Dashboard!$Q32,'Order Details'!$E:$E,"Yes",'Order Details'!$C:$C,'Master Data'!$C$6)+SUMIFS('Order Details'!$O:$O,'Order Details'!$N:$N,Dashboard!$Q32,'Order Details'!$E:$E,"Yes",'Order Details'!$C:$C,'Master Data'!$C$7)</f>
        <v>266.98100000000005</v>
      </c>
      <c r="T32" s="155">
        <f>SUMIFS('Order Details'!$P:$P,'Order Details'!$N:$N,Dashboard!$Q32,'Order Details'!$E:$E,"Yes",'Order Details'!$C:$C,'Master Data'!$C$4)+SUMIFS('Order Details'!$P:$P,'Order Details'!$N:$N,Dashboard!$Q32,'Order Details'!$E:$E,"Yes",'Order Details'!$C:$C,'Master Data'!$C$5)+SUMIFS('Order Details'!$P:$P,'Order Details'!$N:$N,Dashboard!$Q32,'Order Details'!$E:$E,"Yes",'Order Details'!$C:$C,'Master Data'!$C$6)+SUMIFS('Order Details'!$P:$P,'Order Details'!$N:$N,Dashboard!$Q32,'Order Details'!$E:$E,"Yes",'Order Details'!$C:$C,'Master Data'!$C$7)</f>
        <v>24826.980750000002</v>
      </c>
      <c r="U32" s="210">
        <f>SUMIFS('Order Details'!$V:$V,'Order Details'!$N:$N,Dashboard!$Q32,'Order Details'!$E:$E,"Yes",'Order Details'!$C:$C,'Master Data'!$C$4)+SUMIFS('Order Details'!$V:$V,'Order Details'!$N:$N,Dashboard!$Q32,'Order Details'!$E:$E,"Yes",'Order Details'!$C:$C,'Master Data'!$C$5)+SUMIFS('Order Details'!$V:$V,'Order Details'!$N:$N,Dashboard!$Q32,'Order Details'!$E:$E,"Yes",'Order Details'!$C:$C,'Master Data'!$C$6)+SUMIFS('Order Details'!$V:$V,'Order Details'!$N:$N,Dashboard!$Q32,'Order Details'!$E:$E,"Yes",'Order Details'!$C:$C,'Master Data'!$C$7)</f>
        <v>203450.98340250002</v>
      </c>
    </row>
    <row r="33" spans="17:21" x14ac:dyDescent="0.3">
      <c r="Q33" s="144" t="s">
        <v>436</v>
      </c>
      <c r="R33" s="154">
        <f>SUMIFS('Order Details'!$Q:$Q,'Order Details'!$N:$N,Dashboard!$Q33,'Order Details'!$E:$E,"Yes",'Order Details'!$C:$C,'Master Data'!$C$4)+SUMIFS('Order Details'!$Q:$Q,'Order Details'!$N:$N,Dashboard!$Q33,'Order Details'!$E:$E,"Yes",'Order Details'!$C:$C,'Master Data'!$C$5)+SUMIFS('Order Details'!$Q:$Q,'Order Details'!$N:$N,Dashboard!$Q33,'Order Details'!$E:$E,"Yes",'Order Details'!$C:$C,'Master Data'!$C$6)+SUMIFS('Order Details'!$Q:$Q,'Order Details'!$N:$N,Dashboard!$Q33,'Order Details'!$E:$E,"Yes",'Order Details'!$C:$C,'Master Data'!$C$7)</f>
        <v>2800</v>
      </c>
      <c r="S33" s="154">
        <f>SUMIFS('Order Details'!$O:$O,'Order Details'!$N:$N,Dashboard!$Q33,'Order Details'!$E:$E,"Yes",'Order Details'!$C:$C,'Master Data'!$C$4)+SUMIFS('Order Details'!$O:$O,'Order Details'!$N:$N,Dashboard!$Q33,'Order Details'!$E:$E,"Yes",'Order Details'!$C:$C,'Master Data'!$C$5)+SUMIFS('Order Details'!$O:$O,'Order Details'!$N:$N,Dashboard!$Q33,'Order Details'!$E:$E,"Yes",'Order Details'!$C:$C,'Master Data'!$C$6)+SUMIFS('Order Details'!$O:$O,'Order Details'!$N:$N,Dashboard!$Q33,'Order Details'!$E:$E,"Yes",'Order Details'!$C:$C,'Master Data'!$C$7)</f>
        <v>93.609999999999985</v>
      </c>
      <c r="T33" s="155">
        <f>SUMIFS('Order Details'!$P:$P,'Order Details'!$N:$N,Dashboard!$Q33,'Order Details'!$E:$E,"Yes",'Order Details'!$C:$C,'Master Data'!$C$4)+SUMIFS('Order Details'!$P:$P,'Order Details'!$N:$N,Dashboard!$Q33,'Order Details'!$E:$E,"Yes",'Order Details'!$C:$C,'Master Data'!$C$5)+SUMIFS('Order Details'!$P:$P,'Order Details'!$N:$N,Dashboard!$Q33,'Order Details'!$E:$E,"Yes",'Order Details'!$C:$C,'Master Data'!$C$6)+SUMIFS('Order Details'!$P:$P,'Order Details'!$N:$N,Dashboard!$Q33,'Order Details'!$E:$E,"Yes",'Order Details'!$C:$C,'Master Data'!$C$7)</f>
        <v>8705.0400000000009</v>
      </c>
      <c r="U33" s="210">
        <f>SUMIFS('Order Details'!$V:$V,'Order Details'!$N:$N,Dashboard!$Q33,'Order Details'!$E:$E,"Yes",'Order Details'!$C:$C,'Master Data'!$C$4)+SUMIFS('Order Details'!$V:$V,'Order Details'!$N:$N,Dashboard!$Q33,'Order Details'!$E:$E,"Yes",'Order Details'!$C:$C,'Master Data'!$C$5)+SUMIFS('Order Details'!$V:$V,'Order Details'!$N:$N,Dashboard!$Q33,'Order Details'!$E:$E,"Yes",'Order Details'!$C:$C,'Master Data'!$C$6)+SUMIFS('Order Details'!$V:$V,'Order Details'!$N:$N,Dashboard!$Q33,'Order Details'!$E:$E,"Yes",'Order Details'!$C:$C,'Master Data'!$C$7)</f>
        <v>71990.680800000002</v>
      </c>
    </row>
    <row r="34" spans="17:21" x14ac:dyDescent="0.3">
      <c r="Q34" s="144" t="s">
        <v>438</v>
      </c>
      <c r="R34" s="154">
        <f>SUMIFS('Order Details'!$Q:$Q,'Order Details'!$N:$N,Dashboard!$Q34,'Order Details'!$E:$E,"Yes",'Order Details'!$C:$C,'Master Data'!$C$4)+SUMIFS('Order Details'!$Q:$Q,'Order Details'!$N:$N,Dashboard!$Q34,'Order Details'!$E:$E,"Yes",'Order Details'!$C:$C,'Master Data'!$C$5)+SUMIFS('Order Details'!$Q:$Q,'Order Details'!$N:$N,Dashboard!$Q34,'Order Details'!$E:$E,"Yes",'Order Details'!$C:$C,'Master Data'!$C$6)+SUMIFS('Order Details'!$Q:$Q,'Order Details'!$N:$N,Dashboard!$Q34,'Order Details'!$E:$E,"Yes",'Order Details'!$C:$C,'Master Data'!$C$7)</f>
        <v>0</v>
      </c>
      <c r="S34" s="154">
        <f>SUMIFS('Order Details'!$O:$O,'Order Details'!$N:$N,Dashboard!$Q34,'Order Details'!$E:$E,"Yes",'Order Details'!$C:$C,'Master Data'!$C$4)+SUMIFS('Order Details'!$O:$O,'Order Details'!$N:$N,Dashboard!$Q34,'Order Details'!$E:$E,"Yes",'Order Details'!$C:$C,'Master Data'!$C$5)+SUMIFS('Order Details'!$O:$O,'Order Details'!$N:$N,Dashboard!$Q34,'Order Details'!$E:$E,"Yes",'Order Details'!$C:$C,'Master Data'!$C$6)+SUMIFS('Order Details'!$O:$O,'Order Details'!$N:$N,Dashboard!$Q34,'Order Details'!$E:$E,"Yes",'Order Details'!$C:$C,'Master Data'!$C$7)</f>
        <v>0</v>
      </c>
      <c r="T34" s="155">
        <f>SUMIFS('Order Details'!$P:$P,'Order Details'!$N:$N,Dashboard!$Q34,'Order Details'!$E:$E,"Yes",'Order Details'!$C:$C,'Master Data'!$C$4)+SUMIFS('Order Details'!$P:$P,'Order Details'!$N:$N,Dashboard!$Q34,'Order Details'!$E:$E,"Yes",'Order Details'!$C:$C,'Master Data'!$C$5)+SUMIFS('Order Details'!$P:$P,'Order Details'!$N:$N,Dashboard!$Q34,'Order Details'!$E:$E,"Yes",'Order Details'!$C:$C,'Master Data'!$C$6)+SUMIFS('Order Details'!$P:$P,'Order Details'!$N:$N,Dashboard!$Q34,'Order Details'!$E:$E,"Yes",'Order Details'!$C:$C,'Master Data'!$C$7)</f>
        <v>0</v>
      </c>
      <c r="U34" s="210">
        <f>SUMIFS('Order Details'!$V:$V,'Order Details'!$N:$N,Dashboard!$Q34,'Order Details'!$E:$E,"Yes",'Order Details'!$C:$C,'Master Data'!$C$4)+SUMIFS('Order Details'!$V:$V,'Order Details'!$N:$N,Dashboard!$Q34,'Order Details'!$E:$E,"Yes",'Order Details'!$C:$C,'Master Data'!$C$5)+SUMIFS('Order Details'!$V:$V,'Order Details'!$N:$N,Dashboard!$Q34,'Order Details'!$E:$E,"Yes",'Order Details'!$C:$C,'Master Data'!$C$6)+SUMIFS('Order Details'!$V:$V,'Order Details'!$N:$N,Dashboard!$Q34,'Order Details'!$E:$E,"Yes",'Order Details'!$C:$C,'Master Data'!$C$7)</f>
        <v>0</v>
      </c>
    </row>
    <row r="35" spans="17:21" x14ac:dyDescent="0.3">
      <c r="Q35" s="144" t="s">
        <v>508</v>
      </c>
      <c r="R35" s="154">
        <f>SUMIFS('Order Details'!$Q:$Q,'Order Details'!$N:$N,Dashboard!$Q35,'Order Details'!$E:$E,"Yes",'Order Details'!$C:$C,'Master Data'!$C$4)+SUMIFS('Order Details'!$Q:$Q,'Order Details'!$N:$N,Dashboard!$Q35,'Order Details'!$E:$E,"Yes",'Order Details'!$C:$C,'Master Data'!$C$5)+SUMIFS('Order Details'!$Q:$Q,'Order Details'!$N:$N,Dashboard!$Q35,'Order Details'!$E:$E,"Yes",'Order Details'!$C:$C,'Master Data'!$C$6)+SUMIFS('Order Details'!$Q:$Q,'Order Details'!$N:$N,Dashboard!$Q35,'Order Details'!$E:$E,"Yes",'Order Details'!$C:$C,'Master Data'!$C$7)</f>
        <v>2400</v>
      </c>
      <c r="S35" s="154">
        <f>SUMIFS('Order Details'!$O:$O,'Order Details'!$N:$N,Dashboard!$Q35,'Order Details'!$E:$E,"Yes",'Order Details'!$C:$C,'Master Data'!$C$4)+SUMIFS('Order Details'!$O:$O,'Order Details'!$N:$N,Dashboard!$Q35,'Order Details'!$E:$E,"Yes",'Order Details'!$C:$C,'Master Data'!$C$5)+SUMIFS('Order Details'!$O:$O,'Order Details'!$N:$N,Dashboard!$Q35,'Order Details'!$E:$E,"Yes",'Order Details'!$C:$C,'Master Data'!$C$6)+SUMIFS('Order Details'!$O:$O,'Order Details'!$N:$N,Dashboard!$Q35,'Order Details'!$E:$E,"Yes",'Order Details'!$C:$C,'Master Data'!$C$7)</f>
        <v>80.168999999999997</v>
      </c>
      <c r="T35" s="155">
        <f>SUMIFS('Order Details'!$P:$P,'Order Details'!$N:$N,Dashboard!$Q35,'Order Details'!$E:$E,"Yes",'Order Details'!$C:$C,'Master Data'!$C$4)+SUMIFS('Order Details'!$P:$P,'Order Details'!$N:$N,Dashboard!$Q35,'Order Details'!$E:$E,"Yes",'Order Details'!$C:$C,'Master Data'!$C$5)+SUMIFS('Order Details'!$P:$P,'Order Details'!$N:$N,Dashboard!$Q35,'Order Details'!$E:$E,"Yes",'Order Details'!$C:$C,'Master Data'!$C$6)+SUMIFS('Order Details'!$P:$P,'Order Details'!$N:$N,Dashboard!$Q35,'Order Details'!$E:$E,"Yes",'Order Details'!$C:$C,'Master Data'!$C$7)</f>
        <v>7455.0600000000013</v>
      </c>
      <c r="U35" s="210">
        <f>SUMIFS('Order Details'!$V:$V,'Order Details'!$N:$N,Dashboard!$Q35,'Order Details'!$E:$E,"Yes",'Order Details'!$C:$C,'Master Data'!$C$4)+SUMIFS('Order Details'!$V:$V,'Order Details'!$N:$N,Dashboard!$Q35,'Order Details'!$E:$E,"Yes",'Order Details'!$C:$C,'Master Data'!$C$5)+SUMIFS('Order Details'!$V:$V,'Order Details'!$N:$N,Dashboard!$Q35,'Order Details'!$E:$E,"Yes",'Order Details'!$C:$C,'Master Data'!$C$6)+SUMIFS('Order Details'!$V:$V,'Order Details'!$N:$N,Dashboard!$Q35,'Order Details'!$E:$E,"Yes",'Order Details'!$C:$C,'Master Data'!$C$7)</f>
        <v>61653.3462</v>
      </c>
    </row>
    <row r="36" spans="17:21" x14ac:dyDescent="0.3">
      <c r="Q36" s="144" t="s">
        <v>439</v>
      </c>
      <c r="R36" s="154">
        <f>SUMIFS('Order Details'!$Q:$Q,'Order Details'!$N:$N,Dashboard!$Q36,'Order Details'!$E:$E,"Yes",'Order Details'!$C:$C,'Master Data'!$C$4)+SUMIFS('Order Details'!$Q:$Q,'Order Details'!$N:$N,Dashboard!$Q36,'Order Details'!$E:$E,"Yes",'Order Details'!$C:$C,'Master Data'!$C$5)+SUMIFS('Order Details'!$Q:$Q,'Order Details'!$N:$N,Dashboard!$Q36,'Order Details'!$E:$E,"Yes",'Order Details'!$C:$C,'Master Data'!$C$6)+SUMIFS('Order Details'!$Q:$Q,'Order Details'!$N:$N,Dashboard!$Q36,'Order Details'!$E:$E,"Yes",'Order Details'!$C:$C,'Master Data'!$C$7)</f>
        <v>0</v>
      </c>
      <c r="S36" s="154">
        <f>SUMIFS('Order Details'!$O:$O,'Order Details'!$N:$N,Dashboard!$Q36,'Order Details'!$E:$E,"Yes",'Order Details'!$C:$C,'Master Data'!$C$4)+SUMIFS('Order Details'!$O:$O,'Order Details'!$N:$N,Dashboard!$Q36,'Order Details'!$E:$E,"Yes",'Order Details'!$C:$C,'Master Data'!$C$5)+SUMIFS('Order Details'!$O:$O,'Order Details'!$N:$N,Dashboard!$Q36,'Order Details'!$E:$E,"Yes",'Order Details'!$C:$C,'Master Data'!$C$6)+SUMIFS('Order Details'!$O:$O,'Order Details'!$N:$N,Dashboard!$Q36,'Order Details'!$E:$E,"Yes",'Order Details'!$C:$C,'Master Data'!$C$7)</f>
        <v>0</v>
      </c>
      <c r="T36" s="155">
        <f>SUMIFS('Order Details'!$P:$P,'Order Details'!$N:$N,Dashboard!$Q36,'Order Details'!$E:$E,"Yes",'Order Details'!$C:$C,'Master Data'!$C$4)+SUMIFS('Order Details'!$P:$P,'Order Details'!$N:$N,Dashboard!$Q36,'Order Details'!$E:$E,"Yes",'Order Details'!$C:$C,'Master Data'!$C$5)+SUMIFS('Order Details'!$P:$P,'Order Details'!$N:$N,Dashboard!$Q36,'Order Details'!$E:$E,"Yes",'Order Details'!$C:$C,'Master Data'!$C$6)+SUMIFS('Order Details'!$P:$P,'Order Details'!$N:$N,Dashboard!$Q36,'Order Details'!$E:$E,"Yes",'Order Details'!$C:$C,'Master Data'!$C$7)</f>
        <v>0</v>
      </c>
      <c r="U36" s="210">
        <f>SUMIFS('Order Details'!$V:$V,'Order Details'!$N:$N,Dashboard!$Q36,'Order Details'!$E:$E,"Yes",'Order Details'!$C:$C,'Master Data'!$C$4)+SUMIFS('Order Details'!$V:$V,'Order Details'!$N:$N,Dashboard!$Q36,'Order Details'!$E:$E,"Yes",'Order Details'!$C:$C,'Master Data'!$C$5)+SUMIFS('Order Details'!$V:$V,'Order Details'!$N:$N,Dashboard!$Q36,'Order Details'!$E:$E,"Yes",'Order Details'!$C:$C,'Master Data'!$C$6)+SUMIFS('Order Details'!$V:$V,'Order Details'!$N:$N,Dashboard!$Q36,'Order Details'!$E:$E,"Yes",'Order Details'!$C:$C,'Master Data'!$C$7)</f>
        <v>0</v>
      </c>
    </row>
    <row r="37" spans="17:21" x14ac:dyDescent="0.3">
      <c r="Q37" s="144" t="s">
        <v>442</v>
      </c>
      <c r="R37" s="154">
        <f>SUMIFS('Order Details'!$Q:$Q,'Order Details'!$N:$N,Dashboard!$Q37,'Order Details'!$E:$E,"Yes",'Order Details'!$C:$C,'Master Data'!$C$4)+SUMIFS('Order Details'!$Q:$Q,'Order Details'!$N:$N,Dashboard!$Q37,'Order Details'!$E:$E,"Yes",'Order Details'!$C:$C,'Master Data'!$C$5)+SUMIFS('Order Details'!$Q:$Q,'Order Details'!$N:$N,Dashboard!$Q37,'Order Details'!$E:$E,"Yes",'Order Details'!$C:$C,'Master Data'!$C$6)+SUMIFS('Order Details'!$Q:$Q,'Order Details'!$N:$N,Dashboard!$Q37,'Order Details'!$E:$E,"Yes",'Order Details'!$C:$C,'Master Data'!$C$7)</f>
        <v>0</v>
      </c>
      <c r="S37" s="154">
        <f>SUMIFS('Order Details'!$O:$O,'Order Details'!$N:$N,Dashboard!$Q37,'Order Details'!$E:$E,"Yes",'Order Details'!$C:$C,'Master Data'!$C$4)+SUMIFS('Order Details'!$O:$O,'Order Details'!$N:$N,Dashboard!$Q37,'Order Details'!$E:$E,"Yes",'Order Details'!$C:$C,'Master Data'!$C$5)+SUMIFS('Order Details'!$O:$O,'Order Details'!$N:$N,Dashboard!$Q37,'Order Details'!$E:$E,"Yes",'Order Details'!$C:$C,'Master Data'!$C$6)+SUMIFS('Order Details'!$O:$O,'Order Details'!$N:$N,Dashboard!$Q37,'Order Details'!$E:$E,"Yes",'Order Details'!$C:$C,'Master Data'!$C$7)</f>
        <v>0</v>
      </c>
      <c r="T37" s="155">
        <f>SUMIFS('Order Details'!$P:$P,'Order Details'!$N:$N,Dashboard!$Q37,'Order Details'!$E:$E,"Yes",'Order Details'!$C:$C,'Master Data'!$C$4)+SUMIFS('Order Details'!$P:$P,'Order Details'!$N:$N,Dashboard!$Q37,'Order Details'!$E:$E,"Yes",'Order Details'!$C:$C,'Master Data'!$C$5)+SUMIFS('Order Details'!$P:$P,'Order Details'!$N:$N,Dashboard!$Q37,'Order Details'!$E:$E,"Yes",'Order Details'!$C:$C,'Master Data'!$C$6)+SUMIFS('Order Details'!$P:$P,'Order Details'!$N:$N,Dashboard!$Q37,'Order Details'!$E:$E,"Yes",'Order Details'!$C:$C,'Master Data'!$C$7)</f>
        <v>0</v>
      </c>
      <c r="U37" s="210">
        <f>SUMIFS('Order Details'!$V:$V,'Order Details'!$N:$N,Dashboard!$Q37,'Order Details'!$E:$E,"Yes",'Order Details'!$C:$C,'Master Data'!$C$4)+SUMIFS('Order Details'!$V:$V,'Order Details'!$N:$N,Dashboard!$Q37,'Order Details'!$E:$E,"Yes",'Order Details'!$C:$C,'Master Data'!$C$5)+SUMIFS('Order Details'!$V:$V,'Order Details'!$N:$N,Dashboard!$Q37,'Order Details'!$E:$E,"Yes",'Order Details'!$C:$C,'Master Data'!$C$6)+SUMIFS('Order Details'!$V:$V,'Order Details'!$N:$N,Dashboard!$Q37,'Order Details'!$E:$E,"Yes",'Order Details'!$C:$C,'Master Data'!$C$7)</f>
        <v>0</v>
      </c>
    </row>
    <row r="38" spans="17:21" ht="15" thickBot="1" x14ac:dyDescent="0.35">
      <c r="Q38" s="145" t="s">
        <v>444</v>
      </c>
      <c r="R38" s="209">
        <f>SUMIFS('Order Details'!$Q:$Q,'Order Details'!$N:$N,Dashboard!$Q38,'Order Details'!$E:$E,"Yes",'Order Details'!$C:$C,'Master Data'!$C$4)+SUMIFS('Order Details'!$Q:$Q,'Order Details'!$N:$N,Dashboard!$Q38,'Order Details'!$E:$E,"Yes",'Order Details'!$C:$C,'Master Data'!$C$5)+SUMIFS('Order Details'!$Q:$Q,'Order Details'!$N:$N,Dashboard!$Q38,'Order Details'!$E:$E,"Yes",'Order Details'!$C:$C,'Master Data'!$C$6)+SUMIFS('Order Details'!$Q:$Q,'Order Details'!$N:$N,Dashboard!$Q38,'Order Details'!$E:$E,"Yes",'Order Details'!$C:$C,'Master Data'!$C$7)</f>
        <v>0</v>
      </c>
      <c r="S38" s="150">
        <f>SUMIFS('Order Details'!$O:$O,'Order Details'!$N:$N,Dashboard!$Q38,'Order Details'!$E:$E,"Yes",'Order Details'!$C:$C,'Master Data'!$C$4)+SUMIFS('Order Details'!$O:$O,'Order Details'!$N:$N,Dashboard!$Q38,'Order Details'!$E:$E,"Yes",'Order Details'!$C:$C,'Master Data'!$C$5)+SUMIFS('Order Details'!$O:$O,'Order Details'!$N:$N,Dashboard!$Q38,'Order Details'!$E:$E,"Yes",'Order Details'!$C:$C,'Master Data'!$C$6)+SUMIFS('Order Details'!$O:$O,'Order Details'!$N:$N,Dashboard!$Q38,'Order Details'!$E:$E,"Yes",'Order Details'!$C:$C,'Master Data'!$C$7)</f>
        <v>0</v>
      </c>
      <c r="T38" s="156">
        <f>SUMIFS('Order Details'!$P:$P,'Order Details'!$N:$N,Dashboard!$Q38,'Order Details'!$E:$E,"Yes",'Order Details'!$C:$C,'Master Data'!$C$4)+SUMIFS('Order Details'!$P:$P,'Order Details'!$N:$N,Dashboard!$Q38,'Order Details'!$E:$E,"Yes",'Order Details'!$C:$C,'Master Data'!$C$5)+SUMIFS('Order Details'!$P:$P,'Order Details'!$N:$N,Dashboard!$Q38,'Order Details'!$E:$E,"Yes",'Order Details'!$C:$C,'Master Data'!$C$6)+SUMIFS('Order Details'!$P:$P,'Order Details'!$N:$N,Dashboard!$Q38,'Order Details'!$E:$E,"Yes",'Order Details'!$C:$C,'Master Data'!$C$7)</f>
        <v>0</v>
      </c>
      <c r="U38" s="213">
        <f>SUMIFS('Order Details'!$V:$V,'Order Details'!$N:$N,Dashboard!$Q38,'Order Details'!$E:$E,"Yes",'Order Details'!$C:$C,'Master Data'!$C$4)+SUMIFS('Order Details'!$V:$V,'Order Details'!$N:$N,Dashboard!$Q38,'Order Details'!$E:$E,"Yes",'Order Details'!$C:$C,'Master Data'!$C$5)+SUMIFS('Order Details'!$V:$V,'Order Details'!$N:$N,Dashboard!$Q38,'Order Details'!$E:$E,"Yes",'Order Details'!$C:$C,'Master Data'!$C$6)+SUMIFS('Order Details'!$V:$V,'Order Details'!$N:$N,Dashboard!$Q38,'Order Details'!$E:$E,"Yes",'Order Details'!$C:$C,'Master Data'!$C$7)</f>
        <v>0</v>
      </c>
    </row>
    <row r="39" spans="17:21" ht="15.6" thickTop="1" thickBot="1" x14ac:dyDescent="0.35">
      <c r="Q39" s="146" t="s">
        <v>417</v>
      </c>
      <c r="R39" s="157">
        <f>SUM(R24:R38)</f>
        <v>165100</v>
      </c>
      <c r="S39" s="157">
        <f>SUM(S24:S38)</f>
        <v>5626.8630000000003</v>
      </c>
      <c r="T39" s="158">
        <f>SUM(T24:T38)</f>
        <v>523244.4915</v>
      </c>
      <c r="U39" s="211">
        <f>SUM(U24:U38)</f>
        <v>4085714.2801650008</v>
      </c>
    </row>
    <row r="41" spans="17:21" ht="15" thickBot="1" x14ac:dyDescent="0.35"/>
    <row r="42" spans="17:21" ht="15" thickBot="1" x14ac:dyDescent="0.35">
      <c r="Q42" s="312" t="s">
        <v>448</v>
      </c>
      <c r="R42" s="313"/>
      <c r="S42" s="313"/>
      <c r="T42" s="313"/>
      <c r="U42" s="314"/>
    </row>
    <row r="43" spans="17:21" ht="28.8" x14ac:dyDescent="0.3">
      <c r="Q43" s="170" t="s">
        <v>418</v>
      </c>
      <c r="R43" s="151" t="s">
        <v>326</v>
      </c>
      <c r="S43" s="151" t="s">
        <v>419</v>
      </c>
      <c r="T43" s="152" t="s">
        <v>420</v>
      </c>
      <c r="U43" s="212" t="s">
        <v>421</v>
      </c>
    </row>
    <row r="44" spans="17:21" x14ac:dyDescent="0.3">
      <c r="Q44" s="153" t="s">
        <v>422</v>
      </c>
      <c r="R44" s="154">
        <f t="shared" ref="R44:U58" si="6">R4-R24</f>
        <v>51000</v>
      </c>
      <c r="S44" s="154">
        <f t="shared" si="6"/>
        <v>1807.694</v>
      </c>
      <c r="T44" s="155">
        <f t="shared" si="6"/>
        <v>165508.05900000018</v>
      </c>
      <c r="U44" s="210">
        <f t="shared" si="6"/>
        <v>1246274.2636099989</v>
      </c>
    </row>
    <row r="45" spans="17:21" x14ac:dyDescent="0.3">
      <c r="Q45" s="153" t="s">
        <v>424</v>
      </c>
      <c r="R45" s="154">
        <f t="shared" si="6"/>
        <v>55750</v>
      </c>
      <c r="S45" s="154">
        <f t="shared" si="6"/>
        <v>1934.6853333333347</v>
      </c>
      <c r="T45" s="155">
        <f t="shared" si="6"/>
        <v>179596.66575000025</v>
      </c>
      <c r="U45" s="210">
        <f t="shared" si="6"/>
        <v>1353851.1246974973</v>
      </c>
    </row>
    <row r="46" spans="17:21" x14ac:dyDescent="0.3">
      <c r="Q46" s="153" t="s">
        <v>507</v>
      </c>
      <c r="R46" s="154">
        <f t="shared" si="6"/>
        <v>45450</v>
      </c>
      <c r="S46" s="154">
        <f t="shared" si="6"/>
        <v>1591.4813333333323</v>
      </c>
      <c r="T46" s="155">
        <f t="shared" si="6"/>
        <v>147679.47225000011</v>
      </c>
      <c r="U46" s="210">
        <f t="shared" si="6"/>
        <v>1112769.1516424986</v>
      </c>
    </row>
    <row r="47" spans="17:21" x14ac:dyDescent="0.3">
      <c r="Q47" s="153" t="s">
        <v>338</v>
      </c>
      <c r="R47" s="154">
        <f t="shared" si="6"/>
        <v>51200</v>
      </c>
      <c r="S47" s="154">
        <f t="shared" si="6"/>
        <v>1762.7443333333329</v>
      </c>
      <c r="T47" s="155">
        <f t="shared" si="6"/>
        <v>163609.4340000001</v>
      </c>
      <c r="U47" s="210">
        <f t="shared" si="6"/>
        <v>1323409.7647800001</v>
      </c>
    </row>
    <row r="48" spans="17:21" x14ac:dyDescent="0.3">
      <c r="Q48" s="144" t="s">
        <v>427</v>
      </c>
      <c r="R48" s="154">
        <f t="shared" si="6"/>
        <v>7800</v>
      </c>
      <c r="S48" s="154">
        <f t="shared" si="6"/>
        <v>261.74166666666667</v>
      </c>
      <c r="T48" s="155">
        <f t="shared" si="6"/>
        <v>24338.505000000005</v>
      </c>
      <c r="U48" s="210">
        <f t="shared" si="6"/>
        <v>196411.73535000003</v>
      </c>
    </row>
    <row r="49" spans="17:21" x14ac:dyDescent="0.3">
      <c r="Q49" s="144" t="s">
        <v>429</v>
      </c>
      <c r="R49" s="154">
        <f t="shared" si="6"/>
        <v>600</v>
      </c>
      <c r="S49" s="154">
        <f t="shared" si="6"/>
        <v>20.484999999999999</v>
      </c>
      <c r="T49" s="155">
        <f t="shared" si="6"/>
        <v>1904.8500000000001</v>
      </c>
      <c r="U49" s="210">
        <f t="shared" si="6"/>
        <v>14343.520500000002</v>
      </c>
    </row>
    <row r="50" spans="17:21" x14ac:dyDescent="0.3">
      <c r="Q50" s="153" t="s">
        <v>430</v>
      </c>
      <c r="R50" s="154">
        <f t="shared" si="6"/>
        <v>1000</v>
      </c>
      <c r="S50" s="154">
        <f t="shared" si="6"/>
        <v>34.300333333333469</v>
      </c>
      <c r="T50" s="155">
        <f t="shared" si="6"/>
        <v>3189.6899999999987</v>
      </c>
      <c r="U50" s="210">
        <f t="shared" si="6"/>
        <v>24018.365700000024</v>
      </c>
    </row>
    <row r="51" spans="17:21" x14ac:dyDescent="0.3">
      <c r="Q51" s="144" t="s">
        <v>432</v>
      </c>
      <c r="R51" s="154">
        <f t="shared" si="6"/>
        <v>0</v>
      </c>
      <c r="S51" s="154">
        <f t="shared" si="6"/>
        <v>0</v>
      </c>
      <c r="T51" s="155">
        <f t="shared" si="6"/>
        <v>0</v>
      </c>
      <c r="U51" s="210">
        <f t="shared" si="6"/>
        <v>0</v>
      </c>
    </row>
    <row r="52" spans="17:21" x14ac:dyDescent="0.3">
      <c r="Q52" s="153" t="s">
        <v>435</v>
      </c>
      <c r="R52" s="154">
        <f t="shared" si="6"/>
        <v>1200</v>
      </c>
      <c r="S52" s="154">
        <f t="shared" si="6"/>
        <v>39.199333333333414</v>
      </c>
      <c r="T52" s="155">
        <f t="shared" si="6"/>
        <v>3645.3600000000042</v>
      </c>
      <c r="U52" s="210">
        <f t="shared" si="6"/>
        <v>29418.055199999973</v>
      </c>
    </row>
    <row r="53" spans="17:21" x14ac:dyDescent="0.3">
      <c r="Q53" s="144" t="s">
        <v>436</v>
      </c>
      <c r="R53" s="154">
        <f t="shared" si="6"/>
        <v>1400</v>
      </c>
      <c r="S53" s="154">
        <f t="shared" si="6"/>
        <v>45.733000000000004</v>
      </c>
      <c r="T53" s="155">
        <f t="shared" si="6"/>
        <v>4252.1730000000007</v>
      </c>
      <c r="U53" s="210">
        <f t="shared" si="6"/>
        <v>34315.036110000001</v>
      </c>
    </row>
    <row r="54" spans="17:21" x14ac:dyDescent="0.3">
      <c r="Q54" s="144" t="s">
        <v>438</v>
      </c>
      <c r="R54" s="154">
        <f t="shared" si="6"/>
        <v>1400</v>
      </c>
      <c r="S54" s="154">
        <f t="shared" si="6"/>
        <v>45.732999999999997</v>
      </c>
      <c r="T54" s="155">
        <f t="shared" si="6"/>
        <v>4252.1730000000007</v>
      </c>
      <c r="U54" s="210">
        <f t="shared" si="6"/>
        <v>34315.036110000008</v>
      </c>
    </row>
    <row r="55" spans="17:21" x14ac:dyDescent="0.3">
      <c r="Q55" s="144" t="s">
        <v>508</v>
      </c>
      <c r="R55" s="154">
        <f t="shared" si="6"/>
        <v>0</v>
      </c>
      <c r="S55" s="154">
        <f t="shared" si="6"/>
        <v>0</v>
      </c>
      <c r="T55" s="155">
        <f t="shared" si="6"/>
        <v>0</v>
      </c>
      <c r="U55" s="210">
        <f t="shared" si="6"/>
        <v>0</v>
      </c>
    </row>
    <row r="56" spans="17:21" x14ac:dyDescent="0.3">
      <c r="Q56" s="144" t="s">
        <v>439</v>
      </c>
      <c r="R56" s="154">
        <f t="shared" si="6"/>
        <v>0</v>
      </c>
      <c r="S56" s="154">
        <f t="shared" si="6"/>
        <v>0</v>
      </c>
      <c r="T56" s="155">
        <f t="shared" si="6"/>
        <v>0</v>
      </c>
      <c r="U56" s="210">
        <f t="shared" si="6"/>
        <v>0</v>
      </c>
    </row>
    <row r="57" spans="17:21" x14ac:dyDescent="0.3">
      <c r="Q57" s="144" t="s">
        <v>442</v>
      </c>
      <c r="R57" s="154">
        <f t="shared" si="6"/>
        <v>0</v>
      </c>
      <c r="S57" s="154">
        <f t="shared" si="6"/>
        <v>0</v>
      </c>
      <c r="T57" s="155">
        <f t="shared" si="6"/>
        <v>0</v>
      </c>
      <c r="U57" s="210">
        <f t="shared" si="6"/>
        <v>0</v>
      </c>
    </row>
    <row r="58" spans="17:21" ht="15" thickBot="1" x14ac:dyDescent="0.35">
      <c r="Q58" s="145" t="s">
        <v>444</v>
      </c>
      <c r="R58" s="209">
        <f t="shared" si="6"/>
        <v>0</v>
      </c>
      <c r="S58" s="150">
        <f t="shared" si="6"/>
        <v>0</v>
      </c>
      <c r="T58" s="156">
        <f t="shared" si="6"/>
        <v>0</v>
      </c>
      <c r="U58" s="213">
        <f t="shared" si="6"/>
        <v>0</v>
      </c>
    </row>
    <row r="59" spans="17:21" ht="15.6" thickTop="1" thickBot="1" x14ac:dyDescent="0.35">
      <c r="Q59" s="146" t="s">
        <v>417</v>
      </c>
      <c r="R59" s="157">
        <f>SUM(R44:R58)</f>
        <v>216800</v>
      </c>
      <c r="S59" s="157">
        <f>SUM(S44:S58)</f>
        <v>7543.7973333333339</v>
      </c>
      <c r="T59" s="158">
        <f>SUM(T44:T58)</f>
        <v>697976.38200000045</v>
      </c>
      <c r="U59" s="211">
        <f>SUM(U44:U58)</f>
        <v>5369126.0536999935</v>
      </c>
    </row>
  </sheetData>
  <mergeCells count="8">
    <mergeCell ref="Q2:U2"/>
    <mergeCell ref="Q22:U22"/>
    <mergeCell ref="Q42:U42"/>
    <mergeCell ref="AB22:AC22"/>
    <mergeCell ref="AB17:AC17"/>
    <mergeCell ref="AB13:AC13"/>
    <mergeCell ref="AB8:AC8"/>
    <mergeCell ref="AB4:A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99BA-E447-414C-87CB-4FA12FF179CA}">
  <sheetPr codeName="Sheet8"/>
  <dimension ref="B1:AC68"/>
  <sheetViews>
    <sheetView tabSelected="1" topLeftCell="A9" zoomScale="90" zoomScaleNormal="90" workbookViewId="0">
      <selection activeCell="P64" sqref="P64"/>
    </sheetView>
  </sheetViews>
  <sheetFormatPr defaultRowHeight="14.4" x14ac:dyDescent="0.3"/>
  <cols>
    <col min="3" max="3" width="23.88671875" bestFit="1" customWidth="1"/>
    <col min="14" max="14" width="9.44140625" bestFit="1" customWidth="1"/>
    <col min="18" max="18" width="23.77734375" bestFit="1" customWidth="1"/>
    <col min="29" max="29" width="9.44140625" bestFit="1" customWidth="1"/>
  </cols>
  <sheetData>
    <row r="1" spans="2:29" ht="15" thickBot="1" x14ac:dyDescent="0.35"/>
    <row r="2" spans="2:29" ht="15" thickBot="1" x14ac:dyDescent="0.35">
      <c r="B2" s="317" t="s">
        <v>498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9"/>
      <c r="Q2" s="317" t="s">
        <v>502</v>
      </c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9"/>
    </row>
    <row r="3" spans="2:29" ht="15" thickBot="1" x14ac:dyDescent="0.35">
      <c r="B3" s="320" t="s">
        <v>499</v>
      </c>
      <c r="C3" s="321"/>
      <c r="D3" s="320" t="s">
        <v>500</v>
      </c>
      <c r="E3" s="322"/>
      <c r="F3" s="322"/>
      <c r="G3" s="322"/>
      <c r="H3" s="322"/>
      <c r="I3" s="322"/>
      <c r="J3" s="322"/>
      <c r="K3" s="322"/>
      <c r="L3" s="322"/>
      <c r="M3" s="322"/>
      <c r="N3" s="321"/>
      <c r="Q3" s="320" t="s">
        <v>499</v>
      </c>
      <c r="R3" s="321"/>
      <c r="S3" s="320" t="s">
        <v>500</v>
      </c>
      <c r="T3" s="322"/>
      <c r="U3" s="322"/>
      <c r="V3" s="322"/>
      <c r="W3" s="322"/>
      <c r="X3" s="322"/>
      <c r="Y3" s="322"/>
      <c r="Z3" s="322"/>
      <c r="AA3" s="322"/>
      <c r="AB3" s="322"/>
      <c r="AC3" s="321"/>
    </row>
    <row r="4" spans="2:29" ht="78" thickBot="1" x14ac:dyDescent="0.35">
      <c r="B4" s="267" t="s">
        <v>501</v>
      </c>
      <c r="C4" s="268" t="s">
        <v>347</v>
      </c>
      <c r="D4" s="269" t="s">
        <v>155</v>
      </c>
      <c r="E4" s="270" t="s">
        <v>116</v>
      </c>
      <c r="F4" s="270" t="s">
        <v>58</v>
      </c>
      <c r="G4" s="270" t="s">
        <v>79</v>
      </c>
      <c r="H4" s="270" t="s">
        <v>70</v>
      </c>
      <c r="I4" s="270" t="s">
        <v>101</v>
      </c>
      <c r="J4" s="270" t="s">
        <v>160</v>
      </c>
      <c r="K4" s="270" t="s">
        <v>261</v>
      </c>
      <c r="L4" s="270" t="s">
        <v>280</v>
      </c>
      <c r="M4" s="271" t="s">
        <v>230</v>
      </c>
      <c r="N4" s="272" t="s">
        <v>417</v>
      </c>
      <c r="Q4" s="267" t="s">
        <v>501</v>
      </c>
      <c r="R4" s="268" t="s">
        <v>347</v>
      </c>
      <c r="S4" s="269" t="s">
        <v>155</v>
      </c>
      <c r="T4" s="270" t="s">
        <v>116</v>
      </c>
      <c r="U4" s="270" t="s">
        <v>58</v>
      </c>
      <c r="V4" s="270" t="s">
        <v>79</v>
      </c>
      <c r="W4" s="270" t="s">
        <v>70</v>
      </c>
      <c r="X4" s="270" t="s">
        <v>101</v>
      </c>
      <c r="Y4" s="270" t="s">
        <v>160</v>
      </c>
      <c r="Z4" s="270" t="s">
        <v>261</v>
      </c>
      <c r="AA4" s="270" t="s">
        <v>280</v>
      </c>
      <c r="AB4" s="294" t="s">
        <v>230</v>
      </c>
      <c r="AC4" s="272" t="s">
        <v>417</v>
      </c>
    </row>
    <row r="5" spans="2:29" ht="15" thickTop="1" x14ac:dyDescent="0.3">
      <c r="B5" s="273">
        <v>704984</v>
      </c>
      <c r="C5" s="274" t="str">
        <f>VLOOKUP($B5,'Pricing Table - eff 27-Jan-2026'!$A:$L,9,FALSE)&amp;""" "&amp;VLOOKUP($B5,'Pricing Table - eff 27-Jan-2026'!$A:$L,12,FALSE)</f>
        <v>84" GLOSSY BLACK</v>
      </c>
      <c r="D5" s="275">
        <f>SUMIFS('Order Details'!$Q:$Q,'Order Details'!$E:$E,"Yes",'Order Details'!$I:$I,'Item Summary'!$B5,'Order Details'!$F:$F,'Item Summary'!D$4,'Order Details'!$C:$C,"PO Received")+SUMIFS('Order Details'!$Q:$Q,'Order Details'!$E:$E,"Yes",'Order Details'!$I:$I,'Item Summary'!$B5,'Order Details'!$F:$F,'Item Summary'!D$4,'Order Details'!$C:$C,"Proforma Invoice Sent")+SUMIFS('Order Details'!$Q:$Q,'Order Details'!$E:$E,"Yes",'Order Details'!$I:$I,'Item Summary'!$B5,'Order Details'!$F:$F,'Item Summary'!D$4,'Order Details'!$C:$C,"Downpayment Received")+SUMIFS('Order Details'!$Q:$Q,'Order Details'!$E:$E,"Yes",'Order Details'!$I:$I,'Item Summary'!$B5,'Order Details'!$F:$F,'Item Summary'!D$4,'Order Details'!$C:$C,"In Production")</f>
        <v>0</v>
      </c>
      <c r="E5" s="275">
        <f>SUMIFS('Order Details'!$Q:$Q,'Order Details'!$E:$E,"Yes",'Order Details'!$I:$I,'Item Summary'!$B5,'Order Details'!$F:$F,'Item Summary'!E$4,'Order Details'!$C:$C,"PO Received")+SUMIFS('Order Details'!$Q:$Q,'Order Details'!$E:$E,"Yes",'Order Details'!$I:$I,'Item Summary'!$B5,'Order Details'!$F:$F,'Item Summary'!E$4,'Order Details'!$C:$C,"Proforma Invoice Sent")+SUMIFS('Order Details'!$Q:$Q,'Order Details'!$E:$E,"Yes",'Order Details'!$I:$I,'Item Summary'!$B5,'Order Details'!$F:$F,'Item Summary'!E$4,'Order Details'!$C:$C,"Downpayment Received")+SUMIFS('Order Details'!$Q:$Q,'Order Details'!$E:$E,"Yes",'Order Details'!$I:$I,'Item Summary'!$B5,'Order Details'!$F:$F,'Item Summary'!E$4,'Order Details'!$C:$C,"In Production")</f>
        <v>0</v>
      </c>
      <c r="F5" s="275">
        <f>SUMIFS('Order Details'!$Q:$Q,'Order Details'!$E:$E,"Yes",'Order Details'!$I:$I,'Item Summary'!$B5,'Order Details'!$F:$F,'Item Summary'!F$4,'Order Details'!$C:$C,"PO Received")+SUMIFS('Order Details'!$Q:$Q,'Order Details'!$E:$E,"Yes",'Order Details'!$I:$I,'Item Summary'!$B5,'Order Details'!$F:$F,'Item Summary'!F$4,'Order Details'!$C:$C,"Proforma Invoice Sent")+SUMIFS('Order Details'!$Q:$Q,'Order Details'!$E:$E,"Yes",'Order Details'!$I:$I,'Item Summary'!$B5,'Order Details'!$F:$F,'Item Summary'!F$4,'Order Details'!$C:$C,"Downpayment Received")+SUMIFS('Order Details'!$Q:$Q,'Order Details'!$E:$E,"Yes",'Order Details'!$I:$I,'Item Summary'!$B5,'Order Details'!$F:$F,'Item Summary'!F$4,'Order Details'!$C:$C,"In Production")</f>
        <v>0</v>
      </c>
      <c r="G5" s="275">
        <f>SUMIFS('Order Details'!$Q:$Q,'Order Details'!$E:$E,"Yes",'Order Details'!$I:$I,'Item Summary'!$B5,'Order Details'!$F:$F,'Item Summary'!G$4,'Order Details'!$C:$C,"PO Received")+SUMIFS('Order Details'!$Q:$Q,'Order Details'!$E:$E,"Yes",'Order Details'!$I:$I,'Item Summary'!$B5,'Order Details'!$F:$F,'Item Summary'!G$4,'Order Details'!$C:$C,"Proforma Invoice Sent")+SUMIFS('Order Details'!$Q:$Q,'Order Details'!$E:$E,"Yes",'Order Details'!$I:$I,'Item Summary'!$B5,'Order Details'!$F:$F,'Item Summary'!G$4,'Order Details'!$C:$C,"Downpayment Received")+SUMIFS('Order Details'!$Q:$Q,'Order Details'!$E:$E,"Yes",'Order Details'!$I:$I,'Item Summary'!$B5,'Order Details'!$F:$F,'Item Summary'!G$4,'Order Details'!$C:$C,"In Production")</f>
        <v>0</v>
      </c>
      <c r="H5" s="275">
        <f>SUMIFS('Order Details'!$Q:$Q,'Order Details'!$E:$E,"Yes",'Order Details'!$I:$I,'Item Summary'!$B5,'Order Details'!$F:$F,'Item Summary'!H$4,'Order Details'!$C:$C,"PO Received")+SUMIFS('Order Details'!$Q:$Q,'Order Details'!$E:$E,"Yes",'Order Details'!$I:$I,'Item Summary'!$B5,'Order Details'!$F:$F,'Item Summary'!H$4,'Order Details'!$C:$C,"Proforma Invoice Sent")+SUMIFS('Order Details'!$Q:$Q,'Order Details'!$E:$E,"Yes",'Order Details'!$I:$I,'Item Summary'!$B5,'Order Details'!$F:$F,'Item Summary'!H$4,'Order Details'!$C:$C,"Downpayment Received")+SUMIFS('Order Details'!$Q:$Q,'Order Details'!$E:$E,"Yes",'Order Details'!$I:$I,'Item Summary'!$B5,'Order Details'!$F:$F,'Item Summary'!H$4,'Order Details'!$C:$C,"In Production")</f>
        <v>0</v>
      </c>
      <c r="I5" s="275">
        <f>SUMIFS('Order Details'!$Q:$Q,'Order Details'!$E:$E,"Yes",'Order Details'!$I:$I,'Item Summary'!$B5,'Order Details'!$F:$F,'Item Summary'!I$4,'Order Details'!$C:$C,"PO Received")+SUMIFS('Order Details'!$Q:$Q,'Order Details'!$E:$E,"Yes",'Order Details'!$I:$I,'Item Summary'!$B5,'Order Details'!$F:$F,'Item Summary'!I$4,'Order Details'!$C:$C,"Proforma Invoice Sent")+SUMIFS('Order Details'!$Q:$Q,'Order Details'!$E:$E,"Yes",'Order Details'!$I:$I,'Item Summary'!$B5,'Order Details'!$F:$F,'Item Summary'!I$4,'Order Details'!$C:$C,"Downpayment Received")+SUMIFS('Order Details'!$Q:$Q,'Order Details'!$E:$E,"Yes",'Order Details'!$I:$I,'Item Summary'!$B5,'Order Details'!$F:$F,'Item Summary'!I$4,'Order Details'!$C:$C,"In Production")</f>
        <v>0</v>
      </c>
      <c r="J5" s="275">
        <f>SUMIFS('Order Details'!$Q:$Q,'Order Details'!$E:$E,"Yes",'Order Details'!$I:$I,'Item Summary'!$B5,'Order Details'!$F:$F,'Item Summary'!J$4,'Order Details'!$C:$C,"PO Received")+SUMIFS('Order Details'!$Q:$Q,'Order Details'!$E:$E,"Yes",'Order Details'!$I:$I,'Item Summary'!$B5,'Order Details'!$F:$F,'Item Summary'!J$4,'Order Details'!$C:$C,"Proforma Invoice Sent")+SUMIFS('Order Details'!$Q:$Q,'Order Details'!$E:$E,"Yes",'Order Details'!$I:$I,'Item Summary'!$B5,'Order Details'!$F:$F,'Item Summary'!J$4,'Order Details'!$C:$C,"Downpayment Received")+SUMIFS('Order Details'!$Q:$Q,'Order Details'!$E:$E,"Yes",'Order Details'!$I:$I,'Item Summary'!$B5,'Order Details'!$F:$F,'Item Summary'!J$4,'Order Details'!$C:$C,"In Production")</f>
        <v>0</v>
      </c>
      <c r="K5" s="275">
        <f>SUMIFS('Order Details'!$Q:$Q,'Order Details'!$E:$E,"Yes",'Order Details'!$I:$I,'Item Summary'!$B5,'Order Details'!$F:$F,'Item Summary'!K$4,'Order Details'!$C:$C,"PO Received")+SUMIFS('Order Details'!$Q:$Q,'Order Details'!$E:$E,"Yes",'Order Details'!$I:$I,'Item Summary'!$B5,'Order Details'!$F:$F,'Item Summary'!K$4,'Order Details'!$C:$C,"Proforma Invoice Sent")+SUMIFS('Order Details'!$Q:$Q,'Order Details'!$E:$E,"Yes",'Order Details'!$I:$I,'Item Summary'!$B5,'Order Details'!$F:$F,'Item Summary'!K$4,'Order Details'!$C:$C,"Downpayment Received")+SUMIFS('Order Details'!$Q:$Q,'Order Details'!$E:$E,"Yes",'Order Details'!$I:$I,'Item Summary'!$B5,'Order Details'!$F:$F,'Item Summary'!K$4,'Order Details'!$C:$C,"In Production")</f>
        <v>0</v>
      </c>
      <c r="L5" s="291">
        <f>SUMIFS('Order Details'!$Q:$Q,'Order Details'!$E:$E,"Yes",'Order Details'!$I:$I,'Item Summary'!$B5,'Order Details'!$F:$F,'Item Summary'!L$4,'Order Details'!$C:$C,"PO Received")+SUMIFS('Order Details'!$Q:$Q,'Order Details'!$E:$E,"Yes",'Order Details'!$I:$I,'Item Summary'!$B5,'Order Details'!$F:$F,'Item Summary'!L$4,'Order Details'!$C:$C,"Proforma Invoice Sent")+SUMIFS('Order Details'!$Q:$Q,'Order Details'!$E:$E,"Yes",'Order Details'!$I:$I,'Item Summary'!$B5,'Order Details'!$F:$F,'Item Summary'!L$4,'Order Details'!$C:$C,"Downpayment Received")+SUMIFS('Order Details'!$Q:$Q,'Order Details'!$E:$E,"Yes",'Order Details'!$I:$I,'Item Summary'!$B5,'Order Details'!$F:$F,'Item Summary'!L$4,'Order Details'!$C:$C,"In Production")</f>
        <v>0</v>
      </c>
      <c r="M5" s="293">
        <f>SUMIFS('Order Details'!$Q:$Q,'Order Details'!$E:$E,"Yes",'Order Details'!$I:$I,'Item Summary'!$B5,'Order Details'!$F:$F,'Item Summary'!M$4,'Order Details'!$C:$C,"PO Received")+SUMIFS('Order Details'!$Q:$Q,'Order Details'!$E:$E,"Yes",'Order Details'!$I:$I,'Item Summary'!$B5,'Order Details'!$F:$F,'Item Summary'!M$4,'Order Details'!$C:$C,"Proforma Invoice Sent")+SUMIFS('Order Details'!$Q:$Q,'Order Details'!$E:$E,"Yes",'Order Details'!$I:$I,'Item Summary'!$B5,'Order Details'!$F:$F,'Item Summary'!M$4,'Order Details'!$C:$C,"Downpayment Received")+SUMIFS('Order Details'!$Q:$Q,'Order Details'!$E:$E,"Yes",'Order Details'!$I:$I,'Item Summary'!$B5,'Order Details'!$F:$F,'Item Summary'!M$4,'Order Details'!$C:$C,"In Production")</f>
        <v>0</v>
      </c>
      <c r="N5" s="277">
        <f t="shared" ref="N5:N36" si="0">SUM(D5:M5)</f>
        <v>0</v>
      </c>
      <c r="Q5" s="273">
        <v>704984</v>
      </c>
      <c r="R5" s="274" t="str">
        <f>VLOOKUP($Q5,'Pricing Table - eff 27-Jan-2026'!$A:$L,9,FALSE)&amp;""" "&amp;VLOOKUP($Q5,'Pricing Table - eff 27-Jan-2026'!$A:$L,12,FALSE)</f>
        <v>84" GLOSSY BLACK</v>
      </c>
      <c r="S5" s="275">
        <f>SUMIFS('Order Details'!$Q:$Q,'Order Details'!$E:$E,"Yes",'Order Details'!$I:$I,$Q5,'Order Details'!$F:$F,'Item Summary'!S$4)-D5</f>
        <v>0</v>
      </c>
      <c r="T5" s="275">
        <f>SUMIFS('Order Details'!$Q:$Q,'Order Details'!$E:$E,"Yes",'Order Details'!$I:$I,$Q5,'Order Details'!$F:$F,'Item Summary'!T$4)-E5</f>
        <v>1200</v>
      </c>
      <c r="U5" s="275">
        <f>SUMIFS('Order Details'!$Q:$Q,'Order Details'!$E:$E,"Yes",'Order Details'!$I:$I,$Q5,'Order Details'!$F:$F,'Item Summary'!U$4)-F5</f>
        <v>0</v>
      </c>
      <c r="V5" s="275">
        <f>SUMIFS('Order Details'!$Q:$Q,'Order Details'!$E:$E,"Yes",'Order Details'!$I:$I,$Q5,'Order Details'!$F:$F,'Item Summary'!V$4)-G5</f>
        <v>0</v>
      </c>
      <c r="W5" s="275">
        <f>SUMIFS('Order Details'!$Q:$Q,'Order Details'!$E:$E,"Yes",'Order Details'!$I:$I,$Q5,'Order Details'!$F:$F,'Item Summary'!W$4)-H5</f>
        <v>0</v>
      </c>
      <c r="X5" s="275">
        <f>SUMIFS('Order Details'!$Q:$Q,'Order Details'!$E:$E,"Yes",'Order Details'!$I:$I,$Q5,'Order Details'!$F:$F,'Item Summary'!X$4)-I5</f>
        <v>0</v>
      </c>
      <c r="Y5" s="275">
        <f>SUMIFS('Order Details'!$Q:$Q,'Order Details'!$E:$E,"Yes",'Order Details'!$I:$I,$Q5,'Order Details'!$F:$F,'Item Summary'!Y$4)-J5</f>
        <v>0</v>
      </c>
      <c r="Z5" s="275">
        <f>SUMIFS('Order Details'!$Q:$Q,'Order Details'!$E:$E,"Yes",'Order Details'!$I:$I,$Q5,'Order Details'!$F:$F,'Item Summary'!Z$4)-K5</f>
        <v>0</v>
      </c>
      <c r="AA5" s="291">
        <f>SUMIFS('Order Details'!$Q:$Q,'Order Details'!$E:$E,"Yes",'Order Details'!$I:$I,$Q5,'Order Details'!$F:$F,'Item Summary'!AA$4)-L5</f>
        <v>0</v>
      </c>
      <c r="AB5" s="293">
        <f>SUMIFS('Order Details'!$Q:$Q,'Order Details'!$E:$E,"Yes",'Order Details'!$I:$I,$Q5,'Order Details'!$F:$F,'Item Summary'!AB$4)-M5</f>
        <v>0</v>
      </c>
      <c r="AC5" s="277">
        <f t="shared" ref="AC5:AC36" si="1">SUM(S5:AB5)</f>
        <v>1200</v>
      </c>
    </row>
    <row r="6" spans="2:29" x14ac:dyDescent="0.3">
      <c r="B6" s="278">
        <v>694431</v>
      </c>
      <c r="C6" s="274" t="str">
        <f>VLOOKUP($B6,'Pricing Table - eff 27-Jan-2026'!$A:$L,9,FALSE)&amp;""" "&amp;VLOOKUP($B6,'Pricing Table - eff 27-Jan-2026'!$A:$L,12,FALSE)</f>
        <v>90" GLOSSY BLACK</v>
      </c>
      <c r="D6" s="275">
        <f>SUMIFS('Order Details'!$Q:$Q,'Order Details'!$E:$E,"Yes",'Order Details'!$I:$I,'Item Summary'!$B6,'Order Details'!$F:$F,'Item Summary'!D$4,'Order Details'!$C:$C,"PO Received")+SUMIFS('Order Details'!$Q:$Q,'Order Details'!$E:$E,"Yes",'Order Details'!$I:$I,'Item Summary'!$B6,'Order Details'!$F:$F,'Item Summary'!D$4,'Order Details'!$C:$C,"Proforma Invoice Sent")+SUMIFS('Order Details'!$Q:$Q,'Order Details'!$E:$E,"Yes",'Order Details'!$I:$I,'Item Summary'!$B6,'Order Details'!$F:$F,'Item Summary'!D$4,'Order Details'!$C:$C,"Downpayment Received")+SUMIFS('Order Details'!$Q:$Q,'Order Details'!$E:$E,"Yes",'Order Details'!$I:$I,'Item Summary'!$B6,'Order Details'!$F:$F,'Item Summary'!D$4,'Order Details'!$C:$C,"In Production")</f>
        <v>0</v>
      </c>
      <c r="E6" s="275">
        <f>SUMIFS('Order Details'!$Q:$Q,'Order Details'!$E:$E,"Yes",'Order Details'!$I:$I,'Item Summary'!$B6,'Order Details'!$F:$F,'Item Summary'!E$4,'Order Details'!$C:$C,"PO Received")+SUMIFS('Order Details'!$Q:$Q,'Order Details'!$E:$E,"Yes",'Order Details'!$I:$I,'Item Summary'!$B6,'Order Details'!$F:$F,'Item Summary'!E$4,'Order Details'!$C:$C,"Proforma Invoice Sent")+SUMIFS('Order Details'!$Q:$Q,'Order Details'!$E:$E,"Yes",'Order Details'!$I:$I,'Item Summary'!$B6,'Order Details'!$F:$F,'Item Summary'!E$4,'Order Details'!$C:$C,"Downpayment Received")+SUMIFS('Order Details'!$Q:$Q,'Order Details'!$E:$E,"Yes",'Order Details'!$I:$I,'Item Summary'!$B6,'Order Details'!$F:$F,'Item Summary'!E$4,'Order Details'!$C:$C,"In Production")</f>
        <v>0</v>
      </c>
      <c r="F6" s="275">
        <f>SUMIFS('Order Details'!$Q:$Q,'Order Details'!$E:$E,"Yes",'Order Details'!$I:$I,'Item Summary'!$B6,'Order Details'!$F:$F,'Item Summary'!F$4,'Order Details'!$C:$C,"PO Received")+SUMIFS('Order Details'!$Q:$Q,'Order Details'!$E:$E,"Yes",'Order Details'!$I:$I,'Item Summary'!$B6,'Order Details'!$F:$F,'Item Summary'!F$4,'Order Details'!$C:$C,"Proforma Invoice Sent")+SUMIFS('Order Details'!$Q:$Q,'Order Details'!$E:$E,"Yes",'Order Details'!$I:$I,'Item Summary'!$B6,'Order Details'!$F:$F,'Item Summary'!F$4,'Order Details'!$C:$C,"Downpayment Received")+SUMIFS('Order Details'!$Q:$Q,'Order Details'!$E:$E,"Yes",'Order Details'!$I:$I,'Item Summary'!$B6,'Order Details'!$F:$F,'Item Summary'!F$4,'Order Details'!$C:$C,"In Production")</f>
        <v>0</v>
      </c>
      <c r="G6" s="275">
        <f>SUMIFS('Order Details'!$Q:$Q,'Order Details'!$E:$E,"Yes",'Order Details'!$I:$I,'Item Summary'!$B6,'Order Details'!$F:$F,'Item Summary'!G$4,'Order Details'!$C:$C,"PO Received")+SUMIFS('Order Details'!$Q:$Q,'Order Details'!$E:$E,"Yes",'Order Details'!$I:$I,'Item Summary'!$B6,'Order Details'!$F:$F,'Item Summary'!G$4,'Order Details'!$C:$C,"Proforma Invoice Sent")+SUMIFS('Order Details'!$Q:$Q,'Order Details'!$E:$E,"Yes",'Order Details'!$I:$I,'Item Summary'!$B6,'Order Details'!$F:$F,'Item Summary'!G$4,'Order Details'!$C:$C,"Downpayment Received")+SUMIFS('Order Details'!$Q:$Q,'Order Details'!$E:$E,"Yes",'Order Details'!$I:$I,'Item Summary'!$B6,'Order Details'!$F:$F,'Item Summary'!G$4,'Order Details'!$C:$C,"In Production")</f>
        <v>0</v>
      </c>
      <c r="H6" s="275">
        <f>SUMIFS('Order Details'!$Q:$Q,'Order Details'!$E:$E,"Yes",'Order Details'!$I:$I,'Item Summary'!$B6,'Order Details'!$F:$F,'Item Summary'!H$4,'Order Details'!$C:$C,"PO Received")+SUMIFS('Order Details'!$Q:$Q,'Order Details'!$E:$E,"Yes",'Order Details'!$I:$I,'Item Summary'!$B6,'Order Details'!$F:$F,'Item Summary'!H$4,'Order Details'!$C:$C,"Proforma Invoice Sent")+SUMIFS('Order Details'!$Q:$Q,'Order Details'!$E:$E,"Yes",'Order Details'!$I:$I,'Item Summary'!$B6,'Order Details'!$F:$F,'Item Summary'!H$4,'Order Details'!$C:$C,"Downpayment Received")+SUMIFS('Order Details'!$Q:$Q,'Order Details'!$E:$E,"Yes",'Order Details'!$I:$I,'Item Summary'!$B6,'Order Details'!$F:$F,'Item Summary'!H$4,'Order Details'!$C:$C,"In Production")</f>
        <v>0</v>
      </c>
      <c r="I6" s="275">
        <f>SUMIFS('Order Details'!$Q:$Q,'Order Details'!$E:$E,"Yes",'Order Details'!$I:$I,'Item Summary'!$B6,'Order Details'!$F:$F,'Item Summary'!I$4,'Order Details'!$C:$C,"PO Received")+SUMIFS('Order Details'!$Q:$Q,'Order Details'!$E:$E,"Yes",'Order Details'!$I:$I,'Item Summary'!$B6,'Order Details'!$F:$F,'Item Summary'!I$4,'Order Details'!$C:$C,"Proforma Invoice Sent")+SUMIFS('Order Details'!$Q:$Q,'Order Details'!$E:$E,"Yes",'Order Details'!$I:$I,'Item Summary'!$B6,'Order Details'!$F:$F,'Item Summary'!I$4,'Order Details'!$C:$C,"Downpayment Received")+SUMIFS('Order Details'!$Q:$Q,'Order Details'!$E:$E,"Yes",'Order Details'!$I:$I,'Item Summary'!$B6,'Order Details'!$F:$F,'Item Summary'!I$4,'Order Details'!$C:$C,"In Production")</f>
        <v>0</v>
      </c>
      <c r="J6" s="275">
        <f>SUMIFS('Order Details'!$Q:$Q,'Order Details'!$E:$E,"Yes",'Order Details'!$I:$I,'Item Summary'!$B6,'Order Details'!$F:$F,'Item Summary'!J$4,'Order Details'!$C:$C,"PO Received")+SUMIFS('Order Details'!$Q:$Q,'Order Details'!$E:$E,"Yes",'Order Details'!$I:$I,'Item Summary'!$B6,'Order Details'!$F:$F,'Item Summary'!J$4,'Order Details'!$C:$C,"Proforma Invoice Sent")+SUMIFS('Order Details'!$Q:$Q,'Order Details'!$E:$E,"Yes",'Order Details'!$I:$I,'Item Summary'!$B6,'Order Details'!$F:$F,'Item Summary'!J$4,'Order Details'!$C:$C,"Downpayment Received")+SUMIFS('Order Details'!$Q:$Q,'Order Details'!$E:$E,"Yes",'Order Details'!$I:$I,'Item Summary'!$B6,'Order Details'!$F:$F,'Item Summary'!J$4,'Order Details'!$C:$C,"In Production")</f>
        <v>0</v>
      </c>
      <c r="K6" s="275">
        <f>SUMIFS('Order Details'!$Q:$Q,'Order Details'!$E:$E,"Yes",'Order Details'!$I:$I,'Item Summary'!$B6,'Order Details'!$F:$F,'Item Summary'!K$4,'Order Details'!$C:$C,"PO Received")+SUMIFS('Order Details'!$Q:$Q,'Order Details'!$E:$E,"Yes",'Order Details'!$I:$I,'Item Summary'!$B6,'Order Details'!$F:$F,'Item Summary'!K$4,'Order Details'!$C:$C,"Proforma Invoice Sent")+SUMIFS('Order Details'!$Q:$Q,'Order Details'!$E:$E,"Yes",'Order Details'!$I:$I,'Item Summary'!$B6,'Order Details'!$F:$F,'Item Summary'!K$4,'Order Details'!$C:$C,"Downpayment Received")+SUMIFS('Order Details'!$Q:$Q,'Order Details'!$E:$E,"Yes",'Order Details'!$I:$I,'Item Summary'!$B6,'Order Details'!$F:$F,'Item Summary'!K$4,'Order Details'!$C:$C,"In Production")</f>
        <v>0</v>
      </c>
      <c r="L6" s="291">
        <f>SUMIFS('Order Details'!$Q:$Q,'Order Details'!$E:$E,"Yes",'Order Details'!$I:$I,'Item Summary'!$B6,'Order Details'!$F:$F,'Item Summary'!L$4,'Order Details'!$C:$C,"PO Received")+SUMIFS('Order Details'!$Q:$Q,'Order Details'!$E:$E,"Yes",'Order Details'!$I:$I,'Item Summary'!$B6,'Order Details'!$F:$F,'Item Summary'!L$4,'Order Details'!$C:$C,"Proforma Invoice Sent")+SUMIFS('Order Details'!$Q:$Q,'Order Details'!$E:$E,"Yes",'Order Details'!$I:$I,'Item Summary'!$B6,'Order Details'!$F:$F,'Item Summary'!L$4,'Order Details'!$C:$C,"Downpayment Received")+SUMIFS('Order Details'!$Q:$Q,'Order Details'!$E:$E,"Yes",'Order Details'!$I:$I,'Item Summary'!$B6,'Order Details'!$F:$F,'Item Summary'!L$4,'Order Details'!$C:$C,"In Production")</f>
        <v>0</v>
      </c>
      <c r="M6" s="276">
        <f>SUMIFS('Order Details'!$Q:$Q,'Order Details'!$E:$E,"Yes",'Order Details'!$I:$I,'Item Summary'!$B6,'Order Details'!$F:$F,'Item Summary'!M$4,'Order Details'!$C:$C,"PO Received")+SUMIFS('Order Details'!$Q:$Q,'Order Details'!$E:$E,"Yes",'Order Details'!$I:$I,'Item Summary'!$B6,'Order Details'!$F:$F,'Item Summary'!M$4,'Order Details'!$C:$C,"Proforma Invoice Sent")+SUMIFS('Order Details'!$Q:$Q,'Order Details'!$E:$E,"Yes",'Order Details'!$I:$I,'Item Summary'!$B6,'Order Details'!$F:$F,'Item Summary'!M$4,'Order Details'!$C:$C,"Downpayment Received")+SUMIFS('Order Details'!$Q:$Q,'Order Details'!$E:$E,"Yes",'Order Details'!$I:$I,'Item Summary'!$B6,'Order Details'!$F:$F,'Item Summary'!M$4,'Order Details'!$C:$C,"In Production")</f>
        <v>0</v>
      </c>
      <c r="N6" s="279">
        <f t="shared" si="0"/>
        <v>0</v>
      </c>
      <c r="Q6" s="278">
        <v>694431</v>
      </c>
      <c r="R6" s="274" t="str">
        <f>VLOOKUP($Q6,'Pricing Table - eff 27-Jan-2026'!$A:$L,9,FALSE)&amp;""" "&amp;VLOOKUP($Q6,'Pricing Table - eff 27-Jan-2026'!$A:$L,12,FALSE)</f>
        <v>90" GLOSSY BLACK</v>
      </c>
      <c r="S6" s="275">
        <f>SUMIFS('Order Details'!$Q:$Q,'Order Details'!$E:$E,"Yes",'Order Details'!$I:$I,$Q6,'Order Details'!$F:$F,'Item Summary'!S$4)-D6</f>
        <v>0</v>
      </c>
      <c r="T6" s="275">
        <f>SUMIFS('Order Details'!$Q:$Q,'Order Details'!$E:$E,"Yes",'Order Details'!$I:$I,$Q6,'Order Details'!$F:$F,'Item Summary'!T$4)-E6</f>
        <v>0</v>
      </c>
      <c r="U6" s="275">
        <f>SUMIFS('Order Details'!$Q:$Q,'Order Details'!$E:$E,"Yes",'Order Details'!$I:$I,$Q6,'Order Details'!$F:$F,'Item Summary'!U$4)-F6</f>
        <v>0</v>
      </c>
      <c r="V6" s="275">
        <f>SUMIFS('Order Details'!$Q:$Q,'Order Details'!$E:$E,"Yes",'Order Details'!$I:$I,$Q6,'Order Details'!$F:$F,'Item Summary'!V$4)-G6</f>
        <v>400</v>
      </c>
      <c r="W6" s="275">
        <f>SUMIFS('Order Details'!$Q:$Q,'Order Details'!$E:$E,"Yes",'Order Details'!$I:$I,$Q6,'Order Details'!$F:$F,'Item Summary'!W$4)-H6</f>
        <v>0</v>
      </c>
      <c r="X6" s="275">
        <f>SUMIFS('Order Details'!$Q:$Q,'Order Details'!$E:$E,"Yes",'Order Details'!$I:$I,$Q6,'Order Details'!$F:$F,'Item Summary'!X$4)-I6</f>
        <v>0</v>
      </c>
      <c r="Y6" s="275">
        <f>SUMIFS('Order Details'!$Q:$Q,'Order Details'!$E:$E,"Yes",'Order Details'!$I:$I,$Q6,'Order Details'!$F:$F,'Item Summary'!Y$4)-J6</f>
        <v>0</v>
      </c>
      <c r="Z6" s="275">
        <f>SUMIFS('Order Details'!$Q:$Q,'Order Details'!$E:$E,"Yes",'Order Details'!$I:$I,$Q6,'Order Details'!$F:$F,'Item Summary'!Z$4)-K6</f>
        <v>0</v>
      </c>
      <c r="AA6" s="291">
        <f>SUMIFS('Order Details'!$Q:$Q,'Order Details'!$E:$E,"Yes",'Order Details'!$I:$I,$Q6,'Order Details'!$F:$F,'Item Summary'!AA$4)-L6</f>
        <v>0</v>
      </c>
      <c r="AB6" s="276">
        <f>SUMIFS('Order Details'!$Q:$Q,'Order Details'!$E:$E,"Yes",'Order Details'!$I:$I,$Q6,'Order Details'!$F:$F,'Item Summary'!AB$4)-M6</f>
        <v>0</v>
      </c>
      <c r="AC6" s="279">
        <f t="shared" si="1"/>
        <v>400</v>
      </c>
    </row>
    <row r="7" spans="2:29" x14ac:dyDescent="0.3">
      <c r="B7" s="278">
        <v>709354</v>
      </c>
      <c r="C7" s="274" t="str">
        <f>VLOOKUP($B7,'Pricing Table - eff 27-Jan-2026'!$A:$L,9,FALSE)&amp;""" "&amp;VLOOKUP($B7,'Pricing Table - eff 27-Jan-2026'!$A:$L,12,FALSE)</f>
        <v>90.5" GLOSSY BLACK</v>
      </c>
      <c r="D7" s="275">
        <f>SUMIFS('Order Details'!$Q:$Q,'Order Details'!$E:$E,"Yes",'Order Details'!$I:$I,'Item Summary'!$B7,'Order Details'!$F:$F,'Item Summary'!D$4,'Order Details'!$C:$C,"PO Received")+SUMIFS('Order Details'!$Q:$Q,'Order Details'!$E:$E,"Yes",'Order Details'!$I:$I,'Item Summary'!$B7,'Order Details'!$F:$F,'Item Summary'!D$4,'Order Details'!$C:$C,"Proforma Invoice Sent")+SUMIFS('Order Details'!$Q:$Q,'Order Details'!$E:$E,"Yes",'Order Details'!$I:$I,'Item Summary'!$B7,'Order Details'!$F:$F,'Item Summary'!D$4,'Order Details'!$C:$C,"Downpayment Received")+SUMIFS('Order Details'!$Q:$Q,'Order Details'!$E:$E,"Yes",'Order Details'!$I:$I,'Item Summary'!$B7,'Order Details'!$F:$F,'Item Summary'!D$4,'Order Details'!$C:$C,"In Production")</f>
        <v>0</v>
      </c>
      <c r="E7" s="275">
        <f>SUMIFS('Order Details'!$Q:$Q,'Order Details'!$E:$E,"Yes",'Order Details'!$I:$I,'Item Summary'!$B7,'Order Details'!$F:$F,'Item Summary'!E$4,'Order Details'!$C:$C,"PO Received")+SUMIFS('Order Details'!$Q:$Q,'Order Details'!$E:$E,"Yes",'Order Details'!$I:$I,'Item Summary'!$B7,'Order Details'!$F:$F,'Item Summary'!E$4,'Order Details'!$C:$C,"Proforma Invoice Sent")+SUMIFS('Order Details'!$Q:$Q,'Order Details'!$E:$E,"Yes",'Order Details'!$I:$I,'Item Summary'!$B7,'Order Details'!$F:$F,'Item Summary'!E$4,'Order Details'!$C:$C,"Downpayment Received")+SUMIFS('Order Details'!$Q:$Q,'Order Details'!$E:$E,"Yes",'Order Details'!$I:$I,'Item Summary'!$B7,'Order Details'!$F:$F,'Item Summary'!E$4,'Order Details'!$C:$C,"In Production")</f>
        <v>1000</v>
      </c>
      <c r="F7" s="275">
        <f>SUMIFS('Order Details'!$Q:$Q,'Order Details'!$E:$E,"Yes",'Order Details'!$I:$I,'Item Summary'!$B7,'Order Details'!$F:$F,'Item Summary'!F$4,'Order Details'!$C:$C,"PO Received")+SUMIFS('Order Details'!$Q:$Q,'Order Details'!$E:$E,"Yes",'Order Details'!$I:$I,'Item Summary'!$B7,'Order Details'!$F:$F,'Item Summary'!F$4,'Order Details'!$C:$C,"Proforma Invoice Sent")+SUMIFS('Order Details'!$Q:$Q,'Order Details'!$E:$E,"Yes",'Order Details'!$I:$I,'Item Summary'!$B7,'Order Details'!$F:$F,'Item Summary'!F$4,'Order Details'!$C:$C,"Downpayment Received")+SUMIFS('Order Details'!$Q:$Q,'Order Details'!$E:$E,"Yes",'Order Details'!$I:$I,'Item Summary'!$B7,'Order Details'!$F:$F,'Item Summary'!F$4,'Order Details'!$C:$C,"In Production")</f>
        <v>1400</v>
      </c>
      <c r="G7" s="275">
        <f>SUMIFS('Order Details'!$Q:$Q,'Order Details'!$E:$E,"Yes",'Order Details'!$I:$I,'Item Summary'!$B7,'Order Details'!$F:$F,'Item Summary'!G$4,'Order Details'!$C:$C,"PO Received")+SUMIFS('Order Details'!$Q:$Q,'Order Details'!$E:$E,"Yes",'Order Details'!$I:$I,'Item Summary'!$B7,'Order Details'!$F:$F,'Item Summary'!G$4,'Order Details'!$C:$C,"Proforma Invoice Sent")+SUMIFS('Order Details'!$Q:$Q,'Order Details'!$E:$E,"Yes",'Order Details'!$I:$I,'Item Summary'!$B7,'Order Details'!$F:$F,'Item Summary'!G$4,'Order Details'!$C:$C,"Downpayment Received")+SUMIFS('Order Details'!$Q:$Q,'Order Details'!$E:$E,"Yes",'Order Details'!$I:$I,'Item Summary'!$B7,'Order Details'!$F:$F,'Item Summary'!G$4,'Order Details'!$C:$C,"In Production")</f>
        <v>1200</v>
      </c>
      <c r="H7" s="275">
        <f>SUMIFS('Order Details'!$Q:$Q,'Order Details'!$E:$E,"Yes",'Order Details'!$I:$I,'Item Summary'!$B7,'Order Details'!$F:$F,'Item Summary'!H$4,'Order Details'!$C:$C,"PO Received")+SUMIFS('Order Details'!$Q:$Q,'Order Details'!$E:$E,"Yes",'Order Details'!$I:$I,'Item Summary'!$B7,'Order Details'!$F:$F,'Item Summary'!H$4,'Order Details'!$C:$C,"Proforma Invoice Sent")+SUMIFS('Order Details'!$Q:$Q,'Order Details'!$E:$E,"Yes",'Order Details'!$I:$I,'Item Summary'!$B7,'Order Details'!$F:$F,'Item Summary'!H$4,'Order Details'!$C:$C,"Downpayment Received")+SUMIFS('Order Details'!$Q:$Q,'Order Details'!$E:$E,"Yes",'Order Details'!$I:$I,'Item Summary'!$B7,'Order Details'!$F:$F,'Item Summary'!H$4,'Order Details'!$C:$C,"In Production")</f>
        <v>0</v>
      </c>
      <c r="I7" s="275">
        <f>SUMIFS('Order Details'!$Q:$Q,'Order Details'!$E:$E,"Yes",'Order Details'!$I:$I,'Item Summary'!$B7,'Order Details'!$F:$F,'Item Summary'!I$4,'Order Details'!$C:$C,"PO Received")+SUMIFS('Order Details'!$Q:$Q,'Order Details'!$E:$E,"Yes",'Order Details'!$I:$I,'Item Summary'!$B7,'Order Details'!$F:$F,'Item Summary'!I$4,'Order Details'!$C:$C,"Proforma Invoice Sent")+SUMIFS('Order Details'!$Q:$Q,'Order Details'!$E:$E,"Yes",'Order Details'!$I:$I,'Item Summary'!$B7,'Order Details'!$F:$F,'Item Summary'!I$4,'Order Details'!$C:$C,"Downpayment Received")+SUMIFS('Order Details'!$Q:$Q,'Order Details'!$E:$E,"Yes",'Order Details'!$I:$I,'Item Summary'!$B7,'Order Details'!$F:$F,'Item Summary'!I$4,'Order Details'!$C:$C,"In Production")</f>
        <v>800</v>
      </c>
      <c r="J7" s="275">
        <f>SUMIFS('Order Details'!$Q:$Q,'Order Details'!$E:$E,"Yes",'Order Details'!$I:$I,'Item Summary'!$B7,'Order Details'!$F:$F,'Item Summary'!J$4,'Order Details'!$C:$C,"PO Received")+SUMIFS('Order Details'!$Q:$Q,'Order Details'!$E:$E,"Yes",'Order Details'!$I:$I,'Item Summary'!$B7,'Order Details'!$F:$F,'Item Summary'!J$4,'Order Details'!$C:$C,"Proforma Invoice Sent")+SUMIFS('Order Details'!$Q:$Q,'Order Details'!$E:$E,"Yes",'Order Details'!$I:$I,'Item Summary'!$B7,'Order Details'!$F:$F,'Item Summary'!J$4,'Order Details'!$C:$C,"Downpayment Received")+SUMIFS('Order Details'!$Q:$Q,'Order Details'!$E:$E,"Yes",'Order Details'!$I:$I,'Item Summary'!$B7,'Order Details'!$F:$F,'Item Summary'!J$4,'Order Details'!$C:$C,"In Production")</f>
        <v>0</v>
      </c>
      <c r="K7" s="275">
        <f>SUMIFS('Order Details'!$Q:$Q,'Order Details'!$E:$E,"Yes",'Order Details'!$I:$I,'Item Summary'!$B7,'Order Details'!$F:$F,'Item Summary'!K$4,'Order Details'!$C:$C,"PO Received")+SUMIFS('Order Details'!$Q:$Q,'Order Details'!$E:$E,"Yes",'Order Details'!$I:$I,'Item Summary'!$B7,'Order Details'!$F:$F,'Item Summary'!K$4,'Order Details'!$C:$C,"Proforma Invoice Sent")+SUMIFS('Order Details'!$Q:$Q,'Order Details'!$E:$E,"Yes",'Order Details'!$I:$I,'Item Summary'!$B7,'Order Details'!$F:$F,'Item Summary'!K$4,'Order Details'!$C:$C,"Downpayment Received")+SUMIFS('Order Details'!$Q:$Q,'Order Details'!$E:$E,"Yes",'Order Details'!$I:$I,'Item Summary'!$B7,'Order Details'!$F:$F,'Item Summary'!K$4,'Order Details'!$C:$C,"In Production")</f>
        <v>0</v>
      </c>
      <c r="L7" s="291">
        <f>SUMIFS('Order Details'!$Q:$Q,'Order Details'!$E:$E,"Yes",'Order Details'!$I:$I,'Item Summary'!$B7,'Order Details'!$F:$F,'Item Summary'!L$4,'Order Details'!$C:$C,"PO Received")+SUMIFS('Order Details'!$Q:$Q,'Order Details'!$E:$E,"Yes",'Order Details'!$I:$I,'Item Summary'!$B7,'Order Details'!$F:$F,'Item Summary'!L$4,'Order Details'!$C:$C,"Proforma Invoice Sent")+SUMIFS('Order Details'!$Q:$Q,'Order Details'!$E:$E,"Yes",'Order Details'!$I:$I,'Item Summary'!$B7,'Order Details'!$F:$F,'Item Summary'!L$4,'Order Details'!$C:$C,"Downpayment Received")+SUMIFS('Order Details'!$Q:$Q,'Order Details'!$E:$E,"Yes",'Order Details'!$I:$I,'Item Summary'!$B7,'Order Details'!$F:$F,'Item Summary'!L$4,'Order Details'!$C:$C,"In Production")</f>
        <v>800</v>
      </c>
      <c r="M7" s="276">
        <f>SUMIFS('Order Details'!$Q:$Q,'Order Details'!$E:$E,"Yes",'Order Details'!$I:$I,'Item Summary'!$B7,'Order Details'!$F:$F,'Item Summary'!M$4,'Order Details'!$C:$C,"PO Received")+SUMIFS('Order Details'!$Q:$Q,'Order Details'!$E:$E,"Yes",'Order Details'!$I:$I,'Item Summary'!$B7,'Order Details'!$F:$F,'Item Summary'!M$4,'Order Details'!$C:$C,"Proforma Invoice Sent")+SUMIFS('Order Details'!$Q:$Q,'Order Details'!$E:$E,"Yes",'Order Details'!$I:$I,'Item Summary'!$B7,'Order Details'!$F:$F,'Item Summary'!M$4,'Order Details'!$C:$C,"Downpayment Received")+SUMIFS('Order Details'!$Q:$Q,'Order Details'!$E:$E,"Yes",'Order Details'!$I:$I,'Item Summary'!$B7,'Order Details'!$F:$F,'Item Summary'!M$4,'Order Details'!$C:$C,"In Production")</f>
        <v>0</v>
      </c>
      <c r="N7" s="279">
        <f t="shared" si="0"/>
        <v>5200</v>
      </c>
      <c r="Q7" s="278">
        <v>709354</v>
      </c>
      <c r="R7" s="274" t="str">
        <f>VLOOKUP($Q7,'Pricing Table - eff 27-Jan-2026'!$A:$L,9,FALSE)&amp;""" "&amp;VLOOKUP($Q7,'Pricing Table - eff 27-Jan-2026'!$A:$L,12,FALSE)</f>
        <v>90.5" GLOSSY BLACK</v>
      </c>
      <c r="S7" s="275">
        <f>SUMIFS('Order Details'!$Q:$Q,'Order Details'!$E:$E,"Yes",'Order Details'!$I:$I,$Q7,'Order Details'!$F:$F,'Item Summary'!S$4)-D7</f>
        <v>0</v>
      </c>
      <c r="T7" s="275">
        <f>SUMIFS('Order Details'!$Q:$Q,'Order Details'!$E:$E,"Yes",'Order Details'!$I:$I,$Q7,'Order Details'!$F:$F,'Item Summary'!T$4)-E7</f>
        <v>2400</v>
      </c>
      <c r="U7" s="275">
        <f>SUMIFS('Order Details'!$Q:$Q,'Order Details'!$E:$E,"Yes",'Order Details'!$I:$I,$Q7,'Order Details'!$F:$F,'Item Summary'!U$4)-F7</f>
        <v>1800</v>
      </c>
      <c r="V7" s="275">
        <f>SUMIFS('Order Details'!$Q:$Q,'Order Details'!$E:$E,"Yes",'Order Details'!$I:$I,$Q7,'Order Details'!$F:$F,'Item Summary'!V$4)-G7</f>
        <v>1400</v>
      </c>
      <c r="W7" s="275">
        <f>SUMIFS('Order Details'!$Q:$Q,'Order Details'!$E:$E,"Yes",'Order Details'!$I:$I,$Q7,'Order Details'!$F:$F,'Item Summary'!W$4)-H7</f>
        <v>1600</v>
      </c>
      <c r="X7" s="275">
        <f>SUMIFS('Order Details'!$Q:$Q,'Order Details'!$E:$E,"Yes",'Order Details'!$I:$I,$Q7,'Order Details'!$F:$F,'Item Summary'!X$4)-I7</f>
        <v>0</v>
      </c>
      <c r="Y7" s="275">
        <f>SUMIFS('Order Details'!$Q:$Q,'Order Details'!$E:$E,"Yes",'Order Details'!$I:$I,$Q7,'Order Details'!$F:$F,'Item Summary'!Y$4)-J7</f>
        <v>0</v>
      </c>
      <c r="Z7" s="275">
        <f>SUMIFS('Order Details'!$Q:$Q,'Order Details'!$E:$E,"Yes",'Order Details'!$I:$I,$Q7,'Order Details'!$F:$F,'Item Summary'!Z$4)-K7</f>
        <v>0</v>
      </c>
      <c r="AA7" s="291">
        <f>SUMIFS('Order Details'!$Q:$Q,'Order Details'!$E:$E,"Yes",'Order Details'!$I:$I,$Q7,'Order Details'!$F:$F,'Item Summary'!AA$4)-L7</f>
        <v>0</v>
      </c>
      <c r="AB7" s="276">
        <f>SUMIFS('Order Details'!$Q:$Q,'Order Details'!$E:$E,"Yes",'Order Details'!$I:$I,$Q7,'Order Details'!$F:$F,'Item Summary'!AB$4)-M7</f>
        <v>0</v>
      </c>
      <c r="AC7" s="279">
        <f t="shared" si="1"/>
        <v>7200</v>
      </c>
    </row>
    <row r="8" spans="2:29" x14ac:dyDescent="0.3">
      <c r="B8" s="278">
        <v>694432</v>
      </c>
      <c r="C8" s="274" t="str">
        <f>VLOOKUP($B8,'Pricing Table - eff 27-Jan-2026'!$A:$L,9,FALSE)&amp;""" "&amp;VLOOKUP($B8,'Pricing Table - eff 27-Jan-2026'!$A:$L,12,FALSE)</f>
        <v>96" GLOSSY BLACK</v>
      </c>
      <c r="D8" s="275">
        <f>SUMIFS('Order Details'!$Q:$Q,'Order Details'!$E:$E,"Yes",'Order Details'!$I:$I,'Item Summary'!$B8,'Order Details'!$F:$F,'Item Summary'!D$4,'Order Details'!$C:$C,"PO Received")+SUMIFS('Order Details'!$Q:$Q,'Order Details'!$E:$E,"Yes",'Order Details'!$I:$I,'Item Summary'!$B8,'Order Details'!$F:$F,'Item Summary'!D$4,'Order Details'!$C:$C,"Proforma Invoice Sent")+SUMIFS('Order Details'!$Q:$Q,'Order Details'!$E:$E,"Yes",'Order Details'!$I:$I,'Item Summary'!$B8,'Order Details'!$F:$F,'Item Summary'!D$4,'Order Details'!$C:$C,"Downpayment Received")+SUMIFS('Order Details'!$Q:$Q,'Order Details'!$E:$E,"Yes",'Order Details'!$I:$I,'Item Summary'!$B8,'Order Details'!$F:$F,'Item Summary'!D$4,'Order Details'!$C:$C,"In Production")</f>
        <v>1400</v>
      </c>
      <c r="E8" s="275">
        <f>SUMIFS('Order Details'!$Q:$Q,'Order Details'!$E:$E,"Yes",'Order Details'!$I:$I,'Item Summary'!$B8,'Order Details'!$F:$F,'Item Summary'!E$4,'Order Details'!$C:$C,"PO Received")+SUMIFS('Order Details'!$Q:$Q,'Order Details'!$E:$E,"Yes",'Order Details'!$I:$I,'Item Summary'!$B8,'Order Details'!$F:$F,'Item Summary'!E$4,'Order Details'!$C:$C,"Proforma Invoice Sent")+SUMIFS('Order Details'!$Q:$Q,'Order Details'!$E:$E,"Yes",'Order Details'!$I:$I,'Item Summary'!$B8,'Order Details'!$F:$F,'Item Summary'!E$4,'Order Details'!$C:$C,"Downpayment Received")+SUMIFS('Order Details'!$Q:$Q,'Order Details'!$E:$E,"Yes",'Order Details'!$I:$I,'Item Summary'!$B8,'Order Details'!$F:$F,'Item Summary'!E$4,'Order Details'!$C:$C,"In Production")</f>
        <v>1000</v>
      </c>
      <c r="F8" s="275">
        <f>SUMIFS('Order Details'!$Q:$Q,'Order Details'!$E:$E,"Yes",'Order Details'!$I:$I,'Item Summary'!$B8,'Order Details'!$F:$F,'Item Summary'!F$4,'Order Details'!$C:$C,"PO Received")+SUMIFS('Order Details'!$Q:$Q,'Order Details'!$E:$E,"Yes",'Order Details'!$I:$I,'Item Summary'!$B8,'Order Details'!$F:$F,'Item Summary'!F$4,'Order Details'!$C:$C,"Proforma Invoice Sent")+SUMIFS('Order Details'!$Q:$Q,'Order Details'!$E:$E,"Yes",'Order Details'!$I:$I,'Item Summary'!$B8,'Order Details'!$F:$F,'Item Summary'!F$4,'Order Details'!$C:$C,"Downpayment Received")+SUMIFS('Order Details'!$Q:$Q,'Order Details'!$E:$E,"Yes",'Order Details'!$I:$I,'Item Summary'!$B8,'Order Details'!$F:$F,'Item Summary'!F$4,'Order Details'!$C:$C,"In Production")</f>
        <v>1400</v>
      </c>
      <c r="G8" s="275">
        <f>SUMIFS('Order Details'!$Q:$Q,'Order Details'!$E:$E,"Yes",'Order Details'!$I:$I,'Item Summary'!$B8,'Order Details'!$F:$F,'Item Summary'!G$4,'Order Details'!$C:$C,"PO Received")+SUMIFS('Order Details'!$Q:$Q,'Order Details'!$E:$E,"Yes",'Order Details'!$I:$I,'Item Summary'!$B8,'Order Details'!$F:$F,'Item Summary'!G$4,'Order Details'!$C:$C,"Proforma Invoice Sent")+SUMIFS('Order Details'!$Q:$Q,'Order Details'!$E:$E,"Yes",'Order Details'!$I:$I,'Item Summary'!$B8,'Order Details'!$F:$F,'Item Summary'!G$4,'Order Details'!$C:$C,"Downpayment Received")+SUMIFS('Order Details'!$Q:$Q,'Order Details'!$E:$E,"Yes",'Order Details'!$I:$I,'Item Summary'!$B8,'Order Details'!$F:$F,'Item Summary'!G$4,'Order Details'!$C:$C,"In Production")</f>
        <v>2800</v>
      </c>
      <c r="H8" s="275">
        <f>SUMIFS('Order Details'!$Q:$Q,'Order Details'!$E:$E,"Yes",'Order Details'!$I:$I,'Item Summary'!$B8,'Order Details'!$F:$F,'Item Summary'!H$4,'Order Details'!$C:$C,"PO Received")+SUMIFS('Order Details'!$Q:$Q,'Order Details'!$E:$E,"Yes",'Order Details'!$I:$I,'Item Summary'!$B8,'Order Details'!$F:$F,'Item Summary'!H$4,'Order Details'!$C:$C,"Proforma Invoice Sent")+SUMIFS('Order Details'!$Q:$Q,'Order Details'!$E:$E,"Yes",'Order Details'!$I:$I,'Item Summary'!$B8,'Order Details'!$F:$F,'Item Summary'!H$4,'Order Details'!$C:$C,"Downpayment Received")+SUMIFS('Order Details'!$Q:$Q,'Order Details'!$E:$E,"Yes",'Order Details'!$I:$I,'Item Summary'!$B8,'Order Details'!$F:$F,'Item Summary'!H$4,'Order Details'!$C:$C,"In Production")</f>
        <v>1400</v>
      </c>
      <c r="I8" s="275">
        <f>SUMIFS('Order Details'!$Q:$Q,'Order Details'!$E:$E,"Yes",'Order Details'!$I:$I,'Item Summary'!$B8,'Order Details'!$F:$F,'Item Summary'!I$4,'Order Details'!$C:$C,"PO Received")+SUMIFS('Order Details'!$Q:$Q,'Order Details'!$E:$E,"Yes",'Order Details'!$I:$I,'Item Summary'!$B8,'Order Details'!$F:$F,'Item Summary'!I$4,'Order Details'!$C:$C,"Proforma Invoice Sent")+SUMIFS('Order Details'!$Q:$Q,'Order Details'!$E:$E,"Yes",'Order Details'!$I:$I,'Item Summary'!$B8,'Order Details'!$F:$F,'Item Summary'!I$4,'Order Details'!$C:$C,"Downpayment Received")+SUMIFS('Order Details'!$Q:$Q,'Order Details'!$E:$E,"Yes",'Order Details'!$I:$I,'Item Summary'!$B8,'Order Details'!$F:$F,'Item Summary'!I$4,'Order Details'!$C:$C,"In Production")</f>
        <v>7000</v>
      </c>
      <c r="J8" s="275">
        <f>SUMIFS('Order Details'!$Q:$Q,'Order Details'!$E:$E,"Yes",'Order Details'!$I:$I,'Item Summary'!$B8,'Order Details'!$F:$F,'Item Summary'!J$4,'Order Details'!$C:$C,"PO Received")+SUMIFS('Order Details'!$Q:$Q,'Order Details'!$E:$E,"Yes",'Order Details'!$I:$I,'Item Summary'!$B8,'Order Details'!$F:$F,'Item Summary'!J$4,'Order Details'!$C:$C,"Proforma Invoice Sent")+SUMIFS('Order Details'!$Q:$Q,'Order Details'!$E:$E,"Yes",'Order Details'!$I:$I,'Item Summary'!$B8,'Order Details'!$F:$F,'Item Summary'!J$4,'Order Details'!$C:$C,"Downpayment Received")+SUMIFS('Order Details'!$Q:$Q,'Order Details'!$E:$E,"Yes",'Order Details'!$I:$I,'Item Summary'!$B8,'Order Details'!$F:$F,'Item Summary'!J$4,'Order Details'!$C:$C,"In Production")</f>
        <v>400</v>
      </c>
      <c r="K8" s="275">
        <f>SUMIFS('Order Details'!$Q:$Q,'Order Details'!$E:$E,"Yes",'Order Details'!$I:$I,'Item Summary'!$B8,'Order Details'!$F:$F,'Item Summary'!K$4,'Order Details'!$C:$C,"PO Received")+SUMIFS('Order Details'!$Q:$Q,'Order Details'!$E:$E,"Yes",'Order Details'!$I:$I,'Item Summary'!$B8,'Order Details'!$F:$F,'Item Summary'!K$4,'Order Details'!$C:$C,"Proforma Invoice Sent")+SUMIFS('Order Details'!$Q:$Q,'Order Details'!$E:$E,"Yes",'Order Details'!$I:$I,'Item Summary'!$B8,'Order Details'!$F:$F,'Item Summary'!K$4,'Order Details'!$C:$C,"Downpayment Received")+SUMIFS('Order Details'!$Q:$Q,'Order Details'!$E:$E,"Yes",'Order Details'!$I:$I,'Item Summary'!$B8,'Order Details'!$F:$F,'Item Summary'!K$4,'Order Details'!$C:$C,"In Production")</f>
        <v>0</v>
      </c>
      <c r="L8" s="291">
        <f>SUMIFS('Order Details'!$Q:$Q,'Order Details'!$E:$E,"Yes",'Order Details'!$I:$I,'Item Summary'!$B8,'Order Details'!$F:$F,'Item Summary'!L$4,'Order Details'!$C:$C,"PO Received")+SUMIFS('Order Details'!$Q:$Q,'Order Details'!$E:$E,"Yes",'Order Details'!$I:$I,'Item Summary'!$B8,'Order Details'!$F:$F,'Item Summary'!L$4,'Order Details'!$C:$C,"Proforma Invoice Sent")+SUMIFS('Order Details'!$Q:$Q,'Order Details'!$E:$E,"Yes",'Order Details'!$I:$I,'Item Summary'!$B8,'Order Details'!$F:$F,'Item Summary'!L$4,'Order Details'!$C:$C,"Downpayment Received")+SUMIFS('Order Details'!$Q:$Q,'Order Details'!$E:$E,"Yes",'Order Details'!$I:$I,'Item Summary'!$B8,'Order Details'!$F:$F,'Item Summary'!L$4,'Order Details'!$C:$C,"In Production")</f>
        <v>1400</v>
      </c>
      <c r="M8" s="276">
        <f>SUMIFS('Order Details'!$Q:$Q,'Order Details'!$E:$E,"Yes",'Order Details'!$I:$I,'Item Summary'!$B8,'Order Details'!$F:$F,'Item Summary'!M$4,'Order Details'!$C:$C,"PO Received")+SUMIFS('Order Details'!$Q:$Q,'Order Details'!$E:$E,"Yes",'Order Details'!$I:$I,'Item Summary'!$B8,'Order Details'!$F:$F,'Item Summary'!M$4,'Order Details'!$C:$C,"Proforma Invoice Sent")+SUMIFS('Order Details'!$Q:$Q,'Order Details'!$E:$E,"Yes",'Order Details'!$I:$I,'Item Summary'!$B8,'Order Details'!$F:$F,'Item Summary'!M$4,'Order Details'!$C:$C,"Downpayment Received")+SUMIFS('Order Details'!$Q:$Q,'Order Details'!$E:$E,"Yes",'Order Details'!$I:$I,'Item Summary'!$B8,'Order Details'!$F:$F,'Item Summary'!M$4,'Order Details'!$C:$C,"In Production")</f>
        <v>2800</v>
      </c>
      <c r="N8" s="279">
        <f t="shared" si="0"/>
        <v>19600</v>
      </c>
      <c r="Q8" s="278">
        <v>694432</v>
      </c>
      <c r="R8" s="274" t="str">
        <f>VLOOKUP($Q8,'Pricing Table - eff 27-Jan-2026'!$A:$L,9,FALSE)&amp;""" "&amp;VLOOKUP($Q8,'Pricing Table - eff 27-Jan-2026'!$A:$L,12,FALSE)</f>
        <v>96" GLOSSY BLACK</v>
      </c>
      <c r="S8" s="275">
        <f>SUMIFS('Order Details'!$Q:$Q,'Order Details'!$E:$E,"Yes",'Order Details'!$I:$I,$Q8,'Order Details'!$F:$F,'Item Summary'!S$4)-D8</f>
        <v>200</v>
      </c>
      <c r="T8" s="275">
        <f>SUMIFS('Order Details'!$Q:$Q,'Order Details'!$E:$E,"Yes",'Order Details'!$I:$I,$Q8,'Order Details'!$F:$F,'Item Summary'!T$4)-E8</f>
        <v>2800</v>
      </c>
      <c r="U8" s="275">
        <f>SUMIFS('Order Details'!$Q:$Q,'Order Details'!$E:$E,"Yes",'Order Details'!$I:$I,$Q8,'Order Details'!$F:$F,'Item Summary'!U$4)-F8</f>
        <v>1600</v>
      </c>
      <c r="V8" s="275">
        <f>SUMIFS('Order Details'!$Q:$Q,'Order Details'!$E:$E,"Yes",'Order Details'!$I:$I,$Q8,'Order Details'!$F:$F,'Item Summary'!V$4)-G8</f>
        <v>1400</v>
      </c>
      <c r="W8" s="275">
        <f>SUMIFS('Order Details'!$Q:$Q,'Order Details'!$E:$E,"Yes",'Order Details'!$I:$I,$Q8,'Order Details'!$F:$F,'Item Summary'!W$4)-H8</f>
        <v>5800</v>
      </c>
      <c r="X8" s="275">
        <f>SUMIFS('Order Details'!$Q:$Q,'Order Details'!$E:$E,"Yes",'Order Details'!$I:$I,$Q8,'Order Details'!$F:$F,'Item Summary'!X$4)-I8</f>
        <v>2400</v>
      </c>
      <c r="Y8" s="275">
        <f>SUMIFS('Order Details'!$Q:$Q,'Order Details'!$E:$E,"Yes",'Order Details'!$I:$I,$Q8,'Order Details'!$F:$F,'Item Summary'!Y$4)-J8</f>
        <v>800</v>
      </c>
      <c r="Z8" s="275">
        <f>SUMIFS('Order Details'!$Q:$Q,'Order Details'!$E:$E,"Yes",'Order Details'!$I:$I,$Q8,'Order Details'!$F:$F,'Item Summary'!Z$4)-K8</f>
        <v>5600</v>
      </c>
      <c r="AA8" s="291">
        <f>SUMIFS('Order Details'!$Q:$Q,'Order Details'!$E:$E,"Yes",'Order Details'!$I:$I,$Q8,'Order Details'!$F:$F,'Item Summary'!AA$4)-L8</f>
        <v>0</v>
      </c>
      <c r="AB8" s="276">
        <f>SUMIFS('Order Details'!$Q:$Q,'Order Details'!$E:$E,"Yes",'Order Details'!$I:$I,$Q8,'Order Details'!$F:$F,'Item Summary'!AB$4)-M8</f>
        <v>2800</v>
      </c>
      <c r="AC8" s="279">
        <f t="shared" si="1"/>
        <v>23400</v>
      </c>
    </row>
    <row r="9" spans="2:29" x14ac:dyDescent="0.3">
      <c r="B9" s="278">
        <v>694433</v>
      </c>
      <c r="C9" s="274" t="str">
        <f>VLOOKUP($B9,'Pricing Table - eff 27-Jan-2026'!$A:$L,9,FALSE)&amp;""" "&amp;VLOOKUP($B9,'Pricing Table - eff 27-Jan-2026'!$A:$L,12,FALSE)</f>
        <v>108" GLOSSY BLACK</v>
      </c>
      <c r="D9" s="275">
        <f>SUMIFS('Order Details'!$Q:$Q,'Order Details'!$E:$E,"Yes",'Order Details'!$I:$I,'Item Summary'!$B9,'Order Details'!$F:$F,'Item Summary'!D$4,'Order Details'!$C:$C,"PO Received")+SUMIFS('Order Details'!$Q:$Q,'Order Details'!$E:$E,"Yes",'Order Details'!$I:$I,'Item Summary'!$B9,'Order Details'!$F:$F,'Item Summary'!D$4,'Order Details'!$C:$C,"Proforma Invoice Sent")+SUMIFS('Order Details'!$Q:$Q,'Order Details'!$E:$E,"Yes",'Order Details'!$I:$I,'Item Summary'!$B9,'Order Details'!$F:$F,'Item Summary'!D$4,'Order Details'!$C:$C,"Downpayment Received")+SUMIFS('Order Details'!$Q:$Q,'Order Details'!$E:$E,"Yes",'Order Details'!$I:$I,'Item Summary'!$B9,'Order Details'!$F:$F,'Item Summary'!D$4,'Order Details'!$C:$C,"In Production")</f>
        <v>1000</v>
      </c>
      <c r="E9" s="275">
        <f>SUMIFS('Order Details'!$Q:$Q,'Order Details'!$E:$E,"Yes",'Order Details'!$I:$I,'Item Summary'!$B9,'Order Details'!$F:$F,'Item Summary'!E$4,'Order Details'!$C:$C,"PO Received")+SUMIFS('Order Details'!$Q:$Q,'Order Details'!$E:$E,"Yes",'Order Details'!$I:$I,'Item Summary'!$B9,'Order Details'!$F:$F,'Item Summary'!E$4,'Order Details'!$C:$C,"Proforma Invoice Sent")+SUMIFS('Order Details'!$Q:$Q,'Order Details'!$E:$E,"Yes",'Order Details'!$I:$I,'Item Summary'!$B9,'Order Details'!$F:$F,'Item Summary'!E$4,'Order Details'!$C:$C,"Downpayment Received")+SUMIFS('Order Details'!$Q:$Q,'Order Details'!$E:$E,"Yes",'Order Details'!$I:$I,'Item Summary'!$B9,'Order Details'!$F:$F,'Item Summary'!E$4,'Order Details'!$C:$C,"In Production")</f>
        <v>0</v>
      </c>
      <c r="F9" s="275">
        <f>SUMIFS('Order Details'!$Q:$Q,'Order Details'!$E:$E,"Yes",'Order Details'!$I:$I,'Item Summary'!$B9,'Order Details'!$F:$F,'Item Summary'!F$4,'Order Details'!$C:$C,"PO Received")+SUMIFS('Order Details'!$Q:$Q,'Order Details'!$E:$E,"Yes",'Order Details'!$I:$I,'Item Summary'!$B9,'Order Details'!$F:$F,'Item Summary'!F$4,'Order Details'!$C:$C,"Proforma Invoice Sent")+SUMIFS('Order Details'!$Q:$Q,'Order Details'!$E:$E,"Yes",'Order Details'!$I:$I,'Item Summary'!$B9,'Order Details'!$F:$F,'Item Summary'!F$4,'Order Details'!$C:$C,"Downpayment Received")+SUMIFS('Order Details'!$Q:$Q,'Order Details'!$E:$E,"Yes",'Order Details'!$I:$I,'Item Summary'!$B9,'Order Details'!$F:$F,'Item Summary'!F$4,'Order Details'!$C:$C,"In Production")</f>
        <v>2700</v>
      </c>
      <c r="G9" s="275">
        <f>SUMIFS('Order Details'!$Q:$Q,'Order Details'!$E:$E,"Yes",'Order Details'!$I:$I,'Item Summary'!$B9,'Order Details'!$F:$F,'Item Summary'!G$4,'Order Details'!$C:$C,"PO Received")+SUMIFS('Order Details'!$Q:$Q,'Order Details'!$E:$E,"Yes",'Order Details'!$I:$I,'Item Summary'!$B9,'Order Details'!$F:$F,'Item Summary'!G$4,'Order Details'!$C:$C,"Proforma Invoice Sent")+SUMIFS('Order Details'!$Q:$Q,'Order Details'!$E:$E,"Yes",'Order Details'!$I:$I,'Item Summary'!$B9,'Order Details'!$F:$F,'Item Summary'!G$4,'Order Details'!$C:$C,"Downpayment Received")+SUMIFS('Order Details'!$Q:$Q,'Order Details'!$E:$E,"Yes",'Order Details'!$I:$I,'Item Summary'!$B9,'Order Details'!$F:$F,'Item Summary'!G$4,'Order Details'!$C:$C,"In Production")</f>
        <v>1200</v>
      </c>
      <c r="H9" s="275">
        <f>SUMIFS('Order Details'!$Q:$Q,'Order Details'!$E:$E,"Yes",'Order Details'!$I:$I,'Item Summary'!$B9,'Order Details'!$F:$F,'Item Summary'!H$4,'Order Details'!$C:$C,"PO Received")+SUMIFS('Order Details'!$Q:$Q,'Order Details'!$E:$E,"Yes",'Order Details'!$I:$I,'Item Summary'!$B9,'Order Details'!$F:$F,'Item Summary'!H$4,'Order Details'!$C:$C,"Proforma Invoice Sent")+SUMIFS('Order Details'!$Q:$Q,'Order Details'!$E:$E,"Yes",'Order Details'!$I:$I,'Item Summary'!$B9,'Order Details'!$F:$F,'Item Summary'!H$4,'Order Details'!$C:$C,"Downpayment Received")+SUMIFS('Order Details'!$Q:$Q,'Order Details'!$E:$E,"Yes",'Order Details'!$I:$I,'Item Summary'!$B9,'Order Details'!$F:$F,'Item Summary'!H$4,'Order Details'!$C:$C,"In Production")</f>
        <v>400</v>
      </c>
      <c r="I9" s="275">
        <f>SUMIFS('Order Details'!$Q:$Q,'Order Details'!$E:$E,"Yes",'Order Details'!$I:$I,'Item Summary'!$B9,'Order Details'!$F:$F,'Item Summary'!I$4,'Order Details'!$C:$C,"PO Received")+SUMIFS('Order Details'!$Q:$Q,'Order Details'!$E:$E,"Yes",'Order Details'!$I:$I,'Item Summary'!$B9,'Order Details'!$F:$F,'Item Summary'!I$4,'Order Details'!$C:$C,"Proforma Invoice Sent")+SUMIFS('Order Details'!$Q:$Q,'Order Details'!$E:$E,"Yes",'Order Details'!$I:$I,'Item Summary'!$B9,'Order Details'!$F:$F,'Item Summary'!I$4,'Order Details'!$C:$C,"Downpayment Received")+SUMIFS('Order Details'!$Q:$Q,'Order Details'!$E:$E,"Yes",'Order Details'!$I:$I,'Item Summary'!$B9,'Order Details'!$F:$F,'Item Summary'!I$4,'Order Details'!$C:$C,"In Production")</f>
        <v>2800</v>
      </c>
      <c r="J9" s="275">
        <f>SUMIFS('Order Details'!$Q:$Q,'Order Details'!$E:$E,"Yes",'Order Details'!$I:$I,'Item Summary'!$B9,'Order Details'!$F:$F,'Item Summary'!J$4,'Order Details'!$C:$C,"PO Received")+SUMIFS('Order Details'!$Q:$Q,'Order Details'!$E:$E,"Yes",'Order Details'!$I:$I,'Item Summary'!$B9,'Order Details'!$F:$F,'Item Summary'!J$4,'Order Details'!$C:$C,"Proforma Invoice Sent")+SUMIFS('Order Details'!$Q:$Q,'Order Details'!$E:$E,"Yes",'Order Details'!$I:$I,'Item Summary'!$B9,'Order Details'!$F:$F,'Item Summary'!J$4,'Order Details'!$C:$C,"Downpayment Received")+SUMIFS('Order Details'!$Q:$Q,'Order Details'!$E:$E,"Yes",'Order Details'!$I:$I,'Item Summary'!$B9,'Order Details'!$F:$F,'Item Summary'!J$4,'Order Details'!$C:$C,"In Production")</f>
        <v>1400</v>
      </c>
      <c r="K9" s="275">
        <f>SUMIFS('Order Details'!$Q:$Q,'Order Details'!$E:$E,"Yes",'Order Details'!$I:$I,'Item Summary'!$B9,'Order Details'!$F:$F,'Item Summary'!K$4,'Order Details'!$C:$C,"PO Received")+SUMIFS('Order Details'!$Q:$Q,'Order Details'!$E:$E,"Yes",'Order Details'!$I:$I,'Item Summary'!$B9,'Order Details'!$F:$F,'Item Summary'!K$4,'Order Details'!$C:$C,"Proforma Invoice Sent")+SUMIFS('Order Details'!$Q:$Q,'Order Details'!$E:$E,"Yes",'Order Details'!$I:$I,'Item Summary'!$B9,'Order Details'!$F:$F,'Item Summary'!K$4,'Order Details'!$C:$C,"Downpayment Received")+SUMIFS('Order Details'!$Q:$Q,'Order Details'!$E:$E,"Yes",'Order Details'!$I:$I,'Item Summary'!$B9,'Order Details'!$F:$F,'Item Summary'!K$4,'Order Details'!$C:$C,"In Production")</f>
        <v>0</v>
      </c>
      <c r="L9" s="291">
        <f>SUMIFS('Order Details'!$Q:$Q,'Order Details'!$E:$E,"Yes",'Order Details'!$I:$I,'Item Summary'!$B9,'Order Details'!$F:$F,'Item Summary'!L$4,'Order Details'!$C:$C,"PO Received")+SUMIFS('Order Details'!$Q:$Q,'Order Details'!$E:$E,"Yes",'Order Details'!$I:$I,'Item Summary'!$B9,'Order Details'!$F:$F,'Item Summary'!L$4,'Order Details'!$C:$C,"Proforma Invoice Sent")+SUMIFS('Order Details'!$Q:$Q,'Order Details'!$E:$E,"Yes",'Order Details'!$I:$I,'Item Summary'!$B9,'Order Details'!$F:$F,'Item Summary'!L$4,'Order Details'!$C:$C,"Downpayment Received")+SUMIFS('Order Details'!$Q:$Q,'Order Details'!$E:$E,"Yes",'Order Details'!$I:$I,'Item Summary'!$B9,'Order Details'!$F:$F,'Item Summary'!L$4,'Order Details'!$C:$C,"In Production")</f>
        <v>400</v>
      </c>
      <c r="M9" s="276">
        <f>SUMIFS('Order Details'!$Q:$Q,'Order Details'!$E:$E,"Yes",'Order Details'!$I:$I,'Item Summary'!$B9,'Order Details'!$F:$F,'Item Summary'!M$4,'Order Details'!$C:$C,"PO Received")+SUMIFS('Order Details'!$Q:$Q,'Order Details'!$E:$E,"Yes",'Order Details'!$I:$I,'Item Summary'!$B9,'Order Details'!$F:$F,'Item Summary'!M$4,'Order Details'!$C:$C,"Proforma Invoice Sent")+SUMIFS('Order Details'!$Q:$Q,'Order Details'!$E:$E,"Yes",'Order Details'!$I:$I,'Item Summary'!$B9,'Order Details'!$F:$F,'Item Summary'!M$4,'Order Details'!$C:$C,"Downpayment Received")+SUMIFS('Order Details'!$Q:$Q,'Order Details'!$E:$E,"Yes",'Order Details'!$I:$I,'Item Summary'!$B9,'Order Details'!$F:$F,'Item Summary'!M$4,'Order Details'!$C:$C,"In Production")</f>
        <v>0</v>
      </c>
      <c r="N9" s="279">
        <f t="shared" si="0"/>
        <v>9900</v>
      </c>
      <c r="Q9" s="278">
        <v>694433</v>
      </c>
      <c r="R9" s="274" t="str">
        <f>VLOOKUP($Q9,'Pricing Table - eff 27-Jan-2026'!$A:$L,9,FALSE)&amp;""" "&amp;VLOOKUP($Q9,'Pricing Table - eff 27-Jan-2026'!$A:$L,12,FALSE)</f>
        <v>108" GLOSSY BLACK</v>
      </c>
      <c r="S9" s="275">
        <f>SUMIFS('Order Details'!$Q:$Q,'Order Details'!$E:$E,"Yes",'Order Details'!$I:$I,$Q9,'Order Details'!$F:$F,'Item Summary'!S$4)-D9</f>
        <v>400</v>
      </c>
      <c r="T9" s="275">
        <f>SUMIFS('Order Details'!$Q:$Q,'Order Details'!$E:$E,"Yes",'Order Details'!$I:$I,$Q9,'Order Details'!$F:$F,'Item Summary'!T$4)-E9</f>
        <v>800</v>
      </c>
      <c r="U9" s="275">
        <f>SUMIFS('Order Details'!$Q:$Q,'Order Details'!$E:$E,"Yes",'Order Details'!$I:$I,$Q9,'Order Details'!$F:$F,'Item Summary'!U$4)-F9</f>
        <v>3600</v>
      </c>
      <c r="V9" s="275">
        <f>SUMIFS('Order Details'!$Q:$Q,'Order Details'!$E:$E,"Yes",'Order Details'!$I:$I,$Q9,'Order Details'!$F:$F,'Item Summary'!V$4)-G9</f>
        <v>1400</v>
      </c>
      <c r="W9" s="275">
        <f>SUMIFS('Order Details'!$Q:$Q,'Order Details'!$E:$E,"Yes",'Order Details'!$I:$I,$Q9,'Order Details'!$F:$F,'Item Summary'!W$4)-H9</f>
        <v>1800</v>
      </c>
      <c r="X9" s="275">
        <f>SUMIFS('Order Details'!$Q:$Q,'Order Details'!$E:$E,"Yes",'Order Details'!$I:$I,$Q9,'Order Details'!$F:$F,'Item Summary'!X$4)-I9</f>
        <v>0</v>
      </c>
      <c r="Y9" s="275">
        <f>SUMIFS('Order Details'!$Q:$Q,'Order Details'!$E:$E,"Yes",'Order Details'!$I:$I,$Q9,'Order Details'!$F:$F,'Item Summary'!Y$4)-J9</f>
        <v>1400</v>
      </c>
      <c r="Z9" s="275">
        <f>SUMIFS('Order Details'!$Q:$Q,'Order Details'!$E:$E,"Yes",'Order Details'!$I:$I,$Q9,'Order Details'!$F:$F,'Item Summary'!Z$4)-K9</f>
        <v>2400</v>
      </c>
      <c r="AA9" s="291">
        <f>SUMIFS('Order Details'!$Q:$Q,'Order Details'!$E:$E,"Yes",'Order Details'!$I:$I,$Q9,'Order Details'!$F:$F,'Item Summary'!AA$4)-L9</f>
        <v>0</v>
      </c>
      <c r="AB9" s="276">
        <f>SUMIFS('Order Details'!$Q:$Q,'Order Details'!$E:$E,"Yes",'Order Details'!$I:$I,$Q9,'Order Details'!$F:$F,'Item Summary'!AB$4)-M9</f>
        <v>2400</v>
      </c>
      <c r="AC9" s="279">
        <f t="shared" si="1"/>
        <v>14200</v>
      </c>
    </row>
    <row r="10" spans="2:29" x14ac:dyDescent="0.3">
      <c r="B10" s="278">
        <v>694434</v>
      </c>
      <c r="C10" s="274" t="str">
        <f>VLOOKUP($B10,'Pricing Table - eff 27-Jan-2026'!$A:$L,9,FALSE)&amp;""" "&amp;VLOOKUP($B10,'Pricing Table - eff 27-Jan-2026'!$A:$L,12,FALSE)</f>
        <v>144" GLOSSY BLACK</v>
      </c>
      <c r="D10" s="275">
        <f>SUMIFS('Order Details'!$Q:$Q,'Order Details'!$E:$E,"Yes",'Order Details'!$I:$I,'Item Summary'!$B10,'Order Details'!$F:$F,'Item Summary'!D$4,'Order Details'!$C:$C,"PO Received")+SUMIFS('Order Details'!$Q:$Q,'Order Details'!$E:$E,"Yes",'Order Details'!$I:$I,'Item Summary'!$B10,'Order Details'!$F:$F,'Item Summary'!D$4,'Order Details'!$C:$C,"Proforma Invoice Sent")+SUMIFS('Order Details'!$Q:$Q,'Order Details'!$E:$E,"Yes",'Order Details'!$I:$I,'Item Summary'!$B10,'Order Details'!$F:$F,'Item Summary'!D$4,'Order Details'!$C:$C,"Downpayment Received")+SUMIFS('Order Details'!$Q:$Q,'Order Details'!$E:$E,"Yes",'Order Details'!$I:$I,'Item Summary'!$B10,'Order Details'!$F:$F,'Item Summary'!D$4,'Order Details'!$C:$C,"In Production")</f>
        <v>0</v>
      </c>
      <c r="E10" s="275">
        <f>SUMIFS('Order Details'!$Q:$Q,'Order Details'!$E:$E,"Yes",'Order Details'!$I:$I,'Item Summary'!$B10,'Order Details'!$F:$F,'Item Summary'!E$4,'Order Details'!$C:$C,"PO Received")+SUMIFS('Order Details'!$Q:$Q,'Order Details'!$E:$E,"Yes",'Order Details'!$I:$I,'Item Summary'!$B10,'Order Details'!$F:$F,'Item Summary'!E$4,'Order Details'!$C:$C,"Proforma Invoice Sent")+SUMIFS('Order Details'!$Q:$Q,'Order Details'!$E:$E,"Yes",'Order Details'!$I:$I,'Item Summary'!$B10,'Order Details'!$F:$F,'Item Summary'!E$4,'Order Details'!$C:$C,"Downpayment Received")+SUMIFS('Order Details'!$Q:$Q,'Order Details'!$E:$E,"Yes",'Order Details'!$I:$I,'Item Summary'!$B10,'Order Details'!$F:$F,'Item Summary'!E$4,'Order Details'!$C:$C,"In Production")</f>
        <v>0</v>
      </c>
      <c r="F10" s="275">
        <f>SUMIFS('Order Details'!$Q:$Q,'Order Details'!$E:$E,"Yes",'Order Details'!$I:$I,'Item Summary'!$B10,'Order Details'!$F:$F,'Item Summary'!F$4,'Order Details'!$C:$C,"PO Received")+SUMIFS('Order Details'!$Q:$Q,'Order Details'!$E:$E,"Yes",'Order Details'!$I:$I,'Item Summary'!$B10,'Order Details'!$F:$F,'Item Summary'!F$4,'Order Details'!$C:$C,"Proforma Invoice Sent")+SUMIFS('Order Details'!$Q:$Q,'Order Details'!$E:$E,"Yes",'Order Details'!$I:$I,'Item Summary'!$B10,'Order Details'!$F:$F,'Item Summary'!F$4,'Order Details'!$C:$C,"Downpayment Received")+SUMIFS('Order Details'!$Q:$Q,'Order Details'!$E:$E,"Yes",'Order Details'!$I:$I,'Item Summary'!$B10,'Order Details'!$F:$F,'Item Summary'!F$4,'Order Details'!$C:$C,"In Production")</f>
        <v>1800</v>
      </c>
      <c r="G10" s="275">
        <f>SUMIFS('Order Details'!$Q:$Q,'Order Details'!$E:$E,"Yes",'Order Details'!$I:$I,'Item Summary'!$B10,'Order Details'!$F:$F,'Item Summary'!G$4,'Order Details'!$C:$C,"PO Received")+SUMIFS('Order Details'!$Q:$Q,'Order Details'!$E:$E,"Yes",'Order Details'!$I:$I,'Item Summary'!$B10,'Order Details'!$F:$F,'Item Summary'!G$4,'Order Details'!$C:$C,"Proforma Invoice Sent")+SUMIFS('Order Details'!$Q:$Q,'Order Details'!$E:$E,"Yes",'Order Details'!$I:$I,'Item Summary'!$B10,'Order Details'!$F:$F,'Item Summary'!G$4,'Order Details'!$C:$C,"Downpayment Received")+SUMIFS('Order Details'!$Q:$Q,'Order Details'!$E:$E,"Yes",'Order Details'!$I:$I,'Item Summary'!$B10,'Order Details'!$F:$F,'Item Summary'!G$4,'Order Details'!$C:$C,"In Production")</f>
        <v>0</v>
      </c>
      <c r="H10" s="275">
        <f>SUMIFS('Order Details'!$Q:$Q,'Order Details'!$E:$E,"Yes",'Order Details'!$I:$I,'Item Summary'!$B10,'Order Details'!$F:$F,'Item Summary'!H$4,'Order Details'!$C:$C,"PO Received")+SUMIFS('Order Details'!$Q:$Q,'Order Details'!$E:$E,"Yes",'Order Details'!$I:$I,'Item Summary'!$B10,'Order Details'!$F:$F,'Item Summary'!H$4,'Order Details'!$C:$C,"Proforma Invoice Sent")+SUMIFS('Order Details'!$Q:$Q,'Order Details'!$E:$E,"Yes",'Order Details'!$I:$I,'Item Summary'!$B10,'Order Details'!$F:$F,'Item Summary'!H$4,'Order Details'!$C:$C,"Downpayment Received")+SUMIFS('Order Details'!$Q:$Q,'Order Details'!$E:$E,"Yes",'Order Details'!$I:$I,'Item Summary'!$B10,'Order Details'!$F:$F,'Item Summary'!H$4,'Order Details'!$C:$C,"In Production")</f>
        <v>0</v>
      </c>
      <c r="I10" s="275">
        <f>SUMIFS('Order Details'!$Q:$Q,'Order Details'!$E:$E,"Yes",'Order Details'!$I:$I,'Item Summary'!$B10,'Order Details'!$F:$F,'Item Summary'!I$4,'Order Details'!$C:$C,"PO Received")+SUMIFS('Order Details'!$Q:$Q,'Order Details'!$E:$E,"Yes",'Order Details'!$I:$I,'Item Summary'!$B10,'Order Details'!$F:$F,'Item Summary'!I$4,'Order Details'!$C:$C,"Proforma Invoice Sent")+SUMIFS('Order Details'!$Q:$Q,'Order Details'!$E:$E,"Yes",'Order Details'!$I:$I,'Item Summary'!$B10,'Order Details'!$F:$F,'Item Summary'!I$4,'Order Details'!$C:$C,"Downpayment Received")+SUMIFS('Order Details'!$Q:$Q,'Order Details'!$E:$E,"Yes",'Order Details'!$I:$I,'Item Summary'!$B10,'Order Details'!$F:$F,'Item Summary'!I$4,'Order Details'!$C:$C,"In Production")</f>
        <v>0</v>
      </c>
      <c r="J10" s="275">
        <f>SUMIFS('Order Details'!$Q:$Q,'Order Details'!$E:$E,"Yes",'Order Details'!$I:$I,'Item Summary'!$B10,'Order Details'!$F:$F,'Item Summary'!J$4,'Order Details'!$C:$C,"PO Received")+SUMIFS('Order Details'!$Q:$Q,'Order Details'!$E:$E,"Yes",'Order Details'!$I:$I,'Item Summary'!$B10,'Order Details'!$F:$F,'Item Summary'!J$4,'Order Details'!$C:$C,"Proforma Invoice Sent")+SUMIFS('Order Details'!$Q:$Q,'Order Details'!$E:$E,"Yes",'Order Details'!$I:$I,'Item Summary'!$B10,'Order Details'!$F:$F,'Item Summary'!J$4,'Order Details'!$C:$C,"Downpayment Received")+SUMIFS('Order Details'!$Q:$Q,'Order Details'!$E:$E,"Yes",'Order Details'!$I:$I,'Item Summary'!$B10,'Order Details'!$F:$F,'Item Summary'!J$4,'Order Details'!$C:$C,"In Production")</f>
        <v>0</v>
      </c>
      <c r="K10" s="275">
        <f>SUMIFS('Order Details'!$Q:$Q,'Order Details'!$E:$E,"Yes",'Order Details'!$I:$I,'Item Summary'!$B10,'Order Details'!$F:$F,'Item Summary'!K$4,'Order Details'!$C:$C,"PO Received")+SUMIFS('Order Details'!$Q:$Q,'Order Details'!$E:$E,"Yes",'Order Details'!$I:$I,'Item Summary'!$B10,'Order Details'!$F:$F,'Item Summary'!K$4,'Order Details'!$C:$C,"Proforma Invoice Sent")+SUMIFS('Order Details'!$Q:$Q,'Order Details'!$E:$E,"Yes",'Order Details'!$I:$I,'Item Summary'!$B10,'Order Details'!$F:$F,'Item Summary'!K$4,'Order Details'!$C:$C,"Downpayment Received")+SUMIFS('Order Details'!$Q:$Q,'Order Details'!$E:$E,"Yes",'Order Details'!$I:$I,'Item Summary'!$B10,'Order Details'!$F:$F,'Item Summary'!K$4,'Order Details'!$C:$C,"In Production")</f>
        <v>0</v>
      </c>
      <c r="L10" s="291">
        <f>SUMIFS('Order Details'!$Q:$Q,'Order Details'!$E:$E,"Yes",'Order Details'!$I:$I,'Item Summary'!$B10,'Order Details'!$F:$F,'Item Summary'!L$4,'Order Details'!$C:$C,"PO Received")+SUMIFS('Order Details'!$Q:$Q,'Order Details'!$E:$E,"Yes",'Order Details'!$I:$I,'Item Summary'!$B10,'Order Details'!$F:$F,'Item Summary'!L$4,'Order Details'!$C:$C,"Proforma Invoice Sent")+SUMIFS('Order Details'!$Q:$Q,'Order Details'!$E:$E,"Yes",'Order Details'!$I:$I,'Item Summary'!$B10,'Order Details'!$F:$F,'Item Summary'!L$4,'Order Details'!$C:$C,"Downpayment Received")+SUMIFS('Order Details'!$Q:$Q,'Order Details'!$E:$E,"Yes",'Order Details'!$I:$I,'Item Summary'!$B10,'Order Details'!$F:$F,'Item Summary'!L$4,'Order Details'!$C:$C,"In Production")</f>
        <v>0</v>
      </c>
      <c r="M10" s="276">
        <f>SUMIFS('Order Details'!$Q:$Q,'Order Details'!$E:$E,"Yes",'Order Details'!$I:$I,'Item Summary'!$B10,'Order Details'!$F:$F,'Item Summary'!M$4,'Order Details'!$C:$C,"PO Received")+SUMIFS('Order Details'!$Q:$Q,'Order Details'!$E:$E,"Yes",'Order Details'!$I:$I,'Item Summary'!$B10,'Order Details'!$F:$F,'Item Summary'!M$4,'Order Details'!$C:$C,"Proforma Invoice Sent")+SUMIFS('Order Details'!$Q:$Q,'Order Details'!$E:$E,"Yes",'Order Details'!$I:$I,'Item Summary'!$B10,'Order Details'!$F:$F,'Item Summary'!M$4,'Order Details'!$C:$C,"Downpayment Received")+SUMIFS('Order Details'!$Q:$Q,'Order Details'!$E:$E,"Yes",'Order Details'!$I:$I,'Item Summary'!$B10,'Order Details'!$F:$F,'Item Summary'!M$4,'Order Details'!$C:$C,"In Production")</f>
        <v>0</v>
      </c>
      <c r="N10" s="279">
        <f t="shared" si="0"/>
        <v>1800</v>
      </c>
      <c r="Q10" s="278">
        <v>694434</v>
      </c>
      <c r="R10" s="274" t="str">
        <f>VLOOKUP($Q10,'Pricing Table - eff 27-Jan-2026'!$A:$L,9,FALSE)&amp;""" "&amp;VLOOKUP($Q10,'Pricing Table - eff 27-Jan-2026'!$A:$L,12,FALSE)</f>
        <v>144" GLOSSY BLACK</v>
      </c>
      <c r="S10" s="275">
        <f>SUMIFS('Order Details'!$Q:$Q,'Order Details'!$E:$E,"Yes",'Order Details'!$I:$I,$Q10,'Order Details'!$F:$F,'Item Summary'!S$4)-D10</f>
        <v>0</v>
      </c>
      <c r="T10" s="275">
        <f>SUMIFS('Order Details'!$Q:$Q,'Order Details'!$E:$E,"Yes",'Order Details'!$I:$I,$Q10,'Order Details'!$F:$F,'Item Summary'!T$4)-E10</f>
        <v>200</v>
      </c>
      <c r="U10" s="275">
        <f>SUMIFS('Order Details'!$Q:$Q,'Order Details'!$E:$E,"Yes",'Order Details'!$I:$I,$Q10,'Order Details'!$F:$F,'Item Summary'!U$4)-F10</f>
        <v>1600</v>
      </c>
      <c r="V10" s="275">
        <f>SUMIFS('Order Details'!$Q:$Q,'Order Details'!$E:$E,"Yes",'Order Details'!$I:$I,$Q10,'Order Details'!$F:$F,'Item Summary'!V$4)-G10</f>
        <v>0</v>
      </c>
      <c r="W10" s="275">
        <f>SUMIFS('Order Details'!$Q:$Q,'Order Details'!$E:$E,"Yes",'Order Details'!$I:$I,$Q10,'Order Details'!$F:$F,'Item Summary'!W$4)-H10</f>
        <v>800</v>
      </c>
      <c r="X10" s="275">
        <f>SUMIFS('Order Details'!$Q:$Q,'Order Details'!$E:$E,"Yes",'Order Details'!$I:$I,$Q10,'Order Details'!$F:$F,'Item Summary'!X$4)-I10</f>
        <v>0</v>
      </c>
      <c r="Y10" s="275">
        <f>SUMIFS('Order Details'!$Q:$Q,'Order Details'!$E:$E,"Yes",'Order Details'!$I:$I,$Q10,'Order Details'!$F:$F,'Item Summary'!Y$4)-J10</f>
        <v>0</v>
      </c>
      <c r="Z10" s="275">
        <f>SUMIFS('Order Details'!$Q:$Q,'Order Details'!$E:$E,"Yes",'Order Details'!$I:$I,$Q10,'Order Details'!$F:$F,'Item Summary'!Z$4)-K10</f>
        <v>1000</v>
      </c>
      <c r="AA10" s="291">
        <f>SUMIFS('Order Details'!$Q:$Q,'Order Details'!$E:$E,"Yes",'Order Details'!$I:$I,$Q10,'Order Details'!$F:$F,'Item Summary'!AA$4)-L10</f>
        <v>0</v>
      </c>
      <c r="AB10" s="276">
        <f>SUMIFS('Order Details'!$Q:$Q,'Order Details'!$E:$E,"Yes",'Order Details'!$I:$I,$Q10,'Order Details'!$F:$F,'Item Summary'!AB$4)-M10</f>
        <v>1000</v>
      </c>
      <c r="AC10" s="279">
        <f t="shared" si="1"/>
        <v>4600</v>
      </c>
    </row>
    <row r="11" spans="2:29" x14ac:dyDescent="0.3">
      <c r="B11" s="278">
        <v>704985</v>
      </c>
      <c r="C11" s="274" t="str">
        <f>VLOOKUP($B11,'Pricing Table - eff 27-Jan-2026'!$A:$L,9,FALSE)&amp;""" "&amp;VLOOKUP($B11,'Pricing Table - eff 27-Jan-2026'!$A:$L,12,FALSE)</f>
        <v>84" GLOSSY WHITE</v>
      </c>
      <c r="D11" s="275">
        <f>SUMIFS('Order Details'!$Q:$Q,'Order Details'!$E:$E,"Yes",'Order Details'!$I:$I,'Item Summary'!$B11,'Order Details'!$F:$F,'Item Summary'!D$4,'Order Details'!$C:$C,"PO Received")+SUMIFS('Order Details'!$Q:$Q,'Order Details'!$E:$E,"Yes",'Order Details'!$I:$I,'Item Summary'!$B11,'Order Details'!$F:$F,'Item Summary'!D$4,'Order Details'!$C:$C,"Proforma Invoice Sent")+SUMIFS('Order Details'!$Q:$Q,'Order Details'!$E:$E,"Yes",'Order Details'!$I:$I,'Item Summary'!$B11,'Order Details'!$F:$F,'Item Summary'!D$4,'Order Details'!$C:$C,"Downpayment Received")+SUMIFS('Order Details'!$Q:$Q,'Order Details'!$E:$E,"Yes",'Order Details'!$I:$I,'Item Summary'!$B11,'Order Details'!$F:$F,'Item Summary'!D$4,'Order Details'!$C:$C,"In Production")</f>
        <v>0</v>
      </c>
      <c r="E11" s="275">
        <f>SUMIFS('Order Details'!$Q:$Q,'Order Details'!$E:$E,"Yes",'Order Details'!$I:$I,'Item Summary'!$B11,'Order Details'!$F:$F,'Item Summary'!E$4,'Order Details'!$C:$C,"PO Received")+SUMIFS('Order Details'!$Q:$Q,'Order Details'!$E:$E,"Yes",'Order Details'!$I:$I,'Item Summary'!$B11,'Order Details'!$F:$F,'Item Summary'!E$4,'Order Details'!$C:$C,"Proforma Invoice Sent")+SUMIFS('Order Details'!$Q:$Q,'Order Details'!$E:$E,"Yes",'Order Details'!$I:$I,'Item Summary'!$B11,'Order Details'!$F:$F,'Item Summary'!E$4,'Order Details'!$C:$C,"Downpayment Received")+SUMIFS('Order Details'!$Q:$Q,'Order Details'!$E:$E,"Yes",'Order Details'!$I:$I,'Item Summary'!$B11,'Order Details'!$F:$F,'Item Summary'!E$4,'Order Details'!$C:$C,"In Production")</f>
        <v>600</v>
      </c>
      <c r="F11" s="275">
        <f>SUMIFS('Order Details'!$Q:$Q,'Order Details'!$E:$E,"Yes",'Order Details'!$I:$I,'Item Summary'!$B11,'Order Details'!$F:$F,'Item Summary'!F$4,'Order Details'!$C:$C,"PO Received")+SUMIFS('Order Details'!$Q:$Q,'Order Details'!$E:$E,"Yes",'Order Details'!$I:$I,'Item Summary'!$B11,'Order Details'!$F:$F,'Item Summary'!F$4,'Order Details'!$C:$C,"Proforma Invoice Sent")+SUMIFS('Order Details'!$Q:$Q,'Order Details'!$E:$E,"Yes",'Order Details'!$I:$I,'Item Summary'!$B11,'Order Details'!$F:$F,'Item Summary'!F$4,'Order Details'!$C:$C,"Downpayment Received")+SUMIFS('Order Details'!$Q:$Q,'Order Details'!$E:$E,"Yes",'Order Details'!$I:$I,'Item Summary'!$B11,'Order Details'!$F:$F,'Item Summary'!F$4,'Order Details'!$C:$C,"In Production")</f>
        <v>0</v>
      </c>
      <c r="G11" s="275">
        <f>SUMIFS('Order Details'!$Q:$Q,'Order Details'!$E:$E,"Yes",'Order Details'!$I:$I,'Item Summary'!$B11,'Order Details'!$F:$F,'Item Summary'!G$4,'Order Details'!$C:$C,"PO Received")+SUMIFS('Order Details'!$Q:$Q,'Order Details'!$E:$E,"Yes",'Order Details'!$I:$I,'Item Summary'!$B11,'Order Details'!$F:$F,'Item Summary'!G$4,'Order Details'!$C:$C,"Proforma Invoice Sent")+SUMIFS('Order Details'!$Q:$Q,'Order Details'!$E:$E,"Yes",'Order Details'!$I:$I,'Item Summary'!$B11,'Order Details'!$F:$F,'Item Summary'!G$4,'Order Details'!$C:$C,"Downpayment Received")+SUMIFS('Order Details'!$Q:$Q,'Order Details'!$E:$E,"Yes",'Order Details'!$I:$I,'Item Summary'!$B11,'Order Details'!$F:$F,'Item Summary'!G$4,'Order Details'!$C:$C,"In Production")</f>
        <v>0</v>
      </c>
      <c r="H11" s="275">
        <f>SUMIFS('Order Details'!$Q:$Q,'Order Details'!$E:$E,"Yes",'Order Details'!$I:$I,'Item Summary'!$B11,'Order Details'!$F:$F,'Item Summary'!H$4,'Order Details'!$C:$C,"PO Received")+SUMIFS('Order Details'!$Q:$Q,'Order Details'!$E:$E,"Yes",'Order Details'!$I:$I,'Item Summary'!$B11,'Order Details'!$F:$F,'Item Summary'!H$4,'Order Details'!$C:$C,"Proforma Invoice Sent")+SUMIFS('Order Details'!$Q:$Q,'Order Details'!$E:$E,"Yes",'Order Details'!$I:$I,'Item Summary'!$B11,'Order Details'!$F:$F,'Item Summary'!H$4,'Order Details'!$C:$C,"Downpayment Received")+SUMIFS('Order Details'!$Q:$Q,'Order Details'!$E:$E,"Yes",'Order Details'!$I:$I,'Item Summary'!$B11,'Order Details'!$F:$F,'Item Summary'!H$4,'Order Details'!$C:$C,"In Production")</f>
        <v>0</v>
      </c>
      <c r="I11" s="275">
        <f>SUMIFS('Order Details'!$Q:$Q,'Order Details'!$E:$E,"Yes",'Order Details'!$I:$I,'Item Summary'!$B11,'Order Details'!$F:$F,'Item Summary'!I$4,'Order Details'!$C:$C,"PO Received")+SUMIFS('Order Details'!$Q:$Q,'Order Details'!$E:$E,"Yes",'Order Details'!$I:$I,'Item Summary'!$B11,'Order Details'!$F:$F,'Item Summary'!I$4,'Order Details'!$C:$C,"Proforma Invoice Sent")+SUMIFS('Order Details'!$Q:$Q,'Order Details'!$E:$E,"Yes",'Order Details'!$I:$I,'Item Summary'!$B11,'Order Details'!$F:$F,'Item Summary'!I$4,'Order Details'!$C:$C,"Downpayment Received")+SUMIFS('Order Details'!$Q:$Q,'Order Details'!$E:$E,"Yes",'Order Details'!$I:$I,'Item Summary'!$B11,'Order Details'!$F:$F,'Item Summary'!I$4,'Order Details'!$C:$C,"In Production")</f>
        <v>0</v>
      </c>
      <c r="J11" s="275">
        <f>SUMIFS('Order Details'!$Q:$Q,'Order Details'!$E:$E,"Yes",'Order Details'!$I:$I,'Item Summary'!$B11,'Order Details'!$F:$F,'Item Summary'!J$4,'Order Details'!$C:$C,"PO Received")+SUMIFS('Order Details'!$Q:$Q,'Order Details'!$E:$E,"Yes",'Order Details'!$I:$I,'Item Summary'!$B11,'Order Details'!$F:$F,'Item Summary'!J$4,'Order Details'!$C:$C,"Proforma Invoice Sent")+SUMIFS('Order Details'!$Q:$Q,'Order Details'!$E:$E,"Yes",'Order Details'!$I:$I,'Item Summary'!$B11,'Order Details'!$F:$F,'Item Summary'!J$4,'Order Details'!$C:$C,"Downpayment Received")+SUMIFS('Order Details'!$Q:$Q,'Order Details'!$E:$E,"Yes",'Order Details'!$I:$I,'Item Summary'!$B11,'Order Details'!$F:$F,'Item Summary'!J$4,'Order Details'!$C:$C,"In Production")</f>
        <v>0</v>
      </c>
      <c r="K11" s="275">
        <f>SUMIFS('Order Details'!$Q:$Q,'Order Details'!$E:$E,"Yes",'Order Details'!$I:$I,'Item Summary'!$B11,'Order Details'!$F:$F,'Item Summary'!K$4,'Order Details'!$C:$C,"PO Received")+SUMIFS('Order Details'!$Q:$Q,'Order Details'!$E:$E,"Yes",'Order Details'!$I:$I,'Item Summary'!$B11,'Order Details'!$F:$F,'Item Summary'!K$4,'Order Details'!$C:$C,"Proforma Invoice Sent")+SUMIFS('Order Details'!$Q:$Q,'Order Details'!$E:$E,"Yes",'Order Details'!$I:$I,'Item Summary'!$B11,'Order Details'!$F:$F,'Item Summary'!K$4,'Order Details'!$C:$C,"Downpayment Received")+SUMIFS('Order Details'!$Q:$Q,'Order Details'!$E:$E,"Yes",'Order Details'!$I:$I,'Item Summary'!$B11,'Order Details'!$F:$F,'Item Summary'!K$4,'Order Details'!$C:$C,"In Production")</f>
        <v>0</v>
      </c>
      <c r="L11" s="291">
        <f>SUMIFS('Order Details'!$Q:$Q,'Order Details'!$E:$E,"Yes",'Order Details'!$I:$I,'Item Summary'!$B11,'Order Details'!$F:$F,'Item Summary'!L$4,'Order Details'!$C:$C,"PO Received")+SUMIFS('Order Details'!$Q:$Q,'Order Details'!$E:$E,"Yes",'Order Details'!$I:$I,'Item Summary'!$B11,'Order Details'!$F:$F,'Item Summary'!L$4,'Order Details'!$C:$C,"Proforma Invoice Sent")+SUMIFS('Order Details'!$Q:$Q,'Order Details'!$E:$E,"Yes",'Order Details'!$I:$I,'Item Summary'!$B11,'Order Details'!$F:$F,'Item Summary'!L$4,'Order Details'!$C:$C,"Downpayment Received")+SUMIFS('Order Details'!$Q:$Q,'Order Details'!$E:$E,"Yes",'Order Details'!$I:$I,'Item Summary'!$B11,'Order Details'!$F:$F,'Item Summary'!L$4,'Order Details'!$C:$C,"In Production")</f>
        <v>0</v>
      </c>
      <c r="M11" s="276">
        <f>SUMIFS('Order Details'!$Q:$Q,'Order Details'!$E:$E,"Yes",'Order Details'!$I:$I,'Item Summary'!$B11,'Order Details'!$F:$F,'Item Summary'!M$4,'Order Details'!$C:$C,"PO Received")+SUMIFS('Order Details'!$Q:$Q,'Order Details'!$E:$E,"Yes",'Order Details'!$I:$I,'Item Summary'!$B11,'Order Details'!$F:$F,'Item Summary'!M$4,'Order Details'!$C:$C,"Proforma Invoice Sent")+SUMIFS('Order Details'!$Q:$Q,'Order Details'!$E:$E,"Yes",'Order Details'!$I:$I,'Item Summary'!$B11,'Order Details'!$F:$F,'Item Summary'!M$4,'Order Details'!$C:$C,"Downpayment Received")+SUMIFS('Order Details'!$Q:$Q,'Order Details'!$E:$E,"Yes",'Order Details'!$I:$I,'Item Summary'!$B11,'Order Details'!$F:$F,'Item Summary'!M$4,'Order Details'!$C:$C,"In Production")</f>
        <v>0</v>
      </c>
      <c r="N11" s="279">
        <f t="shared" si="0"/>
        <v>600</v>
      </c>
      <c r="Q11" s="278">
        <v>704985</v>
      </c>
      <c r="R11" s="274" t="str">
        <f>VLOOKUP($Q11,'Pricing Table - eff 27-Jan-2026'!$A:$L,9,FALSE)&amp;""" "&amp;VLOOKUP($Q11,'Pricing Table - eff 27-Jan-2026'!$A:$L,12,FALSE)</f>
        <v>84" GLOSSY WHITE</v>
      </c>
      <c r="S11" s="275">
        <f>SUMIFS('Order Details'!$Q:$Q,'Order Details'!$E:$E,"Yes",'Order Details'!$I:$I,$Q11,'Order Details'!$F:$F,'Item Summary'!S$4)-D11</f>
        <v>0</v>
      </c>
      <c r="T11" s="275">
        <f>SUMIFS('Order Details'!$Q:$Q,'Order Details'!$E:$E,"Yes",'Order Details'!$I:$I,$Q11,'Order Details'!$F:$F,'Item Summary'!T$4)-E11</f>
        <v>1200</v>
      </c>
      <c r="U11" s="275">
        <f>SUMIFS('Order Details'!$Q:$Q,'Order Details'!$E:$E,"Yes",'Order Details'!$I:$I,$Q11,'Order Details'!$F:$F,'Item Summary'!U$4)-F11</f>
        <v>0</v>
      </c>
      <c r="V11" s="275">
        <f>SUMIFS('Order Details'!$Q:$Q,'Order Details'!$E:$E,"Yes",'Order Details'!$I:$I,$Q11,'Order Details'!$F:$F,'Item Summary'!V$4)-G11</f>
        <v>0</v>
      </c>
      <c r="W11" s="275">
        <f>SUMIFS('Order Details'!$Q:$Q,'Order Details'!$E:$E,"Yes",'Order Details'!$I:$I,$Q11,'Order Details'!$F:$F,'Item Summary'!W$4)-H11</f>
        <v>0</v>
      </c>
      <c r="X11" s="275">
        <f>SUMIFS('Order Details'!$Q:$Q,'Order Details'!$E:$E,"Yes",'Order Details'!$I:$I,$Q11,'Order Details'!$F:$F,'Item Summary'!X$4)-I11</f>
        <v>0</v>
      </c>
      <c r="Y11" s="275">
        <f>SUMIFS('Order Details'!$Q:$Q,'Order Details'!$E:$E,"Yes",'Order Details'!$I:$I,$Q11,'Order Details'!$F:$F,'Item Summary'!Y$4)-J11</f>
        <v>0</v>
      </c>
      <c r="Z11" s="275">
        <f>SUMIFS('Order Details'!$Q:$Q,'Order Details'!$E:$E,"Yes",'Order Details'!$I:$I,$Q11,'Order Details'!$F:$F,'Item Summary'!Z$4)-K11</f>
        <v>0</v>
      </c>
      <c r="AA11" s="291">
        <f>SUMIFS('Order Details'!$Q:$Q,'Order Details'!$E:$E,"Yes",'Order Details'!$I:$I,$Q11,'Order Details'!$F:$F,'Item Summary'!AA$4)-L11</f>
        <v>0</v>
      </c>
      <c r="AB11" s="276">
        <f>SUMIFS('Order Details'!$Q:$Q,'Order Details'!$E:$E,"Yes",'Order Details'!$I:$I,$Q11,'Order Details'!$F:$F,'Item Summary'!AB$4)-M11</f>
        <v>0</v>
      </c>
      <c r="AC11" s="279">
        <f t="shared" si="1"/>
        <v>1200</v>
      </c>
    </row>
    <row r="12" spans="2:29" x14ac:dyDescent="0.3">
      <c r="B12" s="278">
        <v>694435</v>
      </c>
      <c r="C12" s="274" t="str">
        <f>VLOOKUP($B12,'Pricing Table - eff 27-Jan-2026'!$A:$L,9,FALSE)&amp;""" "&amp;VLOOKUP($B12,'Pricing Table - eff 27-Jan-2026'!$A:$L,12,FALSE)</f>
        <v>90" GLOSSY WHITE</v>
      </c>
      <c r="D12" s="275">
        <f>SUMIFS('Order Details'!$Q:$Q,'Order Details'!$E:$E,"Yes",'Order Details'!$I:$I,'Item Summary'!$B12,'Order Details'!$F:$F,'Item Summary'!D$4,'Order Details'!$C:$C,"PO Received")+SUMIFS('Order Details'!$Q:$Q,'Order Details'!$E:$E,"Yes",'Order Details'!$I:$I,'Item Summary'!$B12,'Order Details'!$F:$F,'Item Summary'!D$4,'Order Details'!$C:$C,"Proforma Invoice Sent")+SUMIFS('Order Details'!$Q:$Q,'Order Details'!$E:$E,"Yes",'Order Details'!$I:$I,'Item Summary'!$B12,'Order Details'!$F:$F,'Item Summary'!D$4,'Order Details'!$C:$C,"Downpayment Received")+SUMIFS('Order Details'!$Q:$Q,'Order Details'!$E:$E,"Yes",'Order Details'!$I:$I,'Item Summary'!$B12,'Order Details'!$F:$F,'Item Summary'!D$4,'Order Details'!$C:$C,"In Production")</f>
        <v>0</v>
      </c>
      <c r="E12" s="275">
        <f>SUMIFS('Order Details'!$Q:$Q,'Order Details'!$E:$E,"Yes",'Order Details'!$I:$I,'Item Summary'!$B12,'Order Details'!$F:$F,'Item Summary'!E$4,'Order Details'!$C:$C,"PO Received")+SUMIFS('Order Details'!$Q:$Q,'Order Details'!$E:$E,"Yes",'Order Details'!$I:$I,'Item Summary'!$B12,'Order Details'!$F:$F,'Item Summary'!E$4,'Order Details'!$C:$C,"Proforma Invoice Sent")+SUMIFS('Order Details'!$Q:$Q,'Order Details'!$E:$E,"Yes",'Order Details'!$I:$I,'Item Summary'!$B12,'Order Details'!$F:$F,'Item Summary'!E$4,'Order Details'!$C:$C,"Downpayment Received")+SUMIFS('Order Details'!$Q:$Q,'Order Details'!$E:$E,"Yes",'Order Details'!$I:$I,'Item Summary'!$B12,'Order Details'!$F:$F,'Item Summary'!E$4,'Order Details'!$C:$C,"In Production")</f>
        <v>0</v>
      </c>
      <c r="F12" s="275">
        <f>SUMIFS('Order Details'!$Q:$Q,'Order Details'!$E:$E,"Yes",'Order Details'!$I:$I,'Item Summary'!$B12,'Order Details'!$F:$F,'Item Summary'!F$4,'Order Details'!$C:$C,"PO Received")+SUMIFS('Order Details'!$Q:$Q,'Order Details'!$E:$E,"Yes",'Order Details'!$I:$I,'Item Summary'!$B12,'Order Details'!$F:$F,'Item Summary'!F$4,'Order Details'!$C:$C,"Proforma Invoice Sent")+SUMIFS('Order Details'!$Q:$Q,'Order Details'!$E:$E,"Yes",'Order Details'!$I:$I,'Item Summary'!$B12,'Order Details'!$F:$F,'Item Summary'!F$4,'Order Details'!$C:$C,"Downpayment Received")+SUMIFS('Order Details'!$Q:$Q,'Order Details'!$E:$E,"Yes",'Order Details'!$I:$I,'Item Summary'!$B12,'Order Details'!$F:$F,'Item Summary'!F$4,'Order Details'!$C:$C,"In Production")</f>
        <v>0</v>
      </c>
      <c r="G12" s="275">
        <f>SUMIFS('Order Details'!$Q:$Q,'Order Details'!$E:$E,"Yes",'Order Details'!$I:$I,'Item Summary'!$B12,'Order Details'!$F:$F,'Item Summary'!G$4,'Order Details'!$C:$C,"PO Received")+SUMIFS('Order Details'!$Q:$Q,'Order Details'!$E:$E,"Yes",'Order Details'!$I:$I,'Item Summary'!$B12,'Order Details'!$F:$F,'Item Summary'!G$4,'Order Details'!$C:$C,"Proforma Invoice Sent")+SUMIFS('Order Details'!$Q:$Q,'Order Details'!$E:$E,"Yes",'Order Details'!$I:$I,'Item Summary'!$B12,'Order Details'!$F:$F,'Item Summary'!G$4,'Order Details'!$C:$C,"Downpayment Received")+SUMIFS('Order Details'!$Q:$Q,'Order Details'!$E:$E,"Yes",'Order Details'!$I:$I,'Item Summary'!$B12,'Order Details'!$F:$F,'Item Summary'!G$4,'Order Details'!$C:$C,"In Production")</f>
        <v>0</v>
      </c>
      <c r="H12" s="275">
        <f>SUMIFS('Order Details'!$Q:$Q,'Order Details'!$E:$E,"Yes",'Order Details'!$I:$I,'Item Summary'!$B12,'Order Details'!$F:$F,'Item Summary'!H$4,'Order Details'!$C:$C,"PO Received")+SUMIFS('Order Details'!$Q:$Q,'Order Details'!$E:$E,"Yes",'Order Details'!$I:$I,'Item Summary'!$B12,'Order Details'!$F:$F,'Item Summary'!H$4,'Order Details'!$C:$C,"Proforma Invoice Sent")+SUMIFS('Order Details'!$Q:$Q,'Order Details'!$E:$E,"Yes",'Order Details'!$I:$I,'Item Summary'!$B12,'Order Details'!$F:$F,'Item Summary'!H$4,'Order Details'!$C:$C,"Downpayment Received")+SUMIFS('Order Details'!$Q:$Q,'Order Details'!$E:$E,"Yes",'Order Details'!$I:$I,'Item Summary'!$B12,'Order Details'!$F:$F,'Item Summary'!H$4,'Order Details'!$C:$C,"In Production")</f>
        <v>0</v>
      </c>
      <c r="I12" s="275">
        <f>SUMIFS('Order Details'!$Q:$Q,'Order Details'!$E:$E,"Yes",'Order Details'!$I:$I,'Item Summary'!$B12,'Order Details'!$F:$F,'Item Summary'!I$4,'Order Details'!$C:$C,"PO Received")+SUMIFS('Order Details'!$Q:$Q,'Order Details'!$E:$E,"Yes",'Order Details'!$I:$I,'Item Summary'!$B12,'Order Details'!$F:$F,'Item Summary'!I$4,'Order Details'!$C:$C,"Proforma Invoice Sent")+SUMIFS('Order Details'!$Q:$Q,'Order Details'!$E:$E,"Yes",'Order Details'!$I:$I,'Item Summary'!$B12,'Order Details'!$F:$F,'Item Summary'!I$4,'Order Details'!$C:$C,"Downpayment Received")+SUMIFS('Order Details'!$Q:$Q,'Order Details'!$E:$E,"Yes",'Order Details'!$I:$I,'Item Summary'!$B12,'Order Details'!$F:$F,'Item Summary'!I$4,'Order Details'!$C:$C,"In Production")</f>
        <v>0</v>
      </c>
      <c r="J12" s="275">
        <f>SUMIFS('Order Details'!$Q:$Q,'Order Details'!$E:$E,"Yes",'Order Details'!$I:$I,'Item Summary'!$B12,'Order Details'!$F:$F,'Item Summary'!J$4,'Order Details'!$C:$C,"PO Received")+SUMIFS('Order Details'!$Q:$Q,'Order Details'!$E:$E,"Yes",'Order Details'!$I:$I,'Item Summary'!$B12,'Order Details'!$F:$F,'Item Summary'!J$4,'Order Details'!$C:$C,"Proforma Invoice Sent")+SUMIFS('Order Details'!$Q:$Q,'Order Details'!$E:$E,"Yes",'Order Details'!$I:$I,'Item Summary'!$B12,'Order Details'!$F:$F,'Item Summary'!J$4,'Order Details'!$C:$C,"Downpayment Received")+SUMIFS('Order Details'!$Q:$Q,'Order Details'!$E:$E,"Yes",'Order Details'!$I:$I,'Item Summary'!$B12,'Order Details'!$F:$F,'Item Summary'!J$4,'Order Details'!$C:$C,"In Production")</f>
        <v>0</v>
      </c>
      <c r="K12" s="275">
        <f>SUMIFS('Order Details'!$Q:$Q,'Order Details'!$E:$E,"Yes",'Order Details'!$I:$I,'Item Summary'!$B12,'Order Details'!$F:$F,'Item Summary'!K$4,'Order Details'!$C:$C,"PO Received")+SUMIFS('Order Details'!$Q:$Q,'Order Details'!$E:$E,"Yes",'Order Details'!$I:$I,'Item Summary'!$B12,'Order Details'!$F:$F,'Item Summary'!K$4,'Order Details'!$C:$C,"Proforma Invoice Sent")+SUMIFS('Order Details'!$Q:$Q,'Order Details'!$E:$E,"Yes",'Order Details'!$I:$I,'Item Summary'!$B12,'Order Details'!$F:$F,'Item Summary'!K$4,'Order Details'!$C:$C,"Downpayment Received")+SUMIFS('Order Details'!$Q:$Q,'Order Details'!$E:$E,"Yes",'Order Details'!$I:$I,'Item Summary'!$B12,'Order Details'!$F:$F,'Item Summary'!K$4,'Order Details'!$C:$C,"In Production")</f>
        <v>0</v>
      </c>
      <c r="L12" s="291">
        <f>SUMIFS('Order Details'!$Q:$Q,'Order Details'!$E:$E,"Yes",'Order Details'!$I:$I,'Item Summary'!$B12,'Order Details'!$F:$F,'Item Summary'!L$4,'Order Details'!$C:$C,"PO Received")+SUMIFS('Order Details'!$Q:$Q,'Order Details'!$E:$E,"Yes",'Order Details'!$I:$I,'Item Summary'!$B12,'Order Details'!$F:$F,'Item Summary'!L$4,'Order Details'!$C:$C,"Proforma Invoice Sent")+SUMIFS('Order Details'!$Q:$Q,'Order Details'!$E:$E,"Yes",'Order Details'!$I:$I,'Item Summary'!$B12,'Order Details'!$F:$F,'Item Summary'!L$4,'Order Details'!$C:$C,"Downpayment Received")+SUMIFS('Order Details'!$Q:$Q,'Order Details'!$E:$E,"Yes",'Order Details'!$I:$I,'Item Summary'!$B12,'Order Details'!$F:$F,'Item Summary'!L$4,'Order Details'!$C:$C,"In Production")</f>
        <v>0</v>
      </c>
      <c r="M12" s="276">
        <f>SUMIFS('Order Details'!$Q:$Q,'Order Details'!$E:$E,"Yes",'Order Details'!$I:$I,'Item Summary'!$B12,'Order Details'!$F:$F,'Item Summary'!M$4,'Order Details'!$C:$C,"PO Received")+SUMIFS('Order Details'!$Q:$Q,'Order Details'!$E:$E,"Yes",'Order Details'!$I:$I,'Item Summary'!$B12,'Order Details'!$F:$F,'Item Summary'!M$4,'Order Details'!$C:$C,"Proforma Invoice Sent")+SUMIFS('Order Details'!$Q:$Q,'Order Details'!$E:$E,"Yes",'Order Details'!$I:$I,'Item Summary'!$B12,'Order Details'!$F:$F,'Item Summary'!M$4,'Order Details'!$C:$C,"Downpayment Received")+SUMIFS('Order Details'!$Q:$Q,'Order Details'!$E:$E,"Yes",'Order Details'!$I:$I,'Item Summary'!$B12,'Order Details'!$F:$F,'Item Summary'!M$4,'Order Details'!$C:$C,"In Production")</f>
        <v>0</v>
      </c>
      <c r="N12" s="279">
        <f t="shared" si="0"/>
        <v>0</v>
      </c>
      <c r="Q12" s="278">
        <v>694435</v>
      </c>
      <c r="R12" s="274" t="str">
        <f>VLOOKUP($Q12,'Pricing Table - eff 27-Jan-2026'!$A:$L,9,FALSE)&amp;""" "&amp;VLOOKUP($Q12,'Pricing Table - eff 27-Jan-2026'!$A:$L,12,FALSE)</f>
        <v>90" GLOSSY WHITE</v>
      </c>
      <c r="S12" s="275">
        <f>SUMIFS('Order Details'!$Q:$Q,'Order Details'!$E:$E,"Yes",'Order Details'!$I:$I,$Q12,'Order Details'!$F:$F,'Item Summary'!S$4)-D12</f>
        <v>0</v>
      </c>
      <c r="T12" s="275">
        <f>SUMIFS('Order Details'!$Q:$Q,'Order Details'!$E:$E,"Yes",'Order Details'!$I:$I,$Q12,'Order Details'!$F:$F,'Item Summary'!T$4)-E12</f>
        <v>0</v>
      </c>
      <c r="U12" s="275">
        <f>SUMIFS('Order Details'!$Q:$Q,'Order Details'!$E:$E,"Yes",'Order Details'!$I:$I,$Q12,'Order Details'!$F:$F,'Item Summary'!U$4)-F12</f>
        <v>0</v>
      </c>
      <c r="V12" s="275">
        <f>SUMIFS('Order Details'!$Q:$Q,'Order Details'!$E:$E,"Yes",'Order Details'!$I:$I,$Q12,'Order Details'!$F:$F,'Item Summary'!V$4)-G12</f>
        <v>600</v>
      </c>
      <c r="W12" s="275">
        <f>SUMIFS('Order Details'!$Q:$Q,'Order Details'!$E:$E,"Yes",'Order Details'!$I:$I,$Q12,'Order Details'!$F:$F,'Item Summary'!W$4)-H12</f>
        <v>0</v>
      </c>
      <c r="X12" s="275">
        <f>SUMIFS('Order Details'!$Q:$Q,'Order Details'!$E:$E,"Yes",'Order Details'!$I:$I,$Q12,'Order Details'!$F:$F,'Item Summary'!X$4)-I12</f>
        <v>0</v>
      </c>
      <c r="Y12" s="275">
        <f>SUMIFS('Order Details'!$Q:$Q,'Order Details'!$E:$E,"Yes",'Order Details'!$I:$I,$Q12,'Order Details'!$F:$F,'Item Summary'!Y$4)-J12</f>
        <v>0</v>
      </c>
      <c r="Z12" s="275">
        <f>SUMIFS('Order Details'!$Q:$Q,'Order Details'!$E:$E,"Yes",'Order Details'!$I:$I,$Q12,'Order Details'!$F:$F,'Item Summary'!Z$4)-K12</f>
        <v>0</v>
      </c>
      <c r="AA12" s="291">
        <f>SUMIFS('Order Details'!$Q:$Q,'Order Details'!$E:$E,"Yes",'Order Details'!$I:$I,$Q12,'Order Details'!$F:$F,'Item Summary'!AA$4)-L12</f>
        <v>0</v>
      </c>
      <c r="AB12" s="276">
        <f>SUMIFS('Order Details'!$Q:$Q,'Order Details'!$E:$E,"Yes",'Order Details'!$I:$I,$Q12,'Order Details'!$F:$F,'Item Summary'!AB$4)-M12</f>
        <v>0</v>
      </c>
      <c r="AC12" s="279">
        <f t="shared" si="1"/>
        <v>600</v>
      </c>
    </row>
    <row r="13" spans="2:29" x14ac:dyDescent="0.3">
      <c r="B13" s="278">
        <v>709355</v>
      </c>
      <c r="C13" s="274" t="str">
        <f>VLOOKUP($B13,'Pricing Table - eff 27-Jan-2026'!$A:$L,9,FALSE)&amp;""" "&amp;VLOOKUP($B13,'Pricing Table - eff 27-Jan-2026'!$A:$L,12,FALSE)</f>
        <v>90.5" GLOSSY WHITE</v>
      </c>
      <c r="D13" s="275">
        <f>SUMIFS('Order Details'!$Q:$Q,'Order Details'!$E:$E,"Yes",'Order Details'!$I:$I,'Item Summary'!$B13,'Order Details'!$F:$F,'Item Summary'!D$4,'Order Details'!$C:$C,"PO Received")+SUMIFS('Order Details'!$Q:$Q,'Order Details'!$E:$E,"Yes",'Order Details'!$I:$I,'Item Summary'!$B13,'Order Details'!$F:$F,'Item Summary'!D$4,'Order Details'!$C:$C,"Proforma Invoice Sent")+SUMIFS('Order Details'!$Q:$Q,'Order Details'!$E:$E,"Yes",'Order Details'!$I:$I,'Item Summary'!$B13,'Order Details'!$F:$F,'Item Summary'!D$4,'Order Details'!$C:$C,"Downpayment Received")+SUMIFS('Order Details'!$Q:$Q,'Order Details'!$E:$E,"Yes",'Order Details'!$I:$I,'Item Summary'!$B13,'Order Details'!$F:$F,'Item Summary'!D$4,'Order Details'!$C:$C,"In Production")</f>
        <v>0</v>
      </c>
      <c r="E13" s="275">
        <f>SUMIFS('Order Details'!$Q:$Q,'Order Details'!$E:$E,"Yes",'Order Details'!$I:$I,'Item Summary'!$B13,'Order Details'!$F:$F,'Item Summary'!E$4,'Order Details'!$C:$C,"PO Received")+SUMIFS('Order Details'!$Q:$Q,'Order Details'!$E:$E,"Yes",'Order Details'!$I:$I,'Item Summary'!$B13,'Order Details'!$F:$F,'Item Summary'!E$4,'Order Details'!$C:$C,"Proforma Invoice Sent")+SUMIFS('Order Details'!$Q:$Q,'Order Details'!$E:$E,"Yes",'Order Details'!$I:$I,'Item Summary'!$B13,'Order Details'!$F:$F,'Item Summary'!E$4,'Order Details'!$C:$C,"Downpayment Received")+SUMIFS('Order Details'!$Q:$Q,'Order Details'!$E:$E,"Yes",'Order Details'!$I:$I,'Item Summary'!$B13,'Order Details'!$F:$F,'Item Summary'!E$4,'Order Details'!$C:$C,"In Production")</f>
        <v>1200</v>
      </c>
      <c r="F13" s="275">
        <f>SUMIFS('Order Details'!$Q:$Q,'Order Details'!$E:$E,"Yes",'Order Details'!$I:$I,'Item Summary'!$B13,'Order Details'!$F:$F,'Item Summary'!F$4,'Order Details'!$C:$C,"PO Received")+SUMIFS('Order Details'!$Q:$Q,'Order Details'!$E:$E,"Yes",'Order Details'!$I:$I,'Item Summary'!$B13,'Order Details'!$F:$F,'Item Summary'!F$4,'Order Details'!$C:$C,"Proforma Invoice Sent")+SUMIFS('Order Details'!$Q:$Q,'Order Details'!$E:$E,"Yes",'Order Details'!$I:$I,'Item Summary'!$B13,'Order Details'!$F:$F,'Item Summary'!F$4,'Order Details'!$C:$C,"Downpayment Received")+SUMIFS('Order Details'!$Q:$Q,'Order Details'!$E:$E,"Yes",'Order Details'!$I:$I,'Item Summary'!$B13,'Order Details'!$F:$F,'Item Summary'!F$4,'Order Details'!$C:$C,"In Production")</f>
        <v>1200</v>
      </c>
      <c r="G13" s="275">
        <f>SUMIFS('Order Details'!$Q:$Q,'Order Details'!$E:$E,"Yes",'Order Details'!$I:$I,'Item Summary'!$B13,'Order Details'!$F:$F,'Item Summary'!G$4,'Order Details'!$C:$C,"PO Received")+SUMIFS('Order Details'!$Q:$Q,'Order Details'!$E:$E,"Yes",'Order Details'!$I:$I,'Item Summary'!$B13,'Order Details'!$F:$F,'Item Summary'!G$4,'Order Details'!$C:$C,"Proforma Invoice Sent")+SUMIFS('Order Details'!$Q:$Q,'Order Details'!$E:$E,"Yes",'Order Details'!$I:$I,'Item Summary'!$B13,'Order Details'!$F:$F,'Item Summary'!G$4,'Order Details'!$C:$C,"Downpayment Received")+SUMIFS('Order Details'!$Q:$Q,'Order Details'!$E:$E,"Yes",'Order Details'!$I:$I,'Item Summary'!$B13,'Order Details'!$F:$F,'Item Summary'!G$4,'Order Details'!$C:$C,"In Production")</f>
        <v>2000</v>
      </c>
      <c r="H13" s="275">
        <f>SUMIFS('Order Details'!$Q:$Q,'Order Details'!$E:$E,"Yes",'Order Details'!$I:$I,'Item Summary'!$B13,'Order Details'!$F:$F,'Item Summary'!H$4,'Order Details'!$C:$C,"PO Received")+SUMIFS('Order Details'!$Q:$Q,'Order Details'!$E:$E,"Yes",'Order Details'!$I:$I,'Item Summary'!$B13,'Order Details'!$F:$F,'Item Summary'!H$4,'Order Details'!$C:$C,"Proforma Invoice Sent")+SUMIFS('Order Details'!$Q:$Q,'Order Details'!$E:$E,"Yes",'Order Details'!$I:$I,'Item Summary'!$B13,'Order Details'!$F:$F,'Item Summary'!H$4,'Order Details'!$C:$C,"Downpayment Received")+SUMIFS('Order Details'!$Q:$Q,'Order Details'!$E:$E,"Yes",'Order Details'!$I:$I,'Item Summary'!$B13,'Order Details'!$F:$F,'Item Summary'!H$4,'Order Details'!$C:$C,"In Production")</f>
        <v>1800</v>
      </c>
      <c r="I13" s="275">
        <f>SUMIFS('Order Details'!$Q:$Q,'Order Details'!$E:$E,"Yes",'Order Details'!$I:$I,'Item Summary'!$B13,'Order Details'!$F:$F,'Item Summary'!I$4,'Order Details'!$C:$C,"PO Received")+SUMIFS('Order Details'!$Q:$Q,'Order Details'!$E:$E,"Yes",'Order Details'!$I:$I,'Item Summary'!$B13,'Order Details'!$F:$F,'Item Summary'!I$4,'Order Details'!$C:$C,"Proforma Invoice Sent")+SUMIFS('Order Details'!$Q:$Q,'Order Details'!$E:$E,"Yes",'Order Details'!$I:$I,'Item Summary'!$B13,'Order Details'!$F:$F,'Item Summary'!I$4,'Order Details'!$C:$C,"Downpayment Received")+SUMIFS('Order Details'!$Q:$Q,'Order Details'!$E:$E,"Yes",'Order Details'!$I:$I,'Item Summary'!$B13,'Order Details'!$F:$F,'Item Summary'!I$4,'Order Details'!$C:$C,"In Production")</f>
        <v>800</v>
      </c>
      <c r="J13" s="275">
        <f>SUMIFS('Order Details'!$Q:$Q,'Order Details'!$E:$E,"Yes",'Order Details'!$I:$I,'Item Summary'!$B13,'Order Details'!$F:$F,'Item Summary'!J$4,'Order Details'!$C:$C,"PO Received")+SUMIFS('Order Details'!$Q:$Q,'Order Details'!$E:$E,"Yes",'Order Details'!$I:$I,'Item Summary'!$B13,'Order Details'!$F:$F,'Item Summary'!J$4,'Order Details'!$C:$C,"Proforma Invoice Sent")+SUMIFS('Order Details'!$Q:$Q,'Order Details'!$E:$E,"Yes",'Order Details'!$I:$I,'Item Summary'!$B13,'Order Details'!$F:$F,'Item Summary'!J$4,'Order Details'!$C:$C,"Downpayment Received")+SUMIFS('Order Details'!$Q:$Q,'Order Details'!$E:$E,"Yes",'Order Details'!$I:$I,'Item Summary'!$B13,'Order Details'!$F:$F,'Item Summary'!J$4,'Order Details'!$C:$C,"In Production")</f>
        <v>0</v>
      </c>
      <c r="K13" s="275">
        <f>SUMIFS('Order Details'!$Q:$Q,'Order Details'!$E:$E,"Yes",'Order Details'!$I:$I,'Item Summary'!$B13,'Order Details'!$F:$F,'Item Summary'!K$4,'Order Details'!$C:$C,"PO Received")+SUMIFS('Order Details'!$Q:$Q,'Order Details'!$E:$E,"Yes",'Order Details'!$I:$I,'Item Summary'!$B13,'Order Details'!$F:$F,'Item Summary'!K$4,'Order Details'!$C:$C,"Proforma Invoice Sent")+SUMIFS('Order Details'!$Q:$Q,'Order Details'!$E:$E,"Yes",'Order Details'!$I:$I,'Item Summary'!$B13,'Order Details'!$F:$F,'Item Summary'!K$4,'Order Details'!$C:$C,"Downpayment Received")+SUMIFS('Order Details'!$Q:$Q,'Order Details'!$E:$E,"Yes",'Order Details'!$I:$I,'Item Summary'!$B13,'Order Details'!$F:$F,'Item Summary'!K$4,'Order Details'!$C:$C,"In Production")</f>
        <v>0</v>
      </c>
      <c r="L13" s="291">
        <f>SUMIFS('Order Details'!$Q:$Q,'Order Details'!$E:$E,"Yes",'Order Details'!$I:$I,'Item Summary'!$B13,'Order Details'!$F:$F,'Item Summary'!L$4,'Order Details'!$C:$C,"PO Received")+SUMIFS('Order Details'!$Q:$Q,'Order Details'!$E:$E,"Yes",'Order Details'!$I:$I,'Item Summary'!$B13,'Order Details'!$F:$F,'Item Summary'!L$4,'Order Details'!$C:$C,"Proforma Invoice Sent")+SUMIFS('Order Details'!$Q:$Q,'Order Details'!$E:$E,"Yes",'Order Details'!$I:$I,'Item Summary'!$B13,'Order Details'!$F:$F,'Item Summary'!L$4,'Order Details'!$C:$C,"Downpayment Received")+SUMIFS('Order Details'!$Q:$Q,'Order Details'!$E:$E,"Yes",'Order Details'!$I:$I,'Item Summary'!$B13,'Order Details'!$F:$F,'Item Summary'!L$4,'Order Details'!$C:$C,"In Production")</f>
        <v>2800</v>
      </c>
      <c r="M13" s="276">
        <f>SUMIFS('Order Details'!$Q:$Q,'Order Details'!$E:$E,"Yes",'Order Details'!$I:$I,'Item Summary'!$B13,'Order Details'!$F:$F,'Item Summary'!M$4,'Order Details'!$C:$C,"PO Received")+SUMIFS('Order Details'!$Q:$Q,'Order Details'!$E:$E,"Yes",'Order Details'!$I:$I,'Item Summary'!$B13,'Order Details'!$F:$F,'Item Summary'!M$4,'Order Details'!$C:$C,"Proforma Invoice Sent")+SUMIFS('Order Details'!$Q:$Q,'Order Details'!$E:$E,"Yes",'Order Details'!$I:$I,'Item Summary'!$B13,'Order Details'!$F:$F,'Item Summary'!M$4,'Order Details'!$C:$C,"Downpayment Received")+SUMIFS('Order Details'!$Q:$Q,'Order Details'!$E:$E,"Yes",'Order Details'!$I:$I,'Item Summary'!$B13,'Order Details'!$F:$F,'Item Summary'!M$4,'Order Details'!$C:$C,"In Production")</f>
        <v>0</v>
      </c>
      <c r="N13" s="279">
        <f t="shared" si="0"/>
        <v>9800</v>
      </c>
      <c r="Q13" s="278">
        <v>709355</v>
      </c>
      <c r="R13" s="274" t="str">
        <f>VLOOKUP($Q13,'Pricing Table - eff 27-Jan-2026'!$A:$L,9,FALSE)&amp;""" "&amp;VLOOKUP($Q13,'Pricing Table - eff 27-Jan-2026'!$A:$L,12,FALSE)</f>
        <v>90.5" GLOSSY WHITE</v>
      </c>
      <c r="S13" s="275">
        <f>SUMIFS('Order Details'!$Q:$Q,'Order Details'!$E:$E,"Yes",'Order Details'!$I:$I,$Q13,'Order Details'!$F:$F,'Item Summary'!S$4)-D13</f>
        <v>0</v>
      </c>
      <c r="T13" s="275">
        <f>SUMIFS('Order Details'!$Q:$Q,'Order Details'!$E:$E,"Yes",'Order Details'!$I:$I,$Q13,'Order Details'!$F:$F,'Item Summary'!T$4)-E13</f>
        <v>2400</v>
      </c>
      <c r="U13" s="275">
        <f>SUMIFS('Order Details'!$Q:$Q,'Order Details'!$E:$E,"Yes",'Order Details'!$I:$I,$Q13,'Order Details'!$F:$F,'Item Summary'!U$4)-F13</f>
        <v>1600</v>
      </c>
      <c r="V13" s="275">
        <f>SUMIFS('Order Details'!$Q:$Q,'Order Details'!$E:$E,"Yes",'Order Details'!$I:$I,$Q13,'Order Details'!$F:$F,'Item Summary'!V$4)-G13</f>
        <v>2400</v>
      </c>
      <c r="W13" s="275">
        <f>SUMIFS('Order Details'!$Q:$Q,'Order Details'!$E:$E,"Yes",'Order Details'!$I:$I,$Q13,'Order Details'!$F:$F,'Item Summary'!W$4)-H13</f>
        <v>2000</v>
      </c>
      <c r="X13" s="275">
        <f>SUMIFS('Order Details'!$Q:$Q,'Order Details'!$E:$E,"Yes",'Order Details'!$I:$I,$Q13,'Order Details'!$F:$F,'Item Summary'!X$4)-I13</f>
        <v>0</v>
      </c>
      <c r="Y13" s="275">
        <f>SUMIFS('Order Details'!$Q:$Q,'Order Details'!$E:$E,"Yes",'Order Details'!$I:$I,$Q13,'Order Details'!$F:$F,'Item Summary'!Y$4)-J13</f>
        <v>0</v>
      </c>
      <c r="Z13" s="275">
        <f>SUMIFS('Order Details'!$Q:$Q,'Order Details'!$E:$E,"Yes",'Order Details'!$I:$I,$Q13,'Order Details'!$F:$F,'Item Summary'!Z$4)-K13</f>
        <v>0</v>
      </c>
      <c r="AA13" s="291">
        <f>SUMIFS('Order Details'!$Q:$Q,'Order Details'!$E:$E,"Yes",'Order Details'!$I:$I,$Q13,'Order Details'!$F:$F,'Item Summary'!AA$4)-L13</f>
        <v>0</v>
      </c>
      <c r="AB13" s="276">
        <f>SUMIFS('Order Details'!$Q:$Q,'Order Details'!$E:$E,"Yes",'Order Details'!$I:$I,$Q13,'Order Details'!$F:$F,'Item Summary'!AB$4)-M13</f>
        <v>0</v>
      </c>
      <c r="AC13" s="279">
        <f t="shared" si="1"/>
        <v>8400</v>
      </c>
    </row>
    <row r="14" spans="2:29" x14ac:dyDescent="0.3">
      <c r="B14" s="278">
        <v>694436</v>
      </c>
      <c r="C14" s="274" t="str">
        <f>VLOOKUP($B14,'Pricing Table - eff 27-Jan-2026'!$A:$L,9,FALSE)&amp;""" "&amp;VLOOKUP($B14,'Pricing Table - eff 27-Jan-2026'!$A:$L,12,FALSE)</f>
        <v>96" GLOSSY WHITE</v>
      </c>
      <c r="D14" s="275">
        <f>SUMIFS('Order Details'!$Q:$Q,'Order Details'!$E:$E,"Yes",'Order Details'!$I:$I,'Item Summary'!$B14,'Order Details'!$F:$F,'Item Summary'!D$4,'Order Details'!$C:$C,"PO Received")+SUMIFS('Order Details'!$Q:$Q,'Order Details'!$E:$E,"Yes",'Order Details'!$I:$I,'Item Summary'!$B14,'Order Details'!$F:$F,'Item Summary'!D$4,'Order Details'!$C:$C,"Proforma Invoice Sent")+SUMIFS('Order Details'!$Q:$Q,'Order Details'!$E:$E,"Yes",'Order Details'!$I:$I,'Item Summary'!$B14,'Order Details'!$F:$F,'Item Summary'!D$4,'Order Details'!$C:$C,"Downpayment Received")+SUMIFS('Order Details'!$Q:$Q,'Order Details'!$E:$E,"Yes",'Order Details'!$I:$I,'Item Summary'!$B14,'Order Details'!$F:$F,'Item Summary'!D$4,'Order Details'!$C:$C,"In Production")</f>
        <v>1400</v>
      </c>
      <c r="E14" s="275">
        <f>SUMIFS('Order Details'!$Q:$Q,'Order Details'!$E:$E,"Yes",'Order Details'!$I:$I,'Item Summary'!$B14,'Order Details'!$F:$F,'Item Summary'!E$4,'Order Details'!$C:$C,"PO Received")+SUMIFS('Order Details'!$Q:$Q,'Order Details'!$E:$E,"Yes",'Order Details'!$I:$I,'Item Summary'!$B14,'Order Details'!$F:$F,'Item Summary'!E$4,'Order Details'!$C:$C,"Proforma Invoice Sent")+SUMIFS('Order Details'!$Q:$Q,'Order Details'!$E:$E,"Yes",'Order Details'!$I:$I,'Item Summary'!$B14,'Order Details'!$F:$F,'Item Summary'!E$4,'Order Details'!$C:$C,"Downpayment Received")+SUMIFS('Order Details'!$Q:$Q,'Order Details'!$E:$E,"Yes",'Order Details'!$I:$I,'Item Summary'!$B14,'Order Details'!$F:$F,'Item Summary'!E$4,'Order Details'!$C:$C,"In Production")</f>
        <v>600</v>
      </c>
      <c r="F14" s="275">
        <f>SUMIFS('Order Details'!$Q:$Q,'Order Details'!$E:$E,"Yes",'Order Details'!$I:$I,'Item Summary'!$B14,'Order Details'!$F:$F,'Item Summary'!F$4,'Order Details'!$C:$C,"PO Received")+SUMIFS('Order Details'!$Q:$Q,'Order Details'!$E:$E,"Yes",'Order Details'!$I:$I,'Item Summary'!$B14,'Order Details'!$F:$F,'Item Summary'!F$4,'Order Details'!$C:$C,"Proforma Invoice Sent")+SUMIFS('Order Details'!$Q:$Q,'Order Details'!$E:$E,"Yes",'Order Details'!$I:$I,'Item Summary'!$B14,'Order Details'!$F:$F,'Item Summary'!F$4,'Order Details'!$C:$C,"Downpayment Received")+SUMIFS('Order Details'!$Q:$Q,'Order Details'!$E:$E,"Yes",'Order Details'!$I:$I,'Item Summary'!$B14,'Order Details'!$F:$F,'Item Summary'!F$4,'Order Details'!$C:$C,"In Production")</f>
        <v>3200</v>
      </c>
      <c r="G14" s="275">
        <f>SUMIFS('Order Details'!$Q:$Q,'Order Details'!$E:$E,"Yes",'Order Details'!$I:$I,'Item Summary'!$B14,'Order Details'!$F:$F,'Item Summary'!G$4,'Order Details'!$C:$C,"PO Received")+SUMIFS('Order Details'!$Q:$Q,'Order Details'!$E:$E,"Yes",'Order Details'!$I:$I,'Item Summary'!$B14,'Order Details'!$F:$F,'Item Summary'!G$4,'Order Details'!$C:$C,"Proforma Invoice Sent")+SUMIFS('Order Details'!$Q:$Q,'Order Details'!$E:$E,"Yes",'Order Details'!$I:$I,'Item Summary'!$B14,'Order Details'!$F:$F,'Item Summary'!G$4,'Order Details'!$C:$C,"Downpayment Received")+SUMIFS('Order Details'!$Q:$Q,'Order Details'!$E:$E,"Yes",'Order Details'!$I:$I,'Item Summary'!$B14,'Order Details'!$F:$F,'Item Summary'!G$4,'Order Details'!$C:$C,"In Production")</f>
        <v>4800</v>
      </c>
      <c r="H14" s="275">
        <f>SUMIFS('Order Details'!$Q:$Q,'Order Details'!$E:$E,"Yes",'Order Details'!$I:$I,'Item Summary'!$B14,'Order Details'!$F:$F,'Item Summary'!H$4,'Order Details'!$C:$C,"PO Received")+SUMIFS('Order Details'!$Q:$Q,'Order Details'!$E:$E,"Yes",'Order Details'!$I:$I,'Item Summary'!$B14,'Order Details'!$F:$F,'Item Summary'!H$4,'Order Details'!$C:$C,"Proforma Invoice Sent")+SUMIFS('Order Details'!$Q:$Q,'Order Details'!$E:$E,"Yes",'Order Details'!$I:$I,'Item Summary'!$B14,'Order Details'!$F:$F,'Item Summary'!H$4,'Order Details'!$C:$C,"Downpayment Received")+SUMIFS('Order Details'!$Q:$Q,'Order Details'!$E:$E,"Yes",'Order Details'!$I:$I,'Item Summary'!$B14,'Order Details'!$F:$F,'Item Summary'!H$4,'Order Details'!$C:$C,"In Production")</f>
        <v>4400</v>
      </c>
      <c r="I14" s="275">
        <f>SUMIFS('Order Details'!$Q:$Q,'Order Details'!$E:$E,"Yes",'Order Details'!$I:$I,'Item Summary'!$B14,'Order Details'!$F:$F,'Item Summary'!I$4,'Order Details'!$C:$C,"PO Received")+SUMIFS('Order Details'!$Q:$Q,'Order Details'!$E:$E,"Yes",'Order Details'!$I:$I,'Item Summary'!$B14,'Order Details'!$F:$F,'Item Summary'!I$4,'Order Details'!$C:$C,"Proforma Invoice Sent")+SUMIFS('Order Details'!$Q:$Q,'Order Details'!$E:$E,"Yes",'Order Details'!$I:$I,'Item Summary'!$B14,'Order Details'!$F:$F,'Item Summary'!I$4,'Order Details'!$C:$C,"Downpayment Received")+SUMIFS('Order Details'!$Q:$Q,'Order Details'!$E:$E,"Yes",'Order Details'!$I:$I,'Item Summary'!$B14,'Order Details'!$F:$F,'Item Summary'!I$4,'Order Details'!$C:$C,"In Production")</f>
        <v>7400</v>
      </c>
      <c r="J14" s="275">
        <f>SUMIFS('Order Details'!$Q:$Q,'Order Details'!$E:$E,"Yes",'Order Details'!$I:$I,'Item Summary'!$B14,'Order Details'!$F:$F,'Item Summary'!J$4,'Order Details'!$C:$C,"PO Received")+SUMIFS('Order Details'!$Q:$Q,'Order Details'!$E:$E,"Yes",'Order Details'!$I:$I,'Item Summary'!$B14,'Order Details'!$F:$F,'Item Summary'!J$4,'Order Details'!$C:$C,"Proforma Invoice Sent")+SUMIFS('Order Details'!$Q:$Q,'Order Details'!$E:$E,"Yes",'Order Details'!$I:$I,'Item Summary'!$B14,'Order Details'!$F:$F,'Item Summary'!J$4,'Order Details'!$C:$C,"Downpayment Received")+SUMIFS('Order Details'!$Q:$Q,'Order Details'!$E:$E,"Yes",'Order Details'!$I:$I,'Item Summary'!$B14,'Order Details'!$F:$F,'Item Summary'!J$4,'Order Details'!$C:$C,"In Production")</f>
        <v>8600</v>
      </c>
      <c r="K14" s="275">
        <f>SUMIFS('Order Details'!$Q:$Q,'Order Details'!$E:$E,"Yes",'Order Details'!$I:$I,'Item Summary'!$B14,'Order Details'!$F:$F,'Item Summary'!K$4,'Order Details'!$C:$C,"PO Received")+SUMIFS('Order Details'!$Q:$Q,'Order Details'!$E:$E,"Yes",'Order Details'!$I:$I,'Item Summary'!$B14,'Order Details'!$F:$F,'Item Summary'!K$4,'Order Details'!$C:$C,"Proforma Invoice Sent")+SUMIFS('Order Details'!$Q:$Q,'Order Details'!$E:$E,"Yes",'Order Details'!$I:$I,'Item Summary'!$B14,'Order Details'!$F:$F,'Item Summary'!K$4,'Order Details'!$C:$C,"Downpayment Received")+SUMIFS('Order Details'!$Q:$Q,'Order Details'!$E:$E,"Yes",'Order Details'!$I:$I,'Item Summary'!$B14,'Order Details'!$F:$F,'Item Summary'!K$4,'Order Details'!$C:$C,"In Production")</f>
        <v>0</v>
      </c>
      <c r="L14" s="291">
        <f>SUMIFS('Order Details'!$Q:$Q,'Order Details'!$E:$E,"Yes",'Order Details'!$I:$I,'Item Summary'!$B14,'Order Details'!$F:$F,'Item Summary'!L$4,'Order Details'!$C:$C,"PO Received")+SUMIFS('Order Details'!$Q:$Q,'Order Details'!$E:$E,"Yes",'Order Details'!$I:$I,'Item Summary'!$B14,'Order Details'!$F:$F,'Item Summary'!L$4,'Order Details'!$C:$C,"Proforma Invoice Sent")+SUMIFS('Order Details'!$Q:$Q,'Order Details'!$E:$E,"Yes",'Order Details'!$I:$I,'Item Summary'!$B14,'Order Details'!$F:$F,'Item Summary'!L$4,'Order Details'!$C:$C,"Downpayment Received")+SUMIFS('Order Details'!$Q:$Q,'Order Details'!$E:$E,"Yes",'Order Details'!$I:$I,'Item Summary'!$B14,'Order Details'!$F:$F,'Item Summary'!L$4,'Order Details'!$C:$C,"In Production")</f>
        <v>5000</v>
      </c>
      <c r="M14" s="276">
        <f>SUMIFS('Order Details'!$Q:$Q,'Order Details'!$E:$E,"Yes",'Order Details'!$I:$I,'Item Summary'!$B14,'Order Details'!$F:$F,'Item Summary'!M$4,'Order Details'!$C:$C,"PO Received")+SUMIFS('Order Details'!$Q:$Q,'Order Details'!$E:$E,"Yes",'Order Details'!$I:$I,'Item Summary'!$B14,'Order Details'!$F:$F,'Item Summary'!M$4,'Order Details'!$C:$C,"Proforma Invoice Sent")+SUMIFS('Order Details'!$Q:$Q,'Order Details'!$E:$E,"Yes",'Order Details'!$I:$I,'Item Summary'!$B14,'Order Details'!$F:$F,'Item Summary'!M$4,'Order Details'!$C:$C,"Downpayment Received")+SUMIFS('Order Details'!$Q:$Q,'Order Details'!$E:$E,"Yes",'Order Details'!$I:$I,'Item Summary'!$B14,'Order Details'!$F:$F,'Item Summary'!M$4,'Order Details'!$C:$C,"In Production")</f>
        <v>2800</v>
      </c>
      <c r="N14" s="279">
        <f t="shared" si="0"/>
        <v>38200</v>
      </c>
      <c r="Q14" s="278">
        <v>694436</v>
      </c>
      <c r="R14" s="274" t="str">
        <f>VLOOKUP($Q14,'Pricing Table - eff 27-Jan-2026'!$A:$L,9,FALSE)&amp;""" "&amp;VLOOKUP($Q14,'Pricing Table - eff 27-Jan-2026'!$A:$L,12,FALSE)</f>
        <v>96" GLOSSY WHITE</v>
      </c>
      <c r="S14" s="275">
        <f>SUMIFS('Order Details'!$Q:$Q,'Order Details'!$E:$E,"Yes",'Order Details'!$I:$I,$Q14,'Order Details'!$F:$F,'Item Summary'!S$4)-D14</f>
        <v>800</v>
      </c>
      <c r="T14" s="275">
        <f>SUMIFS('Order Details'!$Q:$Q,'Order Details'!$E:$E,"Yes",'Order Details'!$I:$I,$Q14,'Order Details'!$F:$F,'Item Summary'!T$4)-E14</f>
        <v>2800</v>
      </c>
      <c r="U14" s="275">
        <f>SUMIFS('Order Details'!$Q:$Q,'Order Details'!$E:$E,"Yes",'Order Details'!$I:$I,$Q14,'Order Details'!$F:$F,'Item Summary'!U$4)-F14</f>
        <v>1400</v>
      </c>
      <c r="V14" s="275">
        <f>SUMIFS('Order Details'!$Q:$Q,'Order Details'!$E:$E,"Yes",'Order Details'!$I:$I,$Q14,'Order Details'!$F:$F,'Item Summary'!V$4)-G14</f>
        <v>4000</v>
      </c>
      <c r="W14" s="275">
        <f>SUMIFS('Order Details'!$Q:$Q,'Order Details'!$E:$E,"Yes",'Order Details'!$I:$I,$Q14,'Order Details'!$F:$F,'Item Summary'!W$4)-H14</f>
        <v>6600</v>
      </c>
      <c r="X14" s="275">
        <f>SUMIFS('Order Details'!$Q:$Q,'Order Details'!$E:$E,"Yes",'Order Details'!$I:$I,$Q14,'Order Details'!$F:$F,'Item Summary'!X$4)-I14</f>
        <v>800</v>
      </c>
      <c r="Y14" s="275">
        <f>SUMIFS('Order Details'!$Q:$Q,'Order Details'!$E:$E,"Yes",'Order Details'!$I:$I,$Q14,'Order Details'!$F:$F,'Item Summary'!Y$4)-J14</f>
        <v>400</v>
      </c>
      <c r="Z14" s="275">
        <f>SUMIFS('Order Details'!$Q:$Q,'Order Details'!$E:$E,"Yes",'Order Details'!$I:$I,$Q14,'Order Details'!$F:$F,'Item Summary'!Z$4)-K14</f>
        <v>5600</v>
      </c>
      <c r="AA14" s="291">
        <f>SUMIFS('Order Details'!$Q:$Q,'Order Details'!$E:$E,"Yes",'Order Details'!$I:$I,$Q14,'Order Details'!$F:$F,'Item Summary'!AA$4)-L14</f>
        <v>0</v>
      </c>
      <c r="AB14" s="276">
        <f>SUMIFS('Order Details'!$Q:$Q,'Order Details'!$E:$E,"Yes",'Order Details'!$I:$I,$Q14,'Order Details'!$F:$F,'Item Summary'!AB$4)-M14</f>
        <v>2800</v>
      </c>
      <c r="AC14" s="279">
        <f t="shared" si="1"/>
        <v>25200</v>
      </c>
    </row>
    <row r="15" spans="2:29" x14ac:dyDescent="0.3">
      <c r="B15" s="278">
        <v>694437</v>
      </c>
      <c r="C15" s="274" t="str">
        <f>VLOOKUP($B15,'Pricing Table - eff 27-Jan-2026'!$A:$L,9,FALSE)&amp;""" "&amp;VLOOKUP($B15,'Pricing Table - eff 27-Jan-2026'!$A:$L,12,FALSE)</f>
        <v>108" GLOSSY WHITE</v>
      </c>
      <c r="D15" s="275">
        <f>SUMIFS('Order Details'!$Q:$Q,'Order Details'!$E:$E,"Yes",'Order Details'!$I:$I,'Item Summary'!$B15,'Order Details'!$F:$F,'Item Summary'!D$4,'Order Details'!$C:$C,"PO Received")+SUMIFS('Order Details'!$Q:$Q,'Order Details'!$E:$E,"Yes",'Order Details'!$I:$I,'Item Summary'!$B15,'Order Details'!$F:$F,'Item Summary'!D$4,'Order Details'!$C:$C,"Proforma Invoice Sent")+SUMIFS('Order Details'!$Q:$Q,'Order Details'!$E:$E,"Yes",'Order Details'!$I:$I,'Item Summary'!$B15,'Order Details'!$F:$F,'Item Summary'!D$4,'Order Details'!$C:$C,"Downpayment Received")+SUMIFS('Order Details'!$Q:$Q,'Order Details'!$E:$E,"Yes",'Order Details'!$I:$I,'Item Summary'!$B15,'Order Details'!$F:$F,'Item Summary'!D$4,'Order Details'!$C:$C,"In Production")</f>
        <v>1000</v>
      </c>
      <c r="E15" s="275">
        <f>SUMIFS('Order Details'!$Q:$Q,'Order Details'!$E:$E,"Yes",'Order Details'!$I:$I,'Item Summary'!$B15,'Order Details'!$F:$F,'Item Summary'!E$4,'Order Details'!$C:$C,"PO Received")+SUMIFS('Order Details'!$Q:$Q,'Order Details'!$E:$E,"Yes",'Order Details'!$I:$I,'Item Summary'!$B15,'Order Details'!$F:$F,'Item Summary'!E$4,'Order Details'!$C:$C,"Proforma Invoice Sent")+SUMIFS('Order Details'!$Q:$Q,'Order Details'!$E:$E,"Yes",'Order Details'!$I:$I,'Item Summary'!$B15,'Order Details'!$F:$F,'Item Summary'!E$4,'Order Details'!$C:$C,"Downpayment Received")+SUMIFS('Order Details'!$Q:$Q,'Order Details'!$E:$E,"Yes",'Order Details'!$I:$I,'Item Summary'!$B15,'Order Details'!$F:$F,'Item Summary'!E$4,'Order Details'!$C:$C,"In Production")</f>
        <v>0</v>
      </c>
      <c r="F15" s="275">
        <f>SUMIFS('Order Details'!$Q:$Q,'Order Details'!$E:$E,"Yes",'Order Details'!$I:$I,'Item Summary'!$B15,'Order Details'!$F:$F,'Item Summary'!F$4,'Order Details'!$C:$C,"PO Received")+SUMIFS('Order Details'!$Q:$Q,'Order Details'!$E:$E,"Yes",'Order Details'!$I:$I,'Item Summary'!$B15,'Order Details'!$F:$F,'Item Summary'!F$4,'Order Details'!$C:$C,"Proforma Invoice Sent")+SUMIFS('Order Details'!$Q:$Q,'Order Details'!$E:$E,"Yes",'Order Details'!$I:$I,'Item Summary'!$B15,'Order Details'!$F:$F,'Item Summary'!F$4,'Order Details'!$C:$C,"Downpayment Received")+SUMIFS('Order Details'!$Q:$Q,'Order Details'!$E:$E,"Yes",'Order Details'!$I:$I,'Item Summary'!$B15,'Order Details'!$F:$F,'Item Summary'!F$4,'Order Details'!$C:$C,"In Production")</f>
        <v>3300</v>
      </c>
      <c r="G15" s="275">
        <f>SUMIFS('Order Details'!$Q:$Q,'Order Details'!$E:$E,"Yes",'Order Details'!$I:$I,'Item Summary'!$B15,'Order Details'!$F:$F,'Item Summary'!G$4,'Order Details'!$C:$C,"PO Received")+SUMIFS('Order Details'!$Q:$Q,'Order Details'!$E:$E,"Yes",'Order Details'!$I:$I,'Item Summary'!$B15,'Order Details'!$F:$F,'Item Summary'!G$4,'Order Details'!$C:$C,"Proforma Invoice Sent")+SUMIFS('Order Details'!$Q:$Q,'Order Details'!$E:$E,"Yes",'Order Details'!$I:$I,'Item Summary'!$B15,'Order Details'!$F:$F,'Item Summary'!G$4,'Order Details'!$C:$C,"Downpayment Received")+SUMIFS('Order Details'!$Q:$Q,'Order Details'!$E:$E,"Yes",'Order Details'!$I:$I,'Item Summary'!$B15,'Order Details'!$F:$F,'Item Summary'!G$4,'Order Details'!$C:$C,"In Production")</f>
        <v>1200</v>
      </c>
      <c r="H15" s="275">
        <f>SUMIFS('Order Details'!$Q:$Q,'Order Details'!$E:$E,"Yes",'Order Details'!$I:$I,'Item Summary'!$B15,'Order Details'!$F:$F,'Item Summary'!H$4,'Order Details'!$C:$C,"PO Received")+SUMIFS('Order Details'!$Q:$Q,'Order Details'!$E:$E,"Yes",'Order Details'!$I:$I,'Item Summary'!$B15,'Order Details'!$F:$F,'Item Summary'!H$4,'Order Details'!$C:$C,"Proforma Invoice Sent")+SUMIFS('Order Details'!$Q:$Q,'Order Details'!$E:$E,"Yes",'Order Details'!$I:$I,'Item Summary'!$B15,'Order Details'!$F:$F,'Item Summary'!H$4,'Order Details'!$C:$C,"Downpayment Received")+SUMIFS('Order Details'!$Q:$Q,'Order Details'!$E:$E,"Yes",'Order Details'!$I:$I,'Item Summary'!$B15,'Order Details'!$F:$F,'Item Summary'!H$4,'Order Details'!$C:$C,"In Production")</f>
        <v>3000</v>
      </c>
      <c r="I15" s="275">
        <f>SUMIFS('Order Details'!$Q:$Q,'Order Details'!$E:$E,"Yes",'Order Details'!$I:$I,'Item Summary'!$B15,'Order Details'!$F:$F,'Item Summary'!I$4,'Order Details'!$C:$C,"PO Received")+SUMIFS('Order Details'!$Q:$Q,'Order Details'!$E:$E,"Yes",'Order Details'!$I:$I,'Item Summary'!$B15,'Order Details'!$F:$F,'Item Summary'!I$4,'Order Details'!$C:$C,"Proforma Invoice Sent")+SUMIFS('Order Details'!$Q:$Q,'Order Details'!$E:$E,"Yes",'Order Details'!$I:$I,'Item Summary'!$B15,'Order Details'!$F:$F,'Item Summary'!I$4,'Order Details'!$C:$C,"Downpayment Received")+SUMIFS('Order Details'!$Q:$Q,'Order Details'!$E:$E,"Yes",'Order Details'!$I:$I,'Item Summary'!$B15,'Order Details'!$F:$F,'Item Summary'!I$4,'Order Details'!$C:$C,"In Production")</f>
        <v>2800</v>
      </c>
      <c r="J15" s="275">
        <f>SUMIFS('Order Details'!$Q:$Q,'Order Details'!$E:$E,"Yes",'Order Details'!$I:$I,'Item Summary'!$B15,'Order Details'!$F:$F,'Item Summary'!J$4,'Order Details'!$C:$C,"PO Received")+SUMIFS('Order Details'!$Q:$Q,'Order Details'!$E:$E,"Yes",'Order Details'!$I:$I,'Item Summary'!$B15,'Order Details'!$F:$F,'Item Summary'!J$4,'Order Details'!$C:$C,"Proforma Invoice Sent")+SUMIFS('Order Details'!$Q:$Q,'Order Details'!$E:$E,"Yes",'Order Details'!$I:$I,'Item Summary'!$B15,'Order Details'!$F:$F,'Item Summary'!J$4,'Order Details'!$C:$C,"Downpayment Received")+SUMIFS('Order Details'!$Q:$Q,'Order Details'!$E:$E,"Yes",'Order Details'!$I:$I,'Item Summary'!$B15,'Order Details'!$F:$F,'Item Summary'!J$4,'Order Details'!$C:$C,"In Production")</f>
        <v>1400</v>
      </c>
      <c r="K15" s="275">
        <f>SUMIFS('Order Details'!$Q:$Q,'Order Details'!$E:$E,"Yes",'Order Details'!$I:$I,'Item Summary'!$B15,'Order Details'!$F:$F,'Item Summary'!K$4,'Order Details'!$C:$C,"PO Received")+SUMIFS('Order Details'!$Q:$Q,'Order Details'!$E:$E,"Yes",'Order Details'!$I:$I,'Item Summary'!$B15,'Order Details'!$F:$F,'Item Summary'!K$4,'Order Details'!$C:$C,"Proforma Invoice Sent")+SUMIFS('Order Details'!$Q:$Q,'Order Details'!$E:$E,"Yes",'Order Details'!$I:$I,'Item Summary'!$B15,'Order Details'!$F:$F,'Item Summary'!K$4,'Order Details'!$C:$C,"Downpayment Received")+SUMIFS('Order Details'!$Q:$Q,'Order Details'!$E:$E,"Yes",'Order Details'!$I:$I,'Item Summary'!$B15,'Order Details'!$F:$F,'Item Summary'!K$4,'Order Details'!$C:$C,"In Production")</f>
        <v>0</v>
      </c>
      <c r="L15" s="291">
        <f>SUMIFS('Order Details'!$Q:$Q,'Order Details'!$E:$E,"Yes",'Order Details'!$I:$I,'Item Summary'!$B15,'Order Details'!$F:$F,'Item Summary'!L$4,'Order Details'!$C:$C,"PO Received")+SUMIFS('Order Details'!$Q:$Q,'Order Details'!$E:$E,"Yes",'Order Details'!$I:$I,'Item Summary'!$B15,'Order Details'!$F:$F,'Item Summary'!L$4,'Order Details'!$C:$C,"Proforma Invoice Sent")+SUMIFS('Order Details'!$Q:$Q,'Order Details'!$E:$E,"Yes",'Order Details'!$I:$I,'Item Summary'!$B15,'Order Details'!$F:$F,'Item Summary'!L$4,'Order Details'!$C:$C,"Downpayment Received")+SUMIFS('Order Details'!$Q:$Q,'Order Details'!$E:$E,"Yes",'Order Details'!$I:$I,'Item Summary'!$B15,'Order Details'!$F:$F,'Item Summary'!L$4,'Order Details'!$C:$C,"In Production")</f>
        <v>2800</v>
      </c>
      <c r="M15" s="276">
        <f>SUMIFS('Order Details'!$Q:$Q,'Order Details'!$E:$E,"Yes",'Order Details'!$I:$I,'Item Summary'!$B15,'Order Details'!$F:$F,'Item Summary'!M$4,'Order Details'!$C:$C,"PO Received")+SUMIFS('Order Details'!$Q:$Q,'Order Details'!$E:$E,"Yes",'Order Details'!$I:$I,'Item Summary'!$B15,'Order Details'!$F:$F,'Item Summary'!M$4,'Order Details'!$C:$C,"Proforma Invoice Sent")+SUMIFS('Order Details'!$Q:$Q,'Order Details'!$E:$E,"Yes",'Order Details'!$I:$I,'Item Summary'!$B15,'Order Details'!$F:$F,'Item Summary'!M$4,'Order Details'!$C:$C,"Downpayment Received")+SUMIFS('Order Details'!$Q:$Q,'Order Details'!$E:$E,"Yes",'Order Details'!$I:$I,'Item Summary'!$B15,'Order Details'!$F:$F,'Item Summary'!M$4,'Order Details'!$C:$C,"In Production")</f>
        <v>0</v>
      </c>
      <c r="N15" s="279">
        <f t="shared" si="0"/>
        <v>15500</v>
      </c>
      <c r="Q15" s="278">
        <v>694437</v>
      </c>
      <c r="R15" s="274" t="str">
        <f>VLOOKUP($Q15,'Pricing Table - eff 27-Jan-2026'!$A:$L,9,FALSE)&amp;""" "&amp;VLOOKUP($Q15,'Pricing Table - eff 27-Jan-2026'!$A:$L,12,FALSE)</f>
        <v>108" GLOSSY WHITE</v>
      </c>
      <c r="S15" s="275">
        <f>SUMIFS('Order Details'!$Q:$Q,'Order Details'!$E:$E,"Yes",'Order Details'!$I:$I,$Q15,'Order Details'!$F:$F,'Item Summary'!S$4)-D15</f>
        <v>400</v>
      </c>
      <c r="T15" s="275">
        <f>SUMIFS('Order Details'!$Q:$Q,'Order Details'!$E:$E,"Yes",'Order Details'!$I:$I,$Q15,'Order Details'!$F:$F,'Item Summary'!T$4)-E15</f>
        <v>800</v>
      </c>
      <c r="U15" s="275">
        <f>SUMIFS('Order Details'!$Q:$Q,'Order Details'!$E:$E,"Yes",'Order Details'!$I:$I,$Q15,'Order Details'!$F:$F,'Item Summary'!U$4)-F15</f>
        <v>3150</v>
      </c>
      <c r="V15" s="275">
        <f>SUMIFS('Order Details'!$Q:$Q,'Order Details'!$E:$E,"Yes",'Order Details'!$I:$I,$Q15,'Order Details'!$F:$F,'Item Summary'!V$4)-G15</f>
        <v>3200</v>
      </c>
      <c r="W15" s="275">
        <f>SUMIFS('Order Details'!$Q:$Q,'Order Details'!$E:$E,"Yes",'Order Details'!$I:$I,$Q15,'Order Details'!$F:$F,'Item Summary'!W$4)-H15</f>
        <v>2400</v>
      </c>
      <c r="X15" s="275">
        <f>SUMIFS('Order Details'!$Q:$Q,'Order Details'!$E:$E,"Yes",'Order Details'!$I:$I,$Q15,'Order Details'!$F:$F,'Item Summary'!X$4)-I15</f>
        <v>0</v>
      </c>
      <c r="Y15" s="275">
        <f>SUMIFS('Order Details'!$Q:$Q,'Order Details'!$E:$E,"Yes",'Order Details'!$I:$I,$Q15,'Order Details'!$F:$F,'Item Summary'!Y$4)-J15</f>
        <v>1600</v>
      </c>
      <c r="Z15" s="275">
        <f>SUMIFS('Order Details'!$Q:$Q,'Order Details'!$E:$E,"Yes",'Order Details'!$I:$I,$Q15,'Order Details'!$F:$F,'Item Summary'!Z$4)-K15</f>
        <v>2400</v>
      </c>
      <c r="AA15" s="291">
        <f>SUMIFS('Order Details'!$Q:$Q,'Order Details'!$E:$E,"Yes",'Order Details'!$I:$I,$Q15,'Order Details'!$F:$F,'Item Summary'!AA$4)-L15</f>
        <v>0</v>
      </c>
      <c r="AB15" s="276">
        <f>SUMIFS('Order Details'!$Q:$Q,'Order Details'!$E:$E,"Yes",'Order Details'!$I:$I,$Q15,'Order Details'!$F:$F,'Item Summary'!AB$4)-M15</f>
        <v>2400</v>
      </c>
      <c r="AC15" s="279">
        <f t="shared" si="1"/>
        <v>16350</v>
      </c>
    </row>
    <row r="16" spans="2:29" x14ac:dyDescent="0.3">
      <c r="B16" s="278">
        <v>694438</v>
      </c>
      <c r="C16" s="274" t="str">
        <f>VLOOKUP($B16,'Pricing Table - eff 27-Jan-2026'!$A:$L,9,FALSE)&amp;""" "&amp;VLOOKUP($B16,'Pricing Table - eff 27-Jan-2026'!$A:$L,12,FALSE)</f>
        <v>144" GLOSSY WHITE</v>
      </c>
      <c r="D16" s="275">
        <f>SUMIFS('Order Details'!$Q:$Q,'Order Details'!$E:$E,"Yes",'Order Details'!$I:$I,'Item Summary'!$B16,'Order Details'!$F:$F,'Item Summary'!D$4,'Order Details'!$C:$C,"PO Received")+SUMIFS('Order Details'!$Q:$Q,'Order Details'!$E:$E,"Yes",'Order Details'!$I:$I,'Item Summary'!$B16,'Order Details'!$F:$F,'Item Summary'!D$4,'Order Details'!$C:$C,"Proforma Invoice Sent")+SUMIFS('Order Details'!$Q:$Q,'Order Details'!$E:$E,"Yes",'Order Details'!$I:$I,'Item Summary'!$B16,'Order Details'!$F:$F,'Item Summary'!D$4,'Order Details'!$C:$C,"Downpayment Received")+SUMIFS('Order Details'!$Q:$Q,'Order Details'!$E:$E,"Yes",'Order Details'!$I:$I,'Item Summary'!$B16,'Order Details'!$F:$F,'Item Summary'!D$4,'Order Details'!$C:$C,"In Production")</f>
        <v>0</v>
      </c>
      <c r="E16" s="275">
        <f>SUMIFS('Order Details'!$Q:$Q,'Order Details'!$E:$E,"Yes",'Order Details'!$I:$I,'Item Summary'!$B16,'Order Details'!$F:$F,'Item Summary'!E$4,'Order Details'!$C:$C,"PO Received")+SUMIFS('Order Details'!$Q:$Q,'Order Details'!$E:$E,"Yes",'Order Details'!$I:$I,'Item Summary'!$B16,'Order Details'!$F:$F,'Item Summary'!E$4,'Order Details'!$C:$C,"Proforma Invoice Sent")+SUMIFS('Order Details'!$Q:$Q,'Order Details'!$E:$E,"Yes",'Order Details'!$I:$I,'Item Summary'!$B16,'Order Details'!$F:$F,'Item Summary'!E$4,'Order Details'!$C:$C,"Downpayment Received")+SUMIFS('Order Details'!$Q:$Q,'Order Details'!$E:$E,"Yes",'Order Details'!$I:$I,'Item Summary'!$B16,'Order Details'!$F:$F,'Item Summary'!E$4,'Order Details'!$C:$C,"In Production")</f>
        <v>0</v>
      </c>
      <c r="F16" s="275">
        <f>SUMIFS('Order Details'!$Q:$Q,'Order Details'!$E:$E,"Yes",'Order Details'!$I:$I,'Item Summary'!$B16,'Order Details'!$F:$F,'Item Summary'!F$4,'Order Details'!$C:$C,"PO Received")+SUMIFS('Order Details'!$Q:$Q,'Order Details'!$E:$E,"Yes",'Order Details'!$I:$I,'Item Summary'!$B16,'Order Details'!$F:$F,'Item Summary'!F$4,'Order Details'!$C:$C,"Proforma Invoice Sent")+SUMIFS('Order Details'!$Q:$Q,'Order Details'!$E:$E,"Yes",'Order Details'!$I:$I,'Item Summary'!$B16,'Order Details'!$F:$F,'Item Summary'!F$4,'Order Details'!$C:$C,"Downpayment Received")+SUMIFS('Order Details'!$Q:$Q,'Order Details'!$E:$E,"Yes",'Order Details'!$I:$I,'Item Summary'!$B16,'Order Details'!$F:$F,'Item Summary'!F$4,'Order Details'!$C:$C,"In Production")</f>
        <v>600</v>
      </c>
      <c r="G16" s="275">
        <f>SUMIFS('Order Details'!$Q:$Q,'Order Details'!$E:$E,"Yes",'Order Details'!$I:$I,'Item Summary'!$B16,'Order Details'!$F:$F,'Item Summary'!G$4,'Order Details'!$C:$C,"PO Received")+SUMIFS('Order Details'!$Q:$Q,'Order Details'!$E:$E,"Yes",'Order Details'!$I:$I,'Item Summary'!$B16,'Order Details'!$F:$F,'Item Summary'!G$4,'Order Details'!$C:$C,"Proforma Invoice Sent")+SUMIFS('Order Details'!$Q:$Q,'Order Details'!$E:$E,"Yes",'Order Details'!$I:$I,'Item Summary'!$B16,'Order Details'!$F:$F,'Item Summary'!G$4,'Order Details'!$C:$C,"Downpayment Received")+SUMIFS('Order Details'!$Q:$Q,'Order Details'!$E:$E,"Yes",'Order Details'!$I:$I,'Item Summary'!$B16,'Order Details'!$F:$F,'Item Summary'!G$4,'Order Details'!$C:$C,"In Production")</f>
        <v>0</v>
      </c>
      <c r="H16" s="275">
        <f>SUMIFS('Order Details'!$Q:$Q,'Order Details'!$E:$E,"Yes",'Order Details'!$I:$I,'Item Summary'!$B16,'Order Details'!$F:$F,'Item Summary'!H$4,'Order Details'!$C:$C,"PO Received")+SUMIFS('Order Details'!$Q:$Q,'Order Details'!$E:$E,"Yes",'Order Details'!$I:$I,'Item Summary'!$B16,'Order Details'!$F:$F,'Item Summary'!H$4,'Order Details'!$C:$C,"Proforma Invoice Sent")+SUMIFS('Order Details'!$Q:$Q,'Order Details'!$E:$E,"Yes",'Order Details'!$I:$I,'Item Summary'!$B16,'Order Details'!$F:$F,'Item Summary'!H$4,'Order Details'!$C:$C,"Downpayment Received")+SUMIFS('Order Details'!$Q:$Q,'Order Details'!$E:$E,"Yes",'Order Details'!$I:$I,'Item Summary'!$B16,'Order Details'!$F:$F,'Item Summary'!H$4,'Order Details'!$C:$C,"In Production")</f>
        <v>1400</v>
      </c>
      <c r="I16" s="275">
        <f>SUMIFS('Order Details'!$Q:$Q,'Order Details'!$E:$E,"Yes",'Order Details'!$I:$I,'Item Summary'!$B16,'Order Details'!$F:$F,'Item Summary'!I$4,'Order Details'!$C:$C,"PO Received")+SUMIFS('Order Details'!$Q:$Q,'Order Details'!$E:$E,"Yes",'Order Details'!$I:$I,'Item Summary'!$B16,'Order Details'!$F:$F,'Item Summary'!I$4,'Order Details'!$C:$C,"Proforma Invoice Sent")+SUMIFS('Order Details'!$Q:$Q,'Order Details'!$E:$E,"Yes",'Order Details'!$I:$I,'Item Summary'!$B16,'Order Details'!$F:$F,'Item Summary'!I$4,'Order Details'!$C:$C,"Downpayment Received")+SUMIFS('Order Details'!$Q:$Q,'Order Details'!$E:$E,"Yes",'Order Details'!$I:$I,'Item Summary'!$B16,'Order Details'!$F:$F,'Item Summary'!I$4,'Order Details'!$C:$C,"In Production")</f>
        <v>0</v>
      </c>
      <c r="J16" s="275">
        <f>SUMIFS('Order Details'!$Q:$Q,'Order Details'!$E:$E,"Yes",'Order Details'!$I:$I,'Item Summary'!$B16,'Order Details'!$F:$F,'Item Summary'!J$4,'Order Details'!$C:$C,"PO Received")+SUMIFS('Order Details'!$Q:$Q,'Order Details'!$E:$E,"Yes",'Order Details'!$I:$I,'Item Summary'!$B16,'Order Details'!$F:$F,'Item Summary'!J$4,'Order Details'!$C:$C,"Proforma Invoice Sent")+SUMIFS('Order Details'!$Q:$Q,'Order Details'!$E:$E,"Yes",'Order Details'!$I:$I,'Item Summary'!$B16,'Order Details'!$F:$F,'Item Summary'!J$4,'Order Details'!$C:$C,"Downpayment Received")+SUMIFS('Order Details'!$Q:$Q,'Order Details'!$E:$E,"Yes",'Order Details'!$I:$I,'Item Summary'!$B16,'Order Details'!$F:$F,'Item Summary'!J$4,'Order Details'!$C:$C,"In Production")</f>
        <v>0</v>
      </c>
      <c r="K16" s="275">
        <f>SUMIFS('Order Details'!$Q:$Q,'Order Details'!$E:$E,"Yes",'Order Details'!$I:$I,'Item Summary'!$B16,'Order Details'!$F:$F,'Item Summary'!K$4,'Order Details'!$C:$C,"PO Received")+SUMIFS('Order Details'!$Q:$Q,'Order Details'!$E:$E,"Yes",'Order Details'!$I:$I,'Item Summary'!$B16,'Order Details'!$F:$F,'Item Summary'!K$4,'Order Details'!$C:$C,"Proforma Invoice Sent")+SUMIFS('Order Details'!$Q:$Q,'Order Details'!$E:$E,"Yes",'Order Details'!$I:$I,'Item Summary'!$B16,'Order Details'!$F:$F,'Item Summary'!K$4,'Order Details'!$C:$C,"Downpayment Received")+SUMIFS('Order Details'!$Q:$Q,'Order Details'!$E:$E,"Yes",'Order Details'!$I:$I,'Item Summary'!$B16,'Order Details'!$F:$F,'Item Summary'!K$4,'Order Details'!$C:$C,"In Production")</f>
        <v>0</v>
      </c>
      <c r="L16" s="291">
        <f>SUMIFS('Order Details'!$Q:$Q,'Order Details'!$E:$E,"Yes",'Order Details'!$I:$I,'Item Summary'!$B16,'Order Details'!$F:$F,'Item Summary'!L$4,'Order Details'!$C:$C,"PO Received")+SUMIFS('Order Details'!$Q:$Q,'Order Details'!$E:$E,"Yes",'Order Details'!$I:$I,'Item Summary'!$B16,'Order Details'!$F:$F,'Item Summary'!L$4,'Order Details'!$C:$C,"Proforma Invoice Sent")+SUMIFS('Order Details'!$Q:$Q,'Order Details'!$E:$E,"Yes",'Order Details'!$I:$I,'Item Summary'!$B16,'Order Details'!$F:$F,'Item Summary'!L$4,'Order Details'!$C:$C,"Downpayment Received")+SUMIFS('Order Details'!$Q:$Q,'Order Details'!$E:$E,"Yes",'Order Details'!$I:$I,'Item Summary'!$B16,'Order Details'!$F:$F,'Item Summary'!L$4,'Order Details'!$C:$C,"In Production")</f>
        <v>0</v>
      </c>
      <c r="M16" s="276">
        <f>SUMIFS('Order Details'!$Q:$Q,'Order Details'!$E:$E,"Yes",'Order Details'!$I:$I,'Item Summary'!$B16,'Order Details'!$F:$F,'Item Summary'!M$4,'Order Details'!$C:$C,"PO Received")+SUMIFS('Order Details'!$Q:$Q,'Order Details'!$E:$E,"Yes",'Order Details'!$I:$I,'Item Summary'!$B16,'Order Details'!$F:$F,'Item Summary'!M$4,'Order Details'!$C:$C,"Proforma Invoice Sent")+SUMIFS('Order Details'!$Q:$Q,'Order Details'!$E:$E,"Yes",'Order Details'!$I:$I,'Item Summary'!$B16,'Order Details'!$F:$F,'Item Summary'!M$4,'Order Details'!$C:$C,"Downpayment Received")+SUMIFS('Order Details'!$Q:$Q,'Order Details'!$E:$E,"Yes",'Order Details'!$I:$I,'Item Summary'!$B16,'Order Details'!$F:$F,'Item Summary'!M$4,'Order Details'!$C:$C,"In Production")</f>
        <v>0</v>
      </c>
      <c r="N16" s="279">
        <f t="shared" si="0"/>
        <v>2000</v>
      </c>
      <c r="Q16" s="278">
        <v>694438</v>
      </c>
      <c r="R16" s="274" t="str">
        <f>VLOOKUP($Q16,'Pricing Table - eff 27-Jan-2026'!$A:$L,9,FALSE)&amp;""" "&amp;VLOOKUP($Q16,'Pricing Table - eff 27-Jan-2026'!$A:$L,12,FALSE)</f>
        <v>144" GLOSSY WHITE</v>
      </c>
      <c r="S16" s="275">
        <f>SUMIFS('Order Details'!$Q:$Q,'Order Details'!$E:$E,"Yes",'Order Details'!$I:$I,$Q16,'Order Details'!$F:$F,'Item Summary'!S$4)-D16</f>
        <v>0</v>
      </c>
      <c r="T16" s="275">
        <f>SUMIFS('Order Details'!$Q:$Q,'Order Details'!$E:$E,"Yes",'Order Details'!$I:$I,$Q16,'Order Details'!$F:$F,'Item Summary'!T$4)-E16</f>
        <v>200</v>
      </c>
      <c r="U16" s="275">
        <f>SUMIFS('Order Details'!$Q:$Q,'Order Details'!$E:$E,"Yes",'Order Details'!$I:$I,$Q16,'Order Details'!$F:$F,'Item Summary'!U$4)-F16</f>
        <v>1000</v>
      </c>
      <c r="V16" s="275">
        <f>SUMIFS('Order Details'!$Q:$Q,'Order Details'!$E:$E,"Yes",'Order Details'!$I:$I,$Q16,'Order Details'!$F:$F,'Item Summary'!V$4)-G16</f>
        <v>0</v>
      </c>
      <c r="W16" s="275">
        <f>SUMIFS('Order Details'!$Q:$Q,'Order Details'!$E:$E,"Yes",'Order Details'!$I:$I,$Q16,'Order Details'!$F:$F,'Item Summary'!W$4)-H16</f>
        <v>800</v>
      </c>
      <c r="X16" s="275">
        <f>SUMIFS('Order Details'!$Q:$Q,'Order Details'!$E:$E,"Yes",'Order Details'!$I:$I,$Q16,'Order Details'!$F:$F,'Item Summary'!X$4)-I16</f>
        <v>0</v>
      </c>
      <c r="Y16" s="275">
        <f>SUMIFS('Order Details'!$Q:$Q,'Order Details'!$E:$E,"Yes",'Order Details'!$I:$I,$Q16,'Order Details'!$F:$F,'Item Summary'!Y$4)-J16</f>
        <v>0</v>
      </c>
      <c r="Z16" s="275">
        <f>SUMIFS('Order Details'!$Q:$Q,'Order Details'!$E:$E,"Yes",'Order Details'!$I:$I,$Q16,'Order Details'!$F:$F,'Item Summary'!Z$4)-K16</f>
        <v>1000</v>
      </c>
      <c r="AA16" s="291">
        <f>SUMIFS('Order Details'!$Q:$Q,'Order Details'!$E:$E,"Yes",'Order Details'!$I:$I,$Q16,'Order Details'!$F:$F,'Item Summary'!AA$4)-L16</f>
        <v>0</v>
      </c>
      <c r="AB16" s="276">
        <f>SUMIFS('Order Details'!$Q:$Q,'Order Details'!$E:$E,"Yes",'Order Details'!$I:$I,$Q16,'Order Details'!$F:$F,'Item Summary'!AB$4)-M16</f>
        <v>1000</v>
      </c>
      <c r="AC16" s="279">
        <f t="shared" si="1"/>
        <v>4000</v>
      </c>
    </row>
    <row r="17" spans="2:29" x14ac:dyDescent="0.3">
      <c r="B17" s="278">
        <v>714952</v>
      </c>
      <c r="C17" s="274" t="str">
        <f>VLOOKUP($B17,'Pricing Table - eff 27-Jan-2026'!$A:$L,9,FALSE)&amp;""" "&amp;VLOOKUP($B17,'Pricing Table - eff 27-Jan-2026'!$A:$L,12,FALSE)</f>
        <v>84" SILVER FROST</v>
      </c>
      <c r="D17" s="275">
        <f>SUMIFS('Order Details'!$Q:$Q,'Order Details'!$E:$E,"Yes",'Order Details'!$I:$I,'Item Summary'!$B17,'Order Details'!$F:$F,'Item Summary'!D$4,'Order Details'!$C:$C,"PO Received")+SUMIFS('Order Details'!$Q:$Q,'Order Details'!$E:$E,"Yes",'Order Details'!$I:$I,'Item Summary'!$B17,'Order Details'!$F:$F,'Item Summary'!D$4,'Order Details'!$C:$C,"Proforma Invoice Sent")+SUMIFS('Order Details'!$Q:$Q,'Order Details'!$E:$E,"Yes",'Order Details'!$I:$I,'Item Summary'!$B17,'Order Details'!$F:$F,'Item Summary'!D$4,'Order Details'!$C:$C,"Downpayment Received")+SUMIFS('Order Details'!$Q:$Q,'Order Details'!$E:$E,"Yes",'Order Details'!$I:$I,'Item Summary'!$B17,'Order Details'!$F:$F,'Item Summary'!D$4,'Order Details'!$C:$C,"In Production")</f>
        <v>0</v>
      </c>
      <c r="E17" s="275">
        <f>SUMIFS('Order Details'!$Q:$Q,'Order Details'!$E:$E,"Yes",'Order Details'!$I:$I,'Item Summary'!$B17,'Order Details'!$F:$F,'Item Summary'!E$4,'Order Details'!$C:$C,"PO Received")+SUMIFS('Order Details'!$Q:$Q,'Order Details'!$E:$E,"Yes",'Order Details'!$I:$I,'Item Summary'!$B17,'Order Details'!$F:$F,'Item Summary'!E$4,'Order Details'!$C:$C,"Proforma Invoice Sent")+SUMIFS('Order Details'!$Q:$Q,'Order Details'!$E:$E,"Yes",'Order Details'!$I:$I,'Item Summary'!$B17,'Order Details'!$F:$F,'Item Summary'!E$4,'Order Details'!$C:$C,"Downpayment Received")+SUMIFS('Order Details'!$Q:$Q,'Order Details'!$E:$E,"Yes",'Order Details'!$I:$I,'Item Summary'!$B17,'Order Details'!$F:$F,'Item Summary'!E$4,'Order Details'!$C:$C,"In Production")</f>
        <v>400</v>
      </c>
      <c r="F17" s="275">
        <f>SUMIFS('Order Details'!$Q:$Q,'Order Details'!$E:$E,"Yes",'Order Details'!$I:$I,'Item Summary'!$B17,'Order Details'!$F:$F,'Item Summary'!F$4,'Order Details'!$C:$C,"PO Received")+SUMIFS('Order Details'!$Q:$Q,'Order Details'!$E:$E,"Yes",'Order Details'!$I:$I,'Item Summary'!$B17,'Order Details'!$F:$F,'Item Summary'!F$4,'Order Details'!$C:$C,"Proforma Invoice Sent")+SUMIFS('Order Details'!$Q:$Q,'Order Details'!$E:$E,"Yes",'Order Details'!$I:$I,'Item Summary'!$B17,'Order Details'!$F:$F,'Item Summary'!F$4,'Order Details'!$C:$C,"Downpayment Received")+SUMIFS('Order Details'!$Q:$Q,'Order Details'!$E:$E,"Yes",'Order Details'!$I:$I,'Item Summary'!$B17,'Order Details'!$F:$F,'Item Summary'!F$4,'Order Details'!$C:$C,"In Production")</f>
        <v>0</v>
      </c>
      <c r="G17" s="275">
        <f>SUMIFS('Order Details'!$Q:$Q,'Order Details'!$E:$E,"Yes",'Order Details'!$I:$I,'Item Summary'!$B17,'Order Details'!$F:$F,'Item Summary'!G$4,'Order Details'!$C:$C,"PO Received")+SUMIFS('Order Details'!$Q:$Q,'Order Details'!$E:$E,"Yes",'Order Details'!$I:$I,'Item Summary'!$B17,'Order Details'!$F:$F,'Item Summary'!G$4,'Order Details'!$C:$C,"Proforma Invoice Sent")+SUMIFS('Order Details'!$Q:$Q,'Order Details'!$E:$E,"Yes",'Order Details'!$I:$I,'Item Summary'!$B17,'Order Details'!$F:$F,'Item Summary'!G$4,'Order Details'!$C:$C,"Downpayment Received")+SUMIFS('Order Details'!$Q:$Q,'Order Details'!$E:$E,"Yes",'Order Details'!$I:$I,'Item Summary'!$B17,'Order Details'!$F:$F,'Item Summary'!G$4,'Order Details'!$C:$C,"In Production")</f>
        <v>0</v>
      </c>
      <c r="H17" s="275">
        <f>SUMIFS('Order Details'!$Q:$Q,'Order Details'!$E:$E,"Yes",'Order Details'!$I:$I,'Item Summary'!$B17,'Order Details'!$F:$F,'Item Summary'!H$4,'Order Details'!$C:$C,"PO Received")+SUMIFS('Order Details'!$Q:$Q,'Order Details'!$E:$E,"Yes",'Order Details'!$I:$I,'Item Summary'!$B17,'Order Details'!$F:$F,'Item Summary'!H$4,'Order Details'!$C:$C,"Proforma Invoice Sent")+SUMIFS('Order Details'!$Q:$Q,'Order Details'!$E:$E,"Yes",'Order Details'!$I:$I,'Item Summary'!$B17,'Order Details'!$F:$F,'Item Summary'!H$4,'Order Details'!$C:$C,"Downpayment Received")+SUMIFS('Order Details'!$Q:$Q,'Order Details'!$E:$E,"Yes",'Order Details'!$I:$I,'Item Summary'!$B17,'Order Details'!$F:$F,'Item Summary'!H$4,'Order Details'!$C:$C,"In Production")</f>
        <v>0</v>
      </c>
      <c r="I17" s="275">
        <f>SUMIFS('Order Details'!$Q:$Q,'Order Details'!$E:$E,"Yes",'Order Details'!$I:$I,'Item Summary'!$B17,'Order Details'!$F:$F,'Item Summary'!I$4,'Order Details'!$C:$C,"PO Received")+SUMIFS('Order Details'!$Q:$Q,'Order Details'!$E:$E,"Yes",'Order Details'!$I:$I,'Item Summary'!$B17,'Order Details'!$F:$F,'Item Summary'!I$4,'Order Details'!$C:$C,"Proforma Invoice Sent")+SUMIFS('Order Details'!$Q:$Q,'Order Details'!$E:$E,"Yes",'Order Details'!$I:$I,'Item Summary'!$B17,'Order Details'!$F:$F,'Item Summary'!I$4,'Order Details'!$C:$C,"Downpayment Received")+SUMIFS('Order Details'!$Q:$Q,'Order Details'!$E:$E,"Yes",'Order Details'!$I:$I,'Item Summary'!$B17,'Order Details'!$F:$F,'Item Summary'!I$4,'Order Details'!$C:$C,"In Production")</f>
        <v>0</v>
      </c>
      <c r="J17" s="275">
        <f>SUMIFS('Order Details'!$Q:$Q,'Order Details'!$E:$E,"Yes",'Order Details'!$I:$I,'Item Summary'!$B17,'Order Details'!$F:$F,'Item Summary'!J$4,'Order Details'!$C:$C,"PO Received")+SUMIFS('Order Details'!$Q:$Q,'Order Details'!$E:$E,"Yes",'Order Details'!$I:$I,'Item Summary'!$B17,'Order Details'!$F:$F,'Item Summary'!J$4,'Order Details'!$C:$C,"Proforma Invoice Sent")+SUMIFS('Order Details'!$Q:$Q,'Order Details'!$E:$E,"Yes",'Order Details'!$I:$I,'Item Summary'!$B17,'Order Details'!$F:$F,'Item Summary'!J$4,'Order Details'!$C:$C,"Downpayment Received")+SUMIFS('Order Details'!$Q:$Q,'Order Details'!$E:$E,"Yes",'Order Details'!$I:$I,'Item Summary'!$B17,'Order Details'!$F:$F,'Item Summary'!J$4,'Order Details'!$C:$C,"In Production")</f>
        <v>0</v>
      </c>
      <c r="K17" s="275">
        <f>SUMIFS('Order Details'!$Q:$Q,'Order Details'!$E:$E,"Yes",'Order Details'!$I:$I,'Item Summary'!$B17,'Order Details'!$F:$F,'Item Summary'!K$4,'Order Details'!$C:$C,"PO Received")+SUMIFS('Order Details'!$Q:$Q,'Order Details'!$E:$E,"Yes",'Order Details'!$I:$I,'Item Summary'!$B17,'Order Details'!$F:$F,'Item Summary'!K$4,'Order Details'!$C:$C,"Proforma Invoice Sent")+SUMIFS('Order Details'!$Q:$Q,'Order Details'!$E:$E,"Yes",'Order Details'!$I:$I,'Item Summary'!$B17,'Order Details'!$F:$F,'Item Summary'!K$4,'Order Details'!$C:$C,"Downpayment Received")+SUMIFS('Order Details'!$Q:$Q,'Order Details'!$E:$E,"Yes",'Order Details'!$I:$I,'Item Summary'!$B17,'Order Details'!$F:$F,'Item Summary'!K$4,'Order Details'!$C:$C,"In Production")</f>
        <v>0</v>
      </c>
      <c r="L17" s="291">
        <f>SUMIFS('Order Details'!$Q:$Q,'Order Details'!$E:$E,"Yes",'Order Details'!$I:$I,'Item Summary'!$B17,'Order Details'!$F:$F,'Item Summary'!L$4,'Order Details'!$C:$C,"PO Received")+SUMIFS('Order Details'!$Q:$Q,'Order Details'!$E:$E,"Yes",'Order Details'!$I:$I,'Item Summary'!$B17,'Order Details'!$F:$F,'Item Summary'!L$4,'Order Details'!$C:$C,"Proforma Invoice Sent")+SUMIFS('Order Details'!$Q:$Q,'Order Details'!$E:$E,"Yes",'Order Details'!$I:$I,'Item Summary'!$B17,'Order Details'!$F:$F,'Item Summary'!L$4,'Order Details'!$C:$C,"Downpayment Received")+SUMIFS('Order Details'!$Q:$Q,'Order Details'!$E:$E,"Yes",'Order Details'!$I:$I,'Item Summary'!$B17,'Order Details'!$F:$F,'Item Summary'!L$4,'Order Details'!$C:$C,"In Production")</f>
        <v>0</v>
      </c>
      <c r="M17" s="276">
        <f>SUMIFS('Order Details'!$Q:$Q,'Order Details'!$E:$E,"Yes",'Order Details'!$I:$I,'Item Summary'!$B17,'Order Details'!$F:$F,'Item Summary'!M$4,'Order Details'!$C:$C,"PO Received")+SUMIFS('Order Details'!$Q:$Q,'Order Details'!$E:$E,"Yes",'Order Details'!$I:$I,'Item Summary'!$B17,'Order Details'!$F:$F,'Item Summary'!M$4,'Order Details'!$C:$C,"Proforma Invoice Sent")+SUMIFS('Order Details'!$Q:$Q,'Order Details'!$E:$E,"Yes",'Order Details'!$I:$I,'Item Summary'!$B17,'Order Details'!$F:$F,'Item Summary'!M$4,'Order Details'!$C:$C,"Downpayment Received")+SUMIFS('Order Details'!$Q:$Q,'Order Details'!$E:$E,"Yes",'Order Details'!$I:$I,'Item Summary'!$B17,'Order Details'!$F:$F,'Item Summary'!M$4,'Order Details'!$C:$C,"In Production")</f>
        <v>0</v>
      </c>
      <c r="N17" s="279">
        <f t="shared" si="0"/>
        <v>400</v>
      </c>
      <c r="Q17" s="278">
        <v>714952</v>
      </c>
      <c r="R17" s="274" t="str">
        <f>VLOOKUP($Q17,'Pricing Table - eff 27-Jan-2026'!$A:$L,9,FALSE)&amp;""" "&amp;VLOOKUP($Q17,'Pricing Table - eff 27-Jan-2026'!$A:$L,12,FALSE)</f>
        <v>84" SILVER FROST</v>
      </c>
      <c r="S17" s="275">
        <f>SUMIFS('Order Details'!$Q:$Q,'Order Details'!$E:$E,"Yes",'Order Details'!$I:$I,$Q17,'Order Details'!$F:$F,'Item Summary'!S$4)-D17</f>
        <v>0</v>
      </c>
      <c r="T17" s="275">
        <f>SUMIFS('Order Details'!$Q:$Q,'Order Details'!$E:$E,"Yes",'Order Details'!$I:$I,$Q17,'Order Details'!$F:$F,'Item Summary'!T$4)-E17</f>
        <v>800</v>
      </c>
      <c r="U17" s="275">
        <f>SUMIFS('Order Details'!$Q:$Q,'Order Details'!$E:$E,"Yes",'Order Details'!$I:$I,$Q17,'Order Details'!$F:$F,'Item Summary'!U$4)-F17</f>
        <v>0</v>
      </c>
      <c r="V17" s="275">
        <f>SUMIFS('Order Details'!$Q:$Q,'Order Details'!$E:$E,"Yes",'Order Details'!$I:$I,$Q17,'Order Details'!$F:$F,'Item Summary'!V$4)-G17</f>
        <v>0</v>
      </c>
      <c r="W17" s="275">
        <f>SUMIFS('Order Details'!$Q:$Q,'Order Details'!$E:$E,"Yes",'Order Details'!$I:$I,$Q17,'Order Details'!$F:$F,'Item Summary'!W$4)-H17</f>
        <v>0</v>
      </c>
      <c r="X17" s="275">
        <f>SUMIFS('Order Details'!$Q:$Q,'Order Details'!$E:$E,"Yes",'Order Details'!$I:$I,$Q17,'Order Details'!$F:$F,'Item Summary'!X$4)-I17</f>
        <v>0</v>
      </c>
      <c r="Y17" s="275">
        <f>SUMIFS('Order Details'!$Q:$Q,'Order Details'!$E:$E,"Yes",'Order Details'!$I:$I,$Q17,'Order Details'!$F:$F,'Item Summary'!Y$4)-J17</f>
        <v>0</v>
      </c>
      <c r="Z17" s="275">
        <f>SUMIFS('Order Details'!$Q:$Q,'Order Details'!$E:$E,"Yes",'Order Details'!$I:$I,$Q17,'Order Details'!$F:$F,'Item Summary'!Z$4)-K17</f>
        <v>0</v>
      </c>
      <c r="AA17" s="291">
        <f>SUMIFS('Order Details'!$Q:$Q,'Order Details'!$E:$E,"Yes",'Order Details'!$I:$I,$Q17,'Order Details'!$F:$F,'Item Summary'!AA$4)-L17</f>
        <v>0</v>
      </c>
      <c r="AB17" s="276">
        <f>SUMIFS('Order Details'!$Q:$Q,'Order Details'!$E:$E,"Yes",'Order Details'!$I:$I,$Q17,'Order Details'!$F:$F,'Item Summary'!AB$4)-M17</f>
        <v>0</v>
      </c>
      <c r="AC17" s="279">
        <f t="shared" si="1"/>
        <v>800</v>
      </c>
    </row>
    <row r="18" spans="2:29" x14ac:dyDescent="0.3">
      <c r="B18" s="278">
        <v>694439</v>
      </c>
      <c r="C18" s="274" t="str">
        <f>VLOOKUP($B18,'Pricing Table - eff 27-Jan-2026'!$A:$L,9,FALSE)&amp;""" "&amp;VLOOKUP($B18,'Pricing Table - eff 27-Jan-2026'!$A:$L,12,FALSE)</f>
        <v>90" SILVER FROST</v>
      </c>
      <c r="D18" s="275">
        <f>SUMIFS('Order Details'!$Q:$Q,'Order Details'!$E:$E,"Yes",'Order Details'!$I:$I,'Item Summary'!$B18,'Order Details'!$F:$F,'Item Summary'!D$4,'Order Details'!$C:$C,"PO Received")+SUMIFS('Order Details'!$Q:$Q,'Order Details'!$E:$E,"Yes",'Order Details'!$I:$I,'Item Summary'!$B18,'Order Details'!$F:$F,'Item Summary'!D$4,'Order Details'!$C:$C,"Proforma Invoice Sent")+SUMIFS('Order Details'!$Q:$Q,'Order Details'!$E:$E,"Yes",'Order Details'!$I:$I,'Item Summary'!$B18,'Order Details'!$F:$F,'Item Summary'!D$4,'Order Details'!$C:$C,"Downpayment Received")+SUMIFS('Order Details'!$Q:$Q,'Order Details'!$E:$E,"Yes",'Order Details'!$I:$I,'Item Summary'!$B18,'Order Details'!$F:$F,'Item Summary'!D$4,'Order Details'!$C:$C,"In Production")</f>
        <v>0</v>
      </c>
      <c r="E18" s="275">
        <f>SUMIFS('Order Details'!$Q:$Q,'Order Details'!$E:$E,"Yes",'Order Details'!$I:$I,'Item Summary'!$B18,'Order Details'!$F:$F,'Item Summary'!E$4,'Order Details'!$C:$C,"PO Received")+SUMIFS('Order Details'!$Q:$Q,'Order Details'!$E:$E,"Yes",'Order Details'!$I:$I,'Item Summary'!$B18,'Order Details'!$F:$F,'Item Summary'!E$4,'Order Details'!$C:$C,"Proforma Invoice Sent")+SUMIFS('Order Details'!$Q:$Q,'Order Details'!$E:$E,"Yes",'Order Details'!$I:$I,'Item Summary'!$B18,'Order Details'!$F:$F,'Item Summary'!E$4,'Order Details'!$C:$C,"Downpayment Received")+SUMIFS('Order Details'!$Q:$Q,'Order Details'!$E:$E,"Yes",'Order Details'!$I:$I,'Item Summary'!$B18,'Order Details'!$F:$F,'Item Summary'!E$4,'Order Details'!$C:$C,"In Production")</f>
        <v>0</v>
      </c>
      <c r="F18" s="275">
        <f>SUMIFS('Order Details'!$Q:$Q,'Order Details'!$E:$E,"Yes",'Order Details'!$I:$I,'Item Summary'!$B18,'Order Details'!$F:$F,'Item Summary'!F$4,'Order Details'!$C:$C,"PO Received")+SUMIFS('Order Details'!$Q:$Q,'Order Details'!$E:$E,"Yes",'Order Details'!$I:$I,'Item Summary'!$B18,'Order Details'!$F:$F,'Item Summary'!F$4,'Order Details'!$C:$C,"Proforma Invoice Sent")+SUMIFS('Order Details'!$Q:$Q,'Order Details'!$E:$E,"Yes",'Order Details'!$I:$I,'Item Summary'!$B18,'Order Details'!$F:$F,'Item Summary'!F$4,'Order Details'!$C:$C,"Downpayment Received")+SUMIFS('Order Details'!$Q:$Q,'Order Details'!$E:$E,"Yes",'Order Details'!$I:$I,'Item Summary'!$B18,'Order Details'!$F:$F,'Item Summary'!F$4,'Order Details'!$C:$C,"In Production")</f>
        <v>0</v>
      </c>
      <c r="G18" s="275">
        <f>SUMIFS('Order Details'!$Q:$Q,'Order Details'!$E:$E,"Yes",'Order Details'!$I:$I,'Item Summary'!$B18,'Order Details'!$F:$F,'Item Summary'!G$4,'Order Details'!$C:$C,"PO Received")+SUMIFS('Order Details'!$Q:$Q,'Order Details'!$E:$E,"Yes",'Order Details'!$I:$I,'Item Summary'!$B18,'Order Details'!$F:$F,'Item Summary'!G$4,'Order Details'!$C:$C,"Proforma Invoice Sent")+SUMIFS('Order Details'!$Q:$Q,'Order Details'!$E:$E,"Yes",'Order Details'!$I:$I,'Item Summary'!$B18,'Order Details'!$F:$F,'Item Summary'!G$4,'Order Details'!$C:$C,"Downpayment Received")+SUMIFS('Order Details'!$Q:$Q,'Order Details'!$E:$E,"Yes",'Order Details'!$I:$I,'Item Summary'!$B18,'Order Details'!$F:$F,'Item Summary'!G$4,'Order Details'!$C:$C,"In Production")</f>
        <v>0</v>
      </c>
      <c r="H18" s="275">
        <f>SUMIFS('Order Details'!$Q:$Q,'Order Details'!$E:$E,"Yes",'Order Details'!$I:$I,'Item Summary'!$B18,'Order Details'!$F:$F,'Item Summary'!H$4,'Order Details'!$C:$C,"PO Received")+SUMIFS('Order Details'!$Q:$Q,'Order Details'!$E:$E,"Yes",'Order Details'!$I:$I,'Item Summary'!$B18,'Order Details'!$F:$F,'Item Summary'!H$4,'Order Details'!$C:$C,"Proforma Invoice Sent")+SUMIFS('Order Details'!$Q:$Q,'Order Details'!$E:$E,"Yes",'Order Details'!$I:$I,'Item Summary'!$B18,'Order Details'!$F:$F,'Item Summary'!H$4,'Order Details'!$C:$C,"Downpayment Received")+SUMIFS('Order Details'!$Q:$Q,'Order Details'!$E:$E,"Yes",'Order Details'!$I:$I,'Item Summary'!$B18,'Order Details'!$F:$F,'Item Summary'!H$4,'Order Details'!$C:$C,"In Production")</f>
        <v>0</v>
      </c>
      <c r="I18" s="275">
        <f>SUMIFS('Order Details'!$Q:$Q,'Order Details'!$E:$E,"Yes",'Order Details'!$I:$I,'Item Summary'!$B18,'Order Details'!$F:$F,'Item Summary'!I$4,'Order Details'!$C:$C,"PO Received")+SUMIFS('Order Details'!$Q:$Q,'Order Details'!$E:$E,"Yes",'Order Details'!$I:$I,'Item Summary'!$B18,'Order Details'!$F:$F,'Item Summary'!I$4,'Order Details'!$C:$C,"Proforma Invoice Sent")+SUMIFS('Order Details'!$Q:$Q,'Order Details'!$E:$E,"Yes",'Order Details'!$I:$I,'Item Summary'!$B18,'Order Details'!$F:$F,'Item Summary'!I$4,'Order Details'!$C:$C,"Downpayment Received")+SUMIFS('Order Details'!$Q:$Q,'Order Details'!$E:$E,"Yes",'Order Details'!$I:$I,'Item Summary'!$B18,'Order Details'!$F:$F,'Item Summary'!I$4,'Order Details'!$C:$C,"In Production")</f>
        <v>0</v>
      </c>
      <c r="J18" s="275">
        <f>SUMIFS('Order Details'!$Q:$Q,'Order Details'!$E:$E,"Yes",'Order Details'!$I:$I,'Item Summary'!$B18,'Order Details'!$F:$F,'Item Summary'!J$4,'Order Details'!$C:$C,"PO Received")+SUMIFS('Order Details'!$Q:$Q,'Order Details'!$E:$E,"Yes",'Order Details'!$I:$I,'Item Summary'!$B18,'Order Details'!$F:$F,'Item Summary'!J$4,'Order Details'!$C:$C,"Proforma Invoice Sent")+SUMIFS('Order Details'!$Q:$Q,'Order Details'!$E:$E,"Yes",'Order Details'!$I:$I,'Item Summary'!$B18,'Order Details'!$F:$F,'Item Summary'!J$4,'Order Details'!$C:$C,"Downpayment Received")+SUMIFS('Order Details'!$Q:$Q,'Order Details'!$E:$E,"Yes",'Order Details'!$I:$I,'Item Summary'!$B18,'Order Details'!$F:$F,'Item Summary'!J$4,'Order Details'!$C:$C,"In Production")</f>
        <v>0</v>
      </c>
      <c r="K18" s="275">
        <f>SUMIFS('Order Details'!$Q:$Q,'Order Details'!$E:$E,"Yes",'Order Details'!$I:$I,'Item Summary'!$B18,'Order Details'!$F:$F,'Item Summary'!K$4,'Order Details'!$C:$C,"PO Received")+SUMIFS('Order Details'!$Q:$Q,'Order Details'!$E:$E,"Yes",'Order Details'!$I:$I,'Item Summary'!$B18,'Order Details'!$F:$F,'Item Summary'!K$4,'Order Details'!$C:$C,"Proforma Invoice Sent")+SUMIFS('Order Details'!$Q:$Q,'Order Details'!$E:$E,"Yes",'Order Details'!$I:$I,'Item Summary'!$B18,'Order Details'!$F:$F,'Item Summary'!K$4,'Order Details'!$C:$C,"Downpayment Received")+SUMIFS('Order Details'!$Q:$Q,'Order Details'!$E:$E,"Yes",'Order Details'!$I:$I,'Item Summary'!$B18,'Order Details'!$F:$F,'Item Summary'!K$4,'Order Details'!$C:$C,"In Production")</f>
        <v>0</v>
      </c>
      <c r="L18" s="291">
        <f>SUMIFS('Order Details'!$Q:$Q,'Order Details'!$E:$E,"Yes",'Order Details'!$I:$I,'Item Summary'!$B18,'Order Details'!$F:$F,'Item Summary'!L$4,'Order Details'!$C:$C,"PO Received")+SUMIFS('Order Details'!$Q:$Q,'Order Details'!$E:$E,"Yes",'Order Details'!$I:$I,'Item Summary'!$B18,'Order Details'!$F:$F,'Item Summary'!L$4,'Order Details'!$C:$C,"Proforma Invoice Sent")+SUMIFS('Order Details'!$Q:$Q,'Order Details'!$E:$E,"Yes",'Order Details'!$I:$I,'Item Summary'!$B18,'Order Details'!$F:$F,'Item Summary'!L$4,'Order Details'!$C:$C,"Downpayment Received")+SUMIFS('Order Details'!$Q:$Q,'Order Details'!$E:$E,"Yes",'Order Details'!$I:$I,'Item Summary'!$B18,'Order Details'!$F:$F,'Item Summary'!L$4,'Order Details'!$C:$C,"In Production")</f>
        <v>0</v>
      </c>
      <c r="M18" s="276">
        <f>SUMIFS('Order Details'!$Q:$Q,'Order Details'!$E:$E,"Yes",'Order Details'!$I:$I,'Item Summary'!$B18,'Order Details'!$F:$F,'Item Summary'!M$4,'Order Details'!$C:$C,"PO Received")+SUMIFS('Order Details'!$Q:$Q,'Order Details'!$E:$E,"Yes",'Order Details'!$I:$I,'Item Summary'!$B18,'Order Details'!$F:$F,'Item Summary'!M$4,'Order Details'!$C:$C,"Proforma Invoice Sent")+SUMIFS('Order Details'!$Q:$Q,'Order Details'!$E:$E,"Yes",'Order Details'!$I:$I,'Item Summary'!$B18,'Order Details'!$F:$F,'Item Summary'!M$4,'Order Details'!$C:$C,"Downpayment Received")+SUMIFS('Order Details'!$Q:$Q,'Order Details'!$E:$E,"Yes",'Order Details'!$I:$I,'Item Summary'!$B18,'Order Details'!$F:$F,'Item Summary'!M$4,'Order Details'!$C:$C,"In Production")</f>
        <v>0</v>
      </c>
      <c r="N18" s="279">
        <f t="shared" si="0"/>
        <v>0</v>
      </c>
      <c r="Q18" s="278">
        <v>694439</v>
      </c>
      <c r="R18" s="274" t="str">
        <f>VLOOKUP($Q18,'Pricing Table - eff 27-Jan-2026'!$A:$L,9,FALSE)&amp;""" "&amp;VLOOKUP($Q18,'Pricing Table - eff 27-Jan-2026'!$A:$L,12,FALSE)</f>
        <v>90" SILVER FROST</v>
      </c>
      <c r="S18" s="275">
        <f>SUMIFS('Order Details'!$Q:$Q,'Order Details'!$E:$E,"Yes",'Order Details'!$I:$I,$Q18,'Order Details'!$F:$F,'Item Summary'!S$4)-D18</f>
        <v>0</v>
      </c>
      <c r="T18" s="275">
        <f>SUMIFS('Order Details'!$Q:$Q,'Order Details'!$E:$E,"Yes",'Order Details'!$I:$I,$Q18,'Order Details'!$F:$F,'Item Summary'!T$4)-E18</f>
        <v>0</v>
      </c>
      <c r="U18" s="275">
        <f>SUMIFS('Order Details'!$Q:$Q,'Order Details'!$E:$E,"Yes",'Order Details'!$I:$I,$Q18,'Order Details'!$F:$F,'Item Summary'!U$4)-F18</f>
        <v>0</v>
      </c>
      <c r="V18" s="275">
        <f>SUMIFS('Order Details'!$Q:$Q,'Order Details'!$E:$E,"Yes",'Order Details'!$I:$I,$Q18,'Order Details'!$F:$F,'Item Summary'!V$4)-G18</f>
        <v>1000</v>
      </c>
      <c r="W18" s="275">
        <f>SUMIFS('Order Details'!$Q:$Q,'Order Details'!$E:$E,"Yes",'Order Details'!$I:$I,$Q18,'Order Details'!$F:$F,'Item Summary'!W$4)-H18</f>
        <v>0</v>
      </c>
      <c r="X18" s="275">
        <f>SUMIFS('Order Details'!$Q:$Q,'Order Details'!$E:$E,"Yes",'Order Details'!$I:$I,$Q18,'Order Details'!$F:$F,'Item Summary'!X$4)-I18</f>
        <v>0</v>
      </c>
      <c r="Y18" s="275">
        <f>SUMIFS('Order Details'!$Q:$Q,'Order Details'!$E:$E,"Yes",'Order Details'!$I:$I,$Q18,'Order Details'!$F:$F,'Item Summary'!Y$4)-J18</f>
        <v>0</v>
      </c>
      <c r="Z18" s="275">
        <f>SUMIFS('Order Details'!$Q:$Q,'Order Details'!$E:$E,"Yes",'Order Details'!$I:$I,$Q18,'Order Details'!$F:$F,'Item Summary'!Z$4)-K18</f>
        <v>0</v>
      </c>
      <c r="AA18" s="291">
        <f>SUMIFS('Order Details'!$Q:$Q,'Order Details'!$E:$E,"Yes",'Order Details'!$I:$I,$Q18,'Order Details'!$F:$F,'Item Summary'!AA$4)-L18</f>
        <v>0</v>
      </c>
      <c r="AB18" s="276">
        <f>SUMIFS('Order Details'!$Q:$Q,'Order Details'!$E:$E,"Yes",'Order Details'!$I:$I,$Q18,'Order Details'!$F:$F,'Item Summary'!AB$4)-M18</f>
        <v>0</v>
      </c>
      <c r="AC18" s="279">
        <f t="shared" si="1"/>
        <v>1000</v>
      </c>
    </row>
    <row r="19" spans="2:29" x14ac:dyDescent="0.3">
      <c r="B19" s="278">
        <v>709525</v>
      </c>
      <c r="C19" s="274" t="str">
        <f>VLOOKUP($B19,'Pricing Table - eff 27-Jan-2026'!$A:$L,9,FALSE)&amp;""" "&amp;VLOOKUP($B19,'Pricing Table - eff 27-Jan-2026'!$A:$L,12,FALSE)</f>
        <v>90.5" SILVER FROST</v>
      </c>
      <c r="D19" s="275">
        <f>SUMIFS('Order Details'!$Q:$Q,'Order Details'!$E:$E,"Yes",'Order Details'!$I:$I,'Item Summary'!$B19,'Order Details'!$F:$F,'Item Summary'!D$4,'Order Details'!$C:$C,"PO Received")+SUMIFS('Order Details'!$Q:$Q,'Order Details'!$E:$E,"Yes",'Order Details'!$I:$I,'Item Summary'!$B19,'Order Details'!$F:$F,'Item Summary'!D$4,'Order Details'!$C:$C,"Proforma Invoice Sent")+SUMIFS('Order Details'!$Q:$Q,'Order Details'!$E:$E,"Yes",'Order Details'!$I:$I,'Item Summary'!$B19,'Order Details'!$F:$F,'Item Summary'!D$4,'Order Details'!$C:$C,"Downpayment Received")+SUMIFS('Order Details'!$Q:$Q,'Order Details'!$E:$E,"Yes",'Order Details'!$I:$I,'Item Summary'!$B19,'Order Details'!$F:$F,'Item Summary'!D$4,'Order Details'!$C:$C,"In Production")</f>
        <v>0</v>
      </c>
      <c r="E19" s="275">
        <f>SUMIFS('Order Details'!$Q:$Q,'Order Details'!$E:$E,"Yes",'Order Details'!$I:$I,'Item Summary'!$B19,'Order Details'!$F:$F,'Item Summary'!E$4,'Order Details'!$C:$C,"PO Received")+SUMIFS('Order Details'!$Q:$Q,'Order Details'!$E:$E,"Yes",'Order Details'!$I:$I,'Item Summary'!$B19,'Order Details'!$F:$F,'Item Summary'!E$4,'Order Details'!$C:$C,"Proforma Invoice Sent")+SUMIFS('Order Details'!$Q:$Q,'Order Details'!$E:$E,"Yes",'Order Details'!$I:$I,'Item Summary'!$B19,'Order Details'!$F:$F,'Item Summary'!E$4,'Order Details'!$C:$C,"Downpayment Received")+SUMIFS('Order Details'!$Q:$Q,'Order Details'!$E:$E,"Yes",'Order Details'!$I:$I,'Item Summary'!$B19,'Order Details'!$F:$F,'Item Summary'!E$4,'Order Details'!$C:$C,"In Production")</f>
        <v>600</v>
      </c>
      <c r="F19" s="275">
        <f>SUMIFS('Order Details'!$Q:$Q,'Order Details'!$E:$E,"Yes",'Order Details'!$I:$I,'Item Summary'!$B19,'Order Details'!$F:$F,'Item Summary'!F$4,'Order Details'!$C:$C,"PO Received")+SUMIFS('Order Details'!$Q:$Q,'Order Details'!$E:$E,"Yes",'Order Details'!$I:$I,'Item Summary'!$B19,'Order Details'!$F:$F,'Item Summary'!F$4,'Order Details'!$C:$C,"Proforma Invoice Sent")+SUMIFS('Order Details'!$Q:$Q,'Order Details'!$E:$E,"Yes",'Order Details'!$I:$I,'Item Summary'!$B19,'Order Details'!$F:$F,'Item Summary'!F$4,'Order Details'!$C:$C,"Downpayment Received")+SUMIFS('Order Details'!$Q:$Q,'Order Details'!$E:$E,"Yes",'Order Details'!$I:$I,'Item Summary'!$B19,'Order Details'!$F:$F,'Item Summary'!F$4,'Order Details'!$C:$C,"In Production")</f>
        <v>600</v>
      </c>
      <c r="G19" s="275">
        <f>SUMIFS('Order Details'!$Q:$Q,'Order Details'!$E:$E,"Yes",'Order Details'!$I:$I,'Item Summary'!$B19,'Order Details'!$F:$F,'Item Summary'!G$4,'Order Details'!$C:$C,"PO Received")+SUMIFS('Order Details'!$Q:$Q,'Order Details'!$E:$E,"Yes",'Order Details'!$I:$I,'Item Summary'!$B19,'Order Details'!$F:$F,'Item Summary'!G$4,'Order Details'!$C:$C,"Proforma Invoice Sent")+SUMIFS('Order Details'!$Q:$Q,'Order Details'!$E:$E,"Yes",'Order Details'!$I:$I,'Item Summary'!$B19,'Order Details'!$F:$F,'Item Summary'!G$4,'Order Details'!$C:$C,"Downpayment Received")+SUMIFS('Order Details'!$Q:$Q,'Order Details'!$E:$E,"Yes",'Order Details'!$I:$I,'Item Summary'!$B19,'Order Details'!$F:$F,'Item Summary'!G$4,'Order Details'!$C:$C,"In Production")</f>
        <v>1600</v>
      </c>
      <c r="H19" s="275">
        <f>SUMIFS('Order Details'!$Q:$Q,'Order Details'!$E:$E,"Yes",'Order Details'!$I:$I,'Item Summary'!$B19,'Order Details'!$F:$F,'Item Summary'!H$4,'Order Details'!$C:$C,"PO Received")+SUMIFS('Order Details'!$Q:$Q,'Order Details'!$E:$E,"Yes",'Order Details'!$I:$I,'Item Summary'!$B19,'Order Details'!$F:$F,'Item Summary'!H$4,'Order Details'!$C:$C,"Proforma Invoice Sent")+SUMIFS('Order Details'!$Q:$Q,'Order Details'!$E:$E,"Yes",'Order Details'!$I:$I,'Item Summary'!$B19,'Order Details'!$F:$F,'Item Summary'!H$4,'Order Details'!$C:$C,"Downpayment Received")+SUMIFS('Order Details'!$Q:$Q,'Order Details'!$E:$E,"Yes",'Order Details'!$I:$I,'Item Summary'!$B19,'Order Details'!$F:$F,'Item Summary'!H$4,'Order Details'!$C:$C,"In Production")</f>
        <v>0</v>
      </c>
      <c r="I19" s="275">
        <f>SUMIFS('Order Details'!$Q:$Q,'Order Details'!$E:$E,"Yes",'Order Details'!$I:$I,'Item Summary'!$B19,'Order Details'!$F:$F,'Item Summary'!I$4,'Order Details'!$C:$C,"PO Received")+SUMIFS('Order Details'!$Q:$Q,'Order Details'!$E:$E,"Yes",'Order Details'!$I:$I,'Item Summary'!$B19,'Order Details'!$F:$F,'Item Summary'!I$4,'Order Details'!$C:$C,"Proforma Invoice Sent")+SUMIFS('Order Details'!$Q:$Q,'Order Details'!$E:$E,"Yes",'Order Details'!$I:$I,'Item Summary'!$B19,'Order Details'!$F:$F,'Item Summary'!I$4,'Order Details'!$C:$C,"Downpayment Received")+SUMIFS('Order Details'!$Q:$Q,'Order Details'!$E:$E,"Yes",'Order Details'!$I:$I,'Item Summary'!$B19,'Order Details'!$F:$F,'Item Summary'!I$4,'Order Details'!$C:$C,"In Production")</f>
        <v>600</v>
      </c>
      <c r="J19" s="275">
        <f>SUMIFS('Order Details'!$Q:$Q,'Order Details'!$E:$E,"Yes",'Order Details'!$I:$I,'Item Summary'!$B19,'Order Details'!$F:$F,'Item Summary'!J$4,'Order Details'!$C:$C,"PO Received")+SUMIFS('Order Details'!$Q:$Q,'Order Details'!$E:$E,"Yes",'Order Details'!$I:$I,'Item Summary'!$B19,'Order Details'!$F:$F,'Item Summary'!J$4,'Order Details'!$C:$C,"Proforma Invoice Sent")+SUMIFS('Order Details'!$Q:$Q,'Order Details'!$E:$E,"Yes",'Order Details'!$I:$I,'Item Summary'!$B19,'Order Details'!$F:$F,'Item Summary'!J$4,'Order Details'!$C:$C,"Downpayment Received")+SUMIFS('Order Details'!$Q:$Q,'Order Details'!$E:$E,"Yes",'Order Details'!$I:$I,'Item Summary'!$B19,'Order Details'!$F:$F,'Item Summary'!J$4,'Order Details'!$C:$C,"In Production")</f>
        <v>0</v>
      </c>
      <c r="K19" s="275">
        <f>SUMIFS('Order Details'!$Q:$Q,'Order Details'!$E:$E,"Yes",'Order Details'!$I:$I,'Item Summary'!$B19,'Order Details'!$F:$F,'Item Summary'!K$4,'Order Details'!$C:$C,"PO Received")+SUMIFS('Order Details'!$Q:$Q,'Order Details'!$E:$E,"Yes",'Order Details'!$I:$I,'Item Summary'!$B19,'Order Details'!$F:$F,'Item Summary'!K$4,'Order Details'!$C:$C,"Proforma Invoice Sent")+SUMIFS('Order Details'!$Q:$Q,'Order Details'!$E:$E,"Yes",'Order Details'!$I:$I,'Item Summary'!$B19,'Order Details'!$F:$F,'Item Summary'!K$4,'Order Details'!$C:$C,"Downpayment Received")+SUMIFS('Order Details'!$Q:$Q,'Order Details'!$E:$E,"Yes",'Order Details'!$I:$I,'Item Summary'!$B19,'Order Details'!$F:$F,'Item Summary'!K$4,'Order Details'!$C:$C,"In Production")</f>
        <v>0</v>
      </c>
      <c r="L19" s="291">
        <f>SUMIFS('Order Details'!$Q:$Q,'Order Details'!$E:$E,"Yes",'Order Details'!$I:$I,'Item Summary'!$B19,'Order Details'!$F:$F,'Item Summary'!L$4,'Order Details'!$C:$C,"PO Received")+SUMIFS('Order Details'!$Q:$Q,'Order Details'!$E:$E,"Yes",'Order Details'!$I:$I,'Item Summary'!$B19,'Order Details'!$F:$F,'Item Summary'!L$4,'Order Details'!$C:$C,"Proforma Invoice Sent")+SUMIFS('Order Details'!$Q:$Q,'Order Details'!$E:$E,"Yes",'Order Details'!$I:$I,'Item Summary'!$B19,'Order Details'!$F:$F,'Item Summary'!L$4,'Order Details'!$C:$C,"Downpayment Received")+SUMIFS('Order Details'!$Q:$Q,'Order Details'!$E:$E,"Yes",'Order Details'!$I:$I,'Item Summary'!$B19,'Order Details'!$F:$F,'Item Summary'!L$4,'Order Details'!$C:$C,"In Production")</f>
        <v>800</v>
      </c>
      <c r="M19" s="276">
        <f>SUMIFS('Order Details'!$Q:$Q,'Order Details'!$E:$E,"Yes",'Order Details'!$I:$I,'Item Summary'!$B19,'Order Details'!$F:$F,'Item Summary'!M$4,'Order Details'!$C:$C,"PO Received")+SUMIFS('Order Details'!$Q:$Q,'Order Details'!$E:$E,"Yes",'Order Details'!$I:$I,'Item Summary'!$B19,'Order Details'!$F:$F,'Item Summary'!M$4,'Order Details'!$C:$C,"Proforma Invoice Sent")+SUMIFS('Order Details'!$Q:$Q,'Order Details'!$E:$E,"Yes",'Order Details'!$I:$I,'Item Summary'!$B19,'Order Details'!$F:$F,'Item Summary'!M$4,'Order Details'!$C:$C,"Downpayment Received")+SUMIFS('Order Details'!$Q:$Q,'Order Details'!$E:$E,"Yes",'Order Details'!$I:$I,'Item Summary'!$B19,'Order Details'!$F:$F,'Item Summary'!M$4,'Order Details'!$C:$C,"In Production")</f>
        <v>0</v>
      </c>
      <c r="N19" s="279">
        <f t="shared" si="0"/>
        <v>4200</v>
      </c>
      <c r="Q19" s="278">
        <v>709525</v>
      </c>
      <c r="R19" s="274" t="str">
        <f>VLOOKUP($Q19,'Pricing Table - eff 27-Jan-2026'!$A:$L,9,FALSE)&amp;""" "&amp;VLOOKUP($Q19,'Pricing Table - eff 27-Jan-2026'!$A:$L,12,FALSE)</f>
        <v>90.5" SILVER FROST</v>
      </c>
      <c r="S19" s="275">
        <f>SUMIFS('Order Details'!$Q:$Q,'Order Details'!$E:$E,"Yes",'Order Details'!$I:$I,$Q19,'Order Details'!$F:$F,'Item Summary'!S$4)-D19</f>
        <v>0</v>
      </c>
      <c r="T19" s="275">
        <f>SUMIFS('Order Details'!$Q:$Q,'Order Details'!$E:$E,"Yes",'Order Details'!$I:$I,$Q19,'Order Details'!$F:$F,'Item Summary'!T$4)-E19</f>
        <v>1200</v>
      </c>
      <c r="U19" s="275">
        <f>SUMIFS('Order Details'!$Q:$Q,'Order Details'!$E:$E,"Yes",'Order Details'!$I:$I,$Q19,'Order Details'!$F:$F,'Item Summary'!U$4)-F19</f>
        <v>800</v>
      </c>
      <c r="V19" s="275">
        <f>SUMIFS('Order Details'!$Q:$Q,'Order Details'!$E:$E,"Yes",'Order Details'!$I:$I,$Q19,'Order Details'!$F:$F,'Item Summary'!V$4)-G19</f>
        <v>1400</v>
      </c>
      <c r="W19" s="275">
        <f>SUMIFS('Order Details'!$Q:$Q,'Order Details'!$E:$E,"Yes",'Order Details'!$I:$I,$Q19,'Order Details'!$F:$F,'Item Summary'!W$4)-H19</f>
        <v>1400</v>
      </c>
      <c r="X19" s="275">
        <f>SUMIFS('Order Details'!$Q:$Q,'Order Details'!$E:$E,"Yes",'Order Details'!$I:$I,$Q19,'Order Details'!$F:$F,'Item Summary'!X$4)-I19</f>
        <v>0</v>
      </c>
      <c r="Y19" s="275">
        <f>SUMIFS('Order Details'!$Q:$Q,'Order Details'!$E:$E,"Yes",'Order Details'!$I:$I,$Q19,'Order Details'!$F:$F,'Item Summary'!Y$4)-J19</f>
        <v>0</v>
      </c>
      <c r="Z19" s="275">
        <f>SUMIFS('Order Details'!$Q:$Q,'Order Details'!$E:$E,"Yes",'Order Details'!$I:$I,$Q19,'Order Details'!$F:$F,'Item Summary'!Z$4)-K19</f>
        <v>0</v>
      </c>
      <c r="AA19" s="291">
        <f>SUMIFS('Order Details'!$Q:$Q,'Order Details'!$E:$E,"Yes",'Order Details'!$I:$I,$Q19,'Order Details'!$F:$F,'Item Summary'!AA$4)-L19</f>
        <v>0</v>
      </c>
      <c r="AB19" s="276">
        <f>SUMIFS('Order Details'!$Q:$Q,'Order Details'!$E:$E,"Yes",'Order Details'!$I:$I,$Q19,'Order Details'!$F:$F,'Item Summary'!AB$4)-M19</f>
        <v>0</v>
      </c>
      <c r="AC19" s="279">
        <f t="shared" si="1"/>
        <v>4800</v>
      </c>
    </row>
    <row r="20" spans="2:29" x14ac:dyDescent="0.3">
      <c r="B20" s="278">
        <v>694440</v>
      </c>
      <c r="C20" s="274" t="str">
        <f>VLOOKUP($B20,'Pricing Table - eff 27-Jan-2026'!$A:$L,9,FALSE)&amp;""" "&amp;VLOOKUP($B20,'Pricing Table - eff 27-Jan-2026'!$A:$L,12,FALSE)</f>
        <v>96" SILVER FROST</v>
      </c>
      <c r="D20" s="275">
        <f>SUMIFS('Order Details'!$Q:$Q,'Order Details'!$E:$E,"Yes",'Order Details'!$I:$I,'Item Summary'!$B20,'Order Details'!$F:$F,'Item Summary'!D$4,'Order Details'!$C:$C,"PO Received")+SUMIFS('Order Details'!$Q:$Q,'Order Details'!$E:$E,"Yes",'Order Details'!$I:$I,'Item Summary'!$B20,'Order Details'!$F:$F,'Item Summary'!D$4,'Order Details'!$C:$C,"Proforma Invoice Sent")+SUMIFS('Order Details'!$Q:$Q,'Order Details'!$E:$E,"Yes",'Order Details'!$I:$I,'Item Summary'!$B20,'Order Details'!$F:$F,'Item Summary'!D$4,'Order Details'!$C:$C,"Downpayment Received")+SUMIFS('Order Details'!$Q:$Q,'Order Details'!$E:$E,"Yes",'Order Details'!$I:$I,'Item Summary'!$B20,'Order Details'!$F:$F,'Item Summary'!D$4,'Order Details'!$C:$C,"In Production")</f>
        <v>600</v>
      </c>
      <c r="E20" s="275">
        <f>SUMIFS('Order Details'!$Q:$Q,'Order Details'!$E:$E,"Yes",'Order Details'!$I:$I,'Item Summary'!$B20,'Order Details'!$F:$F,'Item Summary'!E$4,'Order Details'!$C:$C,"PO Received")+SUMIFS('Order Details'!$Q:$Q,'Order Details'!$E:$E,"Yes",'Order Details'!$I:$I,'Item Summary'!$B20,'Order Details'!$F:$F,'Item Summary'!E$4,'Order Details'!$C:$C,"Proforma Invoice Sent")+SUMIFS('Order Details'!$Q:$Q,'Order Details'!$E:$E,"Yes",'Order Details'!$I:$I,'Item Summary'!$B20,'Order Details'!$F:$F,'Item Summary'!E$4,'Order Details'!$C:$C,"Downpayment Received")+SUMIFS('Order Details'!$Q:$Q,'Order Details'!$E:$E,"Yes",'Order Details'!$I:$I,'Item Summary'!$B20,'Order Details'!$F:$F,'Item Summary'!E$4,'Order Details'!$C:$C,"In Production")</f>
        <v>1000</v>
      </c>
      <c r="F20" s="275">
        <f>SUMIFS('Order Details'!$Q:$Q,'Order Details'!$E:$E,"Yes",'Order Details'!$I:$I,'Item Summary'!$B20,'Order Details'!$F:$F,'Item Summary'!F$4,'Order Details'!$C:$C,"PO Received")+SUMIFS('Order Details'!$Q:$Q,'Order Details'!$E:$E,"Yes",'Order Details'!$I:$I,'Item Summary'!$B20,'Order Details'!$F:$F,'Item Summary'!F$4,'Order Details'!$C:$C,"Proforma Invoice Sent")+SUMIFS('Order Details'!$Q:$Q,'Order Details'!$E:$E,"Yes",'Order Details'!$I:$I,'Item Summary'!$B20,'Order Details'!$F:$F,'Item Summary'!F$4,'Order Details'!$C:$C,"Downpayment Received")+SUMIFS('Order Details'!$Q:$Q,'Order Details'!$E:$E,"Yes",'Order Details'!$I:$I,'Item Summary'!$B20,'Order Details'!$F:$F,'Item Summary'!F$4,'Order Details'!$C:$C,"In Production")</f>
        <v>1600</v>
      </c>
      <c r="G20" s="275">
        <f>SUMIFS('Order Details'!$Q:$Q,'Order Details'!$E:$E,"Yes",'Order Details'!$I:$I,'Item Summary'!$B20,'Order Details'!$F:$F,'Item Summary'!G$4,'Order Details'!$C:$C,"PO Received")+SUMIFS('Order Details'!$Q:$Q,'Order Details'!$E:$E,"Yes",'Order Details'!$I:$I,'Item Summary'!$B20,'Order Details'!$F:$F,'Item Summary'!G$4,'Order Details'!$C:$C,"Proforma Invoice Sent")+SUMIFS('Order Details'!$Q:$Q,'Order Details'!$E:$E,"Yes",'Order Details'!$I:$I,'Item Summary'!$B20,'Order Details'!$F:$F,'Item Summary'!G$4,'Order Details'!$C:$C,"Downpayment Received")+SUMIFS('Order Details'!$Q:$Q,'Order Details'!$E:$E,"Yes",'Order Details'!$I:$I,'Item Summary'!$B20,'Order Details'!$F:$F,'Item Summary'!G$4,'Order Details'!$C:$C,"In Production")</f>
        <v>3000</v>
      </c>
      <c r="H20" s="275">
        <f>SUMIFS('Order Details'!$Q:$Q,'Order Details'!$E:$E,"Yes",'Order Details'!$I:$I,'Item Summary'!$B20,'Order Details'!$F:$F,'Item Summary'!H$4,'Order Details'!$C:$C,"PO Received")+SUMIFS('Order Details'!$Q:$Q,'Order Details'!$E:$E,"Yes",'Order Details'!$I:$I,'Item Summary'!$B20,'Order Details'!$F:$F,'Item Summary'!H$4,'Order Details'!$C:$C,"Proforma Invoice Sent")+SUMIFS('Order Details'!$Q:$Q,'Order Details'!$E:$E,"Yes",'Order Details'!$I:$I,'Item Summary'!$B20,'Order Details'!$F:$F,'Item Summary'!H$4,'Order Details'!$C:$C,"Downpayment Received")+SUMIFS('Order Details'!$Q:$Q,'Order Details'!$E:$E,"Yes",'Order Details'!$I:$I,'Item Summary'!$B20,'Order Details'!$F:$F,'Item Summary'!H$4,'Order Details'!$C:$C,"In Production")</f>
        <v>0</v>
      </c>
      <c r="I20" s="275">
        <f>SUMIFS('Order Details'!$Q:$Q,'Order Details'!$E:$E,"Yes",'Order Details'!$I:$I,'Item Summary'!$B20,'Order Details'!$F:$F,'Item Summary'!I$4,'Order Details'!$C:$C,"PO Received")+SUMIFS('Order Details'!$Q:$Q,'Order Details'!$E:$E,"Yes",'Order Details'!$I:$I,'Item Summary'!$B20,'Order Details'!$F:$F,'Item Summary'!I$4,'Order Details'!$C:$C,"Proforma Invoice Sent")+SUMIFS('Order Details'!$Q:$Q,'Order Details'!$E:$E,"Yes",'Order Details'!$I:$I,'Item Summary'!$B20,'Order Details'!$F:$F,'Item Summary'!I$4,'Order Details'!$C:$C,"Downpayment Received")+SUMIFS('Order Details'!$Q:$Q,'Order Details'!$E:$E,"Yes",'Order Details'!$I:$I,'Item Summary'!$B20,'Order Details'!$F:$F,'Item Summary'!I$4,'Order Details'!$C:$C,"In Production")</f>
        <v>2000</v>
      </c>
      <c r="J20" s="275">
        <f>SUMIFS('Order Details'!$Q:$Q,'Order Details'!$E:$E,"Yes",'Order Details'!$I:$I,'Item Summary'!$B20,'Order Details'!$F:$F,'Item Summary'!J$4,'Order Details'!$C:$C,"PO Received")+SUMIFS('Order Details'!$Q:$Q,'Order Details'!$E:$E,"Yes",'Order Details'!$I:$I,'Item Summary'!$B20,'Order Details'!$F:$F,'Item Summary'!J$4,'Order Details'!$C:$C,"Proforma Invoice Sent")+SUMIFS('Order Details'!$Q:$Q,'Order Details'!$E:$E,"Yes",'Order Details'!$I:$I,'Item Summary'!$B20,'Order Details'!$F:$F,'Item Summary'!J$4,'Order Details'!$C:$C,"Downpayment Received")+SUMIFS('Order Details'!$Q:$Q,'Order Details'!$E:$E,"Yes",'Order Details'!$I:$I,'Item Summary'!$B20,'Order Details'!$F:$F,'Item Summary'!J$4,'Order Details'!$C:$C,"In Production")</f>
        <v>2000</v>
      </c>
      <c r="K20" s="275">
        <f>SUMIFS('Order Details'!$Q:$Q,'Order Details'!$E:$E,"Yes",'Order Details'!$I:$I,'Item Summary'!$B20,'Order Details'!$F:$F,'Item Summary'!K$4,'Order Details'!$C:$C,"PO Received")+SUMIFS('Order Details'!$Q:$Q,'Order Details'!$E:$E,"Yes",'Order Details'!$I:$I,'Item Summary'!$B20,'Order Details'!$F:$F,'Item Summary'!K$4,'Order Details'!$C:$C,"Proforma Invoice Sent")+SUMIFS('Order Details'!$Q:$Q,'Order Details'!$E:$E,"Yes",'Order Details'!$I:$I,'Item Summary'!$B20,'Order Details'!$F:$F,'Item Summary'!K$4,'Order Details'!$C:$C,"Downpayment Received")+SUMIFS('Order Details'!$Q:$Q,'Order Details'!$E:$E,"Yes",'Order Details'!$I:$I,'Item Summary'!$B20,'Order Details'!$F:$F,'Item Summary'!K$4,'Order Details'!$C:$C,"In Production")</f>
        <v>0</v>
      </c>
      <c r="L20" s="291">
        <f>SUMIFS('Order Details'!$Q:$Q,'Order Details'!$E:$E,"Yes",'Order Details'!$I:$I,'Item Summary'!$B20,'Order Details'!$F:$F,'Item Summary'!L$4,'Order Details'!$C:$C,"PO Received")+SUMIFS('Order Details'!$Q:$Q,'Order Details'!$E:$E,"Yes",'Order Details'!$I:$I,'Item Summary'!$B20,'Order Details'!$F:$F,'Item Summary'!L$4,'Order Details'!$C:$C,"Proforma Invoice Sent")+SUMIFS('Order Details'!$Q:$Q,'Order Details'!$E:$E,"Yes",'Order Details'!$I:$I,'Item Summary'!$B20,'Order Details'!$F:$F,'Item Summary'!L$4,'Order Details'!$C:$C,"Downpayment Received")+SUMIFS('Order Details'!$Q:$Q,'Order Details'!$E:$E,"Yes",'Order Details'!$I:$I,'Item Summary'!$B20,'Order Details'!$F:$F,'Item Summary'!L$4,'Order Details'!$C:$C,"In Production")</f>
        <v>1400</v>
      </c>
      <c r="M20" s="276">
        <f>SUMIFS('Order Details'!$Q:$Q,'Order Details'!$E:$E,"Yes",'Order Details'!$I:$I,'Item Summary'!$B20,'Order Details'!$F:$F,'Item Summary'!M$4,'Order Details'!$C:$C,"PO Received")+SUMIFS('Order Details'!$Q:$Q,'Order Details'!$E:$E,"Yes",'Order Details'!$I:$I,'Item Summary'!$B20,'Order Details'!$F:$F,'Item Summary'!M$4,'Order Details'!$C:$C,"Proforma Invoice Sent")+SUMIFS('Order Details'!$Q:$Q,'Order Details'!$E:$E,"Yes",'Order Details'!$I:$I,'Item Summary'!$B20,'Order Details'!$F:$F,'Item Summary'!M$4,'Order Details'!$C:$C,"Downpayment Received")+SUMIFS('Order Details'!$Q:$Q,'Order Details'!$E:$E,"Yes",'Order Details'!$I:$I,'Item Summary'!$B20,'Order Details'!$F:$F,'Item Summary'!M$4,'Order Details'!$C:$C,"In Production")</f>
        <v>0</v>
      </c>
      <c r="N20" s="279">
        <f t="shared" si="0"/>
        <v>11600</v>
      </c>
      <c r="Q20" s="278">
        <v>694440</v>
      </c>
      <c r="R20" s="274" t="str">
        <f>VLOOKUP($Q20,'Pricing Table - eff 27-Jan-2026'!$A:$L,9,FALSE)&amp;""" "&amp;VLOOKUP($Q20,'Pricing Table - eff 27-Jan-2026'!$A:$L,12,FALSE)</f>
        <v>96" SILVER FROST</v>
      </c>
      <c r="S20" s="275">
        <f>SUMIFS('Order Details'!$Q:$Q,'Order Details'!$E:$E,"Yes",'Order Details'!$I:$I,$Q20,'Order Details'!$F:$F,'Item Summary'!S$4)-D20</f>
        <v>200</v>
      </c>
      <c r="T20" s="275">
        <f>SUMIFS('Order Details'!$Q:$Q,'Order Details'!$E:$E,"Yes",'Order Details'!$I:$I,$Q20,'Order Details'!$F:$F,'Item Summary'!T$4)-E20</f>
        <v>2400</v>
      </c>
      <c r="U20" s="275">
        <f>SUMIFS('Order Details'!$Q:$Q,'Order Details'!$E:$E,"Yes",'Order Details'!$I:$I,$Q20,'Order Details'!$F:$F,'Item Summary'!U$4)-F20</f>
        <v>1000</v>
      </c>
      <c r="V20" s="275">
        <f>SUMIFS('Order Details'!$Q:$Q,'Order Details'!$E:$E,"Yes",'Order Details'!$I:$I,$Q20,'Order Details'!$F:$F,'Item Summary'!V$4)-G20</f>
        <v>2200</v>
      </c>
      <c r="W20" s="275">
        <f>SUMIFS('Order Details'!$Q:$Q,'Order Details'!$E:$E,"Yes",'Order Details'!$I:$I,$Q20,'Order Details'!$F:$F,'Item Summary'!W$4)-H20</f>
        <v>5200</v>
      </c>
      <c r="X20" s="275">
        <f>SUMIFS('Order Details'!$Q:$Q,'Order Details'!$E:$E,"Yes",'Order Details'!$I:$I,$Q20,'Order Details'!$F:$F,'Item Summary'!X$4)-I20</f>
        <v>1200</v>
      </c>
      <c r="Y20" s="275">
        <f>SUMIFS('Order Details'!$Q:$Q,'Order Details'!$E:$E,"Yes",'Order Details'!$I:$I,$Q20,'Order Details'!$F:$F,'Item Summary'!Y$4)-J20</f>
        <v>400</v>
      </c>
      <c r="Z20" s="275">
        <f>SUMIFS('Order Details'!$Q:$Q,'Order Details'!$E:$E,"Yes",'Order Details'!$I:$I,$Q20,'Order Details'!$F:$F,'Item Summary'!Z$4)-K20</f>
        <v>5600</v>
      </c>
      <c r="AA20" s="291">
        <f>SUMIFS('Order Details'!$Q:$Q,'Order Details'!$E:$E,"Yes",'Order Details'!$I:$I,$Q20,'Order Details'!$F:$F,'Item Summary'!AA$4)-L20</f>
        <v>0</v>
      </c>
      <c r="AB20" s="276">
        <f>SUMIFS('Order Details'!$Q:$Q,'Order Details'!$E:$E,"Yes",'Order Details'!$I:$I,$Q20,'Order Details'!$F:$F,'Item Summary'!AB$4)-M20</f>
        <v>5600</v>
      </c>
      <c r="AC20" s="279">
        <f t="shared" si="1"/>
        <v>23800</v>
      </c>
    </row>
    <row r="21" spans="2:29" x14ac:dyDescent="0.3">
      <c r="B21" s="278">
        <v>694441</v>
      </c>
      <c r="C21" s="274" t="str">
        <f>VLOOKUP($B21,'Pricing Table - eff 27-Jan-2026'!$A:$L,9,FALSE)&amp;""" "&amp;VLOOKUP($B21,'Pricing Table - eff 27-Jan-2026'!$A:$L,12,FALSE)</f>
        <v>108" SILVER FROST</v>
      </c>
      <c r="D21" s="275">
        <f>SUMIFS('Order Details'!$Q:$Q,'Order Details'!$E:$E,"Yes",'Order Details'!$I:$I,'Item Summary'!$B21,'Order Details'!$F:$F,'Item Summary'!D$4,'Order Details'!$C:$C,"PO Received")+SUMIFS('Order Details'!$Q:$Q,'Order Details'!$E:$E,"Yes",'Order Details'!$I:$I,'Item Summary'!$B21,'Order Details'!$F:$F,'Item Summary'!D$4,'Order Details'!$C:$C,"Proforma Invoice Sent")+SUMIFS('Order Details'!$Q:$Q,'Order Details'!$E:$E,"Yes",'Order Details'!$I:$I,'Item Summary'!$B21,'Order Details'!$F:$F,'Item Summary'!D$4,'Order Details'!$C:$C,"Downpayment Received")+SUMIFS('Order Details'!$Q:$Q,'Order Details'!$E:$E,"Yes",'Order Details'!$I:$I,'Item Summary'!$B21,'Order Details'!$F:$F,'Item Summary'!D$4,'Order Details'!$C:$C,"In Production")</f>
        <v>1000</v>
      </c>
      <c r="E21" s="275">
        <f>SUMIFS('Order Details'!$Q:$Q,'Order Details'!$E:$E,"Yes",'Order Details'!$I:$I,'Item Summary'!$B21,'Order Details'!$F:$F,'Item Summary'!E$4,'Order Details'!$C:$C,"PO Received")+SUMIFS('Order Details'!$Q:$Q,'Order Details'!$E:$E,"Yes",'Order Details'!$I:$I,'Item Summary'!$B21,'Order Details'!$F:$F,'Item Summary'!E$4,'Order Details'!$C:$C,"Proforma Invoice Sent")+SUMIFS('Order Details'!$Q:$Q,'Order Details'!$E:$E,"Yes",'Order Details'!$I:$I,'Item Summary'!$B21,'Order Details'!$F:$F,'Item Summary'!E$4,'Order Details'!$C:$C,"Downpayment Received")+SUMIFS('Order Details'!$Q:$Q,'Order Details'!$E:$E,"Yes",'Order Details'!$I:$I,'Item Summary'!$B21,'Order Details'!$F:$F,'Item Summary'!E$4,'Order Details'!$C:$C,"In Production")</f>
        <v>0</v>
      </c>
      <c r="F21" s="275">
        <f>SUMIFS('Order Details'!$Q:$Q,'Order Details'!$E:$E,"Yes",'Order Details'!$I:$I,'Item Summary'!$B21,'Order Details'!$F:$F,'Item Summary'!F$4,'Order Details'!$C:$C,"PO Received")+SUMIFS('Order Details'!$Q:$Q,'Order Details'!$E:$E,"Yes",'Order Details'!$I:$I,'Item Summary'!$B21,'Order Details'!$F:$F,'Item Summary'!F$4,'Order Details'!$C:$C,"Proforma Invoice Sent")+SUMIFS('Order Details'!$Q:$Q,'Order Details'!$E:$E,"Yes",'Order Details'!$I:$I,'Item Summary'!$B21,'Order Details'!$F:$F,'Item Summary'!F$4,'Order Details'!$C:$C,"Downpayment Received")+SUMIFS('Order Details'!$Q:$Q,'Order Details'!$E:$E,"Yes",'Order Details'!$I:$I,'Item Summary'!$B21,'Order Details'!$F:$F,'Item Summary'!F$4,'Order Details'!$C:$C,"In Production")</f>
        <v>2800</v>
      </c>
      <c r="G21" s="275">
        <f>SUMIFS('Order Details'!$Q:$Q,'Order Details'!$E:$E,"Yes",'Order Details'!$I:$I,'Item Summary'!$B21,'Order Details'!$F:$F,'Item Summary'!G$4,'Order Details'!$C:$C,"PO Received")+SUMIFS('Order Details'!$Q:$Q,'Order Details'!$E:$E,"Yes",'Order Details'!$I:$I,'Item Summary'!$B21,'Order Details'!$F:$F,'Item Summary'!G$4,'Order Details'!$C:$C,"Proforma Invoice Sent")+SUMIFS('Order Details'!$Q:$Q,'Order Details'!$E:$E,"Yes",'Order Details'!$I:$I,'Item Summary'!$B21,'Order Details'!$F:$F,'Item Summary'!G$4,'Order Details'!$C:$C,"Downpayment Received")+SUMIFS('Order Details'!$Q:$Q,'Order Details'!$E:$E,"Yes",'Order Details'!$I:$I,'Item Summary'!$B21,'Order Details'!$F:$F,'Item Summary'!G$4,'Order Details'!$C:$C,"In Production")</f>
        <v>1400</v>
      </c>
      <c r="H21" s="275">
        <f>SUMIFS('Order Details'!$Q:$Q,'Order Details'!$E:$E,"Yes",'Order Details'!$I:$I,'Item Summary'!$B21,'Order Details'!$F:$F,'Item Summary'!H$4,'Order Details'!$C:$C,"PO Received")+SUMIFS('Order Details'!$Q:$Q,'Order Details'!$E:$E,"Yes",'Order Details'!$I:$I,'Item Summary'!$B21,'Order Details'!$F:$F,'Item Summary'!H$4,'Order Details'!$C:$C,"Proforma Invoice Sent")+SUMIFS('Order Details'!$Q:$Q,'Order Details'!$E:$E,"Yes",'Order Details'!$I:$I,'Item Summary'!$B21,'Order Details'!$F:$F,'Item Summary'!H$4,'Order Details'!$C:$C,"Downpayment Received")+SUMIFS('Order Details'!$Q:$Q,'Order Details'!$E:$E,"Yes",'Order Details'!$I:$I,'Item Summary'!$B21,'Order Details'!$F:$F,'Item Summary'!H$4,'Order Details'!$C:$C,"In Production")</f>
        <v>400</v>
      </c>
      <c r="I21" s="275">
        <f>SUMIFS('Order Details'!$Q:$Q,'Order Details'!$E:$E,"Yes",'Order Details'!$I:$I,'Item Summary'!$B21,'Order Details'!$F:$F,'Item Summary'!I$4,'Order Details'!$C:$C,"PO Received")+SUMIFS('Order Details'!$Q:$Q,'Order Details'!$E:$E,"Yes",'Order Details'!$I:$I,'Item Summary'!$B21,'Order Details'!$F:$F,'Item Summary'!I$4,'Order Details'!$C:$C,"Proforma Invoice Sent")+SUMIFS('Order Details'!$Q:$Q,'Order Details'!$E:$E,"Yes",'Order Details'!$I:$I,'Item Summary'!$B21,'Order Details'!$F:$F,'Item Summary'!I$4,'Order Details'!$C:$C,"Downpayment Received")+SUMIFS('Order Details'!$Q:$Q,'Order Details'!$E:$E,"Yes",'Order Details'!$I:$I,'Item Summary'!$B21,'Order Details'!$F:$F,'Item Summary'!I$4,'Order Details'!$C:$C,"In Production")</f>
        <v>1200</v>
      </c>
      <c r="J21" s="275">
        <f>SUMIFS('Order Details'!$Q:$Q,'Order Details'!$E:$E,"Yes",'Order Details'!$I:$I,'Item Summary'!$B21,'Order Details'!$F:$F,'Item Summary'!J$4,'Order Details'!$C:$C,"PO Received")+SUMIFS('Order Details'!$Q:$Q,'Order Details'!$E:$E,"Yes",'Order Details'!$I:$I,'Item Summary'!$B21,'Order Details'!$F:$F,'Item Summary'!J$4,'Order Details'!$C:$C,"Proforma Invoice Sent")+SUMIFS('Order Details'!$Q:$Q,'Order Details'!$E:$E,"Yes",'Order Details'!$I:$I,'Item Summary'!$B21,'Order Details'!$F:$F,'Item Summary'!J$4,'Order Details'!$C:$C,"Downpayment Received")+SUMIFS('Order Details'!$Q:$Q,'Order Details'!$E:$E,"Yes",'Order Details'!$I:$I,'Item Summary'!$B21,'Order Details'!$F:$F,'Item Summary'!J$4,'Order Details'!$C:$C,"In Production")</f>
        <v>1200</v>
      </c>
      <c r="K21" s="275">
        <f>SUMIFS('Order Details'!$Q:$Q,'Order Details'!$E:$E,"Yes",'Order Details'!$I:$I,'Item Summary'!$B21,'Order Details'!$F:$F,'Item Summary'!K$4,'Order Details'!$C:$C,"PO Received")+SUMIFS('Order Details'!$Q:$Q,'Order Details'!$E:$E,"Yes",'Order Details'!$I:$I,'Item Summary'!$B21,'Order Details'!$F:$F,'Item Summary'!K$4,'Order Details'!$C:$C,"Proforma Invoice Sent")+SUMIFS('Order Details'!$Q:$Q,'Order Details'!$E:$E,"Yes",'Order Details'!$I:$I,'Item Summary'!$B21,'Order Details'!$F:$F,'Item Summary'!K$4,'Order Details'!$C:$C,"Downpayment Received")+SUMIFS('Order Details'!$Q:$Q,'Order Details'!$E:$E,"Yes",'Order Details'!$I:$I,'Item Summary'!$B21,'Order Details'!$F:$F,'Item Summary'!K$4,'Order Details'!$C:$C,"In Production")</f>
        <v>0</v>
      </c>
      <c r="L21" s="291">
        <f>SUMIFS('Order Details'!$Q:$Q,'Order Details'!$E:$E,"Yes",'Order Details'!$I:$I,'Item Summary'!$B21,'Order Details'!$F:$F,'Item Summary'!L$4,'Order Details'!$C:$C,"PO Received")+SUMIFS('Order Details'!$Q:$Q,'Order Details'!$E:$E,"Yes",'Order Details'!$I:$I,'Item Summary'!$B21,'Order Details'!$F:$F,'Item Summary'!L$4,'Order Details'!$C:$C,"Proforma Invoice Sent")+SUMIFS('Order Details'!$Q:$Q,'Order Details'!$E:$E,"Yes",'Order Details'!$I:$I,'Item Summary'!$B21,'Order Details'!$F:$F,'Item Summary'!L$4,'Order Details'!$C:$C,"Downpayment Received")+SUMIFS('Order Details'!$Q:$Q,'Order Details'!$E:$E,"Yes",'Order Details'!$I:$I,'Item Summary'!$B21,'Order Details'!$F:$F,'Item Summary'!L$4,'Order Details'!$C:$C,"In Production")</f>
        <v>400</v>
      </c>
      <c r="M21" s="276">
        <f>SUMIFS('Order Details'!$Q:$Q,'Order Details'!$E:$E,"Yes",'Order Details'!$I:$I,'Item Summary'!$B21,'Order Details'!$F:$F,'Item Summary'!M$4,'Order Details'!$C:$C,"PO Received")+SUMIFS('Order Details'!$Q:$Q,'Order Details'!$E:$E,"Yes",'Order Details'!$I:$I,'Item Summary'!$B21,'Order Details'!$F:$F,'Item Summary'!M$4,'Order Details'!$C:$C,"Proforma Invoice Sent")+SUMIFS('Order Details'!$Q:$Q,'Order Details'!$E:$E,"Yes",'Order Details'!$I:$I,'Item Summary'!$B21,'Order Details'!$F:$F,'Item Summary'!M$4,'Order Details'!$C:$C,"Downpayment Received")+SUMIFS('Order Details'!$Q:$Q,'Order Details'!$E:$E,"Yes",'Order Details'!$I:$I,'Item Summary'!$B21,'Order Details'!$F:$F,'Item Summary'!M$4,'Order Details'!$C:$C,"In Production")</f>
        <v>0</v>
      </c>
      <c r="N21" s="279">
        <f t="shared" si="0"/>
        <v>8400</v>
      </c>
      <c r="Q21" s="278">
        <v>694441</v>
      </c>
      <c r="R21" s="274" t="str">
        <f>VLOOKUP($Q21,'Pricing Table - eff 27-Jan-2026'!$A:$L,9,FALSE)&amp;""" "&amp;VLOOKUP($Q21,'Pricing Table - eff 27-Jan-2026'!$A:$L,12,FALSE)</f>
        <v>108" SILVER FROST</v>
      </c>
      <c r="S21" s="275">
        <f>SUMIFS('Order Details'!$Q:$Q,'Order Details'!$E:$E,"Yes",'Order Details'!$I:$I,$Q21,'Order Details'!$F:$F,'Item Summary'!S$4)-D21</f>
        <v>200</v>
      </c>
      <c r="T21" s="275">
        <f>SUMIFS('Order Details'!$Q:$Q,'Order Details'!$E:$E,"Yes",'Order Details'!$I:$I,$Q21,'Order Details'!$F:$F,'Item Summary'!T$4)-E21</f>
        <v>800</v>
      </c>
      <c r="U21" s="275">
        <f>SUMIFS('Order Details'!$Q:$Q,'Order Details'!$E:$E,"Yes",'Order Details'!$I:$I,$Q21,'Order Details'!$F:$F,'Item Summary'!U$4)-F21</f>
        <v>1050</v>
      </c>
      <c r="V21" s="275">
        <f>SUMIFS('Order Details'!$Q:$Q,'Order Details'!$E:$E,"Yes",'Order Details'!$I:$I,$Q21,'Order Details'!$F:$F,'Item Summary'!V$4)-G21</f>
        <v>1600</v>
      </c>
      <c r="W21" s="275">
        <f>SUMIFS('Order Details'!$Q:$Q,'Order Details'!$E:$E,"Yes",'Order Details'!$I:$I,$Q21,'Order Details'!$F:$F,'Item Summary'!W$4)-H21</f>
        <v>1000</v>
      </c>
      <c r="X21" s="275">
        <f>SUMIFS('Order Details'!$Q:$Q,'Order Details'!$E:$E,"Yes",'Order Details'!$I:$I,$Q21,'Order Details'!$F:$F,'Item Summary'!X$4)-I21</f>
        <v>0</v>
      </c>
      <c r="Y21" s="275">
        <f>SUMIFS('Order Details'!$Q:$Q,'Order Details'!$E:$E,"Yes",'Order Details'!$I:$I,$Q21,'Order Details'!$F:$F,'Item Summary'!Y$4)-J21</f>
        <v>1000</v>
      </c>
      <c r="Z21" s="275">
        <f>SUMIFS('Order Details'!$Q:$Q,'Order Details'!$E:$E,"Yes",'Order Details'!$I:$I,$Q21,'Order Details'!$F:$F,'Item Summary'!Z$4)-K21</f>
        <v>2400</v>
      </c>
      <c r="AA21" s="291">
        <f>SUMIFS('Order Details'!$Q:$Q,'Order Details'!$E:$E,"Yes",'Order Details'!$I:$I,$Q21,'Order Details'!$F:$F,'Item Summary'!AA$4)-L21</f>
        <v>0</v>
      </c>
      <c r="AB21" s="276">
        <f>SUMIFS('Order Details'!$Q:$Q,'Order Details'!$E:$E,"Yes",'Order Details'!$I:$I,$Q21,'Order Details'!$F:$F,'Item Summary'!AB$4)-M21</f>
        <v>2400</v>
      </c>
      <c r="AC21" s="279">
        <f t="shared" si="1"/>
        <v>10450</v>
      </c>
    </row>
    <row r="22" spans="2:29" x14ac:dyDescent="0.3">
      <c r="B22" s="278">
        <v>694442</v>
      </c>
      <c r="C22" s="274" t="str">
        <f>VLOOKUP($B22,'Pricing Table - eff 27-Jan-2026'!$A:$L,9,FALSE)&amp;""" "&amp;VLOOKUP($B22,'Pricing Table - eff 27-Jan-2026'!$A:$L,12,FALSE)</f>
        <v>144" SILVER FROST</v>
      </c>
      <c r="D22" s="275">
        <f>SUMIFS('Order Details'!$Q:$Q,'Order Details'!$E:$E,"Yes",'Order Details'!$I:$I,'Item Summary'!$B22,'Order Details'!$F:$F,'Item Summary'!D$4,'Order Details'!$C:$C,"PO Received")+SUMIFS('Order Details'!$Q:$Q,'Order Details'!$E:$E,"Yes",'Order Details'!$I:$I,'Item Summary'!$B22,'Order Details'!$F:$F,'Item Summary'!D$4,'Order Details'!$C:$C,"Proforma Invoice Sent")+SUMIFS('Order Details'!$Q:$Q,'Order Details'!$E:$E,"Yes",'Order Details'!$I:$I,'Item Summary'!$B22,'Order Details'!$F:$F,'Item Summary'!D$4,'Order Details'!$C:$C,"Downpayment Received")+SUMIFS('Order Details'!$Q:$Q,'Order Details'!$E:$E,"Yes",'Order Details'!$I:$I,'Item Summary'!$B22,'Order Details'!$F:$F,'Item Summary'!D$4,'Order Details'!$C:$C,"In Production")</f>
        <v>0</v>
      </c>
      <c r="E22" s="275">
        <f>SUMIFS('Order Details'!$Q:$Q,'Order Details'!$E:$E,"Yes",'Order Details'!$I:$I,'Item Summary'!$B22,'Order Details'!$F:$F,'Item Summary'!E$4,'Order Details'!$C:$C,"PO Received")+SUMIFS('Order Details'!$Q:$Q,'Order Details'!$E:$E,"Yes",'Order Details'!$I:$I,'Item Summary'!$B22,'Order Details'!$F:$F,'Item Summary'!E$4,'Order Details'!$C:$C,"Proforma Invoice Sent")+SUMIFS('Order Details'!$Q:$Q,'Order Details'!$E:$E,"Yes",'Order Details'!$I:$I,'Item Summary'!$B22,'Order Details'!$F:$F,'Item Summary'!E$4,'Order Details'!$C:$C,"Downpayment Received")+SUMIFS('Order Details'!$Q:$Q,'Order Details'!$E:$E,"Yes",'Order Details'!$I:$I,'Item Summary'!$B22,'Order Details'!$F:$F,'Item Summary'!E$4,'Order Details'!$C:$C,"In Production")</f>
        <v>0</v>
      </c>
      <c r="F22" s="275">
        <f>SUMIFS('Order Details'!$Q:$Q,'Order Details'!$E:$E,"Yes",'Order Details'!$I:$I,'Item Summary'!$B22,'Order Details'!$F:$F,'Item Summary'!F$4,'Order Details'!$C:$C,"PO Received")+SUMIFS('Order Details'!$Q:$Q,'Order Details'!$E:$E,"Yes",'Order Details'!$I:$I,'Item Summary'!$B22,'Order Details'!$F:$F,'Item Summary'!F$4,'Order Details'!$C:$C,"Proforma Invoice Sent")+SUMIFS('Order Details'!$Q:$Q,'Order Details'!$E:$E,"Yes",'Order Details'!$I:$I,'Item Summary'!$B22,'Order Details'!$F:$F,'Item Summary'!F$4,'Order Details'!$C:$C,"Downpayment Received")+SUMIFS('Order Details'!$Q:$Q,'Order Details'!$E:$E,"Yes",'Order Details'!$I:$I,'Item Summary'!$B22,'Order Details'!$F:$F,'Item Summary'!F$4,'Order Details'!$C:$C,"In Production")</f>
        <v>600</v>
      </c>
      <c r="G22" s="275">
        <f>SUMIFS('Order Details'!$Q:$Q,'Order Details'!$E:$E,"Yes",'Order Details'!$I:$I,'Item Summary'!$B22,'Order Details'!$F:$F,'Item Summary'!G$4,'Order Details'!$C:$C,"PO Received")+SUMIFS('Order Details'!$Q:$Q,'Order Details'!$E:$E,"Yes",'Order Details'!$I:$I,'Item Summary'!$B22,'Order Details'!$F:$F,'Item Summary'!G$4,'Order Details'!$C:$C,"Proforma Invoice Sent")+SUMIFS('Order Details'!$Q:$Q,'Order Details'!$E:$E,"Yes",'Order Details'!$I:$I,'Item Summary'!$B22,'Order Details'!$F:$F,'Item Summary'!G$4,'Order Details'!$C:$C,"Downpayment Received")+SUMIFS('Order Details'!$Q:$Q,'Order Details'!$E:$E,"Yes",'Order Details'!$I:$I,'Item Summary'!$B22,'Order Details'!$F:$F,'Item Summary'!G$4,'Order Details'!$C:$C,"In Production")</f>
        <v>0</v>
      </c>
      <c r="H22" s="275">
        <f>SUMIFS('Order Details'!$Q:$Q,'Order Details'!$E:$E,"Yes",'Order Details'!$I:$I,'Item Summary'!$B22,'Order Details'!$F:$F,'Item Summary'!H$4,'Order Details'!$C:$C,"PO Received")+SUMIFS('Order Details'!$Q:$Q,'Order Details'!$E:$E,"Yes",'Order Details'!$I:$I,'Item Summary'!$B22,'Order Details'!$F:$F,'Item Summary'!H$4,'Order Details'!$C:$C,"Proforma Invoice Sent")+SUMIFS('Order Details'!$Q:$Q,'Order Details'!$E:$E,"Yes",'Order Details'!$I:$I,'Item Summary'!$B22,'Order Details'!$F:$F,'Item Summary'!H$4,'Order Details'!$C:$C,"Downpayment Received")+SUMIFS('Order Details'!$Q:$Q,'Order Details'!$E:$E,"Yes",'Order Details'!$I:$I,'Item Summary'!$B22,'Order Details'!$F:$F,'Item Summary'!H$4,'Order Details'!$C:$C,"In Production")</f>
        <v>0</v>
      </c>
      <c r="I22" s="275">
        <f>SUMIFS('Order Details'!$Q:$Q,'Order Details'!$E:$E,"Yes",'Order Details'!$I:$I,'Item Summary'!$B22,'Order Details'!$F:$F,'Item Summary'!I$4,'Order Details'!$C:$C,"PO Received")+SUMIFS('Order Details'!$Q:$Q,'Order Details'!$E:$E,"Yes",'Order Details'!$I:$I,'Item Summary'!$B22,'Order Details'!$F:$F,'Item Summary'!I$4,'Order Details'!$C:$C,"Proforma Invoice Sent")+SUMIFS('Order Details'!$Q:$Q,'Order Details'!$E:$E,"Yes",'Order Details'!$I:$I,'Item Summary'!$B22,'Order Details'!$F:$F,'Item Summary'!I$4,'Order Details'!$C:$C,"Downpayment Received")+SUMIFS('Order Details'!$Q:$Q,'Order Details'!$E:$E,"Yes",'Order Details'!$I:$I,'Item Summary'!$B22,'Order Details'!$F:$F,'Item Summary'!I$4,'Order Details'!$C:$C,"In Production")</f>
        <v>0</v>
      </c>
      <c r="J22" s="275">
        <f>SUMIFS('Order Details'!$Q:$Q,'Order Details'!$E:$E,"Yes",'Order Details'!$I:$I,'Item Summary'!$B22,'Order Details'!$F:$F,'Item Summary'!J$4,'Order Details'!$C:$C,"PO Received")+SUMIFS('Order Details'!$Q:$Q,'Order Details'!$E:$E,"Yes",'Order Details'!$I:$I,'Item Summary'!$B22,'Order Details'!$F:$F,'Item Summary'!J$4,'Order Details'!$C:$C,"Proforma Invoice Sent")+SUMIFS('Order Details'!$Q:$Q,'Order Details'!$E:$E,"Yes",'Order Details'!$I:$I,'Item Summary'!$B22,'Order Details'!$F:$F,'Item Summary'!J$4,'Order Details'!$C:$C,"Downpayment Received")+SUMIFS('Order Details'!$Q:$Q,'Order Details'!$E:$E,"Yes",'Order Details'!$I:$I,'Item Summary'!$B22,'Order Details'!$F:$F,'Item Summary'!J$4,'Order Details'!$C:$C,"In Production")</f>
        <v>0</v>
      </c>
      <c r="K22" s="275">
        <f>SUMIFS('Order Details'!$Q:$Q,'Order Details'!$E:$E,"Yes",'Order Details'!$I:$I,'Item Summary'!$B22,'Order Details'!$F:$F,'Item Summary'!K$4,'Order Details'!$C:$C,"PO Received")+SUMIFS('Order Details'!$Q:$Q,'Order Details'!$E:$E,"Yes",'Order Details'!$I:$I,'Item Summary'!$B22,'Order Details'!$F:$F,'Item Summary'!K$4,'Order Details'!$C:$C,"Proforma Invoice Sent")+SUMIFS('Order Details'!$Q:$Q,'Order Details'!$E:$E,"Yes",'Order Details'!$I:$I,'Item Summary'!$B22,'Order Details'!$F:$F,'Item Summary'!K$4,'Order Details'!$C:$C,"Downpayment Received")+SUMIFS('Order Details'!$Q:$Q,'Order Details'!$E:$E,"Yes",'Order Details'!$I:$I,'Item Summary'!$B22,'Order Details'!$F:$F,'Item Summary'!K$4,'Order Details'!$C:$C,"In Production")</f>
        <v>0</v>
      </c>
      <c r="L22" s="291">
        <f>SUMIFS('Order Details'!$Q:$Q,'Order Details'!$E:$E,"Yes",'Order Details'!$I:$I,'Item Summary'!$B22,'Order Details'!$F:$F,'Item Summary'!L$4,'Order Details'!$C:$C,"PO Received")+SUMIFS('Order Details'!$Q:$Q,'Order Details'!$E:$E,"Yes",'Order Details'!$I:$I,'Item Summary'!$B22,'Order Details'!$F:$F,'Item Summary'!L$4,'Order Details'!$C:$C,"Proforma Invoice Sent")+SUMIFS('Order Details'!$Q:$Q,'Order Details'!$E:$E,"Yes",'Order Details'!$I:$I,'Item Summary'!$B22,'Order Details'!$F:$F,'Item Summary'!L$4,'Order Details'!$C:$C,"Downpayment Received")+SUMIFS('Order Details'!$Q:$Q,'Order Details'!$E:$E,"Yes",'Order Details'!$I:$I,'Item Summary'!$B22,'Order Details'!$F:$F,'Item Summary'!L$4,'Order Details'!$C:$C,"In Production")</f>
        <v>0</v>
      </c>
      <c r="M22" s="276">
        <f>SUMIFS('Order Details'!$Q:$Q,'Order Details'!$E:$E,"Yes",'Order Details'!$I:$I,'Item Summary'!$B22,'Order Details'!$F:$F,'Item Summary'!M$4,'Order Details'!$C:$C,"PO Received")+SUMIFS('Order Details'!$Q:$Q,'Order Details'!$E:$E,"Yes",'Order Details'!$I:$I,'Item Summary'!$B22,'Order Details'!$F:$F,'Item Summary'!M$4,'Order Details'!$C:$C,"Proforma Invoice Sent")+SUMIFS('Order Details'!$Q:$Q,'Order Details'!$E:$E,"Yes",'Order Details'!$I:$I,'Item Summary'!$B22,'Order Details'!$F:$F,'Item Summary'!M$4,'Order Details'!$C:$C,"Downpayment Received")+SUMIFS('Order Details'!$Q:$Q,'Order Details'!$E:$E,"Yes",'Order Details'!$I:$I,'Item Summary'!$B22,'Order Details'!$F:$F,'Item Summary'!M$4,'Order Details'!$C:$C,"In Production")</f>
        <v>0</v>
      </c>
      <c r="N22" s="279">
        <f t="shared" si="0"/>
        <v>600</v>
      </c>
      <c r="Q22" s="278">
        <v>694442</v>
      </c>
      <c r="R22" s="274" t="str">
        <f>VLOOKUP($Q22,'Pricing Table - eff 27-Jan-2026'!$A:$L,9,FALSE)&amp;""" "&amp;VLOOKUP($Q22,'Pricing Table - eff 27-Jan-2026'!$A:$L,12,FALSE)</f>
        <v>144" SILVER FROST</v>
      </c>
      <c r="S22" s="275">
        <f>SUMIFS('Order Details'!$Q:$Q,'Order Details'!$E:$E,"Yes",'Order Details'!$I:$I,$Q22,'Order Details'!$F:$F,'Item Summary'!S$4)-D22</f>
        <v>0</v>
      </c>
      <c r="T22" s="275">
        <f>SUMIFS('Order Details'!$Q:$Q,'Order Details'!$E:$E,"Yes",'Order Details'!$I:$I,$Q22,'Order Details'!$F:$F,'Item Summary'!T$4)-E22</f>
        <v>200</v>
      </c>
      <c r="U22" s="275">
        <f>SUMIFS('Order Details'!$Q:$Q,'Order Details'!$E:$E,"Yes",'Order Details'!$I:$I,$Q22,'Order Details'!$F:$F,'Item Summary'!U$4)-F22</f>
        <v>1800</v>
      </c>
      <c r="V22" s="275">
        <f>SUMIFS('Order Details'!$Q:$Q,'Order Details'!$E:$E,"Yes",'Order Details'!$I:$I,$Q22,'Order Details'!$F:$F,'Item Summary'!V$4)-G22</f>
        <v>200</v>
      </c>
      <c r="W22" s="275">
        <f>SUMIFS('Order Details'!$Q:$Q,'Order Details'!$E:$E,"Yes",'Order Details'!$I:$I,$Q22,'Order Details'!$F:$F,'Item Summary'!W$4)-H22</f>
        <v>800</v>
      </c>
      <c r="X22" s="275">
        <f>SUMIFS('Order Details'!$Q:$Q,'Order Details'!$E:$E,"Yes",'Order Details'!$I:$I,$Q22,'Order Details'!$F:$F,'Item Summary'!X$4)-I22</f>
        <v>0</v>
      </c>
      <c r="Y22" s="275">
        <f>SUMIFS('Order Details'!$Q:$Q,'Order Details'!$E:$E,"Yes",'Order Details'!$I:$I,$Q22,'Order Details'!$F:$F,'Item Summary'!Y$4)-J22</f>
        <v>0</v>
      </c>
      <c r="Z22" s="275">
        <f>SUMIFS('Order Details'!$Q:$Q,'Order Details'!$E:$E,"Yes",'Order Details'!$I:$I,$Q22,'Order Details'!$F:$F,'Item Summary'!Z$4)-K22</f>
        <v>800</v>
      </c>
      <c r="AA22" s="291">
        <f>SUMIFS('Order Details'!$Q:$Q,'Order Details'!$E:$E,"Yes",'Order Details'!$I:$I,$Q22,'Order Details'!$F:$F,'Item Summary'!AA$4)-L22</f>
        <v>0</v>
      </c>
      <c r="AB22" s="276">
        <f>SUMIFS('Order Details'!$Q:$Q,'Order Details'!$E:$E,"Yes",'Order Details'!$I:$I,$Q22,'Order Details'!$F:$F,'Item Summary'!AB$4)-M22</f>
        <v>800</v>
      </c>
      <c r="AC22" s="279">
        <f t="shared" si="1"/>
        <v>4600</v>
      </c>
    </row>
    <row r="23" spans="2:29" x14ac:dyDescent="0.3">
      <c r="B23" s="278">
        <v>714953</v>
      </c>
      <c r="C23" s="274" t="str">
        <f>VLOOKUP($B23,'Pricing Table - eff 27-Jan-2026'!$A:$L,9,FALSE)&amp;""" "&amp;VLOOKUP($B23,'Pricing Table - eff 27-Jan-2026'!$A:$L,12,FALSE)</f>
        <v>84" CHARCOAL METALLIC</v>
      </c>
      <c r="D23" s="275">
        <f>SUMIFS('Order Details'!$Q:$Q,'Order Details'!$E:$E,"Yes",'Order Details'!$I:$I,'Item Summary'!$B23,'Order Details'!$F:$F,'Item Summary'!D$4,'Order Details'!$C:$C,"PO Received")+SUMIFS('Order Details'!$Q:$Q,'Order Details'!$E:$E,"Yes",'Order Details'!$I:$I,'Item Summary'!$B23,'Order Details'!$F:$F,'Item Summary'!D$4,'Order Details'!$C:$C,"Proforma Invoice Sent")+SUMIFS('Order Details'!$Q:$Q,'Order Details'!$E:$E,"Yes",'Order Details'!$I:$I,'Item Summary'!$B23,'Order Details'!$F:$F,'Item Summary'!D$4,'Order Details'!$C:$C,"Downpayment Received")+SUMIFS('Order Details'!$Q:$Q,'Order Details'!$E:$E,"Yes",'Order Details'!$I:$I,'Item Summary'!$B23,'Order Details'!$F:$F,'Item Summary'!D$4,'Order Details'!$C:$C,"In Production")</f>
        <v>0</v>
      </c>
      <c r="E23" s="275">
        <f>SUMIFS('Order Details'!$Q:$Q,'Order Details'!$E:$E,"Yes",'Order Details'!$I:$I,'Item Summary'!$B23,'Order Details'!$F:$F,'Item Summary'!E$4,'Order Details'!$C:$C,"PO Received")+SUMIFS('Order Details'!$Q:$Q,'Order Details'!$E:$E,"Yes",'Order Details'!$I:$I,'Item Summary'!$B23,'Order Details'!$F:$F,'Item Summary'!E$4,'Order Details'!$C:$C,"Proforma Invoice Sent")+SUMIFS('Order Details'!$Q:$Q,'Order Details'!$E:$E,"Yes",'Order Details'!$I:$I,'Item Summary'!$B23,'Order Details'!$F:$F,'Item Summary'!E$4,'Order Details'!$C:$C,"Downpayment Received")+SUMIFS('Order Details'!$Q:$Q,'Order Details'!$E:$E,"Yes",'Order Details'!$I:$I,'Item Summary'!$B23,'Order Details'!$F:$F,'Item Summary'!E$4,'Order Details'!$C:$C,"In Production")</f>
        <v>400</v>
      </c>
      <c r="F23" s="275">
        <f>SUMIFS('Order Details'!$Q:$Q,'Order Details'!$E:$E,"Yes",'Order Details'!$I:$I,'Item Summary'!$B23,'Order Details'!$F:$F,'Item Summary'!F$4,'Order Details'!$C:$C,"PO Received")+SUMIFS('Order Details'!$Q:$Q,'Order Details'!$E:$E,"Yes",'Order Details'!$I:$I,'Item Summary'!$B23,'Order Details'!$F:$F,'Item Summary'!F$4,'Order Details'!$C:$C,"Proforma Invoice Sent")+SUMIFS('Order Details'!$Q:$Q,'Order Details'!$E:$E,"Yes",'Order Details'!$I:$I,'Item Summary'!$B23,'Order Details'!$F:$F,'Item Summary'!F$4,'Order Details'!$C:$C,"Downpayment Received")+SUMIFS('Order Details'!$Q:$Q,'Order Details'!$E:$E,"Yes",'Order Details'!$I:$I,'Item Summary'!$B23,'Order Details'!$F:$F,'Item Summary'!F$4,'Order Details'!$C:$C,"In Production")</f>
        <v>0</v>
      </c>
      <c r="G23" s="275">
        <f>SUMIFS('Order Details'!$Q:$Q,'Order Details'!$E:$E,"Yes",'Order Details'!$I:$I,'Item Summary'!$B23,'Order Details'!$F:$F,'Item Summary'!G$4,'Order Details'!$C:$C,"PO Received")+SUMIFS('Order Details'!$Q:$Q,'Order Details'!$E:$E,"Yes",'Order Details'!$I:$I,'Item Summary'!$B23,'Order Details'!$F:$F,'Item Summary'!G$4,'Order Details'!$C:$C,"Proforma Invoice Sent")+SUMIFS('Order Details'!$Q:$Q,'Order Details'!$E:$E,"Yes",'Order Details'!$I:$I,'Item Summary'!$B23,'Order Details'!$F:$F,'Item Summary'!G$4,'Order Details'!$C:$C,"Downpayment Received")+SUMIFS('Order Details'!$Q:$Q,'Order Details'!$E:$E,"Yes",'Order Details'!$I:$I,'Item Summary'!$B23,'Order Details'!$F:$F,'Item Summary'!G$4,'Order Details'!$C:$C,"In Production")</f>
        <v>0</v>
      </c>
      <c r="H23" s="275">
        <f>SUMIFS('Order Details'!$Q:$Q,'Order Details'!$E:$E,"Yes",'Order Details'!$I:$I,'Item Summary'!$B23,'Order Details'!$F:$F,'Item Summary'!H$4,'Order Details'!$C:$C,"PO Received")+SUMIFS('Order Details'!$Q:$Q,'Order Details'!$E:$E,"Yes",'Order Details'!$I:$I,'Item Summary'!$B23,'Order Details'!$F:$F,'Item Summary'!H$4,'Order Details'!$C:$C,"Proforma Invoice Sent")+SUMIFS('Order Details'!$Q:$Q,'Order Details'!$E:$E,"Yes",'Order Details'!$I:$I,'Item Summary'!$B23,'Order Details'!$F:$F,'Item Summary'!H$4,'Order Details'!$C:$C,"Downpayment Received")+SUMIFS('Order Details'!$Q:$Q,'Order Details'!$E:$E,"Yes",'Order Details'!$I:$I,'Item Summary'!$B23,'Order Details'!$F:$F,'Item Summary'!H$4,'Order Details'!$C:$C,"In Production")</f>
        <v>0</v>
      </c>
      <c r="I23" s="275">
        <f>SUMIFS('Order Details'!$Q:$Q,'Order Details'!$E:$E,"Yes",'Order Details'!$I:$I,'Item Summary'!$B23,'Order Details'!$F:$F,'Item Summary'!I$4,'Order Details'!$C:$C,"PO Received")+SUMIFS('Order Details'!$Q:$Q,'Order Details'!$E:$E,"Yes",'Order Details'!$I:$I,'Item Summary'!$B23,'Order Details'!$F:$F,'Item Summary'!I$4,'Order Details'!$C:$C,"Proforma Invoice Sent")+SUMIFS('Order Details'!$Q:$Q,'Order Details'!$E:$E,"Yes",'Order Details'!$I:$I,'Item Summary'!$B23,'Order Details'!$F:$F,'Item Summary'!I$4,'Order Details'!$C:$C,"Downpayment Received")+SUMIFS('Order Details'!$Q:$Q,'Order Details'!$E:$E,"Yes",'Order Details'!$I:$I,'Item Summary'!$B23,'Order Details'!$F:$F,'Item Summary'!I$4,'Order Details'!$C:$C,"In Production")</f>
        <v>0</v>
      </c>
      <c r="J23" s="275">
        <f>SUMIFS('Order Details'!$Q:$Q,'Order Details'!$E:$E,"Yes",'Order Details'!$I:$I,'Item Summary'!$B23,'Order Details'!$F:$F,'Item Summary'!J$4,'Order Details'!$C:$C,"PO Received")+SUMIFS('Order Details'!$Q:$Q,'Order Details'!$E:$E,"Yes",'Order Details'!$I:$I,'Item Summary'!$B23,'Order Details'!$F:$F,'Item Summary'!J$4,'Order Details'!$C:$C,"Proforma Invoice Sent")+SUMIFS('Order Details'!$Q:$Q,'Order Details'!$E:$E,"Yes",'Order Details'!$I:$I,'Item Summary'!$B23,'Order Details'!$F:$F,'Item Summary'!J$4,'Order Details'!$C:$C,"Downpayment Received")+SUMIFS('Order Details'!$Q:$Q,'Order Details'!$E:$E,"Yes",'Order Details'!$I:$I,'Item Summary'!$B23,'Order Details'!$F:$F,'Item Summary'!J$4,'Order Details'!$C:$C,"In Production")</f>
        <v>0</v>
      </c>
      <c r="K23" s="275">
        <f>SUMIFS('Order Details'!$Q:$Q,'Order Details'!$E:$E,"Yes",'Order Details'!$I:$I,'Item Summary'!$B23,'Order Details'!$F:$F,'Item Summary'!K$4,'Order Details'!$C:$C,"PO Received")+SUMIFS('Order Details'!$Q:$Q,'Order Details'!$E:$E,"Yes",'Order Details'!$I:$I,'Item Summary'!$B23,'Order Details'!$F:$F,'Item Summary'!K$4,'Order Details'!$C:$C,"Proforma Invoice Sent")+SUMIFS('Order Details'!$Q:$Q,'Order Details'!$E:$E,"Yes",'Order Details'!$I:$I,'Item Summary'!$B23,'Order Details'!$F:$F,'Item Summary'!K$4,'Order Details'!$C:$C,"Downpayment Received")+SUMIFS('Order Details'!$Q:$Q,'Order Details'!$E:$E,"Yes",'Order Details'!$I:$I,'Item Summary'!$B23,'Order Details'!$F:$F,'Item Summary'!K$4,'Order Details'!$C:$C,"In Production")</f>
        <v>0</v>
      </c>
      <c r="L23" s="291">
        <f>SUMIFS('Order Details'!$Q:$Q,'Order Details'!$E:$E,"Yes",'Order Details'!$I:$I,'Item Summary'!$B23,'Order Details'!$F:$F,'Item Summary'!L$4,'Order Details'!$C:$C,"PO Received")+SUMIFS('Order Details'!$Q:$Q,'Order Details'!$E:$E,"Yes",'Order Details'!$I:$I,'Item Summary'!$B23,'Order Details'!$F:$F,'Item Summary'!L$4,'Order Details'!$C:$C,"Proforma Invoice Sent")+SUMIFS('Order Details'!$Q:$Q,'Order Details'!$E:$E,"Yes",'Order Details'!$I:$I,'Item Summary'!$B23,'Order Details'!$F:$F,'Item Summary'!L$4,'Order Details'!$C:$C,"Downpayment Received")+SUMIFS('Order Details'!$Q:$Q,'Order Details'!$E:$E,"Yes",'Order Details'!$I:$I,'Item Summary'!$B23,'Order Details'!$F:$F,'Item Summary'!L$4,'Order Details'!$C:$C,"In Production")</f>
        <v>0</v>
      </c>
      <c r="M23" s="276">
        <f>SUMIFS('Order Details'!$Q:$Q,'Order Details'!$E:$E,"Yes",'Order Details'!$I:$I,'Item Summary'!$B23,'Order Details'!$F:$F,'Item Summary'!M$4,'Order Details'!$C:$C,"PO Received")+SUMIFS('Order Details'!$Q:$Q,'Order Details'!$E:$E,"Yes",'Order Details'!$I:$I,'Item Summary'!$B23,'Order Details'!$F:$F,'Item Summary'!M$4,'Order Details'!$C:$C,"Proforma Invoice Sent")+SUMIFS('Order Details'!$Q:$Q,'Order Details'!$E:$E,"Yes",'Order Details'!$I:$I,'Item Summary'!$B23,'Order Details'!$F:$F,'Item Summary'!M$4,'Order Details'!$C:$C,"Downpayment Received")+SUMIFS('Order Details'!$Q:$Q,'Order Details'!$E:$E,"Yes",'Order Details'!$I:$I,'Item Summary'!$B23,'Order Details'!$F:$F,'Item Summary'!M$4,'Order Details'!$C:$C,"In Production")</f>
        <v>0</v>
      </c>
      <c r="N23" s="279">
        <f t="shared" si="0"/>
        <v>400</v>
      </c>
      <c r="Q23" s="278">
        <v>714953</v>
      </c>
      <c r="R23" s="274" t="str">
        <f>VLOOKUP($Q23,'Pricing Table - eff 27-Jan-2026'!$A:$L,9,FALSE)&amp;""" "&amp;VLOOKUP($Q23,'Pricing Table - eff 27-Jan-2026'!$A:$L,12,FALSE)</f>
        <v>84" CHARCOAL METALLIC</v>
      </c>
      <c r="S23" s="275">
        <f>SUMIFS('Order Details'!$Q:$Q,'Order Details'!$E:$E,"Yes",'Order Details'!$I:$I,$Q23,'Order Details'!$F:$F,'Item Summary'!S$4)-D23</f>
        <v>0</v>
      </c>
      <c r="T23" s="275">
        <f>SUMIFS('Order Details'!$Q:$Q,'Order Details'!$E:$E,"Yes",'Order Details'!$I:$I,$Q23,'Order Details'!$F:$F,'Item Summary'!T$4)-E23</f>
        <v>800</v>
      </c>
      <c r="U23" s="275">
        <f>SUMIFS('Order Details'!$Q:$Q,'Order Details'!$E:$E,"Yes",'Order Details'!$I:$I,$Q23,'Order Details'!$F:$F,'Item Summary'!U$4)-F23</f>
        <v>0</v>
      </c>
      <c r="V23" s="275">
        <f>SUMIFS('Order Details'!$Q:$Q,'Order Details'!$E:$E,"Yes",'Order Details'!$I:$I,$Q23,'Order Details'!$F:$F,'Item Summary'!V$4)-G23</f>
        <v>0</v>
      </c>
      <c r="W23" s="275">
        <f>SUMIFS('Order Details'!$Q:$Q,'Order Details'!$E:$E,"Yes",'Order Details'!$I:$I,$Q23,'Order Details'!$F:$F,'Item Summary'!W$4)-H23</f>
        <v>0</v>
      </c>
      <c r="X23" s="275">
        <f>SUMIFS('Order Details'!$Q:$Q,'Order Details'!$E:$E,"Yes",'Order Details'!$I:$I,$Q23,'Order Details'!$F:$F,'Item Summary'!X$4)-I23</f>
        <v>0</v>
      </c>
      <c r="Y23" s="275">
        <f>SUMIFS('Order Details'!$Q:$Q,'Order Details'!$E:$E,"Yes",'Order Details'!$I:$I,$Q23,'Order Details'!$F:$F,'Item Summary'!Y$4)-J23</f>
        <v>0</v>
      </c>
      <c r="Z23" s="275">
        <f>SUMIFS('Order Details'!$Q:$Q,'Order Details'!$E:$E,"Yes",'Order Details'!$I:$I,$Q23,'Order Details'!$F:$F,'Item Summary'!Z$4)-K23</f>
        <v>0</v>
      </c>
      <c r="AA23" s="291">
        <f>SUMIFS('Order Details'!$Q:$Q,'Order Details'!$E:$E,"Yes",'Order Details'!$I:$I,$Q23,'Order Details'!$F:$F,'Item Summary'!AA$4)-L23</f>
        <v>0</v>
      </c>
      <c r="AB23" s="276">
        <f>SUMIFS('Order Details'!$Q:$Q,'Order Details'!$E:$E,"Yes",'Order Details'!$I:$I,$Q23,'Order Details'!$F:$F,'Item Summary'!AB$4)-M23</f>
        <v>0</v>
      </c>
      <c r="AC23" s="279">
        <f t="shared" si="1"/>
        <v>800</v>
      </c>
    </row>
    <row r="24" spans="2:29" x14ac:dyDescent="0.3">
      <c r="B24" s="278">
        <v>694443</v>
      </c>
      <c r="C24" s="274" t="str">
        <f>VLOOKUP($B24,'Pricing Table - eff 27-Jan-2026'!$A:$L,9,FALSE)&amp;""" "&amp;VLOOKUP($B24,'Pricing Table - eff 27-Jan-2026'!$A:$L,12,FALSE)</f>
        <v>90" CHARCOAL METALLIC</v>
      </c>
      <c r="D24" s="275">
        <f>SUMIFS('Order Details'!$Q:$Q,'Order Details'!$E:$E,"Yes",'Order Details'!$I:$I,'Item Summary'!$B24,'Order Details'!$F:$F,'Item Summary'!D$4,'Order Details'!$C:$C,"PO Received")+SUMIFS('Order Details'!$Q:$Q,'Order Details'!$E:$E,"Yes",'Order Details'!$I:$I,'Item Summary'!$B24,'Order Details'!$F:$F,'Item Summary'!D$4,'Order Details'!$C:$C,"Proforma Invoice Sent")+SUMIFS('Order Details'!$Q:$Q,'Order Details'!$E:$E,"Yes",'Order Details'!$I:$I,'Item Summary'!$B24,'Order Details'!$F:$F,'Item Summary'!D$4,'Order Details'!$C:$C,"Downpayment Received")+SUMIFS('Order Details'!$Q:$Q,'Order Details'!$E:$E,"Yes",'Order Details'!$I:$I,'Item Summary'!$B24,'Order Details'!$F:$F,'Item Summary'!D$4,'Order Details'!$C:$C,"In Production")</f>
        <v>0</v>
      </c>
      <c r="E24" s="275">
        <f>SUMIFS('Order Details'!$Q:$Q,'Order Details'!$E:$E,"Yes",'Order Details'!$I:$I,'Item Summary'!$B24,'Order Details'!$F:$F,'Item Summary'!E$4,'Order Details'!$C:$C,"PO Received")+SUMIFS('Order Details'!$Q:$Q,'Order Details'!$E:$E,"Yes",'Order Details'!$I:$I,'Item Summary'!$B24,'Order Details'!$F:$F,'Item Summary'!E$4,'Order Details'!$C:$C,"Proforma Invoice Sent")+SUMIFS('Order Details'!$Q:$Q,'Order Details'!$E:$E,"Yes",'Order Details'!$I:$I,'Item Summary'!$B24,'Order Details'!$F:$F,'Item Summary'!E$4,'Order Details'!$C:$C,"Downpayment Received")+SUMIFS('Order Details'!$Q:$Q,'Order Details'!$E:$E,"Yes",'Order Details'!$I:$I,'Item Summary'!$B24,'Order Details'!$F:$F,'Item Summary'!E$4,'Order Details'!$C:$C,"In Production")</f>
        <v>0</v>
      </c>
      <c r="F24" s="275">
        <f>SUMIFS('Order Details'!$Q:$Q,'Order Details'!$E:$E,"Yes",'Order Details'!$I:$I,'Item Summary'!$B24,'Order Details'!$F:$F,'Item Summary'!F$4,'Order Details'!$C:$C,"PO Received")+SUMIFS('Order Details'!$Q:$Q,'Order Details'!$E:$E,"Yes",'Order Details'!$I:$I,'Item Summary'!$B24,'Order Details'!$F:$F,'Item Summary'!F$4,'Order Details'!$C:$C,"Proforma Invoice Sent")+SUMIFS('Order Details'!$Q:$Q,'Order Details'!$E:$E,"Yes",'Order Details'!$I:$I,'Item Summary'!$B24,'Order Details'!$F:$F,'Item Summary'!F$4,'Order Details'!$C:$C,"Downpayment Received")+SUMIFS('Order Details'!$Q:$Q,'Order Details'!$E:$E,"Yes",'Order Details'!$I:$I,'Item Summary'!$B24,'Order Details'!$F:$F,'Item Summary'!F$4,'Order Details'!$C:$C,"In Production")</f>
        <v>0</v>
      </c>
      <c r="G24" s="275">
        <f>SUMIFS('Order Details'!$Q:$Q,'Order Details'!$E:$E,"Yes",'Order Details'!$I:$I,'Item Summary'!$B24,'Order Details'!$F:$F,'Item Summary'!G$4,'Order Details'!$C:$C,"PO Received")+SUMIFS('Order Details'!$Q:$Q,'Order Details'!$E:$E,"Yes",'Order Details'!$I:$I,'Item Summary'!$B24,'Order Details'!$F:$F,'Item Summary'!G$4,'Order Details'!$C:$C,"Proforma Invoice Sent")+SUMIFS('Order Details'!$Q:$Q,'Order Details'!$E:$E,"Yes",'Order Details'!$I:$I,'Item Summary'!$B24,'Order Details'!$F:$F,'Item Summary'!G$4,'Order Details'!$C:$C,"Downpayment Received")+SUMIFS('Order Details'!$Q:$Q,'Order Details'!$E:$E,"Yes",'Order Details'!$I:$I,'Item Summary'!$B24,'Order Details'!$F:$F,'Item Summary'!G$4,'Order Details'!$C:$C,"In Production")</f>
        <v>0</v>
      </c>
      <c r="H24" s="275">
        <f>SUMIFS('Order Details'!$Q:$Q,'Order Details'!$E:$E,"Yes",'Order Details'!$I:$I,'Item Summary'!$B24,'Order Details'!$F:$F,'Item Summary'!H$4,'Order Details'!$C:$C,"PO Received")+SUMIFS('Order Details'!$Q:$Q,'Order Details'!$E:$E,"Yes",'Order Details'!$I:$I,'Item Summary'!$B24,'Order Details'!$F:$F,'Item Summary'!H$4,'Order Details'!$C:$C,"Proforma Invoice Sent")+SUMIFS('Order Details'!$Q:$Q,'Order Details'!$E:$E,"Yes",'Order Details'!$I:$I,'Item Summary'!$B24,'Order Details'!$F:$F,'Item Summary'!H$4,'Order Details'!$C:$C,"Downpayment Received")+SUMIFS('Order Details'!$Q:$Q,'Order Details'!$E:$E,"Yes",'Order Details'!$I:$I,'Item Summary'!$B24,'Order Details'!$F:$F,'Item Summary'!H$4,'Order Details'!$C:$C,"In Production")</f>
        <v>0</v>
      </c>
      <c r="I24" s="275">
        <f>SUMIFS('Order Details'!$Q:$Q,'Order Details'!$E:$E,"Yes",'Order Details'!$I:$I,'Item Summary'!$B24,'Order Details'!$F:$F,'Item Summary'!I$4,'Order Details'!$C:$C,"PO Received")+SUMIFS('Order Details'!$Q:$Q,'Order Details'!$E:$E,"Yes",'Order Details'!$I:$I,'Item Summary'!$B24,'Order Details'!$F:$F,'Item Summary'!I$4,'Order Details'!$C:$C,"Proforma Invoice Sent")+SUMIFS('Order Details'!$Q:$Q,'Order Details'!$E:$E,"Yes",'Order Details'!$I:$I,'Item Summary'!$B24,'Order Details'!$F:$F,'Item Summary'!I$4,'Order Details'!$C:$C,"Downpayment Received")+SUMIFS('Order Details'!$Q:$Q,'Order Details'!$E:$E,"Yes",'Order Details'!$I:$I,'Item Summary'!$B24,'Order Details'!$F:$F,'Item Summary'!I$4,'Order Details'!$C:$C,"In Production")</f>
        <v>0</v>
      </c>
      <c r="J24" s="275">
        <f>SUMIFS('Order Details'!$Q:$Q,'Order Details'!$E:$E,"Yes",'Order Details'!$I:$I,'Item Summary'!$B24,'Order Details'!$F:$F,'Item Summary'!J$4,'Order Details'!$C:$C,"PO Received")+SUMIFS('Order Details'!$Q:$Q,'Order Details'!$E:$E,"Yes",'Order Details'!$I:$I,'Item Summary'!$B24,'Order Details'!$F:$F,'Item Summary'!J$4,'Order Details'!$C:$C,"Proforma Invoice Sent")+SUMIFS('Order Details'!$Q:$Q,'Order Details'!$E:$E,"Yes",'Order Details'!$I:$I,'Item Summary'!$B24,'Order Details'!$F:$F,'Item Summary'!J$4,'Order Details'!$C:$C,"Downpayment Received")+SUMIFS('Order Details'!$Q:$Q,'Order Details'!$E:$E,"Yes",'Order Details'!$I:$I,'Item Summary'!$B24,'Order Details'!$F:$F,'Item Summary'!J$4,'Order Details'!$C:$C,"In Production")</f>
        <v>0</v>
      </c>
      <c r="K24" s="275">
        <f>SUMIFS('Order Details'!$Q:$Q,'Order Details'!$E:$E,"Yes",'Order Details'!$I:$I,'Item Summary'!$B24,'Order Details'!$F:$F,'Item Summary'!K$4,'Order Details'!$C:$C,"PO Received")+SUMIFS('Order Details'!$Q:$Q,'Order Details'!$E:$E,"Yes",'Order Details'!$I:$I,'Item Summary'!$B24,'Order Details'!$F:$F,'Item Summary'!K$4,'Order Details'!$C:$C,"Proforma Invoice Sent")+SUMIFS('Order Details'!$Q:$Q,'Order Details'!$E:$E,"Yes",'Order Details'!$I:$I,'Item Summary'!$B24,'Order Details'!$F:$F,'Item Summary'!K$4,'Order Details'!$C:$C,"Downpayment Received")+SUMIFS('Order Details'!$Q:$Q,'Order Details'!$E:$E,"Yes",'Order Details'!$I:$I,'Item Summary'!$B24,'Order Details'!$F:$F,'Item Summary'!K$4,'Order Details'!$C:$C,"In Production")</f>
        <v>0</v>
      </c>
      <c r="L24" s="291">
        <f>SUMIFS('Order Details'!$Q:$Q,'Order Details'!$E:$E,"Yes",'Order Details'!$I:$I,'Item Summary'!$B24,'Order Details'!$F:$F,'Item Summary'!L$4,'Order Details'!$C:$C,"PO Received")+SUMIFS('Order Details'!$Q:$Q,'Order Details'!$E:$E,"Yes",'Order Details'!$I:$I,'Item Summary'!$B24,'Order Details'!$F:$F,'Item Summary'!L$4,'Order Details'!$C:$C,"Proforma Invoice Sent")+SUMIFS('Order Details'!$Q:$Q,'Order Details'!$E:$E,"Yes",'Order Details'!$I:$I,'Item Summary'!$B24,'Order Details'!$F:$F,'Item Summary'!L$4,'Order Details'!$C:$C,"Downpayment Received")+SUMIFS('Order Details'!$Q:$Q,'Order Details'!$E:$E,"Yes",'Order Details'!$I:$I,'Item Summary'!$B24,'Order Details'!$F:$F,'Item Summary'!L$4,'Order Details'!$C:$C,"In Production")</f>
        <v>0</v>
      </c>
      <c r="M24" s="276">
        <f>SUMIFS('Order Details'!$Q:$Q,'Order Details'!$E:$E,"Yes",'Order Details'!$I:$I,'Item Summary'!$B24,'Order Details'!$F:$F,'Item Summary'!M$4,'Order Details'!$C:$C,"PO Received")+SUMIFS('Order Details'!$Q:$Q,'Order Details'!$E:$E,"Yes",'Order Details'!$I:$I,'Item Summary'!$B24,'Order Details'!$F:$F,'Item Summary'!M$4,'Order Details'!$C:$C,"Proforma Invoice Sent")+SUMIFS('Order Details'!$Q:$Q,'Order Details'!$E:$E,"Yes",'Order Details'!$I:$I,'Item Summary'!$B24,'Order Details'!$F:$F,'Item Summary'!M$4,'Order Details'!$C:$C,"Downpayment Received")+SUMIFS('Order Details'!$Q:$Q,'Order Details'!$E:$E,"Yes",'Order Details'!$I:$I,'Item Summary'!$B24,'Order Details'!$F:$F,'Item Summary'!M$4,'Order Details'!$C:$C,"In Production")</f>
        <v>0</v>
      </c>
      <c r="N24" s="279">
        <f t="shared" si="0"/>
        <v>0</v>
      </c>
      <c r="Q24" s="278">
        <v>694443</v>
      </c>
      <c r="R24" s="274" t="str">
        <f>VLOOKUP($Q24,'Pricing Table - eff 27-Jan-2026'!$A:$L,9,FALSE)&amp;""" "&amp;VLOOKUP($Q24,'Pricing Table - eff 27-Jan-2026'!$A:$L,12,FALSE)</f>
        <v>90" CHARCOAL METALLIC</v>
      </c>
      <c r="S24" s="275">
        <f>SUMIFS('Order Details'!$Q:$Q,'Order Details'!$E:$E,"Yes",'Order Details'!$I:$I,$Q24,'Order Details'!$F:$F,'Item Summary'!S$4)-D24</f>
        <v>0</v>
      </c>
      <c r="T24" s="275">
        <f>SUMIFS('Order Details'!$Q:$Q,'Order Details'!$E:$E,"Yes",'Order Details'!$I:$I,$Q24,'Order Details'!$F:$F,'Item Summary'!T$4)-E24</f>
        <v>0</v>
      </c>
      <c r="U24" s="275">
        <f>SUMIFS('Order Details'!$Q:$Q,'Order Details'!$E:$E,"Yes",'Order Details'!$I:$I,$Q24,'Order Details'!$F:$F,'Item Summary'!U$4)-F24</f>
        <v>0</v>
      </c>
      <c r="V24" s="275">
        <f>SUMIFS('Order Details'!$Q:$Q,'Order Details'!$E:$E,"Yes",'Order Details'!$I:$I,$Q24,'Order Details'!$F:$F,'Item Summary'!V$4)-G24</f>
        <v>600</v>
      </c>
      <c r="W24" s="275">
        <f>SUMIFS('Order Details'!$Q:$Q,'Order Details'!$E:$E,"Yes",'Order Details'!$I:$I,$Q24,'Order Details'!$F:$F,'Item Summary'!W$4)-H24</f>
        <v>0</v>
      </c>
      <c r="X24" s="275">
        <f>SUMIFS('Order Details'!$Q:$Q,'Order Details'!$E:$E,"Yes",'Order Details'!$I:$I,$Q24,'Order Details'!$F:$F,'Item Summary'!X$4)-I24</f>
        <v>0</v>
      </c>
      <c r="Y24" s="275">
        <f>SUMIFS('Order Details'!$Q:$Q,'Order Details'!$E:$E,"Yes",'Order Details'!$I:$I,$Q24,'Order Details'!$F:$F,'Item Summary'!Y$4)-J24</f>
        <v>0</v>
      </c>
      <c r="Z24" s="275">
        <f>SUMIFS('Order Details'!$Q:$Q,'Order Details'!$E:$E,"Yes",'Order Details'!$I:$I,$Q24,'Order Details'!$F:$F,'Item Summary'!Z$4)-K24</f>
        <v>0</v>
      </c>
      <c r="AA24" s="291">
        <f>SUMIFS('Order Details'!$Q:$Q,'Order Details'!$E:$E,"Yes",'Order Details'!$I:$I,$Q24,'Order Details'!$F:$F,'Item Summary'!AA$4)-L24</f>
        <v>0</v>
      </c>
      <c r="AB24" s="276">
        <f>SUMIFS('Order Details'!$Q:$Q,'Order Details'!$E:$E,"Yes",'Order Details'!$I:$I,$Q24,'Order Details'!$F:$F,'Item Summary'!AB$4)-M24</f>
        <v>0</v>
      </c>
      <c r="AC24" s="279">
        <f t="shared" si="1"/>
        <v>600</v>
      </c>
    </row>
    <row r="25" spans="2:29" x14ac:dyDescent="0.3">
      <c r="B25" s="278">
        <v>709356</v>
      </c>
      <c r="C25" s="274" t="str">
        <f>VLOOKUP($B25,'Pricing Table - eff 27-Jan-2026'!$A:$L,9,FALSE)&amp;""" "&amp;VLOOKUP($B25,'Pricing Table - eff 27-Jan-2026'!$A:$L,12,FALSE)</f>
        <v>90.5" CHARCOAL METALLIC</v>
      </c>
      <c r="D25" s="275">
        <f>SUMIFS('Order Details'!$Q:$Q,'Order Details'!$E:$E,"Yes",'Order Details'!$I:$I,'Item Summary'!$B25,'Order Details'!$F:$F,'Item Summary'!D$4,'Order Details'!$C:$C,"PO Received")+SUMIFS('Order Details'!$Q:$Q,'Order Details'!$E:$E,"Yes",'Order Details'!$I:$I,'Item Summary'!$B25,'Order Details'!$F:$F,'Item Summary'!D$4,'Order Details'!$C:$C,"Proforma Invoice Sent")+SUMIFS('Order Details'!$Q:$Q,'Order Details'!$E:$E,"Yes",'Order Details'!$I:$I,'Item Summary'!$B25,'Order Details'!$F:$F,'Item Summary'!D$4,'Order Details'!$C:$C,"Downpayment Received")+SUMIFS('Order Details'!$Q:$Q,'Order Details'!$E:$E,"Yes",'Order Details'!$I:$I,'Item Summary'!$B25,'Order Details'!$F:$F,'Item Summary'!D$4,'Order Details'!$C:$C,"In Production")</f>
        <v>0</v>
      </c>
      <c r="E25" s="275">
        <f>SUMIFS('Order Details'!$Q:$Q,'Order Details'!$E:$E,"Yes",'Order Details'!$I:$I,'Item Summary'!$B25,'Order Details'!$F:$F,'Item Summary'!E$4,'Order Details'!$C:$C,"PO Received")+SUMIFS('Order Details'!$Q:$Q,'Order Details'!$E:$E,"Yes",'Order Details'!$I:$I,'Item Summary'!$B25,'Order Details'!$F:$F,'Item Summary'!E$4,'Order Details'!$C:$C,"Proforma Invoice Sent")+SUMIFS('Order Details'!$Q:$Q,'Order Details'!$E:$E,"Yes",'Order Details'!$I:$I,'Item Summary'!$B25,'Order Details'!$F:$F,'Item Summary'!E$4,'Order Details'!$C:$C,"Downpayment Received")+SUMIFS('Order Details'!$Q:$Q,'Order Details'!$E:$E,"Yes",'Order Details'!$I:$I,'Item Summary'!$B25,'Order Details'!$F:$F,'Item Summary'!E$4,'Order Details'!$C:$C,"In Production")</f>
        <v>800</v>
      </c>
      <c r="F25" s="275">
        <f>SUMIFS('Order Details'!$Q:$Q,'Order Details'!$E:$E,"Yes",'Order Details'!$I:$I,'Item Summary'!$B25,'Order Details'!$F:$F,'Item Summary'!F$4,'Order Details'!$C:$C,"PO Received")+SUMIFS('Order Details'!$Q:$Q,'Order Details'!$E:$E,"Yes",'Order Details'!$I:$I,'Item Summary'!$B25,'Order Details'!$F:$F,'Item Summary'!F$4,'Order Details'!$C:$C,"Proforma Invoice Sent")+SUMIFS('Order Details'!$Q:$Q,'Order Details'!$E:$E,"Yes",'Order Details'!$I:$I,'Item Summary'!$B25,'Order Details'!$F:$F,'Item Summary'!F$4,'Order Details'!$C:$C,"Downpayment Received")+SUMIFS('Order Details'!$Q:$Q,'Order Details'!$E:$E,"Yes",'Order Details'!$I:$I,'Item Summary'!$B25,'Order Details'!$F:$F,'Item Summary'!F$4,'Order Details'!$C:$C,"In Production")</f>
        <v>0</v>
      </c>
      <c r="G25" s="275">
        <f>SUMIFS('Order Details'!$Q:$Q,'Order Details'!$E:$E,"Yes",'Order Details'!$I:$I,'Item Summary'!$B25,'Order Details'!$F:$F,'Item Summary'!G$4,'Order Details'!$C:$C,"PO Received")+SUMIFS('Order Details'!$Q:$Q,'Order Details'!$E:$E,"Yes",'Order Details'!$I:$I,'Item Summary'!$B25,'Order Details'!$F:$F,'Item Summary'!G$4,'Order Details'!$C:$C,"Proforma Invoice Sent")+SUMIFS('Order Details'!$Q:$Q,'Order Details'!$E:$E,"Yes",'Order Details'!$I:$I,'Item Summary'!$B25,'Order Details'!$F:$F,'Item Summary'!G$4,'Order Details'!$C:$C,"Downpayment Received")+SUMIFS('Order Details'!$Q:$Q,'Order Details'!$E:$E,"Yes",'Order Details'!$I:$I,'Item Summary'!$B25,'Order Details'!$F:$F,'Item Summary'!G$4,'Order Details'!$C:$C,"In Production")</f>
        <v>600</v>
      </c>
      <c r="H25" s="275">
        <f>SUMIFS('Order Details'!$Q:$Q,'Order Details'!$E:$E,"Yes",'Order Details'!$I:$I,'Item Summary'!$B25,'Order Details'!$F:$F,'Item Summary'!H$4,'Order Details'!$C:$C,"PO Received")+SUMIFS('Order Details'!$Q:$Q,'Order Details'!$E:$E,"Yes",'Order Details'!$I:$I,'Item Summary'!$B25,'Order Details'!$F:$F,'Item Summary'!H$4,'Order Details'!$C:$C,"Proforma Invoice Sent")+SUMIFS('Order Details'!$Q:$Q,'Order Details'!$E:$E,"Yes",'Order Details'!$I:$I,'Item Summary'!$B25,'Order Details'!$F:$F,'Item Summary'!H$4,'Order Details'!$C:$C,"Downpayment Received")+SUMIFS('Order Details'!$Q:$Q,'Order Details'!$E:$E,"Yes",'Order Details'!$I:$I,'Item Summary'!$B25,'Order Details'!$F:$F,'Item Summary'!H$4,'Order Details'!$C:$C,"In Production")</f>
        <v>0</v>
      </c>
      <c r="I25" s="275">
        <f>SUMIFS('Order Details'!$Q:$Q,'Order Details'!$E:$E,"Yes",'Order Details'!$I:$I,'Item Summary'!$B25,'Order Details'!$F:$F,'Item Summary'!I$4,'Order Details'!$C:$C,"PO Received")+SUMIFS('Order Details'!$Q:$Q,'Order Details'!$E:$E,"Yes",'Order Details'!$I:$I,'Item Summary'!$B25,'Order Details'!$F:$F,'Item Summary'!I$4,'Order Details'!$C:$C,"Proforma Invoice Sent")+SUMIFS('Order Details'!$Q:$Q,'Order Details'!$E:$E,"Yes",'Order Details'!$I:$I,'Item Summary'!$B25,'Order Details'!$F:$F,'Item Summary'!I$4,'Order Details'!$C:$C,"Downpayment Received")+SUMIFS('Order Details'!$Q:$Q,'Order Details'!$E:$E,"Yes",'Order Details'!$I:$I,'Item Summary'!$B25,'Order Details'!$F:$F,'Item Summary'!I$4,'Order Details'!$C:$C,"In Production")</f>
        <v>600</v>
      </c>
      <c r="J25" s="275">
        <f>SUMIFS('Order Details'!$Q:$Q,'Order Details'!$E:$E,"Yes",'Order Details'!$I:$I,'Item Summary'!$B25,'Order Details'!$F:$F,'Item Summary'!J$4,'Order Details'!$C:$C,"PO Received")+SUMIFS('Order Details'!$Q:$Q,'Order Details'!$E:$E,"Yes",'Order Details'!$I:$I,'Item Summary'!$B25,'Order Details'!$F:$F,'Item Summary'!J$4,'Order Details'!$C:$C,"Proforma Invoice Sent")+SUMIFS('Order Details'!$Q:$Q,'Order Details'!$E:$E,"Yes",'Order Details'!$I:$I,'Item Summary'!$B25,'Order Details'!$F:$F,'Item Summary'!J$4,'Order Details'!$C:$C,"Downpayment Received")+SUMIFS('Order Details'!$Q:$Q,'Order Details'!$E:$E,"Yes",'Order Details'!$I:$I,'Item Summary'!$B25,'Order Details'!$F:$F,'Item Summary'!J$4,'Order Details'!$C:$C,"In Production")</f>
        <v>0</v>
      </c>
      <c r="K25" s="275">
        <f>SUMIFS('Order Details'!$Q:$Q,'Order Details'!$E:$E,"Yes",'Order Details'!$I:$I,'Item Summary'!$B25,'Order Details'!$F:$F,'Item Summary'!K$4,'Order Details'!$C:$C,"PO Received")+SUMIFS('Order Details'!$Q:$Q,'Order Details'!$E:$E,"Yes",'Order Details'!$I:$I,'Item Summary'!$B25,'Order Details'!$F:$F,'Item Summary'!K$4,'Order Details'!$C:$C,"Proforma Invoice Sent")+SUMIFS('Order Details'!$Q:$Q,'Order Details'!$E:$E,"Yes",'Order Details'!$I:$I,'Item Summary'!$B25,'Order Details'!$F:$F,'Item Summary'!K$4,'Order Details'!$C:$C,"Downpayment Received")+SUMIFS('Order Details'!$Q:$Q,'Order Details'!$E:$E,"Yes",'Order Details'!$I:$I,'Item Summary'!$B25,'Order Details'!$F:$F,'Item Summary'!K$4,'Order Details'!$C:$C,"In Production")</f>
        <v>0</v>
      </c>
      <c r="L25" s="291">
        <f>SUMIFS('Order Details'!$Q:$Q,'Order Details'!$E:$E,"Yes",'Order Details'!$I:$I,'Item Summary'!$B25,'Order Details'!$F:$F,'Item Summary'!L$4,'Order Details'!$C:$C,"PO Received")+SUMIFS('Order Details'!$Q:$Q,'Order Details'!$E:$E,"Yes",'Order Details'!$I:$I,'Item Summary'!$B25,'Order Details'!$F:$F,'Item Summary'!L$4,'Order Details'!$C:$C,"Proforma Invoice Sent")+SUMIFS('Order Details'!$Q:$Q,'Order Details'!$E:$E,"Yes",'Order Details'!$I:$I,'Item Summary'!$B25,'Order Details'!$F:$F,'Item Summary'!L$4,'Order Details'!$C:$C,"Downpayment Received")+SUMIFS('Order Details'!$Q:$Q,'Order Details'!$E:$E,"Yes",'Order Details'!$I:$I,'Item Summary'!$B25,'Order Details'!$F:$F,'Item Summary'!L$4,'Order Details'!$C:$C,"In Production")</f>
        <v>0</v>
      </c>
      <c r="M25" s="276">
        <f>SUMIFS('Order Details'!$Q:$Q,'Order Details'!$E:$E,"Yes",'Order Details'!$I:$I,'Item Summary'!$B25,'Order Details'!$F:$F,'Item Summary'!M$4,'Order Details'!$C:$C,"PO Received")+SUMIFS('Order Details'!$Q:$Q,'Order Details'!$E:$E,"Yes",'Order Details'!$I:$I,'Item Summary'!$B25,'Order Details'!$F:$F,'Item Summary'!M$4,'Order Details'!$C:$C,"Proforma Invoice Sent")+SUMIFS('Order Details'!$Q:$Q,'Order Details'!$E:$E,"Yes",'Order Details'!$I:$I,'Item Summary'!$B25,'Order Details'!$F:$F,'Item Summary'!M$4,'Order Details'!$C:$C,"Downpayment Received")+SUMIFS('Order Details'!$Q:$Q,'Order Details'!$E:$E,"Yes",'Order Details'!$I:$I,'Item Summary'!$B25,'Order Details'!$F:$F,'Item Summary'!M$4,'Order Details'!$C:$C,"In Production")</f>
        <v>0</v>
      </c>
      <c r="N25" s="279">
        <f t="shared" si="0"/>
        <v>2000</v>
      </c>
      <c r="Q25" s="278">
        <v>709356</v>
      </c>
      <c r="R25" s="274" t="str">
        <f>VLOOKUP($Q25,'Pricing Table - eff 27-Jan-2026'!$A:$L,9,FALSE)&amp;""" "&amp;VLOOKUP($Q25,'Pricing Table - eff 27-Jan-2026'!$A:$L,12,FALSE)</f>
        <v>90.5" CHARCOAL METALLIC</v>
      </c>
      <c r="S25" s="275">
        <f>SUMIFS('Order Details'!$Q:$Q,'Order Details'!$E:$E,"Yes",'Order Details'!$I:$I,$Q25,'Order Details'!$F:$F,'Item Summary'!S$4)-D25</f>
        <v>0</v>
      </c>
      <c r="T25" s="275">
        <f>SUMIFS('Order Details'!$Q:$Q,'Order Details'!$E:$E,"Yes",'Order Details'!$I:$I,$Q25,'Order Details'!$F:$F,'Item Summary'!T$4)-E25</f>
        <v>1600</v>
      </c>
      <c r="U25" s="275">
        <f>SUMIFS('Order Details'!$Q:$Q,'Order Details'!$E:$E,"Yes",'Order Details'!$I:$I,$Q25,'Order Details'!$F:$F,'Item Summary'!U$4)-F25</f>
        <v>1200</v>
      </c>
      <c r="V25" s="275">
        <f>SUMIFS('Order Details'!$Q:$Q,'Order Details'!$E:$E,"Yes",'Order Details'!$I:$I,$Q25,'Order Details'!$F:$F,'Item Summary'!V$4)-G25</f>
        <v>2400</v>
      </c>
      <c r="W25" s="275">
        <f>SUMIFS('Order Details'!$Q:$Q,'Order Details'!$E:$E,"Yes",'Order Details'!$I:$I,$Q25,'Order Details'!$F:$F,'Item Summary'!W$4)-H25</f>
        <v>1000</v>
      </c>
      <c r="X25" s="275">
        <f>SUMIFS('Order Details'!$Q:$Q,'Order Details'!$E:$E,"Yes",'Order Details'!$I:$I,$Q25,'Order Details'!$F:$F,'Item Summary'!X$4)-I25</f>
        <v>0</v>
      </c>
      <c r="Y25" s="275">
        <f>SUMIFS('Order Details'!$Q:$Q,'Order Details'!$E:$E,"Yes",'Order Details'!$I:$I,$Q25,'Order Details'!$F:$F,'Item Summary'!Y$4)-J25</f>
        <v>0</v>
      </c>
      <c r="Z25" s="275">
        <f>SUMIFS('Order Details'!$Q:$Q,'Order Details'!$E:$E,"Yes",'Order Details'!$I:$I,$Q25,'Order Details'!$F:$F,'Item Summary'!Z$4)-K25</f>
        <v>0</v>
      </c>
      <c r="AA25" s="291">
        <f>SUMIFS('Order Details'!$Q:$Q,'Order Details'!$E:$E,"Yes",'Order Details'!$I:$I,$Q25,'Order Details'!$F:$F,'Item Summary'!AA$4)-L25</f>
        <v>800</v>
      </c>
      <c r="AB25" s="276">
        <f>SUMIFS('Order Details'!$Q:$Q,'Order Details'!$E:$E,"Yes",'Order Details'!$I:$I,$Q25,'Order Details'!$F:$F,'Item Summary'!AB$4)-M25</f>
        <v>0</v>
      </c>
      <c r="AC25" s="279">
        <f t="shared" si="1"/>
        <v>7000</v>
      </c>
    </row>
    <row r="26" spans="2:29" x14ac:dyDescent="0.3">
      <c r="B26" s="278">
        <v>694444</v>
      </c>
      <c r="C26" s="274" t="str">
        <f>VLOOKUP($B26,'Pricing Table - eff 27-Jan-2026'!$A:$L,9,FALSE)&amp;""" "&amp;VLOOKUP($B26,'Pricing Table - eff 27-Jan-2026'!$A:$L,12,FALSE)</f>
        <v>96" CHARCOAL METALLIC</v>
      </c>
      <c r="D26" s="275">
        <f>SUMIFS('Order Details'!$Q:$Q,'Order Details'!$E:$E,"Yes",'Order Details'!$I:$I,'Item Summary'!$B26,'Order Details'!$F:$F,'Item Summary'!D$4,'Order Details'!$C:$C,"PO Received")+SUMIFS('Order Details'!$Q:$Q,'Order Details'!$E:$E,"Yes",'Order Details'!$I:$I,'Item Summary'!$B26,'Order Details'!$F:$F,'Item Summary'!D$4,'Order Details'!$C:$C,"Proforma Invoice Sent")+SUMIFS('Order Details'!$Q:$Q,'Order Details'!$E:$E,"Yes",'Order Details'!$I:$I,'Item Summary'!$B26,'Order Details'!$F:$F,'Item Summary'!D$4,'Order Details'!$C:$C,"Downpayment Received")+SUMIFS('Order Details'!$Q:$Q,'Order Details'!$E:$E,"Yes",'Order Details'!$I:$I,'Item Summary'!$B26,'Order Details'!$F:$F,'Item Summary'!D$4,'Order Details'!$C:$C,"In Production")</f>
        <v>400</v>
      </c>
      <c r="E26" s="275">
        <f>SUMIFS('Order Details'!$Q:$Q,'Order Details'!$E:$E,"Yes",'Order Details'!$I:$I,'Item Summary'!$B26,'Order Details'!$F:$F,'Item Summary'!E$4,'Order Details'!$C:$C,"PO Received")+SUMIFS('Order Details'!$Q:$Q,'Order Details'!$E:$E,"Yes",'Order Details'!$I:$I,'Item Summary'!$B26,'Order Details'!$F:$F,'Item Summary'!E$4,'Order Details'!$C:$C,"Proforma Invoice Sent")+SUMIFS('Order Details'!$Q:$Q,'Order Details'!$E:$E,"Yes",'Order Details'!$I:$I,'Item Summary'!$B26,'Order Details'!$F:$F,'Item Summary'!E$4,'Order Details'!$C:$C,"Downpayment Received")+SUMIFS('Order Details'!$Q:$Q,'Order Details'!$E:$E,"Yes",'Order Details'!$I:$I,'Item Summary'!$B26,'Order Details'!$F:$F,'Item Summary'!E$4,'Order Details'!$C:$C,"In Production")</f>
        <v>400</v>
      </c>
      <c r="F26" s="275">
        <f>SUMIFS('Order Details'!$Q:$Q,'Order Details'!$E:$E,"Yes",'Order Details'!$I:$I,'Item Summary'!$B26,'Order Details'!$F:$F,'Item Summary'!F$4,'Order Details'!$C:$C,"PO Received")+SUMIFS('Order Details'!$Q:$Q,'Order Details'!$E:$E,"Yes",'Order Details'!$I:$I,'Item Summary'!$B26,'Order Details'!$F:$F,'Item Summary'!F$4,'Order Details'!$C:$C,"Proforma Invoice Sent")+SUMIFS('Order Details'!$Q:$Q,'Order Details'!$E:$E,"Yes",'Order Details'!$I:$I,'Item Summary'!$B26,'Order Details'!$F:$F,'Item Summary'!F$4,'Order Details'!$C:$C,"Downpayment Received")+SUMIFS('Order Details'!$Q:$Q,'Order Details'!$E:$E,"Yes",'Order Details'!$I:$I,'Item Summary'!$B26,'Order Details'!$F:$F,'Item Summary'!F$4,'Order Details'!$C:$C,"In Production")</f>
        <v>0</v>
      </c>
      <c r="G26" s="275">
        <f>SUMIFS('Order Details'!$Q:$Q,'Order Details'!$E:$E,"Yes",'Order Details'!$I:$I,'Item Summary'!$B26,'Order Details'!$F:$F,'Item Summary'!G$4,'Order Details'!$C:$C,"PO Received")+SUMIFS('Order Details'!$Q:$Q,'Order Details'!$E:$E,"Yes",'Order Details'!$I:$I,'Item Summary'!$B26,'Order Details'!$F:$F,'Item Summary'!G$4,'Order Details'!$C:$C,"Proforma Invoice Sent")+SUMIFS('Order Details'!$Q:$Q,'Order Details'!$E:$E,"Yes",'Order Details'!$I:$I,'Item Summary'!$B26,'Order Details'!$F:$F,'Item Summary'!G$4,'Order Details'!$C:$C,"Downpayment Received")+SUMIFS('Order Details'!$Q:$Q,'Order Details'!$E:$E,"Yes",'Order Details'!$I:$I,'Item Summary'!$B26,'Order Details'!$F:$F,'Item Summary'!G$4,'Order Details'!$C:$C,"In Production")</f>
        <v>1400</v>
      </c>
      <c r="H26" s="275">
        <f>SUMIFS('Order Details'!$Q:$Q,'Order Details'!$E:$E,"Yes",'Order Details'!$I:$I,'Item Summary'!$B26,'Order Details'!$F:$F,'Item Summary'!H$4,'Order Details'!$C:$C,"PO Received")+SUMIFS('Order Details'!$Q:$Q,'Order Details'!$E:$E,"Yes",'Order Details'!$I:$I,'Item Summary'!$B26,'Order Details'!$F:$F,'Item Summary'!H$4,'Order Details'!$C:$C,"Proforma Invoice Sent")+SUMIFS('Order Details'!$Q:$Q,'Order Details'!$E:$E,"Yes",'Order Details'!$I:$I,'Item Summary'!$B26,'Order Details'!$F:$F,'Item Summary'!H$4,'Order Details'!$C:$C,"Downpayment Received")+SUMIFS('Order Details'!$Q:$Q,'Order Details'!$E:$E,"Yes",'Order Details'!$I:$I,'Item Summary'!$B26,'Order Details'!$F:$F,'Item Summary'!H$4,'Order Details'!$C:$C,"In Production")</f>
        <v>1800</v>
      </c>
      <c r="I26" s="275">
        <f>SUMIFS('Order Details'!$Q:$Q,'Order Details'!$E:$E,"Yes",'Order Details'!$I:$I,'Item Summary'!$B26,'Order Details'!$F:$F,'Item Summary'!I$4,'Order Details'!$C:$C,"PO Received")+SUMIFS('Order Details'!$Q:$Q,'Order Details'!$E:$E,"Yes",'Order Details'!$I:$I,'Item Summary'!$B26,'Order Details'!$F:$F,'Item Summary'!I$4,'Order Details'!$C:$C,"Proforma Invoice Sent")+SUMIFS('Order Details'!$Q:$Q,'Order Details'!$E:$E,"Yes",'Order Details'!$I:$I,'Item Summary'!$B26,'Order Details'!$F:$F,'Item Summary'!I$4,'Order Details'!$C:$C,"Downpayment Received")+SUMIFS('Order Details'!$Q:$Q,'Order Details'!$E:$E,"Yes",'Order Details'!$I:$I,'Item Summary'!$B26,'Order Details'!$F:$F,'Item Summary'!I$4,'Order Details'!$C:$C,"In Production")</f>
        <v>3200</v>
      </c>
      <c r="J26" s="275">
        <f>SUMIFS('Order Details'!$Q:$Q,'Order Details'!$E:$E,"Yes",'Order Details'!$I:$I,'Item Summary'!$B26,'Order Details'!$F:$F,'Item Summary'!J$4,'Order Details'!$C:$C,"PO Received")+SUMIFS('Order Details'!$Q:$Q,'Order Details'!$E:$E,"Yes",'Order Details'!$I:$I,'Item Summary'!$B26,'Order Details'!$F:$F,'Item Summary'!J$4,'Order Details'!$C:$C,"Proforma Invoice Sent")+SUMIFS('Order Details'!$Q:$Q,'Order Details'!$E:$E,"Yes",'Order Details'!$I:$I,'Item Summary'!$B26,'Order Details'!$F:$F,'Item Summary'!J$4,'Order Details'!$C:$C,"Downpayment Received")+SUMIFS('Order Details'!$Q:$Q,'Order Details'!$E:$E,"Yes",'Order Details'!$I:$I,'Item Summary'!$B26,'Order Details'!$F:$F,'Item Summary'!J$4,'Order Details'!$C:$C,"In Production")</f>
        <v>0</v>
      </c>
      <c r="K26" s="275">
        <f>SUMIFS('Order Details'!$Q:$Q,'Order Details'!$E:$E,"Yes",'Order Details'!$I:$I,'Item Summary'!$B26,'Order Details'!$F:$F,'Item Summary'!K$4,'Order Details'!$C:$C,"PO Received")+SUMIFS('Order Details'!$Q:$Q,'Order Details'!$E:$E,"Yes",'Order Details'!$I:$I,'Item Summary'!$B26,'Order Details'!$F:$F,'Item Summary'!K$4,'Order Details'!$C:$C,"Proforma Invoice Sent")+SUMIFS('Order Details'!$Q:$Q,'Order Details'!$E:$E,"Yes",'Order Details'!$I:$I,'Item Summary'!$B26,'Order Details'!$F:$F,'Item Summary'!K$4,'Order Details'!$C:$C,"Downpayment Received")+SUMIFS('Order Details'!$Q:$Q,'Order Details'!$E:$E,"Yes",'Order Details'!$I:$I,'Item Summary'!$B26,'Order Details'!$F:$F,'Item Summary'!K$4,'Order Details'!$C:$C,"In Production")</f>
        <v>0</v>
      </c>
      <c r="L26" s="291">
        <f>SUMIFS('Order Details'!$Q:$Q,'Order Details'!$E:$E,"Yes",'Order Details'!$I:$I,'Item Summary'!$B26,'Order Details'!$F:$F,'Item Summary'!L$4,'Order Details'!$C:$C,"PO Received")+SUMIFS('Order Details'!$Q:$Q,'Order Details'!$E:$E,"Yes",'Order Details'!$I:$I,'Item Summary'!$B26,'Order Details'!$F:$F,'Item Summary'!L$4,'Order Details'!$C:$C,"Proforma Invoice Sent")+SUMIFS('Order Details'!$Q:$Q,'Order Details'!$E:$E,"Yes",'Order Details'!$I:$I,'Item Summary'!$B26,'Order Details'!$F:$F,'Item Summary'!L$4,'Order Details'!$C:$C,"Downpayment Received")+SUMIFS('Order Details'!$Q:$Q,'Order Details'!$E:$E,"Yes",'Order Details'!$I:$I,'Item Summary'!$B26,'Order Details'!$F:$F,'Item Summary'!L$4,'Order Details'!$C:$C,"In Production")</f>
        <v>0</v>
      </c>
      <c r="M26" s="276">
        <f>SUMIFS('Order Details'!$Q:$Q,'Order Details'!$E:$E,"Yes",'Order Details'!$I:$I,'Item Summary'!$B26,'Order Details'!$F:$F,'Item Summary'!M$4,'Order Details'!$C:$C,"PO Received")+SUMIFS('Order Details'!$Q:$Q,'Order Details'!$E:$E,"Yes",'Order Details'!$I:$I,'Item Summary'!$B26,'Order Details'!$F:$F,'Item Summary'!M$4,'Order Details'!$C:$C,"Proforma Invoice Sent")+SUMIFS('Order Details'!$Q:$Q,'Order Details'!$E:$E,"Yes",'Order Details'!$I:$I,'Item Summary'!$B26,'Order Details'!$F:$F,'Item Summary'!M$4,'Order Details'!$C:$C,"Downpayment Received")+SUMIFS('Order Details'!$Q:$Q,'Order Details'!$E:$E,"Yes",'Order Details'!$I:$I,'Item Summary'!$B26,'Order Details'!$F:$F,'Item Summary'!M$4,'Order Details'!$C:$C,"In Production")</f>
        <v>0</v>
      </c>
      <c r="N26" s="279">
        <f t="shared" si="0"/>
        <v>7200</v>
      </c>
      <c r="Q26" s="278">
        <v>694444</v>
      </c>
      <c r="R26" s="274" t="str">
        <f>VLOOKUP($Q26,'Pricing Table - eff 27-Jan-2026'!$A:$L,9,FALSE)&amp;""" "&amp;VLOOKUP($Q26,'Pricing Table - eff 27-Jan-2026'!$A:$L,12,FALSE)</f>
        <v>96" CHARCOAL METALLIC</v>
      </c>
      <c r="S26" s="275">
        <f>SUMIFS('Order Details'!$Q:$Q,'Order Details'!$E:$E,"Yes",'Order Details'!$I:$I,$Q26,'Order Details'!$F:$F,'Item Summary'!S$4)-D26</f>
        <v>200</v>
      </c>
      <c r="T26" s="275">
        <f>SUMIFS('Order Details'!$Q:$Q,'Order Details'!$E:$E,"Yes",'Order Details'!$I:$I,$Q26,'Order Details'!$F:$F,'Item Summary'!T$4)-E26</f>
        <v>2400</v>
      </c>
      <c r="U26" s="275">
        <f>SUMIFS('Order Details'!$Q:$Q,'Order Details'!$E:$E,"Yes",'Order Details'!$I:$I,$Q26,'Order Details'!$F:$F,'Item Summary'!U$4)-F26</f>
        <v>600</v>
      </c>
      <c r="V26" s="275">
        <f>SUMIFS('Order Details'!$Q:$Q,'Order Details'!$E:$E,"Yes",'Order Details'!$I:$I,$Q26,'Order Details'!$F:$F,'Item Summary'!V$4)-G26</f>
        <v>3800</v>
      </c>
      <c r="W26" s="275">
        <f>SUMIFS('Order Details'!$Q:$Q,'Order Details'!$E:$E,"Yes",'Order Details'!$I:$I,$Q26,'Order Details'!$F:$F,'Item Summary'!W$4)-H26</f>
        <v>5200</v>
      </c>
      <c r="X26" s="275">
        <f>SUMIFS('Order Details'!$Q:$Q,'Order Details'!$E:$E,"Yes",'Order Details'!$I:$I,$Q26,'Order Details'!$F:$F,'Item Summary'!X$4)-I26</f>
        <v>1200</v>
      </c>
      <c r="Y26" s="275">
        <f>SUMIFS('Order Details'!$Q:$Q,'Order Details'!$E:$E,"Yes",'Order Details'!$I:$I,$Q26,'Order Details'!$F:$F,'Item Summary'!Y$4)-J26</f>
        <v>800</v>
      </c>
      <c r="Z26" s="275">
        <f>SUMIFS('Order Details'!$Q:$Q,'Order Details'!$E:$E,"Yes",'Order Details'!$I:$I,$Q26,'Order Details'!$F:$F,'Item Summary'!Z$4)-K26</f>
        <v>5600</v>
      </c>
      <c r="AA26" s="291">
        <f>SUMIFS('Order Details'!$Q:$Q,'Order Details'!$E:$E,"Yes",'Order Details'!$I:$I,$Q26,'Order Details'!$F:$F,'Item Summary'!AA$4)-L26</f>
        <v>1400</v>
      </c>
      <c r="AB26" s="276">
        <f>SUMIFS('Order Details'!$Q:$Q,'Order Details'!$E:$E,"Yes",'Order Details'!$I:$I,$Q26,'Order Details'!$F:$F,'Item Summary'!AB$4)-M26</f>
        <v>5600</v>
      </c>
      <c r="AC26" s="279">
        <f t="shared" si="1"/>
        <v>26800</v>
      </c>
    </row>
    <row r="27" spans="2:29" x14ac:dyDescent="0.3">
      <c r="B27" s="278">
        <v>694445</v>
      </c>
      <c r="C27" s="274" t="str">
        <f>VLOOKUP($B27,'Pricing Table - eff 27-Jan-2026'!$A:$L,9,FALSE)&amp;""" "&amp;VLOOKUP($B27,'Pricing Table - eff 27-Jan-2026'!$A:$L,12,FALSE)</f>
        <v>108" CHARCOAL METALLIC</v>
      </c>
      <c r="D27" s="275">
        <f>SUMIFS('Order Details'!$Q:$Q,'Order Details'!$E:$E,"Yes",'Order Details'!$I:$I,'Item Summary'!$B27,'Order Details'!$F:$F,'Item Summary'!D$4,'Order Details'!$C:$C,"PO Received")+SUMIFS('Order Details'!$Q:$Q,'Order Details'!$E:$E,"Yes",'Order Details'!$I:$I,'Item Summary'!$B27,'Order Details'!$F:$F,'Item Summary'!D$4,'Order Details'!$C:$C,"Proforma Invoice Sent")+SUMIFS('Order Details'!$Q:$Q,'Order Details'!$E:$E,"Yes",'Order Details'!$I:$I,'Item Summary'!$B27,'Order Details'!$F:$F,'Item Summary'!D$4,'Order Details'!$C:$C,"Downpayment Received")+SUMIFS('Order Details'!$Q:$Q,'Order Details'!$E:$E,"Yes",'Order Details'!$I:$I,'Item Summary'!$B27,'Order Details'!$F:$F,'Item Summary'!D$4,'Order Details'!$C:$C,"In Production")</f>
        <v>1000</v>
      </c>
      <c r="E27" s="275">
        <f>SUMIFS('Order Details'!$Q:$Q,'Order Details'!$E:$E,"Yes",'Order Details'!$I:$I,'Item Summary'!$B27,'Order Details'!$F:$F,'Item Summary'!E$4,'Order Details'!$C:$C,"PO Received")+SUMIFS('Order Details'!$Q:$Q,'Order Details'!$E:$E,"Yes",'Order Details'!$I:$I,'Item Summary'!$B27,'Order Details'!$F:$F,'Item Summary'!E$4,'Order Details'!$C:$C,"Proforma Invoice Sent")+SUMIFS('Order Details'!$Q:$Q,'Order Details'!$E:$E,"Yes",'Order Details'!$I:$I,'Item Summary'!$B27,'Order Details'!$F:$F,'Item Summary'!E$4,'Order Details'!$C:$C,"Downpayment Received")+SUMIFS('Order Details'!$Q:$Q,'Order Details'!$E:$E,"Yes",'Order Details'!$I:$I,'Item Summary'!$B27,'Order Details'!$F:$F,'Item Summary'!E$4,'Order Details'!$C:$C,"In Production")</f>
        <v>0</v>
      </c>
      <c r="F27" s="275">
        <f>SUMIFS('Order Details'!$Q:$Q,'Order Details'!$E:$E,"Yes",'Order Details'!$I:$I,'Item Summary'!$B27,'Order Details'!$F:$F,'Item Summary'!F$4,'Order Details'!$C:$C,"PO Received")+SUMIFS('Order Details'!$Q:$Q,'Order Details'!$E:$E,"Yes",'Order Details'!$I:$I,'Item Summary'!$B27,'Order Details'!$F:$F,'Item Summary'!F$4,'Order Details'!$C:$C,"Proforma Invoice Sent")+SUMIFS('Order Details'!$Q:$Q,'Order Details'!$E:$E,"Yes",'Order Details'!$I:$I,'Item Summary'!$B27,'Order Details'!$F:$F,'Item Summary'!F$4,'Order Details'!$C:$C,"Downpayment Received")+SUMIFS('Order Details'!$Q:$Q,'Order Details'!$E:$E,"Yes",'Order Details'!$I:$I,'Item Summary'!$B27,'Order Details'!$F:$F,'Item Summary'!F$4,'Order Details'!$C:$C,"In Production")</f>
        <v>1550</v>
      </c>
      <c r="G27" s="275">
        <f>SUMIFS('Order Details'!$Q:$Q,'Order Details'!$E:$E,"Yes",'Order Details'!$I:$I,'Item Summary'!$B27,'Order Details'!$F:$F,'Item Summary'!G$4,'Order Details'!$C:$C,"PO Received")+SUMIFS('Order Details'!$Q:$Q,'Order Details'!$E:$E,"Yes",'Order Details'!$I:$I,'Item Summary'!$B27,'Order Details'!$F:$F,'Item Summary'!G$4,'Order Details'!$C:$C,"Proforma Invoice Sent")+SUMIFS('Order Details'!$Q:$Q,'Order Details'!$E:$E,"Yes",'Order Details'!$I:$I,'Item Summary'!$B27,'Order Details'!$F:$F,'Item Summary'!G$4,'Order Details'!$C:$C,"Downpayment Received")+SUMIFS('Order Details'!$Q:$Q,'Order Details'!$E:$E,"Yes",'Order Details'!$I:$I,'Item Summary'!$B27,'Order Details'!$F:$F,'Item Summary'!G$4,'Order Details'!$C:$C,"In Production")</f>
        <v>600</v>
      </c>
      <c r="H27" s="275">
        <f>SUMIFS('Order Details'!$Q:$Q,'Order Details'!$E:$E,"Yes",'Order Details'!$I:$I,'Item Summary'!$B27,'Order Details'!$F:$F,'Item Summary'!H$4,'Order Details'!$C:$C,"PO Received")+SUMIFS('Order Details'!$Q:$Q,'Order Details'!$E:$E,"Yes",'Order Details'!$I:$I,'Item Summary'!$B27,'Order Details'!$F:$F,'Item Summary'!H$4,'Order Details'!$C:$C,"Proforma Invoice Sent")+SUMIFS('Order Details'!$Q:$Q,'Order Details'!$E:$E,"Yes",'Order Details'!$I:$I,'Item Summary'!$B27,'Order Details'!$F:$F,'Item Summary'!H$4,'Order Details'!$C:$C,"Downpayment Received")+SUMIFS('Order Details'!$Q:$Q,'Order Details'!$E:$E,"Yes",'Order Details'!$I:$I,'Item Summary'!$B27,'Order Details'!$F:$F,'Item Summary'!H$4,'Order Details'!$C:$C,"In Production")</f>
        <v>0</v>
      </c>
      <c r="I27" s="275">
        <f>SUMIFS('Order Details'!$Q:$Q,'Order Details'!$E:$E,"Yes",'Order Details'!$I:$I,'Item Summary'!$B27,'Order Details'!$F:$F,'Item Summary'!I$4,'Order Details'!$C:$C,"PO Received")+SUMIFS('Order Details'!$Q:$Q,'Order Details'!$E:$E,"Yes",'Order Details'!$I:$I,'Item Summary'!$B27,'Order Details'!$F:$F,'Item Summary'!I$4,'Order Details'!$C:$C,"Proforma Invoice Sent")+SUMIFS('Order Details'!$Q:$Q,'Order Details'!$E:$E,"Yes",'Order Details'!$I:$I,'Item Summary'!$B27,'Order Details'!$F:$F,'Item Summary'!I$4,'Order Details'!$C:$C,"Downpayment Received")+SUMIFS('Order Details'!$Q:$Q,'Order Details'!$E:$E,"Yes",'Order Details'!$I:$I,'Item Summary'!$B27,'Order Details'!$F:$F,'Item Summary'!I$4,'Order Details'!$C:$C,"In Production")</f>
        <v>1400</v>
      </c>
      <c r="J27" s="275">
        <f>SUMIFS('Order Details'!$Q:$Q,'Order Details'!$E:$E,"Yes",'Order Details'!$I:$I,'Item Summary'!$B27,'Order Details'!$F:$F,'Item Summary'!J$4,'Order Details'!$C:$C,"PO Received")+SUMIFS('Order Details'!$Q:$Q,'Order Details'!$E:$E,"Yes",'Order Details'!$I:$I,'Item Summary'!$B27,'Order Details'!$F:$F,'Item Summary'!J$4,'Order Details'!$C:$C,"Proforma Invoice Sent")+SUMIFS('Order Details'!$Q:$Q,'Order Details'!$E:$E,"Yes",'Order Details'!$I:$I,'Item Summary'!$B27,'Order Details'!$F:$F,'Item Summary'!J$4,'Order Details'!$C:$C,"Downpayment Received")+SUMIFS('Order Details'!$Q:$Q,'Order Details'!$E:$E,"Yes",'Order Details'!$I:$I,'Item Summary'!$B27,'Order Details'!$F:$F,'Item Summary'!J$4,'Order Details'!$C:$C,"In Production")</f>
        <v>1000</v>
      </c>
      <c r="K27" s="275">
        <f>SUMIFS('Order Details'!$Q:$Q,'Order Details'!$E:$E,"Yes",'Order Details'!$I:$I,'Item Summary'!$B27,'Order Details'!$F:$F,'Item Summary'!K$4,'Order Details'!$C:$C,"PO Received")+SUMIFS('Order Details'!$Q:$Q,'Order Details'!$E:$E,"Yes",'Order Details'!$I:$I,'Item Summary'!$B27,'Order Details'!$F:$F,'Item Summary'!K$4,'Order Details'!$C:$C,"Proforma Invoice Sent")+SUMIFS('Order Details'!$Q:$Q,'Order Details'!$E:$E,"Yes",'Order Details'!$I:$I,'Item Summary'!$B27,'Order Details'!$F:$F,'Item Summary'!K$4,'Order Details'!$C:$C,"Downpayment Received")+SUMIFS('Order Details'!$Q:$Q,'Order Details'!$E:$E,"Yes",'Order Details'!$I:$I,'Item Summary'!$B27,'Order Details'!$F:$F,'Item Summary'!K$4,'Order Details'!$C:$C,"In Production")</f>
        <v>0</v>
      </c>
      <c r="L27" s="291">
        <f>SUMIFS('Order Details'!$Q:$Q,'Order Details'!$E:$E,"Yes",'Order Details'!$I:$I,'Item Summary'!$B27,'Order Details'!$F:$F,'Item Summary'!L$4,'Order Details'!$C:$C,"PO Received")+SUMIFS('Order Details'!$Q:$Q,'Order Details'!$E:$E,"Yes",'Order Details'!$I:$I,'Item Summary'!$B27,'Order Details'!$F:$F,'Item Summary'!L$4,'Order Details'!$C:$C,"Proforma Invoice Sent")+SUMIFS('Order Details'!$Q:$Q,'Order Details'!$E:$E,"Yes",'Order Details'!$I:$I,'Item Summary'!$B27,'Order Details'!$F:$F,'Item Summary'!L$4,'Order Details'!$C:$C,"Downpayment Received")+SUMIFS('Order Details'!$Q:$Q,'Order Details'!$E:$E,"Yes",'Order Details'!$I:$I,'Item Summary'!$B27,'Order Details'!$F:$F,'Item Summary'!L$4,'Order Details'!$C:$C,"In Production")</f>
        <v>0</v>
      </c>
      <c r="M27" s="276">
        <f>SUMIFS('Order Details'!$Q:$Q,'Order Details'!$E:$E,"Yes",'Order Details'!$I:$I,'Item Summary'!$B27,'Order Details'!$F:$F,'Item Summary'!M$4,'Order Details'!$C:$C,"PO Received")+SUMIFS('Order Details'!$Q:$Q,'Order Details'!$E:$E,"Yes",'Order Details'!$I:$I,'Item Summary'!$B27,'Order Details'!$F:$F,'Item Summary'!M$4,'Order Details'!$C:$C,"Proforma Invoice Sent")+SUMIFS('Order Details'!$Q:$Q,'Order Details'!$E:$E,"Yes",'Order Details'!$I:$I,'Item Summary'!$B27,'Order Details'!$F:$F,'Item Summary'!M$4,'Order Details'!$C:$C,"Downpayment Received")+SUMIFS('Order Details'!$Q:$Q,'Order Details'!$E:$E,"Yes",'Order Details'!$I:$I,'Item Summary'!$B27,'Order Details'!$F:$F,'Item Summary'!M$4,'Order Details'!$C:$C,"In Production")</f>
        <v>0</v>
      </c>
      <c r="N27" s="279">
        <f t="shared" si="0"/>
        <v>5550</v>
      </c>
      <c r="Q27" s="278">
        <v>694445</v>
      </c>
      <c r="R27" s="274" t="str">
        <f>VLOOKUP($Q27,'Pricing Table - eff 27-Jan-2026'!$A:$L,9,FALSE)&amp;""" "&amp;VLOOKUP($Q27,'Pricing Table - eff 27-Jan-2026'!$A:$L,12,FALSE)</f>
        <v>108" CHARCOAL METALLIC</v>
      </c>
      <c r="S27" s="275">
        <f>SUMIFS('Order Details'!$Q:$Q,'Order Details'!$E:$E,"Yes",'Order Details'!$I:$I,$Q27,'Order Details'!$F:$F,'Item Summary'!S$4)-D27</f>
        <v>200</v>
      </c>
      <c r="T27" s="275">
        <f>SUMIFS('Order Details'!$Q:$Q,'Order Details'!$E:$E,"Yes",'Order Details'!$I:$I,$Q27,'Order Details'!$F:$F,'Item Summary'!T$4)-E27</f>
        <v>800</v>
      </c>
      <c r="U27" s="275">
        <f>SUMIFS('Order Details'!$Q:$Q,'Order Details'!$E:$E,"Yes",'Order Details'!$I:$I,$Q27,'Order Details'!$F:$F,'Item Summary'!U$4)-F27</f>
        <v>2000</v>
      </c>
      <c r="V27" s="275">
        <f>SUMIFS('Order Details'!$Q:$Q,'Order Details'!$E:$E,"Yes",'Order Details'!$I:$I,$Q27,'Order Details'!$F:$F,'Item Summary'!V$4)-G27</f>
        <v>2400</v>
      </c>
      <c r="W27" s="275">
        <f>SUMIFS('Order Details'!$Q:$Q,'Order Details'!$E:$E,"Yes",'Order Details'!$I:$I,$Q27,'Order Details'!$F:$F,'Item Summary'!W$4)-H27</f>
        <v>1000</v>
      </c>
      <c r="X27" s="275">
        <f>SUMIFS('Order Details'!$Q:$Q,'Order Details'!$E:$E,"Yes",'Order Details'!$I:$I,$Q27,'Order Details'!$F:$F,'Item Summary'!X$4)-I27</f>
        <v>0</v>
      </c>
      <c r="Y27" s="275">
        <f>SUMIFS('Order Details'!$Q:$Q,'Order Details'!$E:$E,"Yes",'Order Details'!$I:$I,$Q27,'Order Details'!$F:$F,'Item Summary'!Y$4)-J27</f>
        <v>1200</v>
      </c>
      <c r="Z27" s="275">
        <f>SUMIFS('Order Details'!$Q:$Q,'Order Details'!$E:$E,"Yes",'Order Details'!$I:$I,$Q27,'Order Details'!$F:$F,'Item Summary'!Z$4)-K27</f>
        <v>2400</v>
      </c>
      <c r="AA27" s="291">
        <f>SUMIFS('Order Details'!$Q:$Q,'Order Details'!$E:$E,"Yes",'Order Details'!$I:$I,$Q27,'Order Details'!$F:$F,'Item Summary'!AA$4)-L27</f>
        <v>400</v>
      </c>
      <c r="AB27" s="276">
        <f>SUMIFS('Order Details'!$Q:$Q,'Order Details'!$E:$E,"Yes",'Order Details'!$I:$I,$Q27,'Order Details'!$F:$F,'Item Summary'!AB$4)-M27</f>
        <v>2400</v>
      </c>
      <c r="AC27" s="279">
        <f t="shared" si="1"/>
        <v>12800</v>
      </c>
    </row>
    <row r="28" spans="2:29" x14ac:dyDescent="0.3">
      <c r="B28" s="278">
        <v>694446</v>
      </c>
      <c r="C28" s="274" t="str">
        <f>VLOOKUP($B28,'Pricing Table - eff 27-Jan-2026'!$A:$L,9,FALSE)&amp;""" "&amp;VLOOKUP($B28,'Pricing Table - eff 27-Jan-2026'!$A:$L,12,FALSE)</f>
        <v>144" CHARCOAL METALLIC</v>
      </c>
      <c r="D28" s="275">
        <f>SUMIFS('Order Details'!$Q:$Q,'Order Details'!$E:$E,"Yes",'Order Details'!$I:$I,'Item Summary'!$B28,'Order Details'!$F:$F,'Item Summary'!D$4,'Order Details'!$C:$C,"PO Received")+SUMIFS('Order Details'!$Q:$Q,'Order Details'!$E:$E,"Yes",'Order Details'!$I:$I,'Item Summary'!$B28,'Order Details'!$F:$F,'Item Summary'!D$4,'Order Details'!$C:$C,"Proforma Invoice Sent")+SUMIFS('Order Details'!$Q:$Q,'Order Details'!$E:$E,"Yes",'Order Details'!$I:$I,'Item Summary'!$B28,'Order Details'!$F:$F,'Item Summary'!D$4,'Order Details'!$C:$C,"Downpayment Received")+SUMIFS('Order Details'!$Q:$Q,'Order Details'!$E:$E,"Yes",'Order Details'!$I:$I,'Item Summary'!$B28,'Order Details'!$F:$F,'Item Summary'!D$4,'Order Details'!$C:$C,"In Production")</f>
        <v>0</v>
      </c>
      <c r="E28" s="275">
        <f>SUMIFS('Order Details'!$Q:$Q,'Order Details'!$E:$E,"Yes",'Order Details'!$I:$I,'Item Summary'!$B28,'Order Details'!$F:$F,'Item Summary'!E$4,'Order Details'!$C:$C,"PO Received")+SUMIFS('Order Details'!$Q:$Q,'Order Details'!$E:$E,"Yes",'Order Details'!$I:$I,'Item Summary'!$B28,'Order Details'!$F:$F,'Item Summary'!E$4,'Order Details'!$C:$C,"Proforma Invoice Sent")+SUMIFS('Order Details'!$Q:$Q,'Order Details'!$E:$E,"Yes",'Order Details'!$I:$I,'Item Summary'!$B28,'Order Details'!$F:$F,'Item Summary'!E$4,'Order Details'!$C:$C,"Downpayment Received")+SUMIFS('Order Details'!$Q:$Q,'Order Details'!$E:$E,"Yes",'Order Details'!$I:$I,'Item Summary'!$B28,'Order Details'!$F:$F,'Item Summary'!E$4,'Order Details'!$C:$C,"In Production")</f>
        <v>0</v>
      </c>
      <c r="F28" s="275">
        <f>SUMIFS('Order Details'!$Q:$Q,'Order Details'!$E:$E,"Yes",'Order Details'!$I:$I,'Item Summary'!$B28,'Order Details'!$F:$F,'Item Summary'!F$4,'Order Details'!$C:$C,"PO Received")+SUMIFS('Order Details'!$Q:$Q,'Order Details'!$E:$E,"Yes",'Order Details'!$I:$I,'Item Summary'!$B28,'Order Details'!$F:$F,'Item Summary'!F$4,'Order Details'!$C:$C,"Proforma Invoice Sent")+SUMIFS('Order Details'!$Q:$Q,'Order Details'!$E:$E,"Yes",'Order Details'!$I:$I,'Item Summary'!$B28,'Order Details'!$F:$F,'Item Summary'!F$4,'Order Details'!$C:$C,"Downpayment Received")+SUMIFS('Order Details'!$Q:$Q,'Order Details'!$E:$E,"Yes",'Order Details'!$I:$I,'Item Summary'!$B28,'Order Details'!$F:$F,'Item Summary'!F$4,'Order Details'!$C:$C,"In Production")</f>
        <v>600</v>
      </c>
      <c r="G28" s="275">
        <f>SUMIFS('Order Details'!$Q:$Q,'Order Details'!$E:$E,"Yes",'Order Details'!$I:$I,'Item Summary'!$B28,'Order Details'!$F:$F,'Item Summary'!G$4,'Order Details'!$C:$C,"PO Received")+SUMIFS('Order Details'!$Q:$Q,'Order Details'!$E:$E,"Yes",'Order Details'!$I:$I,'Item Summary'!$B28,'Order Details'!$F:$F,'Item Summary'!G$4,'Order Details'!$C:$C,"Proforma Invoice Sent")+SUMIFS('Order Details'!$Q:$Q,'Order Details'!$E:$E,"Yes",'Order Details'!$I:$I,'Item Summary'!$B28,'Order Details'!$F:$F,'Item Summary'!G$4,'Order Details'!$C:$C,"Downpayment Received")+SUMIFS('Order Details'!$Q:$Q,'Order Details'!$E:$E,"Yes",'Order Details'!$I:$I,'Item Summary'!$B28,'Order Details'!$F:$F,'Item Summary'!G$4,'Order Details'!$C:$C,"In Production")</f>
        <v>0</v>
      </c>
      <c r="H28" s="275">
        <f>SUMIFS('Order Details'!$Q:$Q,'Order Details'!$E:$E,"Yes",'Order Details'!$I:$I,'Item Summary'!$B28,'Order Details'!$F:$F,'Item Summary'!H$4,'Order Details'!$C:$C,"PO Received")+SUMIFS('Order Details'!$Q:$Q,'Order Details'!$E:$E,"Yes",'Order Details'!$I:$I,'Item Summary'!$B28,'Order Details'!$F:$F,'Item Summary'!H$4,'Order Details'!$C:$C,"Proforma Invoice Sent")+SUMIFS('Order Details'!$Q:$Q,'Order Details'!$E:$E,"Yes",'Order Details'!$I:$I,'Item Summary'!$B28,'Order Details'!$F:$F,'Item Summary'!H$4,'Order Details'!$C:$C,"Downpayment Received")+SUMIFS('Order Details'!$Q:$Q,'Order Details'!$E:$E,"Yes",'Order Details'!$I:$I,'Item Summary'!$B28,'Order Details'!$F:$F,'Item Summary'!H$4,'Order Details'!$C:$C,"In Production")</f>
        <v>0</v>
      </c>
      <c r="I28" s="275">
        <f>SUMIFS('Order Details'!$Q:$Q,'Order Details'!$E:$E,"Yes",'Order Details'!$I:$I,'Item Summary'!$B28,'Order Details'!$F:$F,'Item Summary'!I$4,'Order Details'!$C:$C,"PO Received")+SUMIFS('Order Details'!$Q:$Q,'Order Details'!$E:$E,"Yes",'Order Details'!$I:$I,'Item Summary'!$B28,'Order Details'!$F:$F,'Item Summary'!I$4,'Order Details'!$C:$C,"Proforma Invoice Sent")+SUMIFS('Order Details'!$Q:$Q,'Order Details'!$E:$E,"Yes",'Order Details'!$I:$I,'Item Summary'!$B28,'Order Details'!$F:$F,'Item Summary'!I$4,'Order Details'!$C:$C,"Downpayment Received")+SUMIFS('Order Details'!$Q:$Q,'Order Details'!$E:$E,"Yes",'Order Details'!$I:$I,'Item Summary'!$B28,'Order Details'!$F:$F,'Item Summary'!I$4,'Order Details'!$C:$C,"In Production")</f>
        <v>0</v>
      </c>
      <c r="J28" s="275">
        <f>SUMIFS('Order Details'!$Q:$Q,'Order Details'!$E:$E,"Yes",'Order Details'!$I:$I,'Item Summary'!$B28,'Order Details'!$F:$F,'Item Summary'!J$4,'Order Details'!$C:$C,"PO Received")+SUMIFS('Order Details'!$Q:$Q,'Order Details'!$E:$E,"Yes",'Order Details'!$I:$I,'Item Summary'!$B28,'Order Details'!$F:$F,'Item Summary'!J$4,'Order Details'!$C:$C,"Proforma Invoice Sent")+SUMIFS('Order Details'!$Q:$Q,'Order Details'!$E:$E,"Yes",'Order Details'!$I:$I,'Item Summary'!$B28,'Order Details'!$F:$F,'Item Summary'!J$4,'Order Details'!$C:$C,"Downpayment Received")+SUMIFS('Order Details'!$Q:$Q,'Order Details'!$E:$E,"Yes",'Order Details'!$I:$I,'Item Summary'!$B28,'Order Details'!$F:$F,'Item Summary'!J$4,'Order Details'!$C:$C,"In Production")</f>
        <v>0</v>
      </c>
      <c r="K28" s="275">
        <f>SUMIFS('Order Details'!$Q:$Q,'Order Details'!$E:$E,"Yes",'Order Details'!$I:$I,'Item Summary'!$B28,'Order Details'!$F:$F,'Item Summary'!K$4,'Order Details'!$C:$C,"PO Received")+SUMIFS('Order Details'!$Q:$Q,'Order Details'!$E:$E,"Yes",'Order Details'!$I:$I,'Item Summary'!$B28,'Order Details'!$F:$F,'Item Summary'!K$4,'Order Details'!$C:$C,"Proforma Invoice Sent")+SUMIFS('Order Details'!$Q:$Q,'Order Details'!$E:$E,"Yes",'Order Details'!$I:$I,'Item Summary'!$B28,'Order Details'!$F:$F,'Item Summary'!K$4,'Order Details'!$C:$C,"Downpayment Received")+SUMIFS('Order Details'!$Q:$Q,'Order Details'!$E:$E,"Yes",'Order Details'!$I:$I,'Item Summary'!$B28,'Order Details'!$F:$F,'Item Summary'!K$4,'Order Details'!$C:$C,"In Production")</f>
        <v>0</v>
      </c>
      <c r="L28" s="291">
        <f>SUMIFS('Order Details'!$Q:$Q,'Order Details'!$E:$E,"Yes",'Order Details'!$I:$I,'Item Summary'!$B28,'Order Details'!$F:$F,'Item Summary'!L$4,'Order Details'!$C:$C,"PO Received")+SUMIFS('Order Details'!$Q:$Q,'Order Details'!$E:$E,"Yes",'Order Details'!$I:$I,'Item Summary'!$B28,'Order Details'!$F:$F,'Item Summary'!L$4,'Order Details'!$C:$C,"Proforma Invoice Sent")+SUMIFS('Order Details'!$Q:$Q,'Order Details'!$E:$E,"Yes",'Order Details'!$I:$I,'Item Summary'!$B28,'Order Details'!$F:$F,'Item Summary'!L$4,'Order Details'!$C:$C,"Downpayment Received")+SUMIFS('Order Details'!$Q:$Q,'Order Details'!$E:$E,"Yes",'Order Details'!$I:$I,'Item Summary'!$B28,'Order Details'!$F:$F,'Item Summary'!L$4,'Order Details'!$C:$C,"In Production")</f>
        <v>0</v>
      </c>
      <c r="M28" s="276">
        <f>SUMIFS('Order Details'!$Q:$Q,'Order Details'!$E:$E,"Yes",'Order Details'!$I:$I,'Item Summary'!$B28,'Order Details'!$F:$F,'Item Summary'!M$4,'Order Details'!$C:$C,"PO Received")+SUMIFS('Order Details'!$Q:$Q,'Order Details'!$E:$E,"Yes",'Order Details'!$I:$I,'Item Summary'!$B28,'Order Details'!$F:$F,'Item Summary'!M$4,'Order Details'!$C:$C,"Proforma Invoice Sent")+SUMIFS('Order Details'!$Q:$Q,'Order Details'!$E:$E,"Yes",'Order Details'!$I:$I,'Item Summary'!$B28,'Order Details'!$F:$F,'Item Summary'!M$4,'Order Details'!$C:$C,"Downpayment Received")+SUMIFS('Order Details'!$Q:$Q,'Order Details'!$E:$E,"Yes",'Order Details'!$I:$I,'Item Summary'!$B28,'Order Details'!$F:$F,'Item Summary'!M$4,'Order Details'!$C:$C,"In Production")</f>
        <v>0</v>
      </c>
      <c r="N28" s="279">
        <f t="shared" si="0"/>
        <v>600</v>
      </c>
      <c r="Q28" s="278">
        <v>694446</v>
      </c>
      <c r="R28" s="274" t="str">
        <f>VLOOKUP($Q28,'Pricing Table - eff 27-Jan-2026'!$A:$L,9,FALSE)&amp;""" "&amp;VLOOKUP($Q28,'Pricing Table - eff 27-Jan-2026'!$A:$L,12,FALSE)</f>
        <v>144" CHARCOAL METALLIC</v>
      </c>
      <c r="S28" s="275">
        <f>SUMIFS('Order Details'!$Q:$Q,'Order Details'!$E:$E,"Yes",'Order Details'!$I:$I,$Q28,'Order Details'!$F:$F,'Item Summary'!S$4)-D28</f>
        <v>0</v>
      </c>
      <c r="T28" s="275">
        <f>SUMIFS('Order Details'!$Q:$Q,'Order Details'!$E:$E,"Yes",'Order Details'!$I:$I,$Q28,'Order Details'!$F:$F,'Item Summary'!T$4)-E28</f>
        <v>200</v>
      </c>
      <c r="U28" s="275">
        <f>SUMIFS('Order Details'!$Q:$Q,'Order Details'!$E:$E,"Yes",'Order Details'!$I:$I,$Q28,'Order Details'!$F:$F,'Item Summary'!U$4)-F28</f>
        <v>400</v>
      </c>
      <c r="V28" s="275">
        <f>SUMIFS('Order Details'!$Q:$Q,'Order Details'!$E:$E,"Yes",'Order Details'!$I:$I,$Q28,'Order Details'!$F:$F,'Item Summary'!V$4)-G28</f>
        <v>400</v>
      </c>
      <c r="W28" s="275">
        <f>SUMIFS('Order Details'!$Q:$Q,'Order Details'!$E:$E,"Yes",'Order Details'!$I:$I,$Q28,'Order Details'!$F:$F,'Item Summary'!W$4)-H28</f>
        <v>600</v>
      </c>
      <c r="X28" s="275">
        <f>SUMIFS('Order Details'!$Q:$Q,'Order Details'!$E:$E,"Yes",'Order Details'!$I:$I,$Q28,'Order Details'!$F:$F,'Item Summary'!X$4)-I28</f>
        <v>0</v>
      </c>
      <c r="Y28" s="275">
        <f>SUMIFS('Order Details'!$Q:$Q,'Order Details'!$E:$E,"Yes",'Order Details'!$I:$I,$Q28,'Order Details'!$F:$F,'Item Summary'!Y$4)-J28</f>
        <v>0</v>
      </c>
      <c r="Z28" s="275">
        <f>SUMIFS('Order Details'!$Q:$Q,'Order Details'!$E:$E,"Yes",'Order Details'!$I:$I,$Q28,'Order Details'!$F:$F,'Item Summary'!Z$4)-K28</f>
        <v>800</v>
      </c>
      <c r="AA28" s="291">
        <f>SUMIFS('Order Details'!$Q:$Q,'Order Details'!$E:$E,"Yes",'Order Details'!$I:$I,$Q28,'Order Details'!$F:$F,'Item Summary'!AA$4)-L28</f>
        <v>0</v>
      </c>
      <c r="AB28" s="276">
        <f>SUMIFS('Order Details'!$Q:$Q,'Order Details'!$E:$E,"Yes",'Order Details'!$I:$I,$Q28,'Order Details'!$F:$F,'Item Summary'!AB$4)-M28</f>
        <v>800</v>
      </c>
      <c r="AC28" s="279">
        <f t="shared" si="1"/>
        <v>3200</v>
      </c>
    </row>
    <row r="29" spans="2:29" x14ac:dyDescent="0.3">
      <c r="B29" s="278">
        <v>694447</v>
      </c>
      <c r="C29" s="274" t="str">
        <f>VLOOKUP($B29,'Pricing Table - eff 27-Jan-2026'!$A:$L,9,FALSE)&amp;""" "&amp;VLOOKUP($B29,'Pricing Table - eff 27-Jan-2026'!$A:$L,12,FALSE)</f>
        <v>90" MATTE BLACK</v>
      </c>
      <c r="D29" s="275">
        <f>SUMIFS('Order Details'!$Q:$Q,'Order Details'!$E:$E,"Yes",'Order Details'!$I:$I,'Item Summary'!$B29,'Order Details'!$F:$F,'Item Summary'!D$4,'Order Details'!$C:$C,"PO Received")+SUMIFS('Order Details'!$Q:$Q,'Order Details'!$E:$E,"Yes",'Order Details'!$I:$I,'Item Summary'!$B29,'Order Details'!$F:$F,'Item Summary'!D$4,'Order Details'!$C:$C,"Proforma Invoice Sent")+SUMIFS('Order Details'!$Q:$Q,'Order Details'!$E:$E,"Yes",'Order Details'!$I:$I,'Item Summary'!$B29,'Order Details'!$F:$F,'Item Summary'!D$4,'Order Details'!$C:$C,"Downpayment Received")+SUMIFS('Order Details'!$Q:$Q,'Order Details'!$E:$E,"Yes",'Order Details'!$I:$I,'Item Summary'!$B29,'Order Details'!$F:$F,'Item Summary'!D$4,'Order Details'!$C:$C,"In Production")</f>
        <v>0</v>
      </c>
      <c r="E29" s="275">
        <f>SUMIFS('Order Details'!$Q:$Q,'Order Details'!$E:$E,"Yes",'Order Details'!$I:$I,'Item Summary'!$B29,'Order Details'!$F:$F,'Item Summary'!E$4,'Order Details'!$C:$C,"PO Received")+SUMIFS('Order Details'!$Q:$Q,'Order Details'!$E:$E,"Yes",'Order Details'!$I:$I,'Item Summary'!$B29,'Order Details'!$F:$F,'Item Summary'!E$4,'Order Details'!$C:$C,"Proforma Invoice Sent")+SUMIFS('Order Details'!$Q:$Q,'Order Details'!$E:$E,"Yes",'Order Details'!$I:$I,'Item Summary'!$B29,'Order Details'!$F:$F,'Item Summary'!E$4,'Order Details'!$C:$C,"Downpayment Received")+SUMIFS('Order Details'!$Q:$Q,'Order Details'!$E:$E,"Yes",'Order Details'!$I:$I,'Item Summary'!$B29,'Order Details'!$F:$F,'Item Summary'!E$4,'Order Details'!$C:$C,"In Production")</f>
        <v>0</v>
      </c>
      <c r="F29" s="275">
        <f>SUMIFS('Order Details'!$Q:$Q,'Order Details'!$E:$E,"Yes",'Order Details'!$I:$I,'Item Summary'!$B29,'Order Details'!$F:$F,'Item Summary'!F$4,'Order Details'!$C:$C,"PO Received")+SUMIFS('Order Details'!$Q:$Q,'Order Details'!$E:$E,"Yes",'Order Details'!$I:$I,'Item Summary'!$B29,'Order Details'!$F:$F,'Item Summary'!F$4,'Order Details'!$C:$C,"Proforma Invoice Sent")+SUMIFS('Order Details'!$Q:$Q,'Order Details'!$E:$E,"Yes",'Order Details'!$I:$I,'Item Summary'!$B29,'Order Details'!$F:$F,'Item Summary'!F$4,'Order Details'!$C:$C,"Downpayment Received")+SUMIFS('Order Details'!$Q:$Q,'Order Details'!$E:$E,"Yes",'Order Details'!$I:$I,'Item Summary'!$B29,'Order Details'!$F:$F,'Item Summary'!F$4,'Order Details'!$C:$C,"In Production")</f>
        <v>0</v>
      </c>
      <c r="G29" s="275">
        <f>SUMIFS('Order Details'!$Q:$Q,'Order Details'!$E:$E,"Yes",'Order Details'!$I:$I,'Item Summary'!$B29,'Order Details'!$F:$F,'Item Summary'!G$4,'Order Details'!$C:$C,"PO Received")+SUMIFS('Order Details'!$Q:$Q,'Order Details'!$E:$E,"Yes",'Order Details'!$I:$I,'Item Summary'!$B29,'Order Details'!$F:$F,'Item Summary'!G$4,'Order Details'!$C:$C,"Proforma Invoice Sent")+SUMIFS('Order Details'!$Q:$Q,'Order Details'!$E:$E,"Yes",'Order Details'!$I:$I,'Item Summary'!$B29,'Order Details'!$F:$F,'Item Summary'!G$4,'Order Details'!$C:$C,"Downpayment Received")+SUMIFS('Order Details'!$Q:$Q,'Order Details'!$E:$E,"Yes",'Order Details'!$I:$I,'Item Summary'!$B29,'Order Details'!$F:$F,'Item Summary'!G$4,'Order Details'!$C:$C,"In Production")</f>
        <v>0</v>
      </c>
      <c r="H29" s="275">
        <f>SUMIFS('Order Details'!$Q:$Q,'Order Details'!$E:$E,"Yes",'Order Details'!$I:$I,'Item Summary'!$B29,'Order Details'!$F:$F,'Item Summary'!H$4,'Order Details'!$C:$C,"PO Received")+SUMIFS('Order Details'!$Q:$Q,'Order Details'!$E:$E,"Yes",'Order Details'!$I:$I,'Item Summary'!$B29,'Order Details'!$F:$F,'Item Summary'!H$4,'Order Details'!$C:$C,"Proforma Invoice Sent")+SUMIFS('Order Details'!$Q:$Q,'Order Details'!$E:$E,"Yes",'Order Details'!$I:$I,'Item Summary'!$B29,'Order Details'!$F:$F,'Item Summary'!H$4,'Order Details'!$C:$C,"Downpayment Received")+SUMIFS('Order Details'!$Q:$Q,'Order Details'!$E:$E,"Yes",'Order Details'!$I:$I,'Item Summary'!$B29,'Order Details'!$F:$F,'Item Summary'!H$4,'Order Details'!$C:$C,"In Production")</f>
        <v>0</v>
      </c>
      <c r="I29" s="275">
        <f>SUMIFS('Order Details'!$Q:$Q,'Order Details'!$E:$E,"Yes",'Order Details'!$I:$I,'Item Summary'!$B29,'Order Details'!$F:$F,'Item Summary'!I$4,'Order Details'!$C:$C,"PO Received")+SUMIFS('Order Details'!$Q:$Q,'Order Details'!$E:$E,"Yes",'Order Details'!$I:$I,'Item Summary'!$B29,'Order Details'!$F:$F,'Item Summary'!I$4,'Order Details'!$C:$C,"Proforma Invoice Sent")+SUMIFS('Order Details'!$Q:$Q,'Order Details'!$E:$E,"Yes",'Order Details'!$I:$I,'Item Summary'!$B29,'Order Details'!$F:$F,'Item Summary'!I$4,'Order Details'!$C:$C,"Downpayment Received")+SUMIFS('Order Details'!$Q:$Q,'Order Details'!$E:$E,"Yes",'Order Details'!$I:$I,'Item Summary'!$B29,'Order Details'!$F:$F,'Item Summary'!I$4,'Order Details'!$C:$C,"In Production")</f>
        <v>0</v>
      </c>
      <c r="J29" s="275">
        <f>SUMIFS('Order Details'!$Q:$Q,'Order Details'!$E:$E,"Yes",'Order Details'!$I:$I,'Item Summary'!$B29,'Order Details'!$F:$F,'Item Summary'!J$4,'Order Details'!$C:$C,"PO Received")+SUMIFS('Order Details'!$Q:$Q,'Order Details'!$E:$E,"Yes",'Order Details'!$I:$I,'Item Summary'!$B29,'Order Details'!$F:$F,'Item Summary'!J$4,'Order Details'!$C:$C,"Proforma Invoice Sent")+SUMIFS('Order Details'!$Q:$Q,'Order Details'!$E:$E,"Yes",'Order Details'!$I:$I,'Item Summary'!$B29,'Order Details'!$F:$F,'Item Summary'!J$4,'Order Details'!$C:$C,"Downpayment Received")+SUMIFS('Order Details'!$Q:$Q,'Order Details'!$E:$E,"Yes",'Order Details'!$I:$I,'Item Summary'!$B29,'Order Details'!$F:$F,'Item Summary'!J$4,'Order Details'!$C:$C,"In Production")</f>
        <v>0</v>
      </c>
      <c r="K29" s="275">
        <f>SUMIFS('Order Details'!$Q:$Q,'Order Details'!$E:$E,"Yes",'Order Details'!$I:$I,'Item Summary'!$B29,'Order Details'!$F:$F,'Item Summary'!K$4,'Order Details'!$C:$C,"PO Received")+SUMIFS('Order Details'!$Q:$Q,'Order Details'!$E:$E,"Yes",'Order Details'!$I:$I,'Item Summary'!$B29,'Order Details'!$F:$F,'Item Summary'!K$4,'Order Details'!$C:$C,"Proforma Invoice Sent")+SUMIFS('Order Details'!$Q:$Q,'Order Details'!$E:$E,"Yes",'Order Details'!$I:$I,'Item Summary'!$B29,'Order Details'!$F:$F,'Item Summary'!K$4,'Order Details'!$C:$C,"Downpayment Received")+SUMIFS('Order Details'!$Q:$Q,'Order Details'!$E:$E,"Yes",'Order Details'!$I:$I,'Item Summary'!$B29,'Order Details'!$F:$F,'Item Summary'!K$4,'Order Details'!$C:$C,"In Production")</f>
        <v>0</v>
      </c>
      <c r="L29" s="291">
        <f>SUMIFS('Order Details'!$Q:$Q,'Order Details'!$E:$E,"Yes",'Order Details'!$I:$I,'Item Summary'!$B29,'Order Details'!$F:$F,'Item Summary'!L$4,'Order Details'!$C:$C,"PO Received")+SUMIFS('Order Details'!$Q:$Q,'Order Details'!$E:$E,"Yes",'Order Details'!$I:$I,'Item Summary'!$B29,'Order Details'!$F:$F,'Item Summary'!L$4,'Order Details'!$C:$C,"Proforma Invoice Sent")+SUMIFS('Order Details'!$Q:$Q,'Order Details'!$E:$E,"Yes",'Order Details'!$I:$I,'Item Summary'!$B29,'Order Details'!$F:$F,'Item Summary'!L$4,'Order Details'!$C:$C,"Downpayment Received")+SUMIFS('Order Details'!$Q:$Q,'Order Details'!$E:$E,"Yes",'Order Details'!$I:$I,'Item Summary'!$B29,'Order Details'!$F:$F,'Item Summary'!L$4,'Order Details'!$C:$C,"In Production")</f>
        <v>0</v>
      </c>
      <c r="M29" s="276">
        <f>SUMIFS('Order Details'!$Q:$Q,'Order Details'!$E:$E,"Yes",'Order Details'!$I:$I,'Item Summary'!$B29,'Order Details'!$F:$F,'Item Summary'!M$4,'Order Details'!$C:$C,"PO Received")+SUMIFS('Order Details'!$Q:$Q,'Order Details'!$E:$E,"Yes",'Order Details'!$I:$I,'Item Summary'!$B29,'Order Details'!$F:$F,'Item Summary'!M$4,'Order Details'!$C:$C,"Proforma Invoice Sent")+SUMIFS('Order Details'!$Q:$Q,'Order Details'!$E:$E,"Yes",'Order Details'!$I:$I,'Item Summary'!$B29,'Order Details'!$F:$F,'Item Summary'!M$4,'Order Details'!$C:$C,"Downpayment Received")+SUMIFS('Order Details'!$Q:$Q,'Order Details'!$E:$E,"Yes",'Order Details'!$I:$I,'Item Summary'!$B29,'Order Details'!$F:$F,'Item Summary'!M$4,'Order Details'!$C:$C,"In Production")</f>
        <v>0</v>
      </c>
      <c r="N29" s="279">
        <f t="shared" si="0"/>
        <v>0</v>
      </c>
      <c r="Q29" s="278">
        <v>694447</v>
      </c>
      <c r="R29" s="274" t="str">
        <f>VLOOKUP($Q29,'Pricing Table - eff 27-Jan-2026'!$A:$L,9,FALSE)&amp;""" "&amp;VLOOKUP($Q29,'Pricing Table - eff 27-Jan-2026'!$A:$L,12,FALSE)</f>
        <v>90" MATTE BLACK</v>
      </c>
      <c r="S29" s="275">
        <f>SUMIFS('Order Details'!$Q:$Q,'Order Details'!$E:$E,"Yes",'Order Details'!$I:$I,$Q29,'Order Details'!$F:$F,'Item Summary'!S$4)-D29</f>
        <v>0</v>
      </c>
      <c r="T29" s="275">
        <f>SUMIFS('Order Details'!$Q:$Q,'Order Details'!$E:$E,"Yes",'Order Details'!$I:$I,$Q29,'Order Details'!$F:$F,'Item Summary'!T$4)-E29</f>
        <v>0</v>
      </c>
      <c r="U29" s="275">
        <f>SUMIFS('Order Details'!$Q:$Q,'Order Details'!$E:$E,"Yes",'Order Details'!$I:$I,$Q29,'Order Details'!$F:$F,'Item Summary'!U$4)-F29</f>
        <v>0</v>
      </c>
      <c r="V29" s="275">
        <f>SUMIFS('Order Details'!$Q:$Q,'Order Details'!$E:$E,"Yes",'Order Details'!$I:$I,$Q29,'Order Details'!$F:$F,'Item Summary'!V$4)-G29</f>
        <v>1000</v>
      </c>
      <c r="W29" s="275">
        <f>SUMIFS('Order Details'!$Q:$Q,'Order Details'!$E:$E,"Yes",'Order Details'!$I:$I,$Q29,'Order Details'!$F:$F,'Item Summary'!W$4)-H29</f>
        <v>0</v>
      </c>
      <c r="X29" s="275">
        <f>SUMIFS('Order Details'!$Q:$Q,'Order Details'!$E:$E,"Yes",'Order Details'!$I:$I,$Q29,'Order Details'!$F:$F,'Item Summary'!X$4)-I29</f>
        <v>0</v>
      </c>
      <c r="Y29" s="275">
        <f>SUMIFS('Order Details'!$Q:$Q,'Order Details'!$E:$E,"Yes",'Order Details'!$I:$I,$Q29,'Order Details'!$F:$F,'Item Summary'!Y$4)-J29</f>
        <v>0</v>
      </c>
      <c r="Z29" s="275">
        <f>SUMIFS('Order Details'!$Q:$Q,'Order Details'!$E:$E,"Yes",'Order Details'!$I:$I,$Q29,'Order Details'!$F:$F,'Item Summary'!Z$4)-K29</f>
        <v>0</v>
      </c>
      <c r="AA29" s="291">
        <f>SUMIFS('Order Details'!$Q:$Q,'Order Details'!$E:$E,"Yes",'Order Details'!$I:$I,$Q29,'Order Details'!$F:$F,'Item Summary'!AA$4)-L29</f>
        <v>0</v>
      </c>
      <c r="AB29" s="276">
        <f>SUMIFS('Order Details'!$Q:$Q,'Order Details'!$E:$E,"Yes",'Order Details'!$I:$I,$Q29,'Order Details'!$F:$F,'Item Summary'!AB$4)-M29</f>
        <v>0</v>
      </c>
      <c r="AC29" s="279">
        <f t="shared" si="1"/>
        <v>1000</v>
      </c>
    </row>
    <row r="30" spans="2:29" x14ac:dyDescent="0.3">
      <c r="B30" s="278">
        <v>694448</v>
      </c>
      <c r="C30" s="274" t="str">
        <f>VLOOKUP($B30,'Pricing Table - eff 27-Jan-2026'!$A:$L,9,FALSE)&amp;""" "&amp;VLOOKUP($B30,'Pricing Table - eff 27-Jan-2026'!$A:$L,12,FALSE)</f>
        <v>96" MATTE BLACK</v>
      </c>
      <c r="D30" s="275">
        <f>SUMIFS('Order Details'!$Q:$Q,'Order Details'!$E:$E,"Yes",'Order Details'!$I:$I,'Item Summary'!$B30,'Order Details'!$F:$F,'Item Summary'!D$4,'Order Details'!$C:$C,"PO Received")+SUMIFS('Order Details'!$Q:$Q,'Order Details'!$E:$E,"Yes",'Order Details'!$I:$I,'Item Summary'!$B30,'Order Details'!$F:$F,'Item Summary'!D$4,'Order Details'!$C:$C,"Proforma Invoice Sent")+SUMIFS('Order Details'!$Q:$Q,'Order Details'!$E:$E,"Yes",'Order Details'!$I:$I,'Item Summary'!$B30,'Order Details'!$F:$F,'Item Summary'!D$4,'Order Details'!$C:$C,"Downpayment Received")+SUMIFS('Order Details'!$Q:$Q,'Order Details'!$E:$E,"Yes",'Order Details'!$I:$I,'Item Summary'!$B30,'Order Details'!$F:$F,'Item Summary'!D$4,'Order Details'!$C:$C,"In Production")</f>
        <v>0</v>
      </c>
      <c r="E30" s="275">
        <f>SUMIFS('Order Details'!$Q:$Q,'Order Details'!$E:$E,"Yes",'Order Details'!$I:$I,'Item Summary'!$B30,'Order Details'!$F:$F,'Item Summary'!E$4,'Order Details'!$C:$C,"PO Received")+SUMIFS('Order Details'!$Q:$Q,'Order Details'!$E:$E,"Yes",'Order Details'!$I:$I,'Item Summary'!$B30,'Order Details'!$F:$F,'Item Summary'!E$4,'Order Details'!$C:$C,"Proforma Invoice Sent")+SUMIFS('Order Details'!$Q:$Q,'Order Details'!$E:$E,"Yes",'Order Details'!$I:$I,'Item Summary'!$B30,'Order Details'!$F:$F,'Item Summary'!E$4,'Order Details'!$C:$C,"Downpayment Received")+SUMIFS('Order Details'!$Q:$Q,'Order Details'!$E:$E,"Yes",'Order Details'!$I:$I,'Item Summary'!$B30,'Order Details'!$F:$F,'Item Summary'!E$4,'Order Details'!$C:$C,"In Production")</f>
        <v>0</v>
      </c>
      <c r="F30" s="275">
        <f>SUMIFS('Order Details'!$Q:$Q,'Order Details'!$E:$E,"Yes",'Order Details'!$I:$I,'Item Summary'!$B30,'Order Details'!$F:$F,'Item Summary'!F$4,'Order Details'!$C:$C,"PO Received")+SUMIFS('Order Details'!$Q:$Q,'Order Details'!$E:$E,"Yes",'Order Details'!$I:$I,'Item Summary'!$B30,'Order Details'!$F:$F,'Item Summary'!F$4,'Order Details'!$C:$C,"Proforma Invoice Sent")+SUMIFS('Order Details'!$Q:$Q,'Order Details'!$E:$E,"Yes",'Order Details'!$I:$I,'Item Summary'!$B30,'Order Details'!$F:$F,'Item Summary'!F$4,'Order Details'!$C:$C,"Downpayment Received")+SUMIFS('Order Details'!$Q:$Q,'Order Details'!$E:$E,"Yes",'Order Details'!$I:$I,'Item Summary'!$B30,'Order Details'!$F:$F,'Item Summary'!F$4,'Order Details'!$C:$C,"In Production")</f>
        <v>0</v>
      </c>
      <c r="G30" s="275">
        <f>SUMIFS('Order Details'!$Q:$Q,'Order Details'!$E:$E,"Yes",'Order Details'!$I:$I,'Item Summary'!$B30,'Order Details'!$F:$F,'Item Summary'!G$4,'Order Details'!$C:$C,"PO Received")+SUMIFS('Order Details'!$Q:$Q,'Order Details'!$E:$E,"Yes",'Order Details'!$I:$I,'Item Summary'!$B30,'Order Details'!$F:$F,'Item Summary'!G$4,'Order Details'!$C:$C,"Proforma Invoice Sent")+SUMIFS('Order Details'!$Q:$Q,'Order Details'!$E:$E,"Yes",'Order Details'!$I:$I,'Item Summary'!$B30,'Order Details'!$F:$F,'Item Summary'!G$4,'Order Details'!$C:$C,"Downpayment Received")+SUMIFS('Order Details'!$Q:$Q,'Order Details'!$E:$E,"Yes",'Order Details'!$I:$I,'Item Summary'!$B30,'Order Details'!$F:$F,'Item Summary'!G$4,'Order Details'!$C:$C,"In Production")</f>
        <v>0</v>
      </c>
      <c r="H30" s="275">
        <f>SUMIFS('Order Details'!$Q:$Q,'Order Details'!$E:$E,"Yes",'Order Details'!$I:$I,'Item Summary'!$B30,'Order Details'!$F:$F,'Item Summary'!H$4,'Order Details'!$C:$C,"PO Received")+SUMIFS('Order Details'!$Q:$Q,'Order Details'!$E:$E,"Yes",'Order Details'!$I:$I,'Item Summary'!$B30,'Order Details'!$F:$F,'Item Summary'!H$4,'Order Details'!$C:$C,"Proforma Invoice Sent")+SUMIFS('Order Details'!$Q:$Q,'Order Details'!$E:$E,"Yes",'Order Details'!$I:$I,'Item Summary'!$B30,'Order Details'!$F:$F,'Item Summary'!H$4,'Order Details'!$C:$C,"Downpayment Received")+SUMIFS('Order Details'!$Q:$Q,'Order Details'!$E:$E,"Yes",'Order Details'!$I:$I,'Item Summary'!$B30,'Order Details'!$F:$F,'Item Summary'!H$4,'Order Details'!$C:$C,"In Production")</f>
        <v>0</v>
      </c>
      <c r="I30" s="275">
        <f>SUMIFS('Order Details'!$Q:$Q,'Order Details'!$E:$E,"Yes",'Order Details'!$I:$I,'Item Summary'!$B30,'Order Details'!$F:$F,'Item Summary'!I$4,'Order Details'!$C:$C,"PO Received")+SUMIFS('Order Details'!$Q:$Q,'Order Details'!$E:$E,"Yes",'Order Details'!$I:$I,'Item Summary'!$B30,'Order Details'!$F:$F,'Item Summary'!I$4,'Order Details'!$C:$C,"Proforma Invoice Sent")+SUMIFS('Order Details'!$Q:$Q,'Order Details'!$E:$E,"Yes",'Order Details'!$I:$I,'Item Summary'!$B30,'Order Details'!$F:$F,'Item Summary'!I$4,'Order Details'!$C:$C,"Downpayment Received")+SUMIFS('Order Details'!$Q:$Q,'Order Details'!$E:$E,"Yes",'Order Details'!$I:$I,'Item Summary'!$B30,'Order Details'!$F:$F,'Item Summary'!I$4,'Order Details'!$C:$C,"In Production")</f>
        <v>0</v>
      </c>
      <c r="J30" s="275">
        <f>SUMIFS('Order Details'!$Q:$Q,'Order Details'!$E:$E,"Yes",'Order Details'!$I:$I,'Item Summary'!$B30,'Order Details'!$F:$F,'Item Summary'!J$4,'Order Details'!$C:$C,"PO Received")+SUMIFS('Order Details'!$Q:$Q,'Order Details'!$E:$E,"Yes",'Order Details'!$I:$I,'Item Summary'!$B30,'Order Details'!$F:$F,'Item Summary'!J$4,'Order Details'!$C:$C,"Proforma Invoice Sent")+SUMIFS('Order Details'!$Q:$Q,'Order Details'!$E:$E,"Yes",'Order Details'!$I:$I,'Item Summary'!$B30,'Order Details'!$F:$F,'Item Summary'!J$4,'Order Details'!$C:$C,"Downpayment Received")+SUMIFS('Order Details'!$Q:$Q,'Order Details'!$E:$E,"Yes",'Order Details'!$I:$I,'Item Summary'!$B30,'Order Details'!$F:$F,'Item Summary'!J$4,'Order Details'!$C:$C,"In Production")</f>
        <v>0</v>
      </c>
      <c r="K30" s="275">
        <f>SUMIFS('Order Details'!$Q:$Q,'Order Details'!$E:$E,"Yes",'Order Details'!$I:$I,'Item Summary'!$B30,'Order Details'!$F:$F,'Item Summary'!K$4,'Order Details'!$C:$C,"PO Received")+SUMIFS('Order Details'!$Q:$Q,'Order Details'!$E:$E,"Yes",'Order Details'!$I:$I,'Item Summary'!$B30,'Order Details'!$F:$F,'Item Summary'!K$4,'Order Details'!$C:$C,"Proforma Invoice Sent")+SUMIFS('Order Details'!$Q:$Q,'Order Details'!$E:$E,"Yes",'Order Details'!$I:$I,'Item Summary'!$B30,'Order Details'!$F:$F,'Item Summary'!K$4,'Order Details'!$C:$C,"Downpayment Received")+SUMIFS('Order Details'!$Q:$Q,'Order Details'!$E:$E,"Yes",'Order Details'!$I:$I,'Item Summary'!$B30,'Order Details'!$F:$F,'Item Summary'!K$4,'Order Details'!$C:$C,"In Production")</f>
        <v>0</v>
      </c>
      <c r="L30" s="291">
        <f>SUMIFS('Order Details'!$Q:$Q,'Order Details'!$E:$E,"Yes",'Order Details'!$I:$I,'Item Summary'!$B30,'Order Details'!$F:$F,'Item Summary'!L$4,'Order Details'!$C:$C,"PO Received")+SUMIFS('Order Details'!$Q:$Q,'Order Details'!$E:$E,"Yes",'Order Details'!$I:$I,'Item Summary'!$B30,'Order Details'!$F:$F,'Item Summary'!L$4,'Order Details'!$C:$C,"Proforma Invoice Sent")+SUMIFS('Order Details'!$Q:$Q,'Order Details'!$E:$E,"Yes",'Order Details'!$I:$I,'Item Summary'!$B30,'Order Details'!$F:$F,'Item Summary'!L$4,'Order Details'!$C:$C,"Downpayment Received")+SUMIFS('Order Details'!$Q:$Q,'Order Details'!$E:$E,"Yes",'Order Details'!$I:$I,'Item Summary'!$B30,'Order Details'!$F:$F,'Item Summary'!L$4,'Order Details'!$C:$C,"In Production")</f>
        <v>0</v>
      </c>
      <c r="M30" s="276">
        <f>SUMIFS('Order Details'!$Q:$Q,'Order Details'!$E:$E,"Yes",'Order Details'!$I:$I,'Item Summary'!$B30,'Order Details'!$F:$F,'Item Summary'!M$4,'Order Details'!$C:$C,"PO Received")+SUMIFS('Order Details'!$Q:$Q,'Order Details'!$E:$E,"Yes",'Order Details'!$I:$I,'Item Summary'!$B30,'Order Details'!$F:$F,'Item Summary'!M$4,'Order Details'!$C:$C,"Proforma Invoice Sent")+SUMIFS('Order Details'!$Q:$Q,'Order Details'!$E:$E,"Yes",'Order Details'!$I:$I,'Item Summary'!$B30,'Order Details'!$F:$F,'Item Summary'!M$4,'Order Details'!$C:$C,"Downpayment Received")+SUMIFS('Order Details'!$Q:$Q,'Order Details'!$E:$E,"Yes",'Order Details'!$I:$I,'Item Summary'!$B30,'Order Details'!$F:$F,'Item Summary'!M$4,'Order Details'!$C:$C,"In Production")</f>
        <v>0</v>
      </c>
      <c r="N30" s="279">
        <f t="shared" si="0"/>
        <v>0</v>
      </c>
      <c r="Q30" s="278">
        <v>694448</v>
      </c>
      <c r="R30" s="274" t="str">
        <f>VLOOKUP($Q30,'Pricing Table - eff 27-Jan-2026'!$A:$L,9,FALSE)&amp;""" "&amp;VLOOKUP($Q30,'Pricing Table - eff 27-Jan-2026'!$A:$L,12,FALSE)</f>
        <v>96" MATTE BLACK</v>
      </c>
      <c r="S30" s="275">
        <f>SUMIFS('Order Details'!$Q:$Q,'Order Details'!$E:$E,"Yes",'Order Details'!$I:$I,$Q30,'Order Details'!$F:$F,'Item Summary'!S$4)-D30</f>
        <v>0</v>
      </c>
      <c r="T30" s="275">
        <f>SUMIFS('Order Details'!$Q:$Q,'Order Details'!$E:$E,"Yes",'Order Details'!$I:$I,$Q30,'Order Details'!$F:$F,'Item Summary'!T$4)-E30</f>
        <v>0</v>
      </c>
      <c r="U30" s="275">
        <f>SUMIFS('Order Details'!$Q:$Q,'Order Details'!$E:$E,"Yes",'Order Details'!$I:$I,$Q30,'Order Details'!$F:$F,'Item Summary'!U$4)-F30</f>
        <v>0</v>
      </c>
      <c r="V30" s="275">
        <f>SUMIFS('Order Details'!$Q:$Q,'Order Details'!$E:$E,"Yes",'Order Details'!$I:$I,$Q30,'Order Details'!$F:$F,'Item Summary'!V$4)-G30</f>
        <v>4600</v>
      </c>
      <c r="W30" s="275">
        <f>SUMIFS('Order Details'!$Q:$Q,'Order Details'!$E:$E,"Yes",'Order Details'!$I:$I,$Q30,'Order Details'!$F:$F,'Item Summary'!W$4)-H30</f>
        <v>0</v>
      </c>
      <c r="X30" s="275">
        <f>SUMIFS('Order Details'!$Q:$Q,'Order Details'!$E:$E,"Yes",'Order Details'!$I:$I,$Q30,'Order Details'!$F:$F,'Item Summary'!X$4)-I30</f>
        <v>0</v>
      </c>
      <c r="Y30" s="275">
        <f>SUMIFS('Order Details'!$Q:$Q,'Order Details'!$E:$E,"Yes",'Order Details'!$I:$I,$Q30,'Order Details'!$F:$F,'Item Summary'!Y$4)-J30</f>
        <v>0</v>
      </c>
      <c r="Z30" s="275">
        <f>SUMIFS('Order Details'!$Q:$Q,'Order Details'!$E:$E,"Yes",'Order Details'!$I:$I,$Q30,'Order Details'!$F:$F,'Item Summary'!Z$4)-K30</f>
        <v>0</v>
      </c>
      <c r="AA30" s="291">
        <f>SUMIFS('Order Details'!$Q:$Q,'Order Details'!$E:$E,"Yes",'Order Details'!$I:$I,$Q30,'Order Details'!$F:$F,'Item Summary'!AA$4)-L30</f>
        <v>0</v>
      </c>
      <c r="AB30" s="276">
        <f>SUMIFS('Order Details'!$Q:$Q,'Order Details'!$E:$E,"Yes",'Order Details'!$I:$I,$Q30,'Order Details'!$F:$F,'Item Summary'!AB$4)-M30</f>
        <v>0</v>
      </c>
      <c r="AC30" s="279">
        <f t="shared" si="1"/>
        <v>4600</v>
      </c>
    </row>
    <row r="31" spans="2:29" x14ac:dyDescent="0.3">
      <c r="B31" s="278">
        <v>694449</v>
      </c>
      <c r="C31" s="274" t="str">
        <f>VLOOKUP($B31,'Pricing Table - eff 27-Jan-2026'!$A:$L,9,FALSE)&amp;""" "&amp;VLOOKUP($B31,'Pricing Table - eff 27-Jan-2026'!$A:$L,12,FALSE)</f>
        <v>108" MATTE BLACK</v>
      </c>
      <c r="D31" s="275">
        <f>SUMIFS('Order Details'!$Q:$Q,'Order Details'!$E:$E,"Yes",'Order Details'!$I:$I,'Item Summary'!$B31,'Order Details'!$F:$F,'Item Summary'!D$4,'Order Details'!$C:$C,"PO Received")+SUMIFS('Order Details'!$Q:$Q,'Order Details'!$E:$E,"Yes",'Order Details'!$I:$I,'Item Summary'!$B31,'Order Details'!$F:$F,'Item Summary'!D$4,'Order Details'!$C:$C,"Proforma Invoice Sent")+SUMIFS('Order Details'!$Q:$Q,'Order Details'!$E:$E,"Yes",'Order Details'!$I:$I,'Item Summary'!$B31,'Order Details'!$F:$F,'Item Summary'!D$4,'Order Details'!$C:$C,"Downpayment Received")+SUMIFS('Order Details'!$Q:$Q,'Order Details'!$E:$E,"Yes",'Order Details'!$I:$I,'Item Summary'!$B31,'Order Details'!$F:$F,'Item Summary'!D$4,'Order Details'!$C:$C,"In Production")</f>
        <v>0</v>
      </c>
      <c r="E31" s="275">
        <f>SUMIFS('Order Details'!$Q:$Q,'Order Details'!$E:$E,"Yes",'Order Details'!$I:$I,'Item Summary'!$B31,'Order Details'!$F:$F,'Item Summary'!E$4,'Order Details'!$C:$C,"PO Received")+SUMIFS('Order Details'!$Q:$Q,'Order Details'!$E:$E,"Yes",'Order Details'!$I:$I,'Item Summary'!$B31,'Order Details'!$F:$F,'Item Summary'!E$4,'Order Details'!$C:$C,"Proforma Invoice Sent")+SUMIFS('Order Details'!$Q:$Q,'Order Details'!$E:$E,"Yes",'Order Details'!$I:$I,'Item Summary'!$B31,'Order Details'!$F:$F,'Item Summary'!E$4,'Order Details'!$C:$C,"Downpayment Received")+SUMIFS('Order Details'!$Q:$Q,'Order Details'!$E:$E,"Yes",'Order Details'!$I:$I,'Item Summary'!$B31,'Order Details'!$F:$F,'Item Summary'!E$4,'Order Details'!$C:$C,"In Production")</f>
        <v>0</v>
      </c>
      <c r="F31" s="275">
        <f>SUMIFS('Order Details'!$Q:$Q,'Order Details'!$E:$E,"Yes",'Order Details'!$I:$I,'Item Summary'!$B31,'Order Details'!$F:$F,'Item Summary'!F$4,'Order Details'!$C:$C,"PO Received")+SUMIFS('Order Details'!$Q:$Q,'Order Details'!$E:$E,"Yes",'Order Details'!$I:$I,'Item Summary'!$B31,'Order Details'!$F:$F,'Item Summary'!F$4,'Order Details'!$C:$C,"Proforma Invoice Sent")+SUMIFS('Order Details'!$Q:$Q,'Order Details'!$E:$E,"Yes",'Order Details'!$I:$I,'Item Summary'!$B31,'Order Details'!$F:$F,'Item Summary'!F$4,'Order Details'!$C:$C,"Downpayment Received")+SUMIFS('Order Details'!$Q:$Q,'Order Details'!$E:$E,"Yes",'Order Details'!$I:$I,'Item Summary'!$B31,'Order Details'!$F:$F,'Item Summary'!F$4,'Order Details'!$C:$C,"In Production")</f>
        <v>0</v>
      </c>
      <c r="G31" s="275">
        <f>SUMIFS('Order Details'!$Q:$Q,'Order Details'!$E:$E,"Yes",'Order Details'!$I:$I,'Item Summary'!$B31,'Order Details'!$F:$F,'Item Summary'!G$4,'Order Details'!$C:$C,"PO Received")+SUMIFS('Order Details'!$Q:$Q,'Order Details'!$E:$E,"Yes",'Order Details'!$I:$I,'Item Summary'!$B31,'Order Details'!$F:$F,'Item Summary'!G$4,'Order Details'!$C:$C,"Proforma Invoice Sent")+SUMIFS('Order Details'!$Q:$Q,'Order Details'!$E:$E,"Yes",'Order Details'!$I:$I,'Item Summary'!$B31,'Order Details'!$F:$F,'Item Summary'!G$4,'Order Details'!$C:$C,"Downpayment Received")+SUMIFS('Order Details'!$Q:$Q,'Order Details'!$E:$E,"Yes",'Order Details'!$I:$I,'Item Summary'!$B31,'Order Details'!$F:$F,'Item Summary'!G$4,'Order Details'!$C:$C,"In Production")</f>
        <v>0</v>
      </c>
      <c r="H31" s="275">
        <f>SUMIFS('Order Details'!$Q:$Q,'Order Details'!$E:$E,"Yes",'Order Details'!$I:$I,'Item Summary'!$B31,'Order Details'!$F:$F,'Item Summary'!H$4,'Order Details'!$C:$C,"PO Received")+SUMIFS('Order Details'!$Q:$Q,'Order Details'!$E:$E,"Yes",'Order Details'!$I:$I,'Item Summary'!$B31,'Order Details'!$F:$F,'Item Summary'!H$4,'Order Details'!$C:$C,"Proforma Invoice Sent")+SUMIFS('Order Details'!$Q:$Q,'Order Details'!$E:$E,"Yes",'Order Details'!$I:$I,'Item Summary'!$B31,'Order Details'!$F:$F,'Item Summary'!H$4,'Order Details'!$C:$C,"Downpayment Received")+SUMIFS('Order Details'!$Q:$Q,'Order Details'!$E:$E,"Yes",'Order Details'!$I:$I,'Item Summary'!$B31,'Order Details'!$F:$F,'Item Summary'!H$4,'Order Details'!$C:$C,"In Production")</f>
        <v>0</v>
      </c>
      <c r="I31" s="275">
        <f>SUMIFS('Order Details'!$Q:$Q,'Order Details'!$E:$E,"Yes",'Order Details'!$I:$I,'Item Summary'!$B31,'Order Details'!$F:$F,'Item Summary'!I$4,'Order Details'!$C:$C,"PO Received")+SUMIFS('Order Details'!$Q:$Q,'Order Details'!$E:$E,"Yes",'Order Details'!$I:$I,'Item Summary'!$B31,'Order Details'!$F:$F,'Item Summary'!I$4,'Order Details'!$C:$C,"Proforma Invoice Sent")+SUMIFS('Order Details'!$Q:$Q,'Order Details'!$E:$E,"Yes",'Order Details'!$I:$I,'Item Summary'!$B31,'Order Details'!$F:$F,'Item Summary'!I$4,'Order Details'!$C:$C,"Downpayment Received")+SUMIFS('Order Details'!$Q:$Q,'Order Details'!$E:$E,"Yes",'Order Details'!$I:$I,'Item Summary'!$B31,'Order Details'!$F:$F,'Item Summary'!I$4,'Order Details'!$C:$C,"In Production")</f>
        <v>0</v>
      </c>
      <c r="J31" s="275">
        <f>SUMIFS('Order Details'!$Q:$Q,'Order Details'!$E:$E,"Yes",'Order Details'!$I:$I,'Item Summary'!$B31,'Order Details'!$F:$F,'Item Summary'!J$4,'Order Details'!$C:$C,"PO Received")+SUMIFS('Order Details'!$Q:$Q,'Order Details'!$E:$E,"Yes",'Order Details'!$I:$I,'Item Summary'!$B31,'Order Details'!$F:$F,'Item Summary'!J$4,'Order Details'!$C:$C,"Proforma Invoice Sent")+SUMIFS('Order Details'!$Q:$Q,'Order Details'!$E:$E,"Yes",'Order Details'!$I:$I,'Item Summary'!$B31,'Order Details'!$F:$F,'Item Summary'!J$4,'Order Details'!$C:$C,"Downpayment Received")+SUMIFS('Order Details'!$Q:$Q,'Order Details'!$E:$E,"Yes",'Order Details'!$I:$I,'Item Summary'!$B31,'Order Details'!$F:$F,'Item Summary'!J$4,'Order Details'!$C:$C,"In Production")</f>
        <v>0</v>
      </c>
      <c r="K31" s="275">
        <f>SUMIFS('Order Details'!$Q:$Q,'Order Details'!$E:$E,"Yes",'Order Details'!$I:$I,'Item Summary'!$B31,'Order Details'!$F:$F,'Item Summary'!K$4,'Order Details'!$C:$C,"PO Received")+SUMIFS('Order Details'!$Q:$Q,'Order Details'!$E:$E,"Yes",'Order Details'!$I:$I,'Item Summary'!$B31,'Order Details'!$F:$F,'Item Summary'!K$4,'Order Details'!$C:$C,"Proforma Invoice Sent")+SUMIFS('Order Details'!$Q:$Q,'Order Details'!$E:$E,"Yes",'Order Details'!$I:$I,'Item Summary'!$B31,'Order Details'!$F:$F,'Item Summary'!K$4,'Order Details'!$C:$C,"Downpayment Received")+SUMIFS('Order Details'!$Q:$Q,'Order Details'!$E:$E,"Yes",'Order Details'!$I:$I,'Item Summary'!$B31,'Order Details'!$F:$F,'Item Summary'!K$4,'Order Details'!$C:$C,"In Production")</f>
        <v>0</v>
      </c>
      <c r="L31" s="291">
        <f>SUMIFS('Order Details'!$Q:$Q,'Order Details'!$E:$E,"Yes",'Order Details'!$I:$I,'Item Summary'!$B31,'Order Details'!$F:$F,'Item Summary'!L$4,'Order Details'!$C:$C,"PO Received")+SUMIFS('Order Details'!$Q:$Q,'Order Details'!$E:$E,"Yes",'Order Details'!$I:$I,'Item Summary'!$B31,'Order Details'!$F:$F,'Item Summary'!L$4,'Order Details'!$C:$C,"Proforma Invoice Sent")+SUMIFS('Order Details'!$Q:$Q,'Order Details'!$E:$E,"Yes",'Order Details'!$I:$I,'Item Summary'!$B31,'Order Details'!$F:$F,'Item Summary'!L$4,'Order Details'!$C:$C,"Downpayment Received")+SUMIFS('Order Details'!$Q:$Q,'Order Details'!$E:$E,"Yes",'Order Details'!$I:$I,'Item Summary'!$B31,'Order Details'!$F:$F,'Item Summary'!L$4,'Order Details'!$C:$C,"In Production")</f>
        <v>0</v>
      </c>
      <c r="M31" s="276">
        <f>SUMIFS('Order Details'!$Q:$Q,'Order Details'!$E:$E,"Yes",'Order Details'!$I:$I,'Item Summary'!$B31,'Order Details'!$F:$F,'Item Summary'!M$4,'Order Details'!$C:$C,"PO Received")+SUMIFS('Order Details'!$Q:$Q,'Order Details'!$E:$E,"Yes",'Order Details'!$I:$I,'Item Summary'!$B31,'Order Details'!$F:$F,'Item Summary'!M$4,'Order Details'!$C:$C,"Proforma Invoice Sent")+SUMIFS('Order Details'!$Q:$Q,'Order Details'!$E:$E,"Yes",'Order Details'!$I:$I,'Item Summary'!$B31,'Order Details'!$F:$F,'Item Summary'!M$4,'Order Details'!$C:$C,"Downpayment Received")+SUMIFS('Order Details'!$Q:$Q,'Order Details'!$E:$E,"Yes",'Order Details'!$I:$I,'Item Summary'!$B31,'Order Details'!$F:$F,'Item Summary'!M$4,'Order Details'!$C:$C,"In Production")</f>
        <v>0</v>
      </c>
      <c r="N31" s="279">
        <f t="shared" si="0"/>
        <v>0</v>
      </c>
      <c r="Q31" s="278">
        <v>694449</v>
      </c>
      <c r="R31" s="274" t="str">
        <f>VLOOKUP($Q31,'Pricing Table - eff 27-Jan-2026'!$A:$L,9,FALSE)&amp;""" "&amp;VLOOKUP($Q31,'Pricing Table - eff 27-Jan-2026'!$A:$L,12,FALSE)</f>
        <v>108" MATTE BLACK</v>
      </c>
      <c r="S31" s="275">
        <f>SUMIFS('Order Details'!$Q:$Q,'Order Details'!$E:$E,"Yes",'Order Details'!$I:$I,$Q31,'Order Details'!$F:$F,'Item Summary'!S$4)-D31</f>
        <v>0</v>
      </c>
      <c r="T31" s="275">
        <f>SUMIFS('Order Details'!$Q:$Q,'Order Details'!$E:$E,"Yes",'Order Details'!$I:$I,$Q31,'Order Details'!$F:$F,'Item Summary'!T$4)-E31</f>
        <v>0</v>
      </c>
      <c r="U31" s="275">
        <f>SUMIFS('Order Details'!$Q:$Q,'Order Details'!$E:$E,"Yes",'Order Details'!$I:$I,$Q31,'Order Details'!$F:$F,'Item Summary'!U$4)-F31</f>
        <v>0</v>
      </c>
      <c r="V31" s="275">
        <f>SUMIFS('Order Details'!$Q:$Q,'Order Details'!$E:$E,"Yes",'Order Details'!$I:$I,$Q31,'Order Details'!$F:$F,'Item Summary'!V$4)-G31</f>
        <v>2200</v>
      </c>
      <c r="W31" s="275">
        <f>SUMIFS('Order Details'!$Q:$Q,'Order Details'!$E:$E,"Yes",'Order Details'!$I:$I,$Q31,'Order Details'!$F:$F,'Item Summary'!W$4)-H31</f>
        <v>0</v>
      </c>
      <c r="X31" s="275">
        <f>SUMIFS('Order Details'!$Q:$Q,'Order Details'!$E:$E,"Yes",'Order Details'!$I:$I,$Q31,'Order Details'!$F:$F,'Item Summary'!X$4)-I31</f>
        <v>0</v>
      </c>
      <c r="Y31" s="275">
        <f>SUMIFS('Order Details'!$Q:$Q,'Order Details'!$E:$E,"Yes",'Order Details'!$I:$I,$Q31,'Order Details'!$F:$F,'Item Summary'!Y$4)-J31</f>
        <v>0</v>
      </c>
      <c r="Z31" s="275">
        <f>SUMIFS('Order Details'!$Q:$Q,'Order Details'!$E:$E,"Yes",'Order Details'!$I:$I,$Q31,'Order Details'!$F:$F,'Item Summary'!Z$4)-K31</f>
        <v>0</v>
      </c>
      <c r="AA31" s="291">
        <f>SUMIFS('Order Details'!$Q:$Q,'Order Details'!$E:$E,"Yes",'Order Details'!$I:$I,$Q31,'Order Details'!$F:$F,'Item Summary'!AA$4)-L31</f>
        <v>0</v>
      </c>
      <c r="AB31" s="276">
        <f>SUMIFS('Order Details'!$Q:$Q,'Order Details'!$E:$E,"Yes",'Order Details'!$I:$I,$Q31,'Order Details'!$F:$F,'Item Summary'!AB$4)-M31</f>
        <v>0</v>
      </c>
      <c r="AC31" s="279">
        <f t="shared" si="1"/>
        <v>2200</v>
      </c>
    </row>
    <row r="32" spans="2:29" x14ac:dyDescent="0.3">
      <c r="B32" s="278">
        <v>694450</v>
      </c>
      <c r="C32" s="274" t="str">
        <f>VLOOKUP($B32,'Pricing Table - eff 27-Jan-2026'!$A:$L,9,FALSE)&amp;""" "&amp;VLOOKUP($B32,'Pricing Table - eff 27-Jan-2026'!$A:$L,12,FALSE)</f>
        <v>144" MATTE BLACK</v>
      </c>
      <c r="D32" s="275">
        <f>SUMIFS('Order Details'!$Q:$Q,'Order Details'!$E:$E,"Yes",'Order Details'!$I:$I,'Item Summary'!$B32,'Order Details'!$F:$F,'Item Summary'!D$4,'Order Details'!$C:$C,"PO Received")+SUMIFS('Order Details'!$Q:$Q,'Order Details'!$E:$E,"Yes",'Order Details'!$I:$I,'Item Summary'!$B32,'Order Details'!$F:$F,'Item Summary'!D$4,'Order Details'!$C:$C,"Proforma Invoice Sent")+SUMIFS('Order Details'!$Q:$Q,'Order Details'!$E:$E,"Yes",'Order Details'!$I:$I,'Item Summary'!$B32,'Order Details'!$F:$F,'Item Summary'!D$4,'Order Details'!$C:$C,"Downpayment Received")+SUMIFS('Order Details'!$Q:$Q,'Order Details'!$E:$E,"Yes",'Order Details'!$I:$I,'Item Summary'!$B32,'Order Details'!$F:$F,'Item Summary'!D$4,'Order Details'!$C:$C,"In Production")</f>
        <v>0</v>
      </c>
      <c r="E32" s="275">
        <f>SUMIFS('Order Details'!$Q:$Q,'Order Details'!$E:$E,"Yes",'Order Details'!$I:$I,'Item Summary'!$B32,'Order Details'!$F:$F,'Item Summary'!E$4,'Order Details'!$C:$C,"PO Received")+SUMIFS('Order Details'!$Q:$Q,'Order Details'!$E:$E,"Yes",'Order Details'!$I:$I,'Item Summary'!$B32,'Order Details'!$F:$F,'Item Summary'!E$4,'Order Details'!$C:$C,"Proforma Invoice Sent")+SUMIFS('Order Details'!$Q:$Q,'Order Details'!$E:$E,"Yes",'Order Details'!$I:$I,'Item Summary'!$B32,'Order Details'!$F:$F,'Item Summary'!E$4,'Order Details'!$C:$C,"Downpayment Received")+SUMIFS('Order Details'!$Q:$Q,'Order Details'!$E:$E,"Yes",'Order Details'!$I:$I,'Item Summary'!$B32,'Order Details'!$F:$F,'Item Summary'!E$4,'Order Details'!$C:$C,"In Production")</f>
        <v>0</v>
      </c>
      <c r="F32" s="275">
        <f>SUMIFS('Order Details'!$Q:$Q,'Order Details'!$E:$E,"Yes",'Order Details'!$I:$I,'Item Summary'!$B32,'Order Details'!$F:$F,'Item Summary'!F$4,'Order Details'!$C:$C,"PO Received")+SUMIFS('Order Details'!$Q:$Q,'Order Details'!$E:$E,"Yes",'Order Details'!$I:$I,'Item Summary'!$B32,'Order Details'!$F:$F,'Item Summary'!F$4,'Order Details'!$C:$C,"Proforma Invoice Sent")+SUMIFS('Order Details'!$Q:$Q,'Order Details'!$E:$E,"Yes",'Order Details'!$I:$I,'Item Summary'!$B32,'Order Details'!$F:$F,'Item Summary'!F$4,'Order Details'!$C:$C,"Downpayment Received")+SUMIFS('Order Details'!$Q:$Q,'Order Details'!$E:$E,"Yes",'Order Details'!$I:$I,'Item Summary'!$B32,'Order Details'!$F:$F,'Item Summary'!F$4,'Order Details'!$C:$C,"In Production")</f>
        <v>0</v>
      </c>
      <c r="G32" s="275">
        <f>SUMIFS('Order Details'!$Q:$Q,'Order Details'!$E:$E,"Yes",'Order Details'!$I:$I,'Item Summary'!$B32,'Order Details'!$F:$F,'Item Summary'!G$4,'Order Details'!$C:$C,"PO Received")+SUMIFS('Order Details'!$Q:$Q,'Order Details'!$E:$E,"Yes",'Order Details'!$I:$I,'Item Summary'!$B32,'Order Details'!$F:$F,'Item Summary'!G$4,'Order Details'!$C:$C,"Proforma Invoice Sent")+SUMIFS('Order Details'!$Q:$Q,'Order Details'!$E:$E,"Yes",'Order Details'!$I:$I,'Item Summary'!$B32,'Order Details'!$F:$F,'Item Summary'!G$4,'Order Details'!$C:$C,"Downpayment Received")+SUMIFS('Order Details'!$Q:$Q,'Order Details'!$E:$E,"Yes",'Order Details'!$I:$I,'Item Summary'!$B32,'Order Details'!$F:$F,'Item Summary'!G$4,'Order Details'!$C:$C,"In Production")</f>
        <v>0</v>
      </c>
      <c r="H32" s="275">
        <f>SUMIFS('Order Details'!$Q:$Q,'Order Details'!$E:$E,"Yes",'Order Details'!$I:$I,'Item Summary'!$B32,'Order Details'!$F:$F,'Item Summary'!H$4,'Order Details'!$C:$C,"PO Received")+SUMIFS('Order Details'!$Q:$Q,'Order Details'!$E:$E,"Yes",'Order Details'!$I:$I,'Item Summary'!$B32,'Order Details'!$F:$F,'Item Summary'!H$4,'Order Details'!$C:$C,"Proforma Invoice Sent")+SUMIFS('Order Details'!$Q:$Q,'Order Details'!$E:$E,"Yes",'Order Details'!$I:$I,'Item Summary'!$B32,'Order Details'!$F:$F,'Item Summary'!H$4,'Order Details'!$C:$C,"Downpayment Received")+SUMIFS('Order Details'!$Q:$Q,'Order Details'!$E:$E,"Yes",'Order Details'!$I:$I,'Item Summary'!$B32,'Order Details'!$F:$F,'Item Summary'!H$4,'Order Details'!$C:$C,"In Production")</f>
        <v>0</v>
      </c>
      <c r="I32" s="275">
        <f>SUMIFS('Order Details'!$Q:$Q,'Order Details'!$E:$E,"Yes",'Order Details'!$I:$I,'Item Summary'!$B32,'Order Details'!$F:$F,'Item Summary'!I$4,'Order Details'!$C:$C,"PO Received")+SUMIFS('Order Details'!$Q:$Q,'Order Details'!$E:$E,"Yes",'Order Details'!$I:$I,'Item Summary'!$B32,'Order Details'!$F:$F,'Item Summary'!I$4,'Order Details'!$C:$C,"Proforma Invoice Sent")+SUMIFS('Order Details'!$Q:$Q,'Order Details'!$E:$E,"Yes",'Order Details'!$I:$I,'Item Summary'!$B32,'Order Details'!$F:$F,'Item Summary'!I$4,'Order Details'!$C:$C,"Downpayment Received")+SUMIFS('Order Details'!$Q:$Q,'Order Details'!$E:$E,"Yes",'Order Details'!$I:$I,'Item Summary'!$B32,'Order Details'!$F:$F,'Item Summary'!I$4,'Order Details'!$C:$C,"In Production")</f>
        <v>0</v>
      </c>
      <c r="J32" s="275">
        <f>SUMIFS('Order Details'!$Q:$Q,'Order Details'!$E:$E,"Yes",'Order Details'!$I:$I,'Item Summary'!$B32,'Order Details'!$F:$F,'Item Summary'!J$4,'Order Details'!$C:$C,"PO Received")+SUMIFS('Order Details'!$Q:$Q,'Order Details'!$E:$E,"Yes",'Order Details'!$I:$I,'Item Summary'!$B32,'Order Details'!$F:$F,'Item Summary'!J$4,'Order Details'!$C:$C,"Proforma Invoice Sent")+SUMIFS('Order Details'!$Q:$Q,'Order Details'!$E:$E,"Yes",'Order Details'!$I:$I,'Item Summary'!$B32,'Order Details'!$F:$F,'Item Summary'!J$4,'Order Details'!$C:$C,"Downpayment Received")+SUMIFS('Order Details'!$Q:$Q,'Order Details'!$E:$E,"Yes",'Order Details'!$I:$I,'Item Summary'!$B32,'Order Details'!$F:$F,'Item Summary'!J$4,'Order Details'!$C:$C,"In Production")</f>
        <v>0</v>
      </c>
      <c r="K32" s="275">
        <f>SUMIFS('Order Details'!$Q:$Q,'Order Details'!$E:$E,"Yes",'Order Details'!$I:$I,'Item Summary'!$B32,'Order Details'!$F:$F,'Item Summary'!K$4,'Order Details'!$C:$C,"PO Received")+SUMIFS('Order Details'!$Q:$Q,'Order Details'!$E:$E,"Yes",'Order Details'!$I:$I,'Item Summary'!$B32,'Order Details'!$F:$F,'Item Summary'!K$4,'Order Details'!$C:$C,"Proforma Invoice Sent")+SUMIFS('Order Details'!$Q:$Q,'Order Details'!$E:$E,"Yes",'Order Details'!$I:$I,'Item Summary'!$B32,'Order Details'!$F:$F,'Item Summary'!K$4,'Order Details'!$C:$C,"Downpayment Received")+SUMIFS('Order Details'!$Q:$Q,'Order Details'!$E:$E,"Yes",'Order Details'!$I:$I,'Item Summary'!$B32,'Order Details'!$F:$F,'Item Summary'!K$4,'Order Details'!$C:$C,"In Production")</f>
        <v>0</v>
      </c>
      <c r="L32" s="291">
        <f>SUMIFS('Order Details'!$Q:$Q,'Order Details'!$E:$E,"Yes",'Order Details'!$I:$I,'Item Summary'!$B32,'Order Details'!$F:$F,'Item Summary'!L$4,'Order Details'!$C:$C,"PO Received")+SUMIFS('Order Details'!$Q:$Q,'Order Details'!$E:$E,"Yes",'Order Details'!$I:$I,'Item Summary'!$B32,'Order Details'!$F:$F,'Item Summary'!L$4,'Order Details'!$C:$C,"Proforma Invoice Sent")+SUMIFS('Order Details'!$Q:$Q,'Order Details'!$E:$E,"Yes",'Order Details'!$I:$I,'Item Summary'!$B32,'Order Details'!$F:$F,'Item Summary'!L$4,'Order Details'!$C:$C,"Downpayment Received")+SUMIFS('Order Details'!$Q:$Q,'Order Details'!$E:$E,"Yes",'Order Details'!$I:$I,'Item Summary'!$B32,'Order Details'!$F:$F,'Item Summary'!L$4,'Order Details'!$C:$C,"In Production")</f>
        <v>0</v>
      </c>
      <c r="M32" s="276">
        <f>SUMIFS('Order Details'!$Q:$Q,'Order Details'!$E:$E,"Yes",'Order Details'!$I:$I,'Item Summary'!$B32,'Order Details'!$F:$F,'Item Summary'!M$4,'Order Details'!$C:$C,"PO Received")+SUMIFS('Order Details'!$Q:$Q,'Order Details'!$E:$E,"Yes",'Order Details'!$I:$I,'Item Summary'!$B32,'Order Details'!$F:$F,'Item Summary'!M$4,'Order Details'!$C:$C,"Proforma Invoice Sent")+SUMIFS('Order Details'!$Q:$Q,'Order Details'!$E:$E,"Yes",'Order Details'!$I:$I,'Item Summary'!$B32,'Order Details'!$F:$F,'Item Summary'!M$4,'Order Details'!$C:$C,"Downpayment Received")+SUMIFS('Order Details'!$Q:$Q,'Order Details'!$E:$E,"Yes",'Order Details'!$I:$I,'Item Summary'!$B32,'Order Details'!$F:$F,'Item Summary'!M$4,'Order Details'!$C:$C,"In Production")</f>
        <v>0</v>
      </c>
      <c r="N32" s="279">
        <f t="shared" si="0"/>
        <v>0</v>
      </c>
      <c r="Q32" s="278">
        <v>694450</v>
      </c>
      <c r="R32" s="274" t="str">
        <f>VLOOKUP($Q32,'Pricing Table - eff 27-Jan-2026'!$A:$L,9,FALSE)&amp;""" "&amp;VLOOKUP($Q32,'Pricing Table - eff 27-Jan-2026'!$A:$L,12,FALSE)</f>
        <v>144" MATTE BLACK</v>
      </c>
      <c r="S32" s="275">
        <f>SUMIFS('Order Details'!$Q:$Q,'Order Details'!$E:$E,"Yes",'Order Details'!$I:$I,$Q32,'Order Details'!$F:$F,'Item Summary'!S$4)-D32</f>
        <v>0</v>
      </c>
      <c r="T32" s="275">
        <f>SUMIFS('Order Details'!$Q:$Q,'Order Details'!$E:$E,"Yes",'Order Details'!$I:$I,$Q32,'Order Details'!$F:$F,'Item Summary'!T$4)-E32</f>
        <v>0</v>
      </c>
      <c r="U32" s="275">
        <f>SUMIFS('Order Details'!$Q:$Q,'Order Details'!$E:$E,"Yes",'Order Details'!$I:$I,$Q32,'Order Details'!$F:$F,'Item Summary'!U$4)-F32</f>
        <v>0</v>
      </c>
      <c r="V32" s="275">
        <f>SUMIFS('Order Details'!$Q:$Q,'Order Details'!$E:$E,"Yes",'Order Details'!$I:$I,$Q32,'Order Details'!$F:$F,'Item Summary'!V$4)-G32</f>
        <v>0</v>
      </c>
      <c r="W32" s="275">
        <f>SUMIFS('Order Details'!$Q:$Q,'Order Details'!$E:$E,"Yes",'Order Details'!$I:$I,$Q32,'Order Details'!$F:$F,'Item Summary'!W$4)-H32</f>
        <v>0</v>
      </c>
      <c r="X32" s="275">
        <f>SUMIFS('Order Details'!$Q:$Q,'Order Details'!$E:$E,"Yes",'Order Details'!$I:$I,$Q32,'Order Details'!$F:$F,'Item Summary'!X$4)-I32</f>
        <v>0</v>
      </c>
      <c r="Y32" s="275">
        <f>SUMIFS('Order Details'!$Q:$Q,'Order Details'!$E:$E,"Yes",'Order Details'!$I:$I,$Q32,'Order Details'!$F:$F,'Item Summary'!Y$4)-J32</f>
        <v>0</v>
      </c>
      <c r="Z32" s="275">
        <f>SUMIFS('Order Details'!$Q:$Q,'Order Details'!$E:$E,"Yes",'Order Details'!$I:$I,$Q32,'Order Details'!$F:$F,'Item Summary'!Z$4)-K32</f>
        <v>0</v>
      </c>
      <c r="AA32" s="291">
        <f>SUMIFS('Order Details'!$Q:$Q,'Order Details'!$E:$E,"Yes",'Order Details'!$I:$I,$Q32,'Order Details'!$F:$F,'Item Summary'!AA$4)-L32</f>
        <v>0</v>
      </c>
      <c r="AB32" s="276">
        <f>SUMIFS('Order Details'!$Q:$Q,'Order Details'!$E:$E,"Yes",'Order Details'!$I:$I,$Q32,'Order Details'!$F:$F,'Item Summary'!AB$4)-M32</f>
        <v>0</v>
      </c>
      <c r="AC32" s="279">
        <f t="shared" si="1"/>
        <v>0</v>
      </c>
    </row>
    <row r="33" spans="2:29" x14ac:dyDescent="0.3">
      <c r="B33" s="278">
        <v>694667</v>
      </c>
      <c r="C33" s="274" t="str">
        <f>VLOOKUP($B33,'Pricing Table - eff 27-Jan-2026'!$A:$L,9,FALSE)&amp;""" "&amp;VLOOKUP($B33,'Pricing Table - eff 27-Jan-2026'!$A:$L,12,FALSE)</f>
        <v>90" PEPSI BLUE</v>
      </c>
      <c r="D33" s="275">
        <f>SUMIFS('Order Details'!$Q:$Q,'Order Details'!$E:$E,"Yes",'Order Details'!$I:$I,'Item Summary'!$B33,'Order Details'!$F:$F,'Item Summary'!D$4,'Order Details'!$C:$C,"PO Received")+SUMIFS('Order Details'!$Q:$Q,'Order Details'!$E:$E,"Yes",'Order Details'!$I:$I,'Item Summary'!$B33,'Order Details'!$F:$F,'Item Summary'!D$4,'Order Details'!$C:$C,"Proforma Invoice Sent")+SUMIFS('Order Details'!$Q:$Q,'Order Details'!$E:$E,"Yes",'Order Details'!$I:$I,'Item Summary'!$B33,'Order Details'!$F:$F,'Item Summary'!D$4,'Order Details'!$C:$C,"Downpayment Received")+SUMIFS('Order Details'!$Q:$Q,'Order Details'!$E:$E,"Yes",'Order Details'!$I:$I,'Item Summary'!$B33,'Order Details'!$F:$F,'Item Summary'!D$4,'Order Details'!$C:$C,"In Production")</f>
        <v>0</v>
      </c>
      <c r="E33" s="275">
        <f>SUMIFS('Order Details'!$Q:$Q,'Order Details'!$E:$E,"Yes",'Order Details'!$I:$I,'Item Summary'!$B33,'Order Details'!$F:$F,'Item Summary'!E$4,'Order Details'!$C:$C,"PO Received")+SUMIFS('Order Details'!$Q:$Q,'Order Details'!$E:$E,"Yes",'Order Details'!$I:$I,'Item Summary'!$B33,'Order Details'!$F:$F,'Item Summary'!E$4,'Order Details'!$C:$C,"Proforma Invoice Sent")+SUMIFS('Order Details'!$Q:$Q,'Order Details'!$E:$E,"Yes",'Order Details'!$I:$I,'Item Summary'!$B33,'Order Details'!$F:$F,'Item Summary'!E$4,'Order Details'!$C:$C,"Downpayment Received")+SUMIFS('Order Details'!$Q:$Q,'Order Details'!$E:$E,"Yes",'Order Details'!$I:$I,'Item Summary'!$B33,'Order Details'!$F:$F,'Item Summary'!E$4,'Order Details'!$C:$C,"In Production")</f>
        <v>0</v>
      </c>
      <c r="F33" s="275">
        <f>SUMIFS('Order Details'!$Q:$Q,'Order Details'!$E:$E,"Yes",'Order Details'!$I:$I,'Item Summary'!$B33,'Order Details'!$F:$F,'Item Summary'!F$4,'Order Details'!$C:$C,"PO Received")+SUMIFS('Order Details'!$Q:$Q,'Order Details'!$E:$E,"Yes",'Order Details'!$I:$I,'Item Summary'!$B33,'Order Details'!$F:$F,'Item Summary'!F$4,'Order Details'!$C:$C,"Proforma Invoice Sent")+SUMIFS('Order Details'!$Q:$Q,'Order Details'!$E:$E,"Yes",'Order Details'!$I:$I,'Item Summary'!$B33,'Order Details'!$F:$F,'Item Summary'!F$4,'Order Details'!$C:$C,"Downpayment Received")+SUMIFS('Order Details'!$Q:$Q,'Order Details'!$E:$E,"Yes",'Order Details'!$I:$I,'Item Summary'!$B33,'Order Details'!$F:$F,'Item Summary'!F$4,'Order Details'!$C:$C,"In Production")</f>
        <v>0</v>
      </c>
      <c r="G33" s="275">
        <f>SUMIFS('Order Details'!$Q:$Q,'Order Details'!$E:$E,"Yes",'Order Details'!$I:$I,'Item Summary'!$B33,'Order Details'!$F:$F,'Item Summary'!G$4,'Order Details'!$C:$C,"PO Received")+SUMIFS('Order Details'!$Q:$Q,'Order Details'!$E:$E,"Yes",'Order Details'!$I:$I,'Item Summary'!$B33,'Order Details'!$F:$F,'Item Summary'!G$4,'Order Details'!$C:$C,"Proforma Invoice Sent")+SUMIFS('Order Details'!$Q:$Q,'Order Details'!$E:$E,"Yes",'Order Details'!$I:$I,'Item Summary'!$B33,'Order Details'!$F:$F,'Item Summary'!G$4,'Order Details'!$C:$C,"Downpayment Received")+SUMIFS('Order Details'!$Q:$Q,'Order Details'!$E:$E,"Yes",'Order Details'!$I:$I,'Item Summary'!$B33,'Order Details'!$F:$F,'Item Summary'!G$4,'Order Details'!$C:$C,"In Production")</f>
        <v>0</v>
      </c>
      <c r="H33" s="275">
        <f>SUMIFS('Order Details'!$Q:$Q,'Order Details'!$E:$E,"Yes",'Order Details'!$I:$I,'Item Summary'!$B33,'Order Details'!$F:$F,'Item Summary'!H$4,'Order Details'!$C:$C,"PO Received")+SUMIFS('Order Details'!$Q:$Q,'Order Details'!$E:$E,"Yes",'Order Details'!$I:$I,'Item Summary'!$B33,'Order Details'!$F:$F,'Item Summary'!H$4,'Order Details'!$C:$C,"Proforma Invoice Sent")+SUMIFS('Order Details'!$Q:$Q,'Order Details'!$E:$E,"Yes",'Order Details'!$I:$I,'Item Summary'!$B33,'Order Details'!$F:$F,'Item Summary'!H$4,'Order Details'!$C:$C,"Downpayment Received")+SUMIFS('Order Details'!$Q:$Q,'Order Details'!$E:$E,"Yes",'Order Details'!$I:$I,'Item Summary'!$B33,'Order Details'!$F:$F,'Item Summary'!H$4,'Order Details'!$C:$C,"In Production")</f>
        <v>0</v>
      </c>
      <c r="I33" s="275">
        <f>SUMIFS('Order Details'!$Q:$Q,'Order Details'!$E:$E,"Yes",'Order Details'!$I:$I,'Item Summary'!$B33,'Order Details'!$F:$F,'Item Summary'!I$4,'Order Details'!$C:$C,"PO Received")+SUMIFS('Order Details'!$Q:$Q,'Order Details'!$E:$E,"Yes",'Order Details'!$I:$I,'Item Summary'!$B33,'Order Details'!$F:$F,'Item Summary'!I$4,'Order Details'!$C:$C,"Proforma Invoice Sent")+SUMIFS('Order Details'!$Q:$Q,'Order Details'!$E:$E,"Yes",'Order Details'!$I:$I,'Item Summary'!$B33,'Order Details'!$F:$F,'Item Summary'!I$4,'Order Details'!$C:$C,"Downpayment Received")+SUMIFS('Order Details'!$Q:$Q,'Order Details'!$E:$E,"Yes",'Order Details'!$I:$I,'Item Summary'!$B33,'Order Details'!$F:$F,'Item Summary'!I$4,'Order Details'!$C:$C,"In Production")</f>
        <v>0</v>
      </c>
      <c r="J33" s="275">
        <f>SUMIFS('Order Details'!$Q:$Q,'Order Details'!$E:$E,"Yes",'Order Details'!$I:$I,'Item Summary'!$B33,'Order Details'!$F:$F,'Item Summary'!J$4,'Order Details'!$C:$C,"PO Received")+SUMIFS('Order Details'!$Q:$Q,'Order Details'!$E:$E,"Yes",'Order Details'!$I:$I,'Item Summary'!$B33,'Order Details'!$F:$F,'Item Summary'!J$4,'Order Details'!$C:$C,"Proforma Invoice Sent")+SUMIFS('Order Details'!$Q:$Q,'Order Details'!$E:$E,"Yes",'Order Details'!$I:$I,'Item Summary'!$B33,'Order Details'!$F:$F,'Item Summary'!J$4,'Order Details'!$C:$C,"Downpayment Received")+SUMIFS('Order Details'!$Q:$Q,'Order Details'!$E:$E,"Yes",'Order Details'!$I:$I,'Item Summary'!$B33,'Order Details'!$F:$F,'Item Summary'!J$4,'Order Details'!$C:$C,"In Production")</f>
        <v>0</v>
      </c>
      <c r="K33" s="275">
        <f>SUMIFS('Order Details'!$Q:$Q,'Order Details'!$E:$E,"Yes",'Order Details'!$I:$I,'Item Summary'!$B33,'Order Details'!$F:$F,'Item Summary'!K$4,'Order Details'!$C:$C,"PO Received")+SUMIFS('Order Details'!$Q:$Q,'Order Details'!$E:$E,"Yes",'Order Details'!$I:$I,'Item Summary'!$B33,'Order Details'!$F:$F,'Item Summary'!K$4,'Order Details'!$C:$C,"Proforma Invoice Sent")+SUMIFS('Order Details'!$Q:$Q,'Order Details'!$E:$E,"Yes",'Order Details'!$I:$I,'Item Summary'!$B33,'Order Details'!$F:$F,'Item Summary'!K$4,'Order Details'!$C:$C,"Downpayment Received")+SUMIFS('Order Details'!$Q:$Q,'Order Details'!$E:$E,"Yes",'Order Details'!$I:$I,'Item Summary'!$B33,'Order Details'!$F:$F,'Item Summary'!K$4,'Order Details'!$C:$C,"In Production")</f>
        <v>0</v>
      </c>
      <c r="L33" s="291">
        <f>SUMIFS('Order Details'!$Q:$Q,'Order Details'!$E:$E,"Yes",'Order Details'!$I:$I,'Item Summary'!$B33,'Order Details'!$F:$F,'Item Summary'!L$4,'Order Details'!$C:$C,"PO Received")+SUMIFS('Order Details'!$Q:$Q,'Order Details'!$E:$E,"Yes",'Order Details'!$I:$I,'Item Summary'!$B33,'Order Details'!$F:$F,'Item Summary'!L$4,'Order Details'!$C:$C,"Proforma Invoice Sent")+SUMIFS('Order Details'!$Q:$Q,'Order Details'!$E:$E,"Yes",'Order Details'!$I:$I,'Item Summary'!$B33,'Order Details'!$F:$F,'Item Summary'!L$4,'Order Details'!$C:$C,"Downpayment Received")+SUMIFS('Order Details'!$Q:$Q,'Order Details'!$E:$E,"Yes",'Order Details'!$I:$I,'Item Summary'!$B33,'Order Details'!$F:$F,'Item Summary'!L$4,'Order Details'!$C:$C,"In Production")</f>
        <v>0</v>
      </c>
      <c r="M33" s="276">
        <f>SUMIFS('Order Details'!$Q:$Q,'Order Details'!$E:$E,"Yes",'Order Details'!$I:$I,'Item Summary'!$B33,'Order Details'!$F:$F,'Item Summary'!M$4,'Order Details'!$C:$C,"PO Received")+SUMIFS('Order Details'!$Q:$Q,'Order Details'!$E:$E,"Yes",'Order Details'!$I:$I,'Item Summary'!$B33,'Order Details'!$F:$F,'Item Summary'!M$4,'Order Details'!$C:$C,"Proforma Invoice Sent")+SUMIFS('Order Details'!$Q:$Q,'Order Details'!$E:$E,"Yes",'Order Details'!$I:$I,'Item Summary'!$B33,'Order Details'!$F:$F,'Item Summary'!M$4,'Order Details'!$C:$C,"Downpayment Received")+SUMIFS('Order Details'!$Q:$Q,'Order Details'!$E:$E,"Yes",'Order Details'!$I:$I,'Item Summary'!$B33,'Order Details'!$F:$F,'Item Summary'!M$4,'Order Details'!$C:$C,"In Production")</f>
        <v>0</v>
      </c>
      <c r="N33" s="279">
        <f t="shared" si="0"/>
        <v>0</v>
      </c>
      <c r="Q33" s="278">
        <v>694667</v>
      </c>
      <c r="R33" s="274" t="str">
        <f>VLOOKUP($Q33,'Pricing Table - eff 27-Jan-2026'!$A:$L,9,FALSE)&amp;""" "&amp;VLOOKUP($Q33,'Pricing Table - eff 27-Jan-2026'!$A:$L,12,FALSE)</f>
        <v>90" PEPSI BLUE</v>
      </c>
      <c r="S33" s="275">
        <f>SUMIFS('Order Details'!$Q:$Q,'Order Details'!$E:$E,"Yes",'Order Details'!$I:$I,$Q33,'Order Details'!$F:$F,'Item Summary'!S$4)-D33</f>
        <v>0</v>
      </c>
      <c r="T33" s="275">
        <f>SUMIFS('Order Details'!$Q:$Q,'Order Details'!$E:$E,"Yes",'Order Details'!$I:$I,$Q33,'Order Details'!$F:$F,'Item Summary'!T$4)-E33</f>
        <v>0</v>
      </c>
      <c r="U33" s="275">
        <f>SUMIFS('Order Details'!$Q:$Q,'Order Details'!$E:$E,"Yes",'Order Details'!$I:$I,$Q33,'Order Details'!$F:$F,'Item Summary'!U$4)-F33</f>
        <v>0</v>
      </c>
      <c r="V33" s="275">
        <f>SUMIFS('Order Details'!$Q:$Q,'Order Details'!$E:$E,"Yes",'Order Details'!$I:$I,$Q33,'Order Details'!$F:$F,'Item Summary'!V$4)-G33</f>
        <v>0</v>
      </c>
      <c r="W33" s="275">
        <f>SUMIFS('Order Details'!$Q:$Q,'Order Details'!$E:$E,"Yes",'Order Details'!$I:$I,$Q33,'Order Details'!$F:$F,'Item Summary'!W$4)-H33</f>
        <v>0</v>
      </c>
      <c r="X33" s="275">
        <f>SUMIFS('Order Details'!$Q:$Q,'Order Details'!$E:$E,"Yes",'Order Details'!$I:$I,$Q33,'Order Details'!$F:$F,'Item Summary'!X$4)-I33</f>
        <v>0</v>
      </c>
      <c r="Y33" s="275">
        <f>SUMIFS('Order Details'!$Q:$Q,'Order Details'!$E:$E,"Yes",'Order Details'!$I:$I,$Q33,'Order Details'!$F:$F,'Item Summary'!Y$4)-J33</f>
        <v>0</v>
      </c>
      <c r="Z33" s="275">
        <f>SUMIFS('Order Details'!$Q:$Q,'Order Details'!$E:$E,"Yes",'Order Details'!$I:$I,$Q33,'Order Details'!$F:$F,'Item Summary'!Z$4)-K33</f>
        <v>0</v>
      </c>
      <c r="AA33" s="291">
        <f>SUMIFS('Order Details'!$Q:$Q,'Order Details'!$E:$E,"Yes",'Order Details'!$I:$I,$Q33,'Order Details'!$F:$F,'Item Summary'!AA$4)-L33</f>
        <v>0</v>
      </c>
      <c r="AB33" s="276">
        <f>SUMIFS('Order Details'!$Q:$Q,'Order Details'!$E:$E,"Yes",'Order Details'!$I:$I,$Q33,'Order Details'!$F:$F,'Item Summary'!AB$4)-M33</f>
        <v>0</v>
      </c>
      <c r="AC33" s="279">
        <f t="shared" si="1"/>
        <v>0</v>
      </c>
    </row>
    <row r="34" spans="2:29" x14ac:dyDescent="0.3">
      <c r="B34" s="280">
        <v>710940</v>
      </c>
      <c r="C34" s="274" t="str">
        <f>VLOOKUP($B34,'Pricing Table - eff 27-Jan-2026'!$A:$L,9,FALSE)&amp;""" "&amp;VLOOKUP($B34,'Pricing Table - eff 27-Jan-2026'!$A:$L,12,FALSE)</f>
        <v>90.5" PEPSI BLUE</v>
      </c>
      <c r="D34" s="275">
        <f>SUMIFS('Order Details'!$Q:$Q,'Order Details'!$E:$E,"Yes",'Order Details'!$I:$I,'Item Summary'!$B34,'Order Details'!$F:$F,'Item Summary'!D$4,'Order Details'!$C:$C,"PO Received")+SUMIFS('Order Details'!$Q:$Q,'Order Details'!$E:$E,"Yes",'Order Details'!$I:$I,'Item Summary'!$B34,'Order Details'!$F:$F,'Item Summary'!D$4,'Order Details'!$C:$C,"Proforma Invoice Sent")+SUMIFS('Order Details'!$Q:$Q,'Order Details'!$E:$E,"Yes",'Order Details'!$I:$I,'Item Summary'!$B34,'Order Details'!$F:$F,'Item Summary'!D$4,'Order Details'!$C:$C,"Downpayment Received")+SUMIFS('Order Details'!$Q:$Q,'Order Details'!$E:$E,"Yes",'Order Details'!$I:$I,'Item Summary'!$B34,'Order Details'!$F:$F,'Item Summary'!D$4,'Order Details'!$C:$C,"In Production")</f>
        <v>0</v>
      </c>
      <c r="E34" s="275">
        <f>SUMIFS('Order Details'!$Q:$Q,'Order Details'!$E:$E,"Yes",'Order Details'!$I:$I,'Item Summary'!$B34,'Order Details'!$F:$F,'Item Summary'!E$4,'Order Details'!$C:$C,"PO Received")+SUMIFS('Order Details'!$Q:$Q,'Order Details'!$E:$E,"Yes",'Order Details'!$I:$I,'Item Summary'!$B34,'Order Details'!$F:$F,'Item Summary'!E$4,'Order Details'!$C:$C,"Proforma Invoice Sent")+SUMIFS('Order Details'!$Q:$Q,'Order Details'!$E:$E,"Yes",'Order Details'!$I:$I,'Item Summary'!$B34,'Order Details'!$F:$F,'Item Summary'!E$4,'Order Details'!$C:$C,"Downpayment Received")+SUMIFS('Order Details'!$Q:$Q,'Order Details'!$E:$E,"Yes",'Order Details'!$I:$I,'Item Summary'!$B34,'Order Details'!$F:$F,'Item Summary'!E$4,'Order Details'!$C:$C,"In Production")</f>
        <v>0</v>
      </c>
      <c r="F34" s="275">
        <f>SUMIFS('Order Details'!$Q:$Q,'Order Details'!$E:$E,"Yes",'Order Details'!$I:$I,'Item Summary'!$B34,'Order Details'!$F:$F,'Item Summary'!F$4,'Order Details'!$C:$C,"PO Received")+SUMIFS('Order Details'!$Q:$Q,'Order Details'!$E:$E,"Yes",'Order Details'!$I:$I,'Item Summary'!$B34,'Order Details'!$F:$F,'Item Summary'!F$4,'Order Details'!$C:$C,"Proforma Invoice Sent")+SUMIFS('Order Details'!$Q:$Q,'Order Details'!$E:$E,"Yes",'Order Details'!$I:$I,'Item Summary'!$B34,'Order Details'!$F:$F,'Item Summary'!F$4,'Order Details'!$C:$C,"Downpayment Received")+SUMIFS('Order Details'!$Q:$Q,'Order Details'!$E:$E,"Yes",'Order Details'!$I:$I,'Item Summary'!$B34,'Order Details'!$F:$F,'Item Summary'!F$4,'Order Details'!$C:$C,"In Production")</f>
        <v>0</v>
      </c>
      <c r="G34" s="275">
        <f>SUMIFS('Order Details'!$Q:$Q,'Order Details'!$E:$E,"Yes",'Order Details'!$I:$I,'Item Summary'!$B34,'Order Details'!$F:$F,'Item Summary'!G$4,'Order Details'!$C:$C,"PO Received")+SUMIFS('Order Details'!$Q:$Q,'Order Details'!$E:$E,"Yes",'Order Details'!$I:$I,'Item Summary'!$B34,'Order Details'!$F:$F,'Item Summary'!G$4,'Order Details'!$C:$C,"Proforma Invoice Sent")+SUMIFS('Order Details'!$Q:$Q,'Order Details'!$E:$E,"Yes",'Order Details'!$I:$I,'Item Summary'!$B34,'Order Details'!$F:$F,'Item Summary'!G$4,'Order Details'!$C:$C,"Downpayment Received")+SUMIFS('Order Details'!$Q:$Q,'Order Details'!$E:$E,"Yes",'Order Details'!$I:$I,'Item Summary'!$B34,'Order Details'!$F:$F,'Item Summary'!G$4,'Order Details'!$C:$C,"In Production")</f>
        <v>0</v>
      </c>
      <c r="H34" s="275">
        <f>SUMIFS('Order Details'!$Q:$Q,'Order Details'!$E:$E,"Yes",'Order Details'!$I:$I,'Item Summary'!$B34,'Order Details'!$F:$F,'Item Summary'!H$4,'Order Details'!$C:$C,"PO Received")+SUMIFS('Order Details'!$Q:$Q,'Order Details'!$E:$E,"Yes",'Order Details'!$I:$I,'Item Summary'!$B34,'Order Details'!$F:$F,'Item Summary'!H$4,'Order Details'!$C:$C,"Proforma Invoice Sent")+SUMIFS('Order Details'!$Q:$Q,'Order Details'!$E:$E,"Yes",'Order Details'!$I:$I,'Item Summary'!$B34,'Order Details'!$F:$F,'Item Summary'!H$4,'Order Details'!$C:$C,"Downpayment Received")+SUMIFS('Order Details'!$Q:$Q,'Order Details'!$E:$E,"Yes",'Order Details'!$I:$I,'Item Summary'!$B34,'Order Details'!$F:$F,'Item Summary'!H$4,'Order Details'!$C:$C,"In Production")</f>
        <v>0</v>
      </c>
      <c r="I34" s="275">
        <f>SUMIFS('Order Details'!$Q:$Q,'Order Details'!$E:$E,"Yes",'Order Details'!$I:$I,'Item Summary'!$B34,'Order Details'!$F:$F,'Item Summary'!I$4,'Order Details'!$C:$C,"PO Received")+SUMIFS('Order Details'!$Q:$Q,'Order Details'!$E:$E,"Yes",'Order Details'!$I:$I,'Item Summary'!$B34,'Order Details'!$F:$F,'Item Summary'!I$4,'Order Details'!$C:$C,"Proforma Invoice Sent")+SUMIFS('Order Details'!$Q:$Q,'Order Details'!$E:$E,"Yes",'Order Details'!$I:$I,'Item Summary'!$B34,'Order Details'!$F:$F,'Item Summary'!I$4,'Order Details'!$C:$C,"Downpayment Received")+SUMIFS('Order Details'!$Q:$Q,'Order Details'!$E:$E,"Yes",'Order Details'!$I:$I,'Item Summary'!$B34,'Order Details'!$F:$F,'Item Summary'!I$4,'Order Details'!$C:$C,"In Production")</f>
        <v>0</v>
      </c>
      <c r="J34" s="275">
        <f>SUMIFS('Order Details'!$Q:$Q,'Order Details'!$E:$E,"Yes",'Order Details'!$I:$I,'Item Summary'!$B34,'Order Details'!$F:$F,'Item Summary'!J$4,'Order Details'!$C:$C,"PO Received")+SUMIFS('Order Details'!$Q:$Q,'Order Details'!$E:$E,"Yes",'Order Details'!$I:$I,'Item Summary'!$B34,'Order Details'!$F:$F,'Item Summary'!J$4,'Order Details'!$C:$C,"Proforma Invoice Sent")+SUMIFS('Order Details'!$Q:$Q,'Order Details'!$E:$E,"Yes",'Order Details'!$I:$I,'Item Summary'!$B34,'Order Details'!$F:$F,'Item Summary'!J$4,'Order Details'!$C:$C,"Downpayment Received")+SUMIFS('Order Details'!$Q:$Q,'Order Details'!$E:$E,"Yes",'Order Details'!$I:$I,'Item Summary'!$B34,'Order Details'!$F:$F,'Item Summary'!J$4,'Order Details'!$C:$C,"In Production")</f>
        <v>0</v>
      </c>
      <c r="K34" s="275">
        <f>SUMIFS('Order Details'!$Q:$Q,'Order Details'!$E:$E,"Yes",'Order Details'!$I:$I,'Item Summary'!$B34,'Order Details'!$F:$F,'Item Summary'!K$4,'Order Details'!$C:$C,"PO Received")+SUMIFS('Order Details'!$Q:$Q,'Order Details'!$E:$E,"Yes",'Order Details'!$I:$I,'Item Summary'!$B34,'Order Details'!$F:$F,'Item Summary'!K$4,'Order Details'!$C:$C,"Proforma Invoice Sent")+SUMIFS('Order Details'!$Q:$Q,'Order Details'!$E:$E,"Yes",'Order Details'!$I:$I,'Item Summary'!$B34,'Order Details'!$F:$F,'Item Summary'!K$4,'Order Details'!$C:$C,"Downpayment Received")+SUMIFS('Order Details'!$Q:$Q,'Order Details'!$E:$E,"Yes",'Order Details'!$I:$I,'Item Summary'!$B34,'Order Details'!$F:$F,'Item Summary'!K$4,'Order Details'!$C:$C,"In Production")</f>
        <v>0</v>
      </c>
      <c r="L34" s="291">
        <f>SUMIFS('Order Details'!$Q:$Q,'Order Details'!$E:$E,"Yes",'Order Details'!$I:$I,'Item Summary'!$B34,'Order Details'!$F:$F,'Item Summary'!L$4,'Order Details'!$C:$C,"PO Received")+SUMIFS('Order Details'!$Q:$Q,'Order Details'!$E:$E,"Yes",'Order Details'!$I:$I,'Item Summary'!$B34,'Order Details'!$F:$F,'Item Summary'!L$4,'Order Details'!$C:$C,"Proforma Invoice Sent")+SUMIFS('Order Details'!$Q:$Q,'Order Details'!$E:$E,"Yes",'Order Details'!$I:$I,'Item Summary'!$B34,'Order Details'!$F:$F,'Item Summary'!L$4,'Order Details'!$C:$C,"Downpayment Received")+SUMIFS('Order Details'!$Q:$Q,'Order Details'!$E:$E,"Yes",'Order Details'!$I:$I,'Item Summary'!$B34,'Order Details'!$F:$F,'Item Summary'!L$4,'Order Details'!$C:$C,"In Production")</f>
        <v>0</v>
      </c>
      <c r="M34" s="276">
        <f>SUMIFS('Order Details'!$Q:$Q,'Order Details'!$E:$E,"Yes",'Order Details'!$I:$I,'Item Summary'!$B34,'Order Details'!$F:$F,'Item Summary'!M$4,'Order Details'!$C:$C,"PO Received")+SUMIFS('Order Details'!$Q:$Q,'Order Details'!$E:$E,"Yes",'Order Details'!$I:$I,'Item Summary'!$B34,'Order Details'!$F:$F,'Item Summary'!M$4,'Order Details'!$C:$C,"Proforma Invoice Sent")+SUMIFS('Order Details'!$Q:$Q,'Order Details'!$E:$E,"Yes",'Order Details'!$I:$I,'Item Summary'!$B34,'Order Details'!$F:$F,'Item Summary'!M$4,'Order Details'!$C:$C,"Downpayment Received")+SUMIFS('Order Details'!$Q:$Q,'Order Details'!$E:$E,"Yes",'Order Details'!$I:$I,'Item Summary'!$B34,'Order Details'!$F:$F,'Item Summary'!M$4,'Order Details'!$C:$C,"In Production")</f>
        <v>0</v>
      </c>
      <c r="N34" s="279">
        <f t="shared" si="0"/>
        <v>0</v>
      </c>
      <c r="Q34" s="280">
        <v>710940</v>
      </c>
      <c r="R34" s="274" t="str">
        <f>VLOOKUP($Q34,'Pricing Table - eff 27-Jan-2026'!$A:$L,9,FALSE)&amp;""" "&amp;VLOOKUP($Q34,'Pricing Table - eff 27-Jan-2026'!$A:$L,12,FALSE)</f>
        <v>90.5" PEPSI BLUE</v>
      </c>
      <c r="S34" s="275">
        <f>SUMIFS('Order Details'!$Q:$Q,'Order Details'!$E:$E,"Yes",'Order Details'!$I:$I,$Q34,'Order Details'!$F:$F,'Item Summary'!S$4)-D34</f>
        <v>0</v>
      </c>
      <c r="T34" s="275">
        <f>SUMIFS('Order Details'!$Q:$Q,'Order Details'!$E:$E,"Yes",'Order Details'!$I:$I,$Q34,'Order Details'!$F:$F,'Item Summary'!T$4)-E34</f>
        <v>0</v>
      </c>
      <c r="U34" s="275">
        <f>SUMIFS('Order Details'!$Q:$Q,'Order Details'!$E:$E,"Yes",'Order Details'!$I:$I,$Q34,'Order Details'!$F:$F,'Item Summary'!U$4)-F34</f>
        <v>400</v>
      </c>
      <c r="V34" s="275">
        <f>SUMIFS('Order Details'!$Q:$Q,'Order Details'!$E:$E,"Yes",'Order Details'!$I:$I,$Q34,'Order Details'!$F:$F,'Item Summary'!V$4)-G34</f>
        <v>0</v>
      </c>
      <c r="W34" s="275">
        <f>SUMIFS('Order Details'!$Q:$Q,'Order Details'!$E:$E,"Yes",'Order Details'!$I:$I,$Q34,'Order Details'!$F:$F,'Item Summary'!W$4)-H34</f>
        <v>0</v>
      </c>
      <c r="X34" s="275">
        <f>SUMIFS('Order Details'!$Q:$Q,'Order Details'!$E:$E,"Yes",'Order Details'!$I:$I,$Q34,'Order Details'!$F:$F,'Item Summary'!X$4)-I34</f>
        <v>0</v>
      </c>
      <c r="Y34" s="275">
        <f>SUMIFS('Order Details'!$Q:$Q,'Order Details'!$E:$E,"Yes",'Order Details'!$I:$I,$Q34,'Order Details'!$F:$F,'Item Summary'!Y$4)-J34</f>
        <v>0</v>
      </c>
      <c r="Z34" s="275">
        <f>SUMIFS('Order Details'!$Q:$Q,'Order Details'!$E:$E,"Yes",'Order Details'!$I:$I,$Q34,'Order Details'!$F:$F,'Item Summary'!Z$4)-K34</f>
        <v>0</v>
      </c>
      <c r="AA34" s="291">
        <f>SUMIFS('Order Details'!$Q:$Q,'Order Details'!$E:$E,"Yes",'Order Details'!$I:$I,$Q34,'Order Details'!$F:$F,'Item Summary'!AA$4)-L34</f>
        <v>0</v>
      </c>
      <c r="AB34" s="276">
        <f>SUMIFS('Order Details'!$Q:$Q,'Order Details'!$E:$E,"Yes",'Order Details'!$I:$I,$Q34,'Order Details'!$F:$F,'Item Summary'!AB$4)-M34</f>
        <v>0</v>
      </c>
      <c r="AC34" s="279">
        <f t="shared" si="1"/>
        <v>400</v>
      </c>
    </row>
    <row r="35" spans="2:29" x14ac:dyDescent="0.3">
      <c r="B35" s="280">
        <v>694668</v>
      </c>
      <c r="C35" s="274" t="str">
        <f>VLOOKUP($B35,'Pricing Table - eff 27-Jan-2026'!$A:$L,9,FALSE)&amp;""" "&amp;VLOOKUP($B35,'Pricing Table - eff 27-Jan-2026'!$A:$L,12,FALSE)</f>
        <v>96" PEPSI BLUE</v>
      </c>
      <c r="D35" s="275">
        <f>SUMIFS('Order Details'!$Q:$Q,'Order Details'!$E:$E,"Yes",'Order Details'!$I:$I,'Item Summary'!$B35,'Order Details'!$F:$F,'Item Summary'!D$4,'Order Details'!$C:$C,"PO Received")+SUMIFS('Order Details'!$Q:$Q,'Order Details'!$E:$E,"Yes",'Order Details'!$I:$I,'Item Summary'!$B35,'Order Details'!$F:$F,'Item Summary'!D$4,'Order Details'!$C:$C,"Proforma Invoice Sent")+SUMIFS('Order Details'!$Q:$Q,'Order Details'!$E:$E,"Yes",'Order Details'!$I:$I,'Item Summary'!$B35,'Order Details'!$F:$F,'Item Summary'!D$4,'Order Details'!$C:$C,"Downpayment Received")+SUMIFS('Order Details'!$Q:$Q,'Order Details'!$E:$E,"Yes",'Order Details'!$I:$I,'Item Summary'!$B35,'Order Details'!$F:$F,'Item Summary'!D$4,'Order Details'!$C:$C,"In Production")</f>
        <v>0</v>
      </c>
      <c r="E35" s="275">
        <f>SUMIFS('Order Details'!$Q:$Q,'Order Details'!$E:$E,"Yes",'Order Details'!$I:$I,'Item Summary'!$B35,'Order Details'!$F:$F,'Item Summary'!E$4,'Order Details'!$C:$C,"PO Received")+SUMIFS('Order Details'!$Q:$Q,'Order Details'!$E:$E,"Yes",'Order Details'!$I:$I,'Item Summary'!$B35,'Order Details'!$F:$F,'Item Summary'!E$4,'Order Details'!$C:$C,"Proforma Invoice Sent")+SUMIFS('Order Details'!$Q:$Q,'Order Details'!$E:$E,"Yes",'Order Details'!$I:$I,'Item Summary'!$B35,'Order Details'!$F:$F,'Item Summary'!E$4,'Order Details'!$C:$C,"Downpayment Received")+SUMIFS('Order Details'!$Q:$Q,'Order Details'!$E:$E,"Yes",'Order Details'!$I:$I,'Item Summary'!$B35,'Order Details'!$F:$F,'Item Summary'!E$4,'Order Details'!$C:$C,"In Production")</f>
        <v>0</v>
      </c>
      <c r="F35" s="275">
        <f>SUMIFS('Order Details'!$Q:$Q,'Order Details'!$E:$E,"Yes",'Order Details'!$I:$I,'Item Summary'!$B35,'Order Details'!$F:$F,'Item Summary'!F$4,'Order Details'!$C:$C,"PO Received")+SUMIFS('Order Details'!$Q:$Q,'Order Details'!$E:$E,"Yes",'Order Details'!$I:$I,'Item Summary'!$B35,'Order Details'!$F:$F,'Item Summary'!F$4,'Order Details'!$C:$C,"Proforma Invoice Sent")+SUMIFS('Order Details'!$Q:$Q,'Order Details'!$E:$E,"Yes",'Order Details'!$I:$I,'Item Summary'!$B35,'Order Details'!$F:$F,'Item Summary'!F$4,'Order Details'!$C:$C,"Downpayment Received")+SUMIFS('Order Details'!$Q:$Q,'Order Details'!$E:$E,"Yes",'Order Details'!$I:$I,'Item Summary'!$B35,'Order Details'!$F:$F,'Item Summary'!F$4,'Order Details'!$C:$C,"In Production")</f>
        <v>0</v>
      </c>
      <c r="G35" s="275">
        <f>SUMIFS('Order Details'!$Q:$Q,'Order Details'!$E:$E,"Yes",'Order Details'!$I:$I,'Item Summary'!$B35,'Order Details'!$F:$F,'Item Summary'!G$4,'Order Details'!$C:$C,"PO Received")+SUMIFS('Order Details'!$Q:$Q,'Order Details'!$E:$E,"Yes",'Order Details'!$I:$I,'Item Summary'!$B35,'Order Details'!$F:$F,'Item Summary'!G$4,'Order Details'!$C:$C,"Proforma Invoice Sent")+SUMIFS('Order Details'!$Q:$Q,'Order Details'!$E:$E,"Yes",'Order Details'!$I:$I,'Item Summary'!$B35,'Order Details'!$F:$F,'Item Summary'!G$4,'Order Details'!$C:$C,"Downpayment Received")+SUMIFS('Order Details'!$Q:$Q,'Order Details'!$E:$E,"Yes",'Order Details'!$I:$I,'Item Summary'!$B35,'Order Details'!$F:$F,'Item Summary'!G$4,'Order Details'!$C:$C,"In Production")</f>
        <v>0</v>
      </c>
      <c r="H35" s="275">
        <f>SUMIFS('Order Details'!$Q:$Q,'Order Details'!$E:$E,"Yes",'Order Details'!$I:$I,'Item Summary'!$B35,'Order Details'!$F:$F,'Item Summary'!H$4,'Order Details'!$C:$C,"PO Received")+SUMIFS('Order Details'!$Q:$Q,'Order Details'!$E:$E,"Yes",'Order Details'!$I:$I,'Item Summary'!$B35,'Order Details'!$F:$F,'Item Summary'!H$4,'Order Details'!$C:$C,"Proforma Invoice Sent")+SUMIFS('Order Details'!$Q:$Q,'Order Details'!$E:$E,"Yes",'Order Details'!$I:$I,'Item Summary'!$B35,'Order Details'!$F:$F,'Item Summary'!H$4,'Order Details'!$C:$C,"Downpayment Received")+SUMIFS('Order Details'!$Q:$Q,'Order Details'!$E:$E,"Yes",'Order Details'!$I:$I,'Item Summary'!$B35,'Order Details'!$F:$F,'Item Summary'!H$4,'Order Details'!$C:$C,"In Production")</f>
        <v>0</v>
      </c>
      <c r="I35" s="275">
        <f>SUMIFS('Order Details'!$Q:$Q,'Order Details'!$E:$E,"Yes",'Order Details'!$I:$I,'Item Summary'!$B35,'Order Details'!$F:$F,'Item Summary'!I$4,'Order Details'!$C:$C,"PO Received")+SUMIFS('Order Details'!$Q:$Q,'Order Details'!$E:$E,"Yes",'Order Details'!$I:$I,'Item Summary'!$B35,'Order Details'!$F:$F,'Item Summary'!I$4,'Order Details'!$C:$C,"Proforma Invoice Sent")+SUMIFS('Order Details'!$Q:$Q,'Order Details'!$E:$E,"Yes",'Order Details'!$I:$I,'Item Summary'!$B35,'Order Details'!$F:$F,'Item Summary'!I$4,'Order Details'!$C:$C,"Downpayment Received")+SUMIFS('Order Details'!$Q:$Q,'Order Details'!$E:$E,"Yes",'Order Details'!$I:$I,'Item Summary'!$B35,'Order Details'!$F:$F,'Item Summary'!I$4,'Order Details'!$C:$C,"In Production")</f>
        <v>0</v>
      </c>
      <c r="J35" s="275">
        <f>SUMIFS('Order Details'!$Q:$Q,'Order Details'!$E:$E,"Yes",'Order Details'!$I:$I,'Item Summary'!$B35,'Order Details'!$F:$F,'Item Summary'!J$4,'Order Details'!$C:$C,"PO Received")+SUMIFS('Order Details'!$Q:$Q,'Order Details'!$E:$E,"Yes",'Order Details'!$I:$I,'Item Summary'!$B35,'Order Details'!$F:$F,'Item Summary'!J$4,'Order Details'!$C:$C,"Proforma Invoice Sent")+SUMIFS('Order Details'!$Q:$Q,'Order Details'!$E:$E,"Yes",'Order Details'!$I:$I,'Item Summary'!$B35,'Order Details'!$F:$F,'Item Summary'!J$4,'Order Details'!$C:$C,"Downpayment Received")+SUMIFS('Order Details'!$Q:$Q,'Order Details'!$E:$E,"Yes",'Order Details'!$I:$I,'Item Summary'!$B35,'Order Details'!$F:$F,'Item Summary'!J$4,'Order Details'!$C:$C,"In Production")</f>
        <v>0</v>
      </c>
      <c r="K35" s="275">
        <f>SUMIFS('Order Details'!$Q:$Q,'Order Details'!$E:$E,"Yes",'Order Details'!$I:$I,'Item Summary'!$B35,'Order Details'!$F:$F,'Item Summary'!K$4,'Order Details'!$C:$C,"PO Received")+SUMIFS('Order Details'!$Q:$Q,'Order Details'!$E:$E,"Yes",'Order Details'!$I:$I,'Item Summary'!$B35,'Order Details'!$F:$F,'Item Summary'!K$4,'Order Details'!$C:$C,"Proforma Invoice Sent")+SUMIFS('Order Details'!$Q:$Q,'Order Details'!$E:$E,"Yes",'Order Details'!$I:$I,'Item Summary'!$B35,'Order Details'!$F:$F,'Item Summary'!K$4,'Order Details'!$C:$C,"Downpayment Received")+SUMIFS('Order Details'!$Q:$Q,'Order Details'!$E:$E,"Yes",'Order Details'!$I:$I,'Item Summary'!$B35,'Order Details'!$F:$F,'Item Summary'!K$4,'Order Details'!$C:$C,"In Production")</f>
        <v>0</v>
      </c>
      <c r="L35" s="291">
        <f>SUMIFS('Order Details'!$Q:$Q,'Order Details'!$E:$E,"Yes",'Order Details'!$I:$I,'Item Summary'!$B35,'Order Details'!$F:$F,'Item Summary'!L$4,'Order Details'!$C:$C,"PO Received")+SUMIFS('Order Details'!$Q:$Q,'Order Details'!$E:$E,"Yes",'Order Details'!$I:$I,'Item Summary'!$B35,'Order Details'!$F:$F,'Item Summary'!L$4,'Order Details'!$C:$C,"Proforma Invoice Sent")+SUMIFS('Order Details'!$Q:$Q,'Order Details'!$E:$E,"Yes",'Order Details'!$I:$I,'Item Summary'!$B35,'Order Details'!$F:$F,'Item Summary'!L$4,'Order Details'!$C:$C,"Downpayment Received")+SUMIFS('Order Details'!$Q:$Q,'Order Details'!$E:$E,"Yes",'Order Details'!$I:$I,'Item Summary'!$B35,'Order Details'!$F:$F,'Item Summary'!L$4,'Order Details'!$C:$C,"In Production")</f>
        <v>0</v>
      </c>
      <c r="M35" s="276">
        <f>SUMIFS('Order Details'!$Q:$Q,'Order Details'!$E:$E,"Yes",'Order Details'!$I:$I,'Item Summary'!$B35,'Order Details'!$F:$F,'Item Summary'!M$4,'Order Details'!$C:$C,"PO Received")+SUMIFS('Order Details'!$Q:$Q,'Order Details'!$E:$E,"Yes",'Order Details'!$I:$I,'Item Summary'!$B35,'Order Details'!$F:$F,'Item Summary'!M$4,'Order Details'!$C:$C,"Proforma Invoice Sent")+SUMIFS('Order Details'!$Q:$Q,'Order Details'!$E:$E,"Yes",'Order Details'!$I:$I,'Item Summary'!$B35,'Order Details'!$F:$F,'Item Summary'!M$4,'Order Details'!$C:$C,"Downpayment Received")+SUMIFS('Order Details'!$Q:$Q,'Order Details'!$E:$E,"Yes",'Order Details'!$I:$I,'Item Summary'!$B35,'Order Details'!$F:$F,'Item Summary'!M$4,'Order Details'!$C:$C,"In Production")</f>
        <v>0</v>
      </c>
      <c r="N35" s="279">
        <f t="shared" si="0"/>
        <v>0</v>
      </c>
      <c r="Q35" s="280">
        <v>694668</v>
      </c>
      <c r="R35" s="274" t="str">
        <f>VLOOKUP($Q35,'Pricing Table - eff 27-Jan-2026'!$A:$L,9,FALSE)&amp;""" "&amp;VLOOKUP($Q35,'Pricing Table - eff 27-Jan-2026'!$A:$L,12,FALSE)</f>
        <v>96" PEPSI BLUE</v>
      </c>
      <c r="S35" s="275">
        <f>SUMIFS('Order Details'!$Q:$Q,'Order Details'!$E:$E,"Yes",'Order Details'!$I:$I,$Q35,'Order Details'!$F:$F,'Item Summary'!S$4)-D35</f>
        <v>0</v>
      </c>
      <c r="T35" s="275">
        <f>SUMIFS('Order Details'!$Q:$Q,'Order Details'!$E:$E,"Yes",'Order Details'!$I:$I,$Q35,'Order Details'!$F:$F,'Item Summary'!T$4)-E35</f>
        <v>0</v>
      </c>
      <c r="U35" s="275">
        <f>SUMIFS('Order Details'!$Q:$Q,'Order Details'!$E:$E,"Yes",'Order Details'!$I:$I,$Q35,'Order Details'!$F:$F,'Item Summary'!U$4)-F35</f>
        <v>0</v>
      </c>
      <c r="V35" s="275">
        <f>SUMIFS('Order Details'!$Q:$Q,'Order Details'!$E:$E,"Yes",'Order Details'!$I:$I,$Q35,'Order Details'!$F:$F,'Item Summary'!V$4)-G35</f>
        <v>0</v>
      </c>
      <c r="W35" s="275">
        <f>SUMIFS('Order Details'!$Q:$Q,'Order Details'!$E:$E,"Yes",'Order Details'!$I:$I,$Q35,'Order Details'!$F:$F,'Item Summary'!W$4)-H35</f>
        <v>0</v>
      </c>
      <c r="X35" s="275">
        <f>SUMIFS('Order Details'!$Q:$Q,'Order Details'!$E:$E,"Yes",'Order Details'!$I:$I,$Q35,'Order Details'!$F:$F,'Item Summary'!X$4)-I35</f>
        <v>0</v>
      </c>
      <c r="Y35" s="275">
        <f>SUMIFS('Order Details'!$Q:$Q,'Order Details'!$E:$E,"Yes",'Order Details'!$I:$I,$Q35,'Order Details'!$F:$F,'Item Summary'!Y$4)-J35</f>
        <v>0</v>
      </c>
      <c r="Z35" s="275">
        <f>SUMIFS('Order Details'!$Q:$Q,'Order Details'!$E:$E,"Yes",'Order Details'!$I:$I,$Q35,'Order Details'!$F:$F,'Item Summary'!Z$4)-K35</f>
        <v>0</v>
      </c>
      <c r="AA35" s="291">
        <f>SUMIFS('Order Details'!$Q:$Q,'Order Details'!$E:$E,"Yes",'Order Details'!$I:$I,$Q35,'Order Details'!$F:$F,'Item Summary'!AA$4)-L35</f>
        <v>0</v>
      </c>
      <c r="AB35" s="276">
        <f>SUMIFS('Order Details'!$Q:$Q,'Order Details'!$E:$E,"Yes",'Order Details'!$I:$I,$Q35,'Order Details'!$F:$F,'Item Summary'!AB$4)-M35</f>
        <v>0</v>
      </c>
      <c r="AC35" s="279">
        <f t="shared" si="1"/>
        <v>0</v>
      </c>
    </row>
    <row r="36" spans="2:29" x14ac:dyDescent="0.3">
      <c r="B36" s="280">
        <v>694669</v>
      </c>
      <c r="C36" s="274" t="str">
        <f>VLOOKUP($B36,'Pricing Table - eff 27-Jan-2026'!$A:$L,9,FALSE)&amp;""" "&amp;VLOOKUP($B36,'Pricing Table - eff 27-Jan-2026'!$A:$L,12,FALSE)</f>
        <v>108" PEPSI BLUE</v>
      </c>
      <c r="D36" s="275">
        <f>SUMIFS('Order Details'!$Q:$Q,'Order Details'!$E:$E,"Yes",'Order Details'!$I:$I,'Item Summary'!$B36,'Order Details'!$F:$F,'Item Summary'!D$4,'Order Details'!$C:$C,"PO Received")+SUMIFS('Order Details'!$Q:$Q,'Order Details'!$E:$E,"Yes",'Order Details'!$I:$I,'Item Summary'!$B36,'Order Details'!$F:$F,'Item Summary'!D$4,'Order Details'!$C:$C,"Proforma Invoice Sent")+SUMIFS('Order Details'!$Q:$Q,'Order Details'!$E:$E,"Yes",'Order Details'!$I:$I,'Item Summary'!$B36,'Order Details'!$F:$F,'Item Summary'!D$4,'Order Details'!$C:$C,"Downpayment Received")+SUMIFS('Order Details'!$Q:$Q,'Order Details'!$E:$E,"Yes",'Order Details'!$I:$I,'Item Summary'!$B36,'Order Details'!$F:$F,'Item Summary'!D$4,'Order Details'!$C:$C,"In Production")</f>
        <v>0</v>
      </c>
      <c r="E36" s="275">
        <f>SUMIFS('Order Details'!$Q:$Q,'Order Details'!$E:$E,"Yes",'Order Details'!$I:$I,'Item Summary'!$B36,'Order Details'!$F:$F,'Item Summary'!E$4,'Order Details'!$C:$C,"PO Received")+SUMIFS('Order Details'!$Q:$Q,'Order Details'!$E:$E,"Yes",'Order Details'!$I:$I,'Item Summary'!$B36,'Order Details'!$F:$F,'Item Summary'!E$4,'Order Details'!$C:$C,"Proforma Invoice Sent")+SUMIFS('Order Details'!$Q:$Q,'Order Details'!$E:$E,"Yes",'Order Details'!$I:$I,'Item Summary'!$B36,'Order Details'!$F:$F,'Item Summary'!E$4,'Order Details'!$C:$C,"Downpayment Received")+SUMIFS('Order Details'!$Q:$Q,'Order Details'!$E:$E,"Yes",'Order Details'!$I:$I,'Item Summary'!$B36,'Order Details'!$F:$F,'Item Summary'!E$4,'Order Details'!$C:$C,"In Production")</f>
        <v>0</v>
      </c>
      <c r="F36" s="275">
        <f>SUMIFS('Order Details'!$Q:$Q,'Order Details'!$E:$E,"Yes",'Order Details'!$I:$I,'Item Summary'!$B36,'Order Details'!$F:$F,'Item Summary'!F$4,'Order Details'!$C:$C,"PO Received")+SUMIFS('Order Details'!$Q:$Q,'Order Details'!$E:$E,"Yes",'Order Details'!$I:$I,'Item Summary'!$B36,'Order Details'!$F:$F,'Item Summary'!F$4,'Order Details'!$C:$C,"Proforma Invoice Sent")+SUMIFS('Order Details'!$Q:$Q,'Order Details'!$E:$E,"Yes",'Order Details'!$I:$I,'Item Summary'!$B36,'Order Details'!$F:$F,'Item Summary'!F$4,'Order Details'!$C:$C,"Downpayment Received")+SUMIFS('Order Details'!$Q:$Q,'Order Details'!$E:$E,"Yes",'Order Details'!$I:$I,'Item Summary'!$B36,'Order Details'!$F:$F,'Item Summary'!F$4,'Order Details'!$C:$C,"In Production")</f>
        <v>0</v>
      </c>
      <c r="G36" s="275">
        <f>SUMIFS('Order Details'!$Q:$Q,'Order Details'!$E:$E,"Yes",'Order Details'!$I:$I,'Item Summary'!$B36,'Order Details'!$F:$F,'Item Summary'!G$4,'Order Details'!$C:$C,"PO Received")+SUMIFS('Order Details'!$Q:$Q,'Order Details'!$E:$E,"Yes",'Order Details'!$I:$I,'Item Summary'!$B36,'Order Details'!$F:$F,'Item Summary'!G$4,'Order Details'!$C:$C,"Proforma Invoice Sent")+SUMIFS('Order Details'!$Q:$Q,'Order Details'!$E:$E,"Yes",'Order Details'!$I:$I,'Item Summary'!$B36,'Order Details'!$F:$F,'Item Summary'!G$4,'Order Details'!$C:$C,"Downpayment Received")+SUMIFS('Order Details'!$Q:$Q,'Order Details'!$E:$E,"Yes",'Order Details'!$I:$I,'Item Summary'!$B36,'Order Details'!$F:$F,'Item Summary'!G$4,'Order Details'!$C:$C,"In Production")</f>
        <v>0</v>
      </c>
      <c r="H36" s="275">
        <f>SUMIFS('Order Details'!$Q:$Q,'Order Details'!$E:$E,"Yes",'Order Details'!$I:$I,'Item Summary'!$B36,'Order Details'!$F:$F,'Item Summary'!H$4,'Order Details'!$C:$C,"PO Received")+SUMIFS('Order Details'!$Q:$Q,'Order Details'!$E:$E,"Yes",'Order Details'!$I:$I,'Item Summary'!$B36,'Order Details'!$F:$F,'Item Summary'!H$4,'Order Details'!$C:$C,"Proforma Invoice Sent")+SUMIFS('Order Details'!$Q:$Q,'Order Details'!$E:$E,"Yes",'Order Details'!$I:$I,'Item Summary'!$B36,'Order Details'!$F:$F,'Item Summary'!H$4,'Order Details'!$C:$C,"Downpayment Received")+SUMIFS('Order Details'!$Q:$Q,'Order Details'!$E:$E,"Yes",'Order Details'!$I:$I,'Item Summary'!$B36,'Order Details'!$F:$F,'Item Summary'!H$4,'Order Details'!$C:$C,"In Production")</f>
        <v>0</v>
      </c>
      <c r="I36" s="275">
        <f>SUMIFS('Order Details'!$Q:$Q,'Order Details'!$E:$E,"Yes",'Order Details'!$I:$I,'Item Summary'!$B36,'Order Details'!$F:$F,'Item Summary'!I$4,'Order Details'!$C:$C,"PO Received")+SUMIFS('Order Details'!$Q:$Q,'Order Details'!$E:$E,"Yes",'Order Details'!$I:$I,'Item Summary'!$B36,'Order Details'!$F:$F,'Item Summary'!I$4,'Order Details'!$C:$C,"Proforma Invoice Sent")+SUMIFS('Order Details'!$Q:$Q,'Order Details'!$E:$E,"Yes",'Order Details'!$I:$I,'Item Summary'!$B36,'Order Details'!$F:$F,'Item Summary'!I$4,'Order Details'!$C:$C,"Downpayment Received")+SUMIFS('Order Details'!$Q:$Q,'Order Details'!$E:$E,"Yes",'Order Details'!$I:$I,'Item Summary'!$B36,'Order Details'!$F:$F,'Item Summary'!I$4,'Order Details'!$C:$C,"In Production")</f>
        <v>0</v>
      </c>
      <c r="J36" s="275">
        <f>SUMIFS('Order Details'!$Q:$Q,'Order Details'!$E:$E,"Yes",'Order Details'!$I:$I,'Item Summary'!$B36,'Order Details'!$F:$F,'Item Summary'!J$4,'Order Details'!$C:$C,"PO Received")+SUMIFS('Order Details'!$Q:$Q,'Order Details'!$E:$E,"Yes",'Order Details'!$I:$I,'Item Summary'!$B36,'Order Details'!$F:$F,'Item Summary'!J$4,'Order Details'!$C:$C,"Proforma Invoice Sent")+SUMIFS('Order Details'!$Q:$Q,'Order Details'!$E:$E,"Yes",'Order Details'!$I:$I,'Item Summary'!$B36,'Order Details'!$F:$F,'Item Summary'!J$4,'Order Details'!$C:$C,"Downpayment Received")+SUMIFS('Order Details'!$Q:$Q,'Order Details'!$E:$E,"Yes",'Order Details'!$I:$I,'Item Summary'!$B36,'Order Details'!$F:$F,'Item Summary'!J$4,'Order Details'!$C:$C,"In Production")</f>
        <v>0</v>
      </c>
      <c r="K36" s="275">
        <f>SUMIFS('Order Details'!$Q:$Q,'Order Details'!$E:$E,"Yes",'Order Details'!$I:$I,'Item Summary'!$B36,'Order Details'!$F:$F,'Item Summary'!K$4,'Order Details'!$C:$C,"PO Received")+SUMIFS('Order Details'!$Q:$Q,'Order Details'!$E:$E,"Yes",'Order Details'!$I:$I,'Item Summary'!$B36,'Order Details'!$F:$F,'Item Summary'!K$4,'Order Details'!$C:$C,"Proforma Invoice Sent")+SUMIFS('Order Details'!$Q:$Q,'Order Details'!$E:$E,"Yes",'Order Details'!$I:$I,'Item Summary'!$B36,'Order Details'!$F:$F,'Item Summary'!K$4,'Order Details'!$C:$C,"Downpayment Received")+SUMIFS('Order Details'!$Q:$Q,'Order Details'!$E:$E,"Yes",'Order Details'!$I:$I,'Item Summary'!$B36,'Order Details'!$F:$F,'Item Summary'!K$4,'Order Details'!$C:$C,"In Production")</f>
        <v>0</v>
      </c>
      <c r="L36" s="291">
        <f>SUMIFS('Order Details'!$Q:$Q,'Order Details'!$E:$E,"Yes",'Order Details'!$I:$I,'Item Summary'!$B36,'Order Details'!$F:$F,'Item Summary'!L$4,'Order Details'!$C:$C,"PO Received")+SUMIFS('Order Details'!$Q:$Q,'Order Details'!$E:$E,"Yes",'Order Details'!$I:$I,'Item Summary'!$B36,'Order Details'!$F:$F,'Item Summary'!L$4,'Order Details'!$C:$C,"Proforma Invoice Sent")+SUMIFS('Order Details'!$Q:$Q,'Order Details'!$E:$E,"Yes",'Order Details'!$I:$I,'Item Summary'!$B36,'Order Details'!$F:$F,'Item Summary'!L$4,'Order Details'!$C:$C,"Downpayment Received")+SUMIFS('Order Details'!$Q:$Q,'Order Details'!$E:$E,"Yes",'Order Details'!$I:$I,'Item Summary'!$B36,'Order Details'!$F:$F,'Item Summary'!L$4,'Order Details'!$C:$C,"In Production")</f>
        <v>0</v>
      </c>
      <c r="M36" s="276">
        <f>SUMIFS('Order Details'!$Q:$Q,'Order Details'!$E:$E,"Yes",'Order Details'!$I:$I,'Item Summary'!$B36,'Order Details'!$F:$F,'Item Summary'!M$4,'Order Details'!$C:$C,"PO Received")+SUMIFS('Order Details'!$Q:$Q,'Order Details'!$E:$E,"Yes",'Order Details'!$I:$I,'Item Summary'!$B36,'Order Details'!$F:$F,'Item Summary'!M$4,'Order Details'!$C:$C,"Proforma Invoice Sent")+SUMIFS('Order Details'!$Q:$Q,'Order Details'!$E:$E,"Yes",'Order Details'!$I:$I,'Item Summary'!$B36,'Order Details'!$F:$F,'Item Summary'!M$4,'Order Details'!$C:$C,"Downpayment Received")+SUMIFS('Order Details'!$Q:$Q,'Order Details'!$E:$E,"Yes",'Order Details'!$I:$I,'Item Summary'!$B36,'Order Details'!$F:$F,'Item Summary'!M$4,'Order Details'!$C:$C,"In Production")</f>
        <v>0</v>
      </c>
      <c r="N36" s="279">
        <f t="shared" si="0"/>
        <v>0</v>
      </c>
      <c r="Q36" s="280">
        <v>694669</v>
      </c>
      <c r="R36" s="274" t="str">
        <f>VLOOKUP($Q36,'Pricing Table - eff 27-Jan-2026'!$A:$L,9,FALSE)&amp;""" "&amp;VLOOKUP($Q36,'Pricing Table - eff 27-Jan-2026'!$A:$L,12,FALSE)</f>
        <v>108" PEPSI BLUE</v>
      </c>
      <c r="S36" s="275">
        <f>SUMIFS('Order Details'!$Q:$Q,'Order Details'!$E:$E,"Yes",'Order Details'!$I:$I,$Q36,'Order Details'!$F:$F,'Item Summary'!S$4)-D36</f>
        <v>0</v>
      </c>
      <c r="T36" s="275">
        <f>SUMIFS('Order Details'!$Q:$Q,'Order Details'!$E:$E,"Yes",'Order Details'!$I:$I,$Q36,'Order Details'!$F:$F,'Item Summary'!T$4)-E36</f>
        <v>0</v>
      </c>
      <c r="U36" s="275">
        <f>SUMIFS('Order Details'!$Q:$Q,'Order Details'!$E:$E,"Yes",'Order Details'!$I:$I,$Q36,'Order Details'!$F:$F,'Item Summary'!U$4)-F36</f>
        <v>0</v>
      </c>
      <c r="V36" s="275">
        <f>SUMIFS('Order Details'!$Q:$Q,'Order Details'!$E:$E,"Yes",'Order Details'!$I:$I,$Q36,'Order Details'!$F:$F,'Item Summary'!V$4)-G36</f>
        <v>0</v>
      </c>
      <c r="W36" s="275">
        <f>SUMIFS('Order Details'!$Q:$Q,'Order Details'!$E:$E,"Yes",'Order Details'!$I:$I,$Q36,'Order Details'!$F:$F,'Item Summary'!W$4)-H36</f>
        <v>0</v>
      </c>
      <c r="X36" s="275">
        <f>SUMIFS('Order Details'!$Q:$Q,'Order Details'!$E:$E,"Yes",'Order Details'!$I:$I,$Q36,'Order Details'!$F:$F,'Item Summary'!X$4)-I36</f>
        <v>0</v>
      </c>
      <c r="Y36" s="275">
        <f>SUMIFS('Order Details'!$Q:$Q,'Order Details'!$E:$E,"Yes",'Order Details'!$I:$I,$Q36,'Order Details'!$F:$F,'Item Summary'!Y$4)-J36</f>
        <v>0</v>
      </c>
      <c r="Z36" s="275">
        <f>SUMIFS('Order Details'!$Q:$Q,'Order Details'!$E:$E,"Yes",'Order Details'!$I:$I,$Q36,'Order Details'!$F:$F,'Item Summary'!Z$4)-K36</f>
        <v>0</v>
      </c>
      <c r="AA36" s="291">
        <f>SUMIFS('Order Details'!$Q:$Q,'Order Details'!$E:$E,"Yes",'Order Details'!$I:$I,$Q36,'Order Details'!$F:$F,'Item Summary'!AA$4)-L36</f>
        <v>0</v>
      </c>
      <c r="AB36" s="276">
        <f>SUMIFS('Order Details'!$Q:$Q,'Order Details'!$E:$E,"Yes",'Order Details'!$I:$I,$Q36,'Order Details'!$F:$F,'Item Summary'!AB$4)-M36</f>
        <v>0</v>
      </c>
      <c r="AC36" s="279">
        <f t="shared" si="1"/>
        <v>0</v>
      </c>
    </row>
    <row r="37" spans="2:29" x14ac:dyDescent="0.3">
      <c r="B37" s="280">
        <v>708895</v>
      </c>
      <c r="C37" s="274" t="str">
        <f>VLOOKUP($B37,'Pricing Table - eff 27-Jan-2026'!$A:$L,9,FALSE)&amp;""" "&amp;VLOOKUP($B37,'Pricing Table - eff 27-Jan-2026'!$A:$L,12,FALSE)</f>
        <v>120" PEPSI BLUE</v>
      </c>
      <c r="D37" s="275">
        <f>SUMIFS('Order Details'!$Q:$Q,'Order Details'!$E:$E,"Yes",'Order Details'!$I:$I,'Item Summary'!$B37,'Order Details'!$F:$F,'Item Summary'!D$4,'Order Details'!$C:$C,"PO Received")+SUMIFS('Order Details'!$Q:$Q,'Order Details'!$E:$E,"Yes",'Order Details'!$I:$I,'Item Summary'!$B37,'Order Details'!$F:$F,'Item Summary'!D$4,'Order Details'!$C:$C,"Proforma Invoice Sent")+SUMIFS('Order Details'!$Q:$Q,'Order Details'!$E:$E,"Yes",'Order Details'!$I:$I,'Item Summary'!$B37,'Order Details'!$F:$F,'Item Summary'!D$4,'Order Details'!$C:$C,"Downpayment Received")+SUMIFS('Order Details'!$Q:$Q,'Order Details'!$E:$E,"Yes",'Order Details'!$I:$I,'Item Summary'!$B37,'Order Details'!$F:$F,'Item Summary'!D$4,'Order Details'!$C:$C,"In Production")</f>
        <v>0</v>
      </c>
      <c r="E37" s="275">
        <f>SUMIFS('Order Details'!$Q:$Q,'Order Details'!$E:$E,"Yes",'Order Details'!$I:$I,'Item Summary'!$B37,'Order Details'!$F:$F,'Item Summary'!E$4,'Order Details'!$C:$C,"PO Received")+SUMIFS('Order Details'!$Q:$Q,'Order Details'!$E:$E,"Yes",'Order Details'!$I:$I,'Item Summary'!$B37,'Order Details'!$F:$F,'Item Summary'!E$4,'Order Details'!$C:$C,"Proforma Invoice Sent")+SUMIFS('Order Details'!$Q:$Q,'Order Details'!$E:$E,"Yes",'Order Details'!$I:$I,'Item Summary'!$B37,'Order Details'!$F:$F,'Item Summary'!E$4,'Order Details'!$C:$C,"Downpayment Received")+SUMIFS('Order Details'!$Q:$Q,'Order Details'!$E:$E,"Yes",'Order Details'!$I:$I,'Item Summary'!$B37,'Order Details'!$F:$F,'Item Summary'!E$4,'Order Details'!$C:$C,"In Production")</f>
        <v>0</v>
      </c>
      <c r="F37" s="275">
        <f>SUMIFS('Order Details'!$Q:$Q,'Order Details'!$E:$E,"Yes",'Order Details'!$I:$I,'Item Summary'!$B37,'Order Details'!$F:$F,'Item Summary'!F$4,'Order Details'!$C:$C,"PO Received")+SUMIFS('Order Details'!$Q:$Q,'Order Details'!$E:$E,"Yes",'Order Details'!$I:$I,'Item Summary'!$B37,'Order Details'!$F:$F,'Item Summary'!F$4,'Order Details'!$C:$C,"Proforma Invoice Sent")+SUMIFS('Order Details'!$Q:$Q,'Order Details'!$E:$E,"Yes",'Order Details'!$I:$I,'Item Summary'!$B37,'Order Details'!$F:$F,'Item Summary'!F$4,'Order Details'!$C:$C,"Downpayment Received")+SUMIFS('Order Details'!$Q:$Q,'Order Details'!$E:$E,"Yes",'Order Details'!$I:$I,'Item Summary'!$B37,'Order Details'!$F:$F,'Item Summary'!F$4,'Order Details'!$C:$C,"In Production")</f>
        <v>200</v>
      </c>
      <c r="G37" s="275">
        <f>SUMIFS('Order Details'!$Q:$Q,'Order Details'!$E:$E,"Yes",'Order Details'!$I:$I,'Item Summary'!$B37,'Order Details'!$F:$F,'Item Summary'!G$4,'Order Details'!$C:$C,"PO Received")+SUMIFS('Order Details'!$Q:$Q,'Order Details'!$E:$E,"Yes",'Order Details'!$I:$I,'Item Summary'!$B37,'Order Details'!$F:$F,'Item Summary'!G$4,'Order Details'!$C:$C,"Proforma Invoice Sent")+SUMIFS('Order Details'!$Q:$Q,'Order Details'!$E:$E,"Yes",'Order Details'!$I:$I,'Item Summary'!$B37,'Order Details'!$F:$F,'Item Summary'!G$4,'Order Details'!$C:$C,"Downpayment Received")+SUMIFS('Order Details'!$Q:$Q,'Order Details'!$E:$E,"Yes",'Order Details'!$I:$I,'Item Summary'!$B37,'Order Details'!$F:$F,'Item Summary'!G$4,'Order Details'!$C:$C,"In Production")</f>
        <v>0</v>
      </c>
      <c r="H37" s="275">
        <f>SUMIFS('Order Details'!$Q:$Q,'Order Details'!$E:$E,"Yes",'Order Details'!$I:$I,'Item Summary'!$B37,'Order Details'!$F:$F,'Item Summary'!H$4,'Order Details'!$C:$C,"PO Received")+SUMIFS('Order Details'!$Q:$Q,'Order Details'!$E:$E,"Yes",'Order Details'!$I:$I,'Item Summary'!$B37,'Order Details'!$F:$F,'Item Summary'!H$4,'Order Details'!$C:$C,"Proforma Invoice Sent")+SUMIFS('Order Details'!$Q:$Q,'Order Details'!$E:$E,"Yes",'Order Details'!$I:$I,'Item Summary'!$B37,'Order Details'!$F:$F,'Item Summary'!H$4,'Order Details'!$C:$C,"Downpayment Received")+SUMIFS('Order Details'!$Q:$Q,'Order Details'!$E:$E,"Yes",'Order Details'!$I:$I,'Item Summary'!$B37,'Order Details'!$F:$F,'Item Summary'!H$4,'Order Details'!$C:$C,"In Production")</f>
        <v>0</v>
      </c>
      <c r="I37" s="275">
        <f>SUMIFS('Order Details'!$Q:$Q,'Order Details'!$E:$E,"Yes",'Order Details'!$I:$I,'Item Summary'!$B37,'Order Details'!$F:$F,'Item Summary'!I$4,'Order Details'!$C:$C,"PO Received")+SUMIFS('Order Details'!$Q:$Q,'Order Details'!$E:$E,"Yes",'Order Details'!$I:$I,'Item Summary'!$B37,'Order Details'!$F:$F,'Item Summary'!I$4,'Order Details'!$C:$C,"Proforma Invoice Sent")+SUMIFS('Order Details'!$Q:$Q,'Order Details'!$E:$E,"Yes",'Order Details'!$I:$I,'Item Summary'!$B37,'Order Details'!$F:$F,'Item Summary'!I$4,'Order Details'!$C:$C,"Downpayment Received")+SUMIFS('Order Details'!$Q:$Q,'Order Details'!$E:$E,"Yes",'Order Details'!$I:$I,'Item Summary'!$B37,'Order Details'!$F:$F,'Item Summary'!I$4,'Order Details'!$C:$C,"In Production")</f>
        <v>0</v>
      </c>
      <c r="J37" s="275">
        <f>SUMIFS('Order Details'!$Q:$Q,'Order Details'!$E:$E,"Yes",'Order Details'!$I:$I,'Item Summary'!$B37,'Order Details'!$F:$F,'Item Summary'!J$4,'Order Details'!$C:$C,"PO Received")+SUMIFS('Order Details'!$Q:$Q,'Order Details'!$E:$E,"Yes",'Order Details'!$I:$I,'Item Summary'!$B37,'Order Details'!$F:$F,'Item Summary'!J$4,'Order Details'!$C:$C,"Proforma Invoice Sent")+SUMIFS('Order Details'!$Q:$Q,'Order Details'!$E:$E,"Yes",'Order Details'!$I:$I,'Item Summary'!$B37,'Order Details'!$F:$F,'Item Summary'!J$4,'Order Details'!$C:$C,"Downpayment Received")+SUMIFS('Order Details'!$Q:$Q,'Order Details'!$E:$E,"Yes",'Order Details'!$I:$I,'Item Summary'!$B37,'Order Details'!$F:$F,'Item Summary'!J$4,'Order Details'!$C:$C,"In Production")</f>
        <v>0</v>
      </c>
      <c r="K37" s="275">
        <f>SUMIFS('Order Details'!$Q:$Q,'Order Details'!$E:$E,"Yes",'Order Details'!$I:$I,'Item Summary'!$B37,'Order Details'!$F:$F,'Item Summary'!K$4,'Order Details'!$C:$C,"PO Received")+SUMIFS('Order Details'!$Q:$Q,'Order Details'!$E:$E,"Yes",'Order Details'!$I:$I,'Item Summary'!$B37,'Order Details'!$F:$F,'Item Summary'!K$4,'Order Details'!$C:$C,"Proforma Invoice Sent")+SUMIFS('Order Details'!$Q:$Q,'Order Details'!$E:$E,"Yes",'Order Details'!$I:$I,'Item Summary'!$B37,'Order Details'!$F:$F,'Item Summary'!K$4,'Order Details'!$C:$C,"Downpayment Received")+SUMIFS('Order Details'!$Q:$Q,'Order Details'!$E:$E,"Yes",'Order Details'!$I:$I,'Item Summary'!$B37,'Order Details'!$F:$F,'Item Summary'!K$4,'Order Details'!$C:$C,"In Production")</f>
        <v>0</v>
      </c>
      <c r="L37" s="291">
        <f>SUMIFS('Order Details'!$Q:$Q,'Order Details'!$E:$E,"Yes",'Order Details'!$I:$I,'Item Summary'!$B37,'Order Details'!$F:$F,'Item Summary'!L$4,'Order Details'!$C:$C,"PO Received")+SUMIFS('Order Details'!$Q:$Q,'Order Details'!$E:$E,"Yes",'Order Details'!$I:$I,'Item Summary'!$B37,'Order Details'!$F:$F,'Item Summary'!L$4,'Order Details'!$C:$C,"Proforma Invoice Sent")+SUMIFS('Order Details'!$Q:$Q,'Order Details'!$E:$E,"Yes",'Order Details'!$I:$I,'Item Summary'!$B37,'Order Details'!$F:$F,'Item Summary'!L$4,'Order Details'!$C:$C,"Downpayment Received")+SUMIFS('Order Details'!$Q:$Q,'Order Details'!$E:$E,"Yes",'Order Details'!$I:$I,'Item Summary'!$B37,'Order Details'!$F:$F,'Item Summary'!L$4,'Order Details'!$C:$C,"In Production")</f>
        <v>0</v>
      </c>
      <c r="M37" s="276">
        <f>SUMIFS('Order Details'!$Q:$Q,'Order Details'!$E:$E,"Yes",'Order Details'!$I:$I,'Item Summary'!$B37,'Order Details'!$F:$F,'Item Summary'!M$4,'Order Details'!$C:$C,"PO Received")+SUMIFS('Order Details'!$Q:$Q,'Order Details'!$E:$E,"Yes",'Order Details'!$I:$I,'Item Summary'!$B37,'Order Details'!$F:$F,'Item Summary'!M$4,'Order Details'!$C:$C,"Proforma Invoice Sent")+SUMIFS('Order Details'!$Q:$Q,'Order Details'!$E:$E,"Yes",'Order Details'!$I:$I,'Item Summary'!$B37,'Order Details'!$F:$F,'Item Summary'!M$4,'Order Details'!$C:$C,"Downpayment Received")+SUMIFS('Order Details'!$Q:$Q,'Order Details'!$E:$E,"Yes",'Order Details'!$I:$I,'Item Summary'!$B37,'Order Details'!$F:$F,'Item Summary'!M$4,'Order Details'!$C:$C,"In Production")</f>
        <v>0</v>
      </c>
      <c r="N37" s="279">
        <f t="shared" ref="N37:N67" si="2">SUM(D37:M37)</f>
        <v>200</v>
      </c>
      <c r="Q37" s="280">
        <v>708895</v>
      </c>
      <c r="R37" s="274" t="str">
        <f>VLOOKUP($Q37,'Pricing Table - eff 27-Jan-2026'!$A:$L,9,FALSE)&amp;""" "&amp;VLOOKUP($Q37,'Pricing Table - eff 27-Jan-2026'!$A:$L,12,FALSE)</f>
        <v>120" PEPSI BLUE</v>
      </c>
      <c r="S37" s="275">
        <f>SUMIFS('Order Details'!$Q:$Q,'Order Details'!$E:$E,"Yes",'Order Details'!$I:$I,$Q37,'Order Details'!$F:$F,'Item Summary'!S$4)-D37</f>
        <v>0</v>
      </c>
      <c r="T37" s="275">
        <f>SUMIFS('Order Details'!$Q:$Q,'Order Details'!$E:$E,"Yes",'Order Details'!$I:$I,$Q37,'Order Details'!$F:$F,'Item Summary'!T$4)-E37</f>
        <v>0</v>
      </c>
      <c r="U37" s="275">
        <f>SUMIFS('Order Details'!$Q:$Q,'Order Details'!$E:$E,"Yes",'Order Details'!$I:$I,$Q37,'Order Details'!$F:$F,'Item Summary'!U$4)-F37</f>
        <v>200</v>
      </c>
      <c r="V37" s="275">
        <f>SUMIFS('Order Details'!$Q:$Q,'Order Details'!$E:$E,"Yes",'Order Details'!$I:$I,$Q37,'Order Details'!$F:$F,'Item Summary'!V$4)-G37</f>
        <v>0</v>
      </c>
      <c r="W37" s="275">
        <f>SUMIFS('Order Details'!$Q:$Q,'Order Details'!$E:$E,"Yes",'Order Details'!$I:$I,$Q37,'Order Details'!$F:$F,'Item Summary'!W$4)-H37</f>
        <v>0</v>
      </c>
      <c r="X37" s="275">
        <f>SUMIFS('Order Details'!$Q:$Q,'Order Details'!$E:$E,"Yes",'Order Details'!$I:$I,$Q37,'Order Details'!$F:$F,'Item Summary'!X$4)-I37</f>
        <v>0</v>
      </c>
      <c r="Y37" s="275">
        <f>SUMIFS('Order Details'!$Q:$Q,'Order Details'!$E:$E,"Yes",'Order Details'!$I:$I,$Q37,'Order Details'!$F:$F,'Item Summary'!Y$4)-J37</f>
        <v>0</v>
      </c>
      <c r="Z37" s="275">
        <f>SUMIFS('Order Details'!$Q:$Q,'Order Details'!$E:$E,"Yes",'Order Details'!$I:$I,$Q37,'Order Details'!$F:$F,'Item Summary'!Z$4)-K37</f>
        <v>0</v>
      </c>
      <c r="AA37" s="291">
        <f>SUMIFS('Order Details'!$Q:$Q,'Order Details'!$E:$E,"Yes",'Order Details'!$I:$I,$Q37,'Order Details'!$F:$F,'Item Summary'!AA$4)-L37</f>
        <v>0</v>
      </c>
      <c r="AB37" s="276">
        <f>SUMIFS('Order Details'!$Q:$Q,'Order Details'!$E:$E,"Yes",'Order Details'!$I:$I,$Q37,'Order Details'!$F:$F,'Item Summary'!AB$4)-M37</f>
        <v>0</v>
      </c>
      <c r="AC37" s="279">
        <f t="shared" ref="AC37:AC67" si="3">SUM(S37:AB37)</f>
        <v>200</v>
      </c>
    </row>
    <row r="38" spans="2:29" x14ac:dyDescent="0.3">
      <c r="B38" s="280">
        <v>694670</v>
      </c>
      <c r="C38" s="274" t="str">
        <f>VLOOKUP($B38,'Pricing Table - eff 27-Jan-2026'!$A:$L,9,FALSE)&amp;""" "&amp;VLOOKUP($B38,'Pricing Table - eff 27-Jan-2026'!$A:$L,12,FALSE)</f>
        <v>144" PEPSI BLUE</v>
      </c>
      <c r="D38" s="275">
        <f>SUMIFS('Order Details'!$Q:$Q,'Order Details'!$E:$E,"Yes",'Order Details'!$I:$I,'Item Summary'!$B38,'Order Details'!$F:$F,'Item Summary'!D$4,'Order Details'!$C:$C,"PO Received")+SUMIFS('Order Details'!$Q:$Q,'Order Details'!$E:$E,"Yes",'Order Details'!$I:$I,'Item Summary'!$B38,'Order Details'!$F:$F,'Item Summary'!D$4,'Order Details'!$C:$C,"Proforma Invoice Sent")+SUMIFS('Order Details'!$Q:$Q,'Order Details'!$E:$E,"Yes",'Order Details'!$I:$I,'Item Summary'!$B38,'Order Details'!$F:$F,'Item Summary'!D$4,'Order Details'!$C:$C,"Downpayment Received")+SUMIFS('Order Details'!$Q:$Q,'Order Details'!$E:$E,"Yes",'Order Details'!$I:$I,'Item Summary'!$B38,'Order Details'!$F:$F,'Item Summary'!D$4,'Order Details'!$C:$C,"In Production")</f>
        <v>0</v>
      </c>
      <c r="E38" s="275">
        <f>SUMIFS('Order Details'!$Q:$Q,'Order Details'!$E:$E,"Yes",'Order Details'!$I:$I,'Item Summary'!$B38,'Order Details'!$F:$F,'Item Summary'!E$4,'Order Details'!$C:$C,"PO Received")+SUMIFS('Order Details'!$Q:$Q,'Order Details'!$E:$E,"Yes",'Order Details'!$I:$I,'Item Summary'!$B38,'Order Details'!$F:$F,'Item Summary'!E$4,'Order Details'!$C:$C,"Proforma Invoice Sent")+SUMIFS('Order Details'!$Q:$Q,'Order Details'!$E:$E,"Yes",'Order Details'!$I:$I,'Item Summary'!$B38,'Order Details'!$F:$F,'Item Summary'!E$4,'Order Details'!$C:$C,"Downpayment Received")+SUMIFS('Order Details'!$Q:$Q,'Order Details'!$E:$E,"Yes",'Order Details'!$I:$I,'Item Summary'!$B38,'Order Details'!$F:$F,'Item Summary'!E$4,'Order Details'!$C:$C,"In Production")</f>
        <v>0</v>
      </c>
      <c r="F38" s="275">
        <f>SUMIFS('Order Details'!$Q:$Q,'Order Details'!$E:$E,"Yes",'Order Details'!$I:$I,'Item Summary'!$B38,'Order Details'!$F:$F,'Item Summary'!F$4,'Order Details'!$C:$C,"PO Received")+SUMIFS('Order Details'!$Q:$Q,'Order Details'!$E:$E,"Yes",'Order Details'!$I:$I,'Item Summary'!$B38,'Order Details'!$F:$F,'Item Summary'!F$4,'Order Details'!$C:$C,"Proforma Invoice Sent")+SUMIFS('Order Details'!$Q:$Q,'Order Details'!$E:$E,"Yes",'Order Details'!$I:$I,'Item Summary'!$B38,'Order Details'!$F:$F,'Item Summary'!F$4,'Order Details'!$C:$C,"Downpayment Received")+SUMIFS('Order Details'!$Q:$Q,'Order Details'!$E:$E,"Yes",'Order Details'!$I:$I,'Item Summary'!$B38,'Order Details'!$F:$F,'Item Summary'!F$4,'Order Details'!$C:$C,"In Production")</f>
        <v>0</v>
      </c>
      <c r="G38" s="275">
        <f>SUMIFS('Order Details'!$Q:$Q,'Order Details'!$E:$E,"Yes",'Order Details'!$I:$I,'Item Summary'!$B38,'Order Details'!$F:$F,'Item Summary'!G$4,'Order Details'!$C:$C,"PO Received")+SUMIFS('Order Details'!$Q:$Q,'Order Details'!$E:$E,"Yes",'Order Details'!$I:$I,'Item Summary'!$B38,'Order Details'!$F:$F,'Item Summary'!G$4,'Order Details'!$C:$C,"Proforma Invoice Sent")+SUMIFS('Order Details'!$Q:$Q,'Order Details'!$E:$E,"Yes",'Order Details'!$I:$I,'Item Summary'!$B38,'Order Details'!$F:$F,'Item Summary'!G$4,'Order Details'!$C:$C,"Downpayment Received")+SUMIFS('Order Details'!$Q:$Q,'Order Details'!$E:$E,"Yes",'Order Details'!$I:$I,'Item Summary'!$B38,'Order Details'!$F:$F,'Item Summary'!G$4,'Order Details'!$C:$C,"In Production")</f>
        <v>0</v>
      </c>
      <c r="H38" s="275">
        <f>SUMIFS('Order Details'!$Q:$Q,'Order Details'!$E:$E,"Yes",'Order Details'!$I:$I,'Item Summary'!$B38,'Order Details'!$F:$F,'Item Summary'!H$4,'Order Details'!$C:$C,"PO Received")+SUMIFS('Order Details'!$Q:$Q,'Order Details'!$E:$E,"Yes",'Order Details'!$I:$I,'Item Summary'!$B38,'Order Details'!$F:$F,'Item Summary'!H$4,'Order Details'!$C:$C,"Proforma Invoice Sent")+SUMIFS('Order Details'!$Q:$Q,'Order Details'!$E:$E,"Yes",'Order Details'!$I:$I,'Item Summary'!$B38,'Order Details'!$F:$F,'Item Summary'!H$4,'Order Details'!$C:$C,"Downpayment Received")+SUMIFS('Order Details'!$Q:$Q,'Order Details'!$E:$E,"Yes",'Order Details'!$I:$I,'Item Summary'!$B38,'Order Details'!$F:$F,'Item Summary'!H$4,'Order Details'!$C:$C,"In Production")</f>
        <v>0</v>
      </c>
      <c r="I38" s="275">
        <f>SUMIFS('Order Details'!$Q:$Q,'Order Details'!$E:$E,"Yes",'Order Details'!$I:$I,'Item Summary'!$B38,'Order Details'!$F:$F,'Item Summary'!I$4,'Order Details'!$C:$C,"PO Received")+SUMIFS('Order Details'!$Q:$Q,'Order Details'!$E:$E,"Yes",'Order Details'!$I:$I,'Item Summary'!$B38,'Order Details'!$F:$F,'Item Summary'!I$4,'Order Details'!$C:$C,"Proforma Invoice Sent")+SUMIFS('Order Details'!$Q:$Q,'Order Details'!$E:$E,"Yes",'Order Details'!$I:$I,'Item Summary'!$B38,'Order Details'!$F:$F,'Item Summary'!I$4,'Order Details'!$C:$C,"Downpayment Received")+SUMIFS('Order Details'!$Q:$Q,'Order Details'!$E:$E,"Yes",'Order Details'!$I:$I,'Item Summary'!$B38,'Order Details'!$F:$F,'Item Summary'!I$4,'Order Details'!$C:$C,"In Production")</f>
        <v>0</v>
      </c>
      <c r="J38" s="275">
        <f>SUMIFS('Order Details'!$Q:$Q,'Order Details'!$E:$E,"Yes",'Order Details'!$I:$I,'Item Summary'!$B38,'Order Details'!$F:$F,'Item Summary'!J$4,'Order Details'!$C:$C,"PO Received")+SUMIFS('Order Details'!$Q:$Q,'Order Details'!$E:$E,"Yes",'Order Details'!$I:$I,'Item Summary'!$B38,'Order Details'!$F:$F,'Item Summary'!J$4,'Order Details'!$C:$C,"Proforma Invoice Sent")+SUMIFS('Order Details'!$Q:$Q,'Order Details'!$E:$E,"Yes",'Order Details'!$I:$I,'Item Summary'!$B38,'Order Details'!$F:$F,'Item Summary'!J$4,'Order Details'!$C:$C,"Downpayment Received")+SUMIFS('Order Details'!$Q:$Q,'Order Details'!$E:$E,"Yes",'Order Details'!$I:$I,'Item Summary'!$B38,'Order Details'!$F:$F,'Item Summary'!J$4,'Order Details'!$C:$C,"In Production")</f>
        <v>0</v>
      </c>
      <c r="K38" s="275">
        <f>SUMIFS('Order Details'!$Q:$Q,'Order Details'!$E:$E,"Yes",'Order Details'!$I:$I,'Item Summary'!$B38,'Order Details'!$F:$F,'Item Summary'!K$4,'Order Details'!$C:$C,"PO Received")+SUMIFS('Order Details'!$Q:$Q,'Order Details'!$E:$E,"Yes",'Order Details'!$I:$I,'Item Summary'!$B38,'Order Details'!$F:$F,'Item Summary'!K$4,'Order Details'!$C:$C,"Proforma Invoice Sent")+SUMIFS('Order Details'!$Q:$Q,'Order Details'!$E:$E,"Yes",'Order Details'!$I:$I,'Item Summary'!$B38,'Order Details'!$F:$F,'Item Summary'!K$4,'Order Details'!$C:$C,"Downpayment Received")+SUMIFS('Order Details'!$Q:$Q,'Order Details'!$E:$E,"Yes",'Order Details'!$I:$I,'Item Summary'!$B38,'Order Details'!$F:$F,'Item Summary'!K$4,'Order Details'!$C:$C,"In Production")</f>
        <v>0</v>
      </c>
      <c r="L38" s="291">
        <f>SUMIFS('Order Details'!$Q:$Q,'Order Details'!$E:$E,"Yes",'Order Details'!$I:$I,'Item Summary'!$B38,'Order Details'!$F:$F,'Item Summary'!L$4,'Order Details'!$C:$C,"PO Received")+SUMIFS('Order Details'!$Q:$Q,'Order Details'!$E:$E,"Yes",'Order Details'!$I:$I,'Item Summary'!$B38,'Order Details'!$F:$F,'Item Summary'!L$4,'Order Details'!$C:$C,"Proforma Invoice Sent")+SUMIFS('Order Details'!$Q:$Q,'Order Details'!$E:$E,"Yes",'Order Details'!$I:$I,'Item Summary'!$B38,'Order Details'!$F:$F,'Item Summary'!L$4,'Order Details'!$C:$C,"Downpayment Received")+SUMIFS('Order Details'!$Q:$Q,'Order Details'!$E:$E,"Yes",'Order Details'!$I:$I,'Item Summary'!$B38,'Order Details'!$F:$F,'Item Summary'!L$4,'Order Details'!$C:$C,"In Production")</f>
        <v>0</v>
      </c>
      <c r="M38" s="276">
        <f>SUMIFS('Order Details'!$Q:$Q,'Order Details'!$E:$E,"Yes",'Order Details'!$I:$I,'Item Summary'!$B38,'Order Details'!$F:$F,'Item Summary'!M$4,'Order Details'!$C:$C,"PO Received")+SUMIFS('Order Details'!$Q:$Q,'Order Details'!$E:$E,"Yes",'Order Details'!$I:$I,'Item Summary'!$B38,'Order Details'!$F:$F,'Item Summary'!M$4,'Order Details'!$C:$C,"Proforma Invoice Sent")+SUMIFS('Order Details'!$Q:$Q,'Order Details'!$E:$E,"Yes",'Order Details'!$I:$I,'Item Summary'!$B38,'Order Details'!$F:$F,'Item Summary'!M$4,'Order Details'!$C:$C,"Downpayment Received")+SUMIFS('Order Details'!$Q:$Q,'Order Details'!$E:$E,"Yes",'Order Details'!$I:$I,'Item Summary'!$B38,'Order Details'!$F:$F,'Item Summary'!M$4,'Order Details'!$C:$C,"In Production")</f>
        <v>0</v>
      </c>
      <c r="N38" s="279">
        <f t="shared" si="2"/>
        <v>0</v>
      </c>
      <c r="Q38" s="280">
        <v>694670</v>
      </c>
      <c r="R38" s="274" t="str">
        <f>VLOOKUP($Q38,'Pricing Table - eff 27-Jan-2026'!$A:$L,9,FALSE)&amp;""" "&amp;VLOOKUP($Q38,'Pricing Table - eff 27-Jan-2026'!$A:$L,12,FALSE)</f>
        <v>144" PEPSI BLUE</v>
      </c>
      <c r="S38" s="275">
        <f>SUMIFS('Order Details'!$Q:$Q,'Order Details'!$E:$E,"Yes",'Order Details'!$I:$I,$Q38,'Order Details'!$F:$F,'Item Summary'!S$4)-D38</f>
        <v>0</v>
      </c>
      <c r="T38" s="275">
        <f>SUMIFS('Order Details'!$Q:$Q,'Order Details'!$E:$E,"Yes",'Order Details'!$I:$I,$Q38,'Order Details'!$F:$F,'Item Summary'!T$4)-E38</f>
        <v>0</v>
      </c>
      <c r="U38" s="275">
        <f>SUMIFS('Order Details'!$Q:$Q,'Order Details'!$E:$E,"Yes",'Order Details'!$I:$I,$Q38,'Order Details'!$F:$F,'Item Summary'!U$4)-F38</f>
        <v>0</v>
      </c>
      <c r="V38" s="275">
        <f>SUMIFS('Order Details'!$Q:$Q,'Order Details'!$E:$E,"Yes",'Order Details'!$I:$I,$Q38,'Order Details'!$F:$F,'Item Summary'!V$4)-G38</f>
        <v>0</v>
      </c>
      <c r="W38" s="275">
        <f>SUMIFS('Order Details'!$Q:$Q,'Order Details'!$E:$E,"Yes",'Order Details'!$I:$I,$Q38,'Order Details'!$F:$F,'Item Summary'!W$4)-H38</f>
        <v>0</v>
      </c>
      <c r="X38" s="275">
        <f>SUMIFS('Order Details'!$Q:$Q,'Order Details'!$E:$E,"Yes",'Order Details'!$I:$I,$Q38,'Order Details'!$F:$F,'Item Summary'!X$4)-I38</f>
        <v>0</v>
      </c>
      <c r="Y38" s="275">
        <f>SUMIFS('Order Details'!$Q:$Q,'Order Details'!$E:$E,"Yes",'Order Details'!$I:$I,$Q38,'Order Details'!$F:$F,'Item Summary'!Y$4)-J38</f>
        <v>0</v>
      </c>
      <c r="Z38" s="275">
        <f>SUMIFS('Order Details'!$Q:$Q,'Order Details'!$E:$E,"Yes",'Order Details'!$I:$I,$Q38,'Order Details'!$F:$F,'Item Summary'!Z$4)-K38</f>
        <v>0</v>
      </c>
      <c r="AA38" s="291">
        <f>SUMIFS('Order Details'!$Q:$Q,'Order Details'!$E:$E,"Yes",'Order Details'!$I:$I,$Q38,'Order Details'!$F:$F,'Item Summary'!AA$4)-L38</f>
        <v>0</v>
      </c>
      <c r="AB38" s="276">
        <f>SUMIFS('Order Details'!$Q:$Q,'Order Details'!$E:$E,"Yes",'Order Details'!$I:$I,$Q38,'Order Details'!$F:$F,'Item Summary'!AB$4)-M38</f>
        <v>0</v>
      </c>
      <c r="AC38" s="279">
        <f t="shared" si="3"/>
        <v>0</v>
      </c>
    </row>
    <row r="39" spans="2:29" x14ac:dyDescent="0.3">
      <c r="B39" s="280">
        <v>694671</v>
      </c>
      <c r="C39" s="274" t="str">
        <f>VLOOKUP($B39,'Pricing Table - eff 27-Jan-2026'!$A:$L,9,FALSE)&amp;""" "&amp;VLOOKUP($B39,'Pricing Table - eff 27-Jan-2026'!$A:$L,12,FALSE)</f>
        <v>90" VICTORY RED</v>
      </c>
      <c r="D39" s="275">
        <f>SUMIFS('Order Details'!$Q:$Q,'Order Details'!$E:$E,"Yes",'Order Details'!$I:$I,'Item Summary'!$B39,'Order Details'!$F:$F,'Item Summary'!D$4,'Order Details'!$C:$C,"PO Received")+SUMIFS('Order Details'!$Q:$Q,'Order Details'!$E:$E,"Yes",'Order Details'!$I:$I,'Item Summary'!$B39,'Order Details'!$F:$F,'Item Summary'!D$4,'Order Details'!$C:$C,"Proforma Invoice Sent")+SUMIFS('Order Details'!$Q:$Q,'Order Details'!$E:$E,"Yes",'Order Details'!$I:$I,'Item Summary'!$B39,'Order Details'!$F:$F,'Item Summary'!D$4,'Order Details'!$C:$C,"Downpayment Received")+SUMIFS('Order Details'!$Q:$Q,'Order Details'!$E:$E,"Yes",'Order Details'!$I:$I,'Item Summary'!$B39,'Order Details'!$F:$F,'Item Summary'!D$4,'Order Details'!$C:$C,"In Production")</f>
        <v>0</v>
      </c>
      <c r="E39" s="275">
        <f>SUMIFS('Order Details'!$Q:$Q,'Order Details'!$E:$E,"Yes",'Order Details'!$I:$I,'Item Summary'!$B39,'Order Details'!$F:$F,'Item Summary'!E$4,'Order Details'!$C:$C,"PO Received")+SUMIFS('Order Details'!$Q:$Q,'Order Details'!$E:$E,"Yes",'Order Details'!$I:$I,'Item Summary'!$B39,'Order Details'!$F:$F,'Item Summary'!E$4,'Order Details'!$C:$C,"Proforma Invoice Sent")+SUMIFS('Order Details'!$Q:$Q,'Order Details'!$E:$E,"Yes",'Order Details'!$I:$I,'Item Summary'!$B39,'Order Details'!$F:$F,'Item Summary'!E$4,'Order Details'!$C:$C,"Downpayment Received")+SUMIFS('Order Details'!$Q:$Q,'Order Details'!$E:$E,"Yes",'Order Details'!$I:$I,'Item Summary'!$B39,'Order Details'!$F:$F,'Item Summary'!E$4,'Order Details'!$C:$C,"In Production")</f>
        <v>0</v>
      </c>
      <c r="F39" s="275">
        <f>SUMIFS('Order Details'!$Q:$Q,'Order Details'!$E:$E,"Yes",'Order Details'!$I:$I,'Item Summary'!$B39,'Order Details'!$F:$F,'Item Summary'!F$4,'Order Details'!$C:$C,"PO Received")+SUMIFS('Order Details'!$Q:$Q,'Order Details'!$E:$E,"Yes",'Order Details'!$I:$I,'Item Summary'!$B39,'Order Details'!$F:$F,'Item Summary'!F$4,'Order Details'!$C:$C,"Proforma Invoice Sent")+SUMIFS('Order Details'!$Q:$Q,'Order Details'!$E:$E,"Yes",'Order Details'!$I:$I,'Item Summary'!$B39,'Order Details'!$F:$F,'Item Summary'!F$4,'Order Details'!$C:$C,"Downpayment Received")+SUMIFS('Order Details'!$Q:$Q,'Order Details'!$E:$E,"Yes",'Order Details'!$I:$I,'Item Summary'!$B39,'Order Details'!$F:$F,'Item Summary'!F$4,'Order Details'!$C:$C,"In Production")</f>
        <v>0</v>
      </c>
      <c r="G39" s="275">
        <f>SUMIFS('Order Details'!$Q:$Q,'Order Details'!$E:$E,"Yes",'Order Details'!$I:$I,'Item Summary'!$B39,'Order Details'!$F:$F,'Item Summary'!G$4,'Order Details'!$C:$C,"PO Received")+SUMIFS('Order Details'!$Q:$Q,'Order Details'!$E:$E,"Yes",'Order Details'!$I:$I,'Item Summary'!$B39,'Order Details'!$F:$F,'Item Summary'!G$4,'Order Details'!$C:$C,"Proforma Invoice Sent")+SUMIFS('Order Details'!$Q:$Q,'Order Details'!$E:$E,"Yes",'Order Details'!$I:$I,'Item Summary'!$B39,'Order Details'!$F:$F,'Item Summary'!G$4,'Order Details'!$C:$C,"Downpayment Received")+SUMIFS('Order Details'!$Q:$Q,'Order Details'!$E:$E,"Yes",'Order Details'!$I:$I,'Item Summary'!$B39,'Order Details'!$F:$F,'Item Summary'!G$4,'Order Details'!$C:$C,"In Production")</f>
        <v>0</v>
      </c>
      <c r="H39" s="275">
        <f>SUMIFS('Order Details'!$Q:$Q,'Order Details'!$E:$E,"Yes",'Order Details'!$I:$I,'Item Summary'!$B39,'Order Details'!$F:$F,'Item Summary'!H$4,'Order Details'!$C:$C,"PO Received")+SUMIFS('Order Details'!$Q:$Q,'Order Details'!$E:$E,"Yes",'Order Details'!$I:$I,'Item Summary'!$B39,'Order Details'!$F:$F,'Item Summary'!H$4,'Order Details'!$C:$C,"Proforma Invoice Sent")+SUMIFS('Order Details'!$Q:$Q,'Order Details'!$E:$E,"Yes",'Order Details'!$I:$I,'Item Summary'!$B39,'Order Details'!$F:$F,'Item Summary'!H$4,'Order Details'!$C:$C,"Downpayment Received")+SUMIFS('Order Details'!$Q:$Q,'Order Details'!$E:$E,"Yes",'Order Details'!$I:$I,'Item Summary'!$B39,'Order Details'!$F:$F,'Item Summary'!H$4,'Order Details'!$C:$C,"In Production")</f>
        <v>0</v>
      </c>
      <c r="I39" s="275">
        <f>SUMIFS('Order Details'!$Q:$Q,'Order Details'!$E:$E,"Yes",'Order Details'!$I:$I,'Item Summary'!$B39,'Order Details'!$F:$F,'Item Summary'!I$4,'Order Details'!$C:$C,"PO Received")+SUMIFS('Order Details'!$Q:$Q,'Order Details'!$E:$E,"Yes",'Order Details'!$I:$I,'Item Summary'!$B39,'Order Details'!$F:$F,'Item Summary'!I$4,'Order Details'!$C:$C,"Proforma Invoice Sent")+SUMIFS('Order Details'!$Q:$Q,'Order Details'!$E:$E,"Yes",'Order Details'!$I:$I,'Item Summary'!$B39,'Order Details'!$F:$F,'Item Summary'!I$4,'Order Details'!$C:$C,"Downpayment Received")+SUMIFS('Order Details'!$Q:$Q,'Order Details'!$E:$E,"Yes",'Order Details'!$I:$I,'Item Summary'!$B39,'Order Details'!$F:$F,'Item Summary'!I$4,'Order Details'!$C:$C,"In Production")</f>
        <v>0</v>
      </c>
      <c r="J39" s="275">
        <f>SUMIFS('Order Details'!$Q:$Q,'Order Details'!$E:$E,"Yes",'Order Details'!$I:$I,'Item Summary'!$B39,'Order Details'!$F:$F,'Item Summary'!J$4,'Order Details'!$C:$C,"PO Received")+SUMIFS('Order Details'!$Q:$Q,'Order Details'!$E:$E,"Yes",'Order Details'!$I:$I,'Item Summary'!$B39,'Order Details'!$F:$F,'Item Summary'!J$4,'Order Details'!$C:$C,"Proforma Invoice Sent")+SUMIFS('Order Details'!$Q:$Q,'Order Details'!$E:$E,"Yes",'Order Details'!$I:$I,'Item Summary'!$B39,'Order Details'!$F:$F,'Item Summary'!J$4,'Order Details'!$C:$C,"Downpayment Received")+SUMIFS('Order Details'!$Q:$Q,'Order Details'!$E:$E,"Yes",'Order Details'!$I:$I,'Item Summary'!$B39,'Order Details'!$F:$F,'Item Summary'!J$4,'Order Details'!$C:$C,"In Production")</f>
        <v>0</v>
      </c>
      <c r="K39" s="275">
        <f>SUMIFS('Order Details'!$Q:$Q,'Order Details'!$E:$E,"Yes",'Order Details'!$I:$I,'Item Summary'!$B39,'Order Details'!$F:$F,'Item Summary'!K$4,'Order Details'!$C:$C,"PO Received")+SUMIFS('Order Details'!$Q:$Q,'Order Details'!$E:$E,"Yes",'Order Details'!$I:$I,'Item Summary'!$B39,'Order Details'!$F:$F,'Item Summary'!K$4,'Order Details'!$C:$C,"Proforma Invoice Sent")+SUMIFS('Order Details'!$Q:$Q,'Order Details'!$E:$E,"Yes",'Order Details'!$I:$I,'Item Summary'!$B39,'Order Details'!$F:$F,'Item Summary'!K$4,'Order Details'!$C:$C,"Downpayment Received")+SUMIFS('Order Details'!$Q:$Q,'Order Details'!$E:$E,"Yes",'Order Details'!$I:$I,'Item Summary'!$B39,'Order Details'!$F:$F,'Item Summary'!K$4,'Order Details'!$C:$C,"In Production")</f>
        <v>0</v>
      </c>
      <c r="L39" s="291">
        <f>SUMIFS('Order Details'!$Q:$Q,'Order Details'!$E:$E,"Yes",'Order Details'!$I:$I,'Item Summary'!$B39,'Order Details'!$F:$F,'Item Summary'!L$4,'Order Details'!$C:$C,"PO Received")+SUMIFS('Order Details'!$Q:$Q,'Order Details'!$E:$E,"Yes",'Order Details'!$I:$I,'Item Summary'!$B39,'Order Details'!$F:$F,'Item Summary'!L$4,'Order Details'!$C:$C,"Proforma Invoice Sent")+SUMIFS('Order Details'!$Q:$Q,'Order Details'!$E:$E,"Yes",'Order Details'!$I:$I,'Item Summary'!$B39,'Order Details'!$F:$F,'Item Summary'!L$4,'Order Details'!$C:$C,"Downpayment Received")+SUMIFS('Order Details'!$Q:$Q,'Order Details'!$E:$E,"Yes",'Order Details'!$I:$I,'Item Summary'!$B39,'Order Details'!$F:$F,'Item Summary'!L$4,'Order Details'!$C:$C,"In Production")</f>
        <v>0</v>
      </c>
      <c r="M39" s="276">
        <f>SUMIFS('Order Details'!$Q:$Q,'Order Details'!$E:$E,"Yes",'Order Details'!$I:$I,'Item Summary'!$B39,'Order Details'!$F:$F,'Item Summary'!M$4,'Order Details'!$C:$C,"PO Received")+SUMIFS('Order Details'!$Q:$Q,'Order Details'!$E:$E,"Yes",'Order Details'!$I:$I,'Item Summary'!$B39,'Order Details'!$F:$F,'Item Summary'!M$4,'Order Details'!$C:$C,"Proforma Invoice Sent")+SUMIFS('Order Details'!$Q:$Q,'Order Details'!$E:$E,"Yes",'Order Details'!$I:$I,'Item Summary'!$B39,'Order Details'!$F:$F,'Item Summary'!M$4,'Order Details'!$C:$C,"Downpayment Received")+SUMIFS('Order Details'!$Q:$Q,'Order Details'!$E:$E,"Yes",'Order Details'!$I:$I,'Item Summary'!$B39,'Order Details'!$F:$F,'Item Summary'!M$4,'Order Details'!$C:$C,"In Production")</f>
        <v>0</v>
      </c>
      <c r="N39" s="279">
        <f t="shared" si="2"/>
        <v>0</v>
      </c>
      <c r="Q39" s="280">
        <v>694671</v>
      </c>
      <c r="R39" s="274" t="str">
        <f>VLOOKUP($Q39,'Pricing Table - eff 27-Jan-2026'!$A:$L,9,FALSE)&amp;""" "&amp;VLOOKUP($Q39,'Pricing Table - eff 27-Jan-2026'!$A:$L,12,FALSE)</f>
        <v>90" VICTORY RED</v>
      </c>
      <c r="S39" s="275">
        <f>SUMIFS('Order Details'!$Q:$Q,'Order Details'!$E:$E,"Yes",'Order Details'!$I:$I,$Q39,'Order Details'!$F:$F,'Item Summary'!S$4)-D39</f>
        <v>0</v>
      </c>
      <c r="T39" s="275">
        <f>SUMIFS('Order Details'!$Q:$Q,'Order Details'!$E:$E,"Yes",'Order Details'!$I:$I,$Q39,'Order Details'!$F:$F,'Item Summary'!T$4)-E39</f>
        <v>0</v>
      </c>
      <c r="U39" s="275">
        <f>SUMIFS('Order Details'!$Q:$Q,'Order Details'!$E:$E,"Yes",'Order Details'!$I:$I,$Q39,'Order Details'!$F:$F,'Item Summary'!U$4)-F39</f>
        <v>0</v>
      </c>
      <c r="V39" s="275">
        <f>SUMIFS('Order Details'!$Q:$Q,'Order Details'!$E:$E,"Yes",'Order Details'!$I:$I,$Q39,'Order Details'!$F:$F,'Item Summary'!V$4)-G39</f>
        <v>0</v>
      </c>
      <c r="W39" s="275">
        <f>SUMIFS('Order Details'!$Q:$Q,'Order Details'!$E:$E,"Yes",'Order Details'!$I:$I,$Q39,'Order Details'!$F:$F,'Item Summary'!W$4)-H39</f>
        <v>0</v>
      </c>
      <c r="X39" s="275">
        <f>SUMIFS('Order Details'!$Q:$Q,'Order Details'!$E:$E,"Yes",'Order Details'!$I:$I,$Q39,'Order Details'!$F:$F,'Item Summary'!X$4)-I39</f>
        <v>0</v>
      </c>
      <c r="Y39" s="275">
        <f>SUMIFS('Order Details'!$Q:$Q,'Order Details'!$E:$E,"Yes",'Order Details'!$I:$I,$Q39,'Order Details'!$F:$F,'Item Summary'!Y$4)-J39</f>
        <v>0</v>
      </c>
      <c r="Z39" s="275">
        <f>SUMIFS('Order Details'!$Q:$Q,'Order Details'!$E:$E,"Yes",'Order Details'!$I:$I,$Q39,'Order Details'!$F:$F,'Item Summary'!Z$4)-K39</f>
        <v>0</v>
      </c>
      <c r="AA39" s="291">
        <f>SUMIFS('Order Details'!$Q:$Q,'Order Details'!$E:$E,"Yes",'Order Details'!$I:$I,$Q39,'Order Details'!$F:$F,'Item Summary'!AA$4)-L39</f>
        <v>0</v>
      </c>
      <c r="AB39" s="276">
        <f>SUMIFS('Order Details'!$Q:$Q,'Order Details'!$E:$E,"Yes",'Order Details'!$I:$I,$Q39,'Order Details'!$F:$F,'Item Summary'!AB$4)-M39</f>
        <v>0</v>
      </c>
      <c r="AC39" s="279">
        <f t="shared" si="3"/>
        <v>0</v>
      </c>
    </row>
    <row r="40" spans="2:29" x14ac:dyDescent="0.3">
      <c r="B40" s="280">
        <v>710941</v>
      </c>
      <c r="C40" s="274" t="str">
        <f>VLOOKUP($B40,'Pricing Table - eff 27-Jan-2026'!$A:$L,9,FALSE)&amp;""" "&amp;VLOOKUP($B40,'Pricing Table - eff 27-Jan-2026'!$A:$L,12,FALSE)</f>
        <v>90.5" VICTORY RED</v>
      </c>
      <c r="D40" s="275">
        <f>SUMIFS('Order Details'!$Q:$Q,'Order Details'!$E:$E,"Yes",'Order Details'!$I:$I,'Item Summary'!$B40,'Order Details'!$F:$F,'Item Summary'!D$4,'Order Details'!$C:$C,"PO Received")+SUMIFS('Order Details'!$Q:$Q,'Order Details'!$E:$E,"Yes",'Order Details'!$I:$I,'Item Summary'!$B40,'Order Details'!$F:$F,'Item Summary'!D$4,'Order Details'!$C:$C,"Proforma Invoice Sent")+SUMIFS('Order Details'!$Q:$Q,'Order Details'!$E:$E,"Yes",'Order Details'!$I:$I,'Item Summary'!$B40,'Order Details'!$F:$F,'Item Summary'!D$4,'Order Details'!$C:$C,"Downpayment Received")+SUMIFS('Order Details'!$Q:$Q,'Order Details'!$E:$E,"Yes",'Order Details'!$I:$I,'Item Summary'!$B40,'Order Details'!$F:$F,'Item Summary'!D$4,'Order Details'!$C:$C,"In Production")</f>
        <v>0</v>
      </c>
      <c r="E40" s="275">
        <f>SUMIFS('Order Details'!$Q:$Q,'Order Details'!$E:$E,"Yes",'Order Details'!$I:$I,'Item Summary'!$B40,'Order Details'!$F:$F,'Item Summary'!E$4,'Order Details'!$C:$C,"PO Received")+SUMIFS('Order Details'!$Q:$Q,'Order Details'!$E:$E,"Yes",'Order Details'!$I:$I,'Item Summary'!$B40,'Order Details'!$F:$F,'Item Summary'!E$4,'Order Details'!$C:$C,"Proforma Invoice Sent")+SUMIFS('Order Details'!$Q:$Q,'Order Details'!$E:$E,"Yes",'Order Details'!$I:$I,'Item Summary'!$B40,'Order Details'!$F:$F,'Item Summary'!E$4,'Order Details'!$C:$C,"Downpayment Received")+SUMIFS('Order Details'!$Q:$Q,'Order Details'!$E:$E,"Yes",'Order Details'!$I:$I,'Item Summary'!$B40,'Order Details'!$F:$F,'Item Summary'!E$4,'Order Details'!$C:$C,"In Production")</f>
        <v>0</v>
      </c>
      <c r="F40" s="275">
        <f>SUMIFS('Order Details'!$Q:$Q,'Order Details'!$E:$E,"Yes",'Order Details'!$I:$I,'Item Summary'!$B40,'Order Details'!$F:$F,'Item Summary'!F$4,'Order Details'!$C:$C,"PO Received")+SUMIFS('Order Details'!$Q:$Q,'Order Details'!$E:$E,"Yes",'Order Details'!$I:$I,'Item Summary'!$B40,'Order Details'!$F:$F,'Item Summary'!F$4,'Order Details'!$C:$C,"Proforma Invoice Sent")+SUMIFS('Order Details'!$Q:$Q,'Order Details'!$E:$E,"Yes",'Order Details'!$I:$I,'Item Summary'!$B40,'Order Details'!$F:$F,'Item Summary'!F$4,'Order Details'!$C:$C,"Downpayment Received")+SUMIFS('Order Details'!$Q:$Q,'Order Details'!$E:$E,"Yes",'Order Details'!$I:$I,'Item Summary'!$B40,'Order Details'!$F:$F,'Item Summary'!F$4,'Order Details'!$C:$C,"In Production")</f>
        <v>400</v>
      </c>
      <c r="G40" s="275">
        <f>SUMIFS('Order Details'!$Q:$Q,'Order Details'!$E:$E,"Yes",'Order Details'!$I:$I,'Item Summary'!$B40,'Order Details'!$F:$F,'Item Summary'!G$4,'Order Details'!$C:$C,"PO Received")+SUMIFS('Order Details'!$Q:$Q,'Order Details'!$E:$E,"Yes",'Order Details'!$I:$I,'Item Summary'!$B40,'Order Details'!$F:$F,'Item Summary'!G$4,'Order Details'!$C:$C,"Proforma Invoice Sent")+SUMIFS('Order Details'!$Q:$Q,'Order Details'!$E:$E,"Yes",'Order Details'!$I:$I,'Item Summary'!$B40,'Order Details'!$F:$F,'Item Summary'!G$4,'Order Details'!$C:$C,"Downpayment Received")+SUMIFS('Order Details'!$Q:$Q,'Order Details'!$E:$E,"Yes",'Order Details'!$I:$I,'Item Summary'!$B40,'Order Details'!$F:$F,'Item Summary'!G$4,'Order Details'!$C:$C,"In Production")</f>
        <v>400</v>
      </c>
      <c r="H40" s="275">
        <f>SUMIFS('Order Details'!$Q:$Q,'Order Details'!$E:$E,"Yes",'Order Details'!$I:$I,'Item Summary'!$B40,'Order Details'!$F:$F,'Item Summary'!H$4,'Order Details'!$C:$C,"PO Received")+SUMIFS('Order Details'!$Q:$Q,'Order Details'!$E:$E,"Yes",'Order Details'!$I:$I,'Item Summary'!$B40,'Order Details'!$F:$F,'Item Summary'!H$4,'Order Details'!$C:$C,"Proforma Invoice Sent")+SUMIFS('Order Details'!$Q:$Q,'Order Details'!$E:$E,"Yes",'Order Details'!$I:$I,'Item Summary'!$B40,'Order Details'!$F:$F,'Item Summary'!H$4,'Order Details'!$C:$C,"Downpayment Received")+SUMIFS('Order Details'!$Q:$Q,'Order Details'!$E:$E,"Yes",'Order Details'!$I:$I,'Item Summary'!$B40,'Order Details'!$F:$F,'Item Summary'!H$4,'Order Details'!$C:$C,"In Production")</f>
        <v>0</v>
      </c>
      <c r="I40" s="275">
        <f>SUMIFS('Order Details'!$Q:$Q,'Order Details'!$E:$E,"Yes",'Order Details'!$I:$I,'Item Summary'!$B40,'Order Details'!$F:$F,'Item Summary'!I$4,'Order Details'!$C:$C,"PO Received")+SUMIFS('Order Details'!$Q:$Q,'Order Details'!$E:$E,"Yes",'Order Details'!$I:$I,'Item Summary'!$B40,'Order Details'!$F:$F,'Item Summary'!I$4,'Order Details'!$C:$C,"Proforma Invoice Sent")+SUMIFS('Order Details'!$Q:$Q,'Order Details'!$E:$E,"Yes",'Order Details'!$I:$I,'Item Summary'!$B40,'Order Details'!$F:$F,'Item Summary'!I$4,'Order Details'!$C:$C,"Downpayment Received")+SUMIFS('Order Details'!$Q:$Q,'Order Details'!$E:$E,"Yes",'Order Details'!$I:$I,'Item Summary'!$B40,'Order Details'!$F:$F,'Item Summary'!I$4,'Order Details'!$C:$C,"In Production")</f>
        <v>0</v>
      </c>
      <c r="J40" s="275">
        <f>SUMIFS('Order Details'!$Q:$Q,'Order Details'!$E:$E,"Yes",'Order Details'!$I:$I,'Item Summary'!$B40,'Order Details'!$F:$F,'Item Summary'!J$4,'Order Details'!$C:$C,"PO Received")+SUMIFS('Order Details'!$Q:$Q,'Order Details'!$E:$E,"Yes",'Order Details'!$I:$I,'Item Summary'!$B40,'Order Details'!$F:$F,'Item Summary'!J$4,'Order Details'!$C:$C,"Proforma Invoice Sent")+SUMIFS('Order Details'!$Q:$Q,'Order Details'!$E:$E,"Yes",'Order Details'!$I:$I,'Item Summary'!$B40,'Order Details'!$F:$F,'Item Summary'!J$4,'Order Details'!$C:$C,"Downpayment Received")+SUMIFS('Order Details'!$Q:$Q,'Order Details'!$E:$E,"Yes",'Order Details'!$I:$I,'Item Summary'!$B40,'Order Details'!$F:$F,'Item Summary'!J$4,'Order Details'!$C:$C,"In Production")</f>
        <v>0</v>
      </c>
      <c r="K40" s="275">
        <f>SUMIFS('Order Details'!$Q:$Q,'Order Details'!$E:$E,"Yes",'Order Details'!$I:$I,'Item Summary'!$B40,'Order Details'!$F:$F,'Item Summary'!K$4,'Order Details'!$C:$C,"PO Received")+SUMIFS('Order Details'!$Q:$Q,'Order Details'!$E:$E,"Yes",'Order Details'!$I:$I,'Item Summary'!$B40,'Order Details'!$F:$F,'Item Summary'!K$4,'Order Details'!$C:$C,"Proforma Invoice Sent")+SUMIFS('Order Details'!$Q:$Q,'Order Details'!$E:$E,"Yes",'Order Details'!$I:$I,'Item Summary'!$B40,'Order Details'!$F:$F,'Item Summary'!K$4,'Order Details'!$C:$C,"Downpayment Received")+SUMIFS('Order Details'!$Q:$Q,'Order Details'!$E:$E,"Yes",'Order Details'!$I:$I,'Item Summary'!$B40,'Order Details'!$F:$F,'Item Summary'!K$4,'Order Details'!$C:$C,"In Production")</f>
        <v>0</v>
      </c>
      <c r="L40" s="291">
        <f>SUMIFS('Order Details'!$Q:$Q,'Order Details'!$E:$E,"Yes",'Order Details'!$I:$I,'Item Summary'!$B40,'Order Details'!$F:$F,'Item Summary'!L$4,'Order Details'!$C:$C,"PO Received")+SUMIFS('Order Details'!$Q:$Q,'Order Details'!$E:$E,"Yes",'Order Details'!$I:$I,'Item Summary'!$B40,'Order Details'!$F:$F,'Item Summary'!L$4,'Order Details'!$C:$C,"Proforma Invoice Sent")+SUMIFS('Order Details'!$Q:$Q,'Order Details'!$E:$E,"Yes",'Order Details'!$I:$I,'Item Summary'!$B40,'Order Details'!$F:$F,'Item Summary'!L$4,'Order Details'!$C:$C,"Downpayment Received")+SUMIFS('Order Details'!$Q:$Q,'Order Details'!$E:$E,"Yes",'Order Details'!$I:$I,'Item Summary'!$B40,'Order Details'!$F:$F,'Item Summary'!L$4,'Order Details'!$C:$C,"In Production")</f>
        <v>0</v>
      </c>
      <c r="M40" s="276">
        <f>SUMIFS('Order Details'!$Q:$Q,'Order Details'!$E:$E,"Yes",'Order Details'!$I:$I,'Item Summary'!$B40,'Order Details'!$F:$F,'Item Summary'!M$4,'Order Details'!$C:$C,"PO Received")+SUMIFS('Order Details'!$Q:$Q,'Order Details'!$E:$E,"Yes",'Order Details'!$I:$I,'Item Summary'!$B40,'Order Details'!$F:$F,'Item Summary'!M$4,'Order Details'!$C:$C,"Proforma Invoice Sent")+SUMIFS('Order Details'!$Q:$Q,'Order Details'!$E:$E,"Yes",'Order Details'!$I:$I,'Item Summary'!$B40,'Order Details'!$F:$F,'Item Summary'!M$4,'Order Details'!$C:$C,"Downpayment Received")+SUMIFS('Order Details'!$Q:$Q,'Order Details'!$E:$E,"Yes",'Order Details'!$I:$I,'Item Summary'!$B40,'Order Details'!$F:$F,'Item Summary'!M$4,'Order Details'!$C:$C,"In Production")</f>
        <v>0</v>
      </c>
      <c r="N40" s="279">
        <f t="shared" si="2"/>
        <v>800</v>
      </c>
      <c r="Q40" s="280">
        <v>710941</v>
      </c>
      <c r="R40" s="274" t="str">
        <f>VLOOKUP($Q40,'Pricing Table - eff 27-Jan-2026'!$A:$L,9,FALSE)&amp;""" "&amp;VLOOKUP($Q40,'Pricing Table - eff 27-Jan-2026'!$A:$L,12,FALSE)</f>
        <v>90.5" VICTORY RED</v>
      </c>
      <c r="S40" s="275">
        <f>SUMIFS('Order Details'!$Q:$Q,'Order Details'!$E:$E,"Yes",'Order Details'!$I:$I,$Q40,'Order Details'!$F:$F,'Item Summary'!S$4)-D40</f>
        <v>0</v>
      </c>
      <c r="T40" s="275">
        <f>SUMIFS('Order Details'!$Q:$Q,'Order Details'!$E:$E,"Yes",'Order Details'!$I:$I,$Q40,'Order Details'!$F:$F,'Item Summary'!T$4)-E40</f>
        <v>0</v>
      </c>
      <c r="U40" s="275">
        <f>SUMIFS('Order Details'!$Q:$Q,'Order Details'!$E:$E,"Yes",'Order Details'!$I:$I,$Q40,'Order Details'!$F:$F,'Item Summary'!U$4)-F40</f>
        <v>0</v>
      </c>
      <c r="V40" s="275">
        <f>SUMIFS('Order Details'!$Q:$Q,'Order Details'!$E:$E,"Yes",'Order Details'!$I:$I,$Q40,'Order Details'!$F:$F,'Item Summary'!V$4)-G40</f>
        <v>0</v>
      </c>
      <c r="W40" s="275">
        <f>SUMIFS('Order Details'!$Q:$Q,'Order Details'!$E:$E,"Yes",'Order Details'!$I:$I,$Q40,'Order Details'!$F:$F,'Item Summary'!W$4)-H40</f>
        <v>0</v>
      </c>
      <c r="X40" s="275">
        <f>SUMIFS('Order Details'!$Q:$Q,'Order Details'!$E:$E,"Yes",'Order Details'!$I:$I,$Q40,'Order Details'!$F:$F,'Item Summary'!X$4)-I40</f>
        <v>0</v>
      </c>
      <c r="Y40" s="275">
        <f>SUMIFS('Order Details'!$Q:$Q,'Order Details'!$E:$E,"Yes",'Order Details'!$I:$I,$Q40,'Order Details'!$F:$F,'Item Summary'!Y$4)-J40</f>
        <v>0</v>
      </c>
      <c r="Z40" s="275">
        <f>SUMIFS('Order Details'!$Q:$Q,'Order Details'!$E:$E,"Yes",'Order Details'!$I:$I,$Q40,'Order Details'!$F:$F,'Item Summary'!Z$4)-K40</f>
        <v>0</v>
      </c>
      <c r="AA40" s="291">
        <f>SUMIFS('Order Details'!$Q:$Q,'Order Details'!$E:$E,"Yes",'Order Details'!$I:$I,$Q40,'Order Details'!$F:$F,'Item Summary'!AA$4)-L40</f>
        <v>0</v>
      </c>
      <c r="AB40" s="276">
        <f>SUMIFS('Order Details'!$Q:$Q,'Order Details'!$E:$E,"Yes",'Order Details'!$I:$I,$Q40,'Order Details'!$F:$F,'Item Summary'!AB$4)-M40</f>
        <v>0</v>
      </c>
      <c r="AC40" s="279">
        <f t="shared" si="3"/>
        <v>0</v>
      </c>
    </row>
    <row r="41" spans="2:29" x14ac:dyDescent="0.3">
      <c r="B41" s="278">
        <v>709568</v>
      </c>
      <c r="C41" s="274" t="str">
        <f>VLOOKUP($B41,'Pricing Table - eff 27-Jan-2026'!$A:$L,9,FALSE)&amp;""" "&amp;VLOOKUP($B41,'Pricing Table - eff 27-Jan-2026'!$A:$L,12,FALSE)</f>
        <v>91" VICTORY RED</v>
      </c>
      <c r="D41" s="275">
        <f>SUMIFS('Order Details'!$Q:$Q,'Order Details'!$E:$E,"Yes",'Order Details'!$I:$I,'Item Summary'!$B41,'Order Details'!$F:$F,'Item Summary'!D$4,'Order Details'!$C:$C,"PO Received")+SUMIFS('Order Details'!$Q:$Q,'Order Details'!$E:$E,"Yes",'Order Details'!$I:$I,'Item Summary'!$B41,'Order Details'!$F:$F,'Item Summary'!D$4,'Order Details'!$C:$C,"Proforma Invoice Sent")+SUMIFS('Order Details'!$Q:$Q,'Order Details'!$E:$E,"Yes",'Order Details'!$I:$I,'Item Summary'!$B41,'Order Details'!$F:$F,'Item Summary'!D$4,'Order Details'!$C:$C,"Downpayment Received")+SUMIFS('Order Details'!$Q:$Q,'Order Details'!$E:$E,"Yes",'Order Details'!$I:$I,'Item Summary'!$B41,'Order Details'!$F:$F,'Item Summary'!D$4,'Order Details'!$C:$C,"In Production")</f>
        <v>0</v>
      </c>
      <c r="E41" s="275">
        <f>SUMIFS('Order Details'!$Q:$Q,'Order Details'!$E:$E,"Yes",'Order Details'!$I:$I,'Item Summary'!$B41,'Order Details'!$F:$F,'Item Summary'!E$4,'Order Details'!$C:$C,"PO Received")+SUMIFS('Order Details'!$Q:$Q,'Order Details'!$E:$E,"Yes",'Order Details'!$I:$I,'Item Summary'!$B41,'Order Details'!$F:$F,'Item Summary'!E$4,'Order Details'!$C:$C,"Proforma Invoice Sent")+SUMIFS('Order Details'!$Q:$Q,'Order Details'!$E:$E,"Yes",'Order Details'!$I:$I,'Item Summary'!$B41,'Order Details'!$F:$F,'Item Summary'!E$4,'Order Details'!$C:$C,"Downpayment Received")+SUMIFS('Order Details'!$Q:$Q,'Order Details'!$E:$E,"Yes",'Order Details'!$I:$I,'Item Summary'!$B41,'Order Details'!$F:$F,'Item Summary'!E$4,'Order Details'!$C:$C,"In Production")</f>
        <v>0</v>
      </c>
      <c r="F41" s="275">
        <f>SUMIFS('Order Details'!$Q:$Q,'Order Details'!$E:$E,"Yes",'Order Details'!$I:$I,'Item Summary'!$B41,'Order Details'!$F:$F,'Item Summary'!F$4,'Order Details'!$C:$C,"PO Received")+SUMIFS('Order Details'!$Q:$Q,'Order Details'!$E:$E,"Yes",'Order Details'!$I:$I,'Item Summary'!$B41,'Order Details'!$F:$F,'Item Summary'!F$4,'Order Details'!$C:$C,"Proforma Invoice Sent")+SUMIFS('Order Details'!$Q:$Q,'Order Details'!$E:$E,"Yes",'Order Details'!$I:$I,'Item Summary'!$B41,'Order Details'!$F:$F,'Item Summary'!F$4,'Order Details'!$C:$C,"Downpayment Received")+SUMIFS('Order Details'!$Q:$Q,'Order Details'!$E:$E,"Yes",'Order Details'!$I:$I,'Item Summary'!$B41,'Order Details'!$F:$F,'Item Summary'!F$4,'Order Details'!$C:$C,"In Production")</f>
        <v>0</v>
      </c>
      <c r="G41" s="275">
        <f>SUMIFS('Order Details'!$Q:$Q,'Order Details'!$E:$E,"Yes",'Order Details'!$I:$I,'Item Summary'!$B41,'Order Details'!$F:$F,'Item Summary'!G$4,'Order Details'!$C:$C,"PO Received")+SUMIFS('Order Details'!$Q:$Q,'Order Details'!$E:$E,"Yes",'Order Details'!$I:$I,'Item Summary'!$B41,'Order Details'!$F:$F,'Item Summary'!G$4,'Order Details'!$C:$C,"Proforma Invoice Sent")+SUMIFS('Order Details'!$Q:$Q,'Order Details'!$E:$E,"Yes",'Order Details'!$I:$I,'Item Summary'!$B41,'Order Details'!$F:$F,'Item Summary'!G$4,'Order Details'!$C:$C,"Downpayment Received")+SUMIFS('Order Details'!$Q:$Q,'Order Details'!$E:$E,"Yes",'Order Details'!$I:$I,'Item Summary'!$B41,'Order Details'!$F:$F,'Item Summary'!G$4,'Order Details'!$C:$C,"In Production")</f>
        <v>0</v>
      </c>
      <c r="H41" s="275">
        <f>SUMIFS('Order Details'!$Q:$Q,'Order Details'!$E:$E,"Yes",'Order Details'!$I:$I,'Item Summary'!$B41,'Order Details'!$F:$F,'Item Summary'!H$4,'Order Details'!$C:$C,"PO Received")+SUMIFS('Order Details'!$Q:$Q,'Order Details'!$E:$E,"Yes",'Order Details'!$I:$I,'Item Summary'!$B41,'Order Details'!$F:$F,'Item Summary'!H$4,'Order Details'!$C:$C,"Proforma Invoice Sent")+SUMIFS('Order Details'!$Q:$Q,'Order Details'!$E:$E,"Yes",'Order Details'!$I:$I,'Item Summary'!$B41,'Order Details'!$F:$F,'Item Summary'!H$4,'Order Details'!$C:$C,"Downpayment Received")+SUMIFS('Order Details'!$Q:$Q,'Order Details'!$E:$E,"Yes",'Order Details'!$I:$I,'Item Summary'!$B41,'Order Details'!$F:$F,'Item Summary'!H$4,'Order Details'!$C:$C,"In Production")</f>
        <v>0</v>
      </c>
      <c r="I41" s="275">
        <f>SUMIFS('Order Details'!$Q:$Q,'Order Details'!$E:$E,"Yes",'Order Details'!$I:$I,'Item Summary'!$B41,'Order Details'!$F:$F,'Item Summary'!I$4,'Order Details'!$C:$C,"PO Received")+SUMIFS('Order Details'!$Q:$Q,'Order Details'!$E:$E,"Yes",'Order Details'!$I:$I,'Item Summary'!$B41,'Order Details'!$F:$F,'Item Summary'!I$4,'Order Details'!$C:$C,"Proforma Invoice Sent")+SUMIFS('Order Details'!$Q:$Q,'Order Details'!$E:$E,"Yes",'Order Details'!$I:$I,'Item Summary'!$B41,'Order Details'!$F:$F,'Item Summary'!I$4,'Order Details'!$C:$C,"Downpayment Received")+SUMIFS('Order Details'!$Q:$Q,'Order Details'!$E:$E,"Yes",'Order Details'!$I:$I,'Item Summary'!$B41,'Order Details'!$F:$F,'Item Summary'!I$4,'Order Details'!$C:$C,"In Production")</f>
        <v>0</v>
      </c>
      <c r="J41" s="275">
        <f>SUMIFS('Order Details'!$Q:$Q,'Order Details'!$E:$E,"Yes",'Order Details'!$I:$I,'Item Summary'!$B41,'Order Details'!$F:$F,'Item Summary'!J$4,'Order Details'!$C:$C,"PO Received")+SUMIFS('Order Details'!$Q:$Q,'Order Details'!$E:$E,"Yes",'Order Details'!$I:$I,'Item Summary'!$B41,'Order Details'!$F:$F,'Item Summary'!J$4,'Order Details'!$C:$C,"Proforma Invoice Sent")+SUMIFS('Order Details'!$Q:$Q,'Order Details'!$E:$E,"Yes",'Order Details'!$I:$I,'Item Summary'!$B41,'Order Details'!$F:$F,'Item Summary'!J$4,'Order Details'!$C:$C,"Downpayment Received")+SUMIFS('Order Details'!$Q:$Q,'Order Details'!$E:$E,"Yes",'Order Details'!$I:$I,'Item Summary'!$B41,'Order Details'!$F:$F,'Item Summary'!J$4,'Order Details'!$C:$C,"In Production")</f>
        <v>0</v>
      </c>
      <c r="K41" s="275">
        <f>SUMIFS('Order Details'!$Q:$Q,'Order Details'!$E:$E,"Yes",'Order Details'!$I:$I,'Item Summary'!$B41,'Order Details'!$F:$F,'Item Summary'!K$4,'Order Details'!$C:$C,"PO Received")+SUMIFS('Order Details'!$Q:$Q,'Order Details'!$E:$E,"Yes",'Order Details'!$I:$I,'Item Summary'!$B41,'Order Details'!$F:$F,'Item Summary'!K$4,'Order Details'!$C:$C,"Proforma Invoice Sent")+SUMIFS('Order Details'!$Q:$Q,'Order Details'!$E:$E,"Yes",'Order Details'!$I:$I,'Item Summary'!$B41,'Order Details'!$F:$F,'Item Summary'!K$4,'Order Details'!$C:$C,"Downpayment Received")+SUMIFS('Order Details'!$Q:$Q,'Order Details'!$E:$E,"Yes",'Order Details'!$I:$I,'Item Summary'!$B41,'Order Details'!$F:$F,'Item Summary'!K$4,'Order Details'!$C:$C,"In Production")</f>
        <v>0</v>
      </c>
      <c r="L41" s="291">
        <f>SUMIFS('Order Details'!$Q:$Q,'Order Details'!$E:$E,"Yes",'Order Details'!$I:$I,'Item Summary'!$B41,'Order Details'!$F:$F,'Item Summary'!L$4,'Order Details'!$C:$C,"PO Received")+SUMIFS('Order Details'!$Q:$Q,'Order Details'!$E:$E,"Yes",'Order Details'!$I:$I,'Item Summary'!$B41,'Order Details'!$F:$F,'Item Summary'!L$4,'Order Details'!$C:$C,"Proforma Invoice Sent")+SUMIFS('Order Details'!$Q:$Q,'Order Details'!$E:$E,"Yes",'Order Details'!$I:$I,'Item Summary'!$B41,'Order Details'!$F:$F,'Item Summary'!L$4,'Order Details'!$C:$C,"Downpayment Received")+SUMIFS('Order Details'!$Q:$Q,'Order Details'!$E:$E,"Yes",'Order Details'!$I:$I,'Item Summary'!$B41,'Order Details'!$F:$F,'Item Summary'!L$4,'Order Details'!$C:$C,"In Production")</f>
        <v>0</v>
      </c>
      <c r="M41" s="276">
        <f>SUMIFS('Order Details'!$Q:$Q,'Order Details'!$E:$E,"Yes",'Order Details'!$I:$I,'Item Summary'!$B41,'Order Details'!$F:$F,'Item Summary'!M$4,'Order Details'!$C:$C,"PO Received")+SUMIFS('Order Details'!$Q:$Q,'Order Details'!$E:$E,"Yes",'Order Details'!$I:$I,'Item Summary'!$B41,'Order Details'!$F:$F,'Item Summary'!M$4,'Order Details'!$C:$C,"Proforma Invoice Sent")+SUMIFS('Order Details'!$Q:$Q,'Order Details'!$E:$E,"Yes",'Order Details'!$I:$I,'Item Summary'!$B41,'Order Details'!$F:$F,'Item Summary'!M$4,'Order Details'!$C:$C,"Downpayment Received")+SUMIFS('Order Details'!$Q:$Q,'Order Details'!$E:$E,"Yes",'Order Details'!$I:$I,'Item Summary'!$B41,'Order Details'!$F:$F,'Item Summary'!M$4,'Order Details'!$C:$C,"In Production")</f>
        <v>0</v>
      </c>
      <c r="N41" s="279">
        <f t="shared" si="2"/>
        <v>0</v>
      </c>
      <c r="Q41" s="278">
        <v>709568</v>
      </c>
      <c r="R41" s="274" t="str">
        <f>VLOOKUP($Q41,'Pricing Table - eff 27-Jan-2026'!$A:$L,9,FALSE)&amp;""" "&amp;VLOOKUP($Q41,'Pricing Table - eff 27-Jan-2026'!$A:$L,12,FALSE)</f>
        <v>91" VICTORY RED</v>
      </c>
      <c r="S41" s="275">
        <f>SUMIFS('Order Details'!$Q:$Q,'Order Details'!$E:$E,"Yes",'Order Details'!$I:$I,$Q41,'Order Details'!$F:$F,'Item Summary'!S$4)-D41</f>
        <v>0</v>
      </c>
      <c r="T41" s="275">
        <f>SUMIFS('Order Details'!$Q:$Q,'Order Details'!$E:$E,"Yes",'Order Details'!$I:$I,$Q41,'Order Details'!$F:$F,'Item Summary'!T$4)-E41</f>
        <v>0</v>
      </c>
      <c r="U41" s="275">
        <f>SUMIFS('Order Details'!$Q:$Q,'Order Details'!$E:$E,"Yes",'Order Details'!$I:$I,$Q41,'Order Details'!$F:$F,'Item Summary'!U$4)-F41</f>
        <v>0</v>
      </c>
      <c r="V41" s="275">
        <f>SUMIFS('Order Details'!$Q:$Q,'Order Details'!$E:$E,"Yes",'Order Details'!$I:$I,$Q41,'Order Details'!$F:$F,'Item Summary'!V$4)-G41</f>
        <v>0</v>
      </c>
      <c r="W41" s="275">
        <f>SUMIFS('Order Details'!$Q:$Q,'Order Details'!$E:$E,"Yes",'Order Details'!$I:$I,$Q41,'Order Details'!$F:$F,'Item Summary'!W$4)-H41</f>
        <v>0</v>
      </c>
      <c r="X41" s="275">
        <f>SUMIFS('Order Details'!$Q:$Q,'Order Details'!$E:$E,"Yes",'Order Details'!$I:$I,$Q41,'Order Details'!$F:$F,'Item Summary'!X$4)-I41</f>
        <v>0</v>
      </c>
      <c r="Y41" s="275">
        <f>SUMIFS('Order Details'!$Q:$Q,'Order Details'!$E:$E,"Yes",'Order Details'!$I:$I,$Q41,'Order Details'!$F:$F,'Item Summary'!Y$4)-J41</f>
        <v>0</v>
      </c>
      <c r="Z41" s="275">
        <f>SUMIFS('Order Details'!$Q:$Q,'Order Details'!$E:$E,"Yes",'Order Details'!$I:$I,$Q41,'Order Details'!$F:$F,'Item Summary'!Z$4)-K41</f>
        <v>0</v>
      </c>
      <c r="AA41" s="291">
        <f>SUMIFS('Order Details'!$Q:$Q,'Order Details'!$E:$E,"Yes",'Order Details'!$I:$I,$Q41,'Order Details'!$F:$F,'Item Summary'!AA$4)-L41</f>
        <v>0</v>
      </c>
      <c r="AB41" s="276">
        <f>SUMIFS('Order Details'!$Q:$Q,'Order Details'!$E:$E,"Yes",'Order Details'!$I:$I,$Q41,'Order Details'!$F:$F,'Item Summary'!AB$4)-M41</f>
        <v>0</v>
      </c>
      <c r="AC41" s="279">
        <f t="shared" si="3"/>
        <v>0</v>
      </c>
    </row>
    <row r="42" spans="2:29" x14ac:dyDescent="0.3">
      <c r="B42" s="278">
        <v>694672</v>
      </c>
      <c r="C42" s="274" t="str">
        <f>VLOOKUP($B42,'Pricing Table - eff 27-Jan-2026'!$A:$L,9,FALSE)&amp;""" "&amp;VLOOKUP($B42,'Pricing Table - eff 27-Jan-2026'!$A:$L,12,FALSE)</f>
        <v>96" VICTORY RED</v>
      </c>
      <c r="D42" s="275">
        <f>SUMIFS('Order Details'!$Q:$Q,'Order Details'!$E:$E,"Yes",'Order Details'!$I:$I,'Item Summary'!$B42,'Order Details'!$F:$F,'Item Summary'!D$4,'Order Details'!$C:$C,"PO Received")+SUMIFS('Order Details'!$Q:$Q,'Order Details'!$E:$E,"Yes",'Order Details'!$I:$I,'Item Summary'!$B42,'Order Details'!$F:$F,'Item Summary'!D$4,'Order Details'!$C:$C,"Proforma Invoice Sent")+SUMIFS('Order Details'!$Q:$Q,'Order Details'!$E:$E,"Yes",'Order Details'!$I:$I,'Item Summary'!$B42,'Order Details'!$F:$F,'Item Summary'!D$4,'Order Details'!$C:$C,"Downpayment Received")+SUMIFS('Order Details'!$Q:$Q,'Order Details'!$E:$E,"Yes",'Order Details'!$I:$I,'Item Summary'!$B42,'Order Details'!$F:$F,'Item Summary'!D$4,'Order Details'!$C:$C,"In Production")</f>
        <v>0</v>
      </c>
      <c r="E42" s="275">
        <f>SUMIFS('Order Details'!$Q:$Q,'Order Details'!$E:$E,"Yes",'Order Details'!$I:$I,'Item Summary'!$B42,'Order Details'!$F:$F,'Item Summary'!E$4,'Order Details'!$C:$C,"PO Received")+SUMIFS('Order Details'!$Q:$Q,'Order Details'!$E:$E,"Yes",'Order Details'!$I:$I,'Item Summary'!$B42,'Order Details'!$F:$F,'Item Summary'!E$4,'Order Details'!$C:$C,"Proforma Invoice Sent")+SUMIFS('Order Details'!$Q:$Q,'Order Details'!$E:$E,"Yes",'Order Details'!$I:$I,'Item Summary'!$B42,'Order Details'!$F:$F,'Item Summary'!E$4,'Order Details'!$C:$C,"Downpayment Received")+SUMIFS('Order Details'!$Q:$Q,'Order Details'!$E:$E,"Yes",'Order Details'!$I:$I,'Item Summary'!$B42,'Order Details'!$F:$F,'Item Summary'!E$4,'Order Details'!$C:$C,"In Production")</f>
        <v>0</v>
      </c>
      <c r="F42" s="275">
        <f>SUMIFS('Order Details'!$Q:$Q,'Order Details'!$E:$E,"Yes",'Order Details'!$I:$I,'Item Summary'!$B42,'Order Details'!$F:$F,'Item Summary'!F$4,'Order Details'!$C:$C,"PO Received")+SUMIFS('Order Details'!$Q:$Q,'Order Details'!$E:$E,"Yes",'Order Details'!$I:$I,'Item Summary'!$B42,'Order Details'!$F:$F,'Item Summary'!F$4,'Order Details'!$C:$C,"Proforma Invoice Sent")+SUMIFS('Order Details'!$Q:$Q,'Order Details'!$E:$E,"Yes",'Order Details'!$I:$I,'Item Summary'!$B42,'Order Details'!$F:$F,'Item Summary'!F$4,'Order Details'!$C:$C,"Downpayment Received")+SUMIFS('Order Details'!$Q:$Q,'Order Details'!$E:$E,"Yes",'Order Details'!$I:$I,'Item Summary'!$B42,'Order Details'!$F:$F,'Item Summary'!F$4,'Order Details'!$C:$C,"In Production")</f>
        <v>800</v>
      </c>
      <c r="G42" s="275">
        <f>SUMIFS('Order Details'!$Q:$Q,'Order Details'!$E:$E,"Yes",'Order Details'!$I:$I,'Item Summary'!$B42,'Order Details'!$F:$F,'Item Summary'!G$4,'Order Details'!$C:$C,"PO Received")+SUMIFS('Order Details'!$Q:$Q,'Order Details'!$E:$E,"Yes",'Order Details'!$I:$I,'Item Summary'!$B42,'Order Details'!$F:$F,'Item Summary'!G$4,'Order Details'!$C:$C,"Proforma Invoice Sent")+SUMIFS('Order Details'!$Q:$Q,'Order Details'!$E:$E,"Yes",'Order Details'!$I:$I,'Item Summary'!$B42,'Order Details'!$F:$F,'Item Summary'!G$4,'Order Details'!$C:$C,"Downpayment Received")+SUMIFS('Order Details'!$Q:$Q,'Order Details'!$E:$E,"Yes",'Order Details'!$I:$I,'Item Summary'!$B42,'Order Details'!$F:$F,'Item Summary'!G$4,'Order Details'!$C:$C,"In Production")</f>
        <v>1600</v>
      </c>
      <c r="H42" s="275">
        <f>SUMIFS('Order Details'!$Q:$Q,'Order Details'!$E:$E,"Yes",'Order Details'!$I:$I,'Item Summary'!$B42,'Order Details'!$F:$F,'Item Summary'!H$4,'Order Details'!$C:$C,"PO Received")+SUMIFS('Order Details'!$Q:$Q,'Order Details'!$E:$E,"Yes",'Order Details'!$I:$I,'Item Summary'!$B42,'Order Details'!$F:$F,'Item Summary'!H$4,'Order Details'!$C:$C,"Proforma Invoice Sent")+SUMIFS('Order Details'!$Q:$Q,'Order Details'!$E:$E,"Yes",'Order Details'!$I:$I,'Item Summary'!$B42,'Order Details'!$F:$F,'Item Summary'!H$4,'Order Details'!$C:$C,"Downpayment Received")+SUMIFS('Order Details'!$Q:$Q,'Order Details'!$E:$E,"Yes",'Order Details'!$I:$I,'Item Summary'!$B42,'Order Details'!$F:$F,'Item Summary'!H$4,'Order Details'!$C:$C,"In Production")</f>
        <v>600</v>
      </c>
      <c r="I42" s="275">
        <f>SUMIFS('Order Details'!$Q:$Q,'Order Details'!$E:$E,"Yes",'Order Details'!$I:$I,'Item Summary'!$B42,'Order Details'!$F:$F,'Item Summary'!I$4,'Order Details'!$C:$C,"PO Received")+SUMIFS('Order Details'!$Q:$Q,'Order Details'!$E:$E,"Yes",'Order Details'!$I:$I,'Item Summary'!$B42,'Order Details'!$F:$F,'Item Summary'!I$4,'Order Details'!$C:$C,"Proforma Invoice Sent")+SUMIFS('Order Details'!$Q:$Q,'Order Details'!$E:$E,"Yes",'Order Details'!$I:$I,'Item Summary'!$B42,'Order Details'!$F:$F,'Item Summary'!I$4,'Order Details'!$C:$C,"Downpayment Received")+SUMIFS('Order Details'!$Q:$Q,'Order Details'!$E:$E,"Yes",'Order Details'!$I:$I,'Item Summary'!$B42,'Order Details'!$F:$F,'Item Summary'!I$4,'Order Details'!$C:$C,"In Production")</f>
        <v>600</v>
      </c>
      <c r="J42" s="275">
        <f>SUMIFS('Order Details'!$Q:$Q,'Order Details'!$E:$E,"Yes",'Order Details'!$I:$I,'Item Summary'!$B42,'Order Details'!$F:$F,'Item Summary'!J$4,'Order Details'!$C:$C,"PO Received")+SUMIFS('Order Details'!$Q:$Q,'Order Details'!$E:$E,"Yes",'Order Details'!$I:$I,'Item Summary'!$B42,'Order Details'!$F:$F,'Item Summary'!J$4,'Order Details'!$C:$C,"Proforma Invoice Sent")+SUMIFS('Order Details'!$Q:$Q,'Order Details'!$E:$E,"Yes",'Order Details'!$I:$I,'Item Summary'!$B42,'Order Details'!$F:$F,'Item Summary'!J$4,'Order Details'!$C:$C,"Downpayment Received")+SUMIFS('Order Details'!$Q:$Q,'Order Details'!$E:$E,"Yes",'Order Details'!$I:$I,'Item Summary'!$B42,'Order Details'!$F:$F,'Item Summary'!J$4,'Order Details'!$C:$C,"In Production")</f>
        <v>0</v>
      </c>
      <c r="K42" s="275">
        <f>SUMIFS('Order Details'!$Q:$Q,'Order Details'!$E:$E,"Yes",'Order Details'!$I:$I,'Item Summary'!$B42,'Order Details'!$F:$F,'Item Summary'!K$4,'Order Details'!$C:$C,"PO Received")+SUMIFS('Order Details'!$Q:$Q,'Order Details'!$E:$E,"Yes",'Order Details'!$I:$I,'Item Summary'!$B42,'Order Details'!$F:$F,'Item Summary'!K$4,'Order Details'!$C:$C,"Proforma Invoice Sent")+SUMIFS('Order Details'!$Q:$Q,'Order Details'!$E:$E,"Yes",'Order Details'!$I:$I,'Item Summary'!$B42,'Order Details'!$F:$F,'Item Summary'!K$4,'Order Details'!$C:$C,"Downpayment Received")+SUMIFS('Order Details'!$Q:$Q,'Order Details'!$E:$E,"Yes",'Order Details'!$I:$I,'Item Summary'!$B42,'Order Details'!$F:$F,'Item Summary'!K$4,'Order Details'!$C:$C,"In Production")</f>
        <v>0</v>
      </c>
      <c r="L42" s="291">
        <f>SUMIFS('Order Details'!$Q:$Q,'Order Details'!$E:$E,"Yes",'Order Details'!$I:$I,'Item Summary'!$B42,'Order Details'!$F:$F,'Item Summary'!L$4,'Order Details'!$C:$C,"PO Received")+SUMIFS('Order Details'!$Q:$Q,'Order Details'!$E:$E,"Yes",'Order Details'!$I:$I,'Item Summary'!$B42,'Order Details'!$F:$F,'Item Summary'!L$4,'Order Details'!$C:$C,"Proforma Invoice Sent")+SUMIFS('Order Details'!$Q:$Q,'Order Details'!$E:$E,"Yes",'Order Details'!$I:$I,'Item Summary'!$B42,'Order Details'!$F:$F,'Item Summary'!L$4,'Order Details'!$C:$C,"Downpayment Received")+SUMIFS('Order Details'!$Q:$Q,'Order Details'!$E:$E,"Yes",'Order Details'!$I:$I,'Item Summary'!$B42,'Order Details'!$F:$F,'Item Summary'!L$4,'Order Details'!$C:$C,"In Production")</f>
        <v>0</v>
      </c>
      <c r="M42" s="276">
        <f>SUMIFS('Order Details'!$Q:$Q,'Order Details'!$E:$E,"Yes",'Order Details'!$I:$I,'Item Summary'!$B42,'Order Details'!$F:$F,'Item Summary'!M$4,'Order Details'!$C:$C,"PO Received")+SUMIFS('Order Details'!$Q:$Q,'Order Details'!$E:$E,"Yes",'Order Details'!$I:$I,'Item Summary'!$B42,'Order Details'!$F:$F,'Item Summary'!M$4,'Order Details'!$C:$C,"Proforma Invoice Sent")+SUMIFS('Order Details'!$Q:$Q,'Order Details'!$E:$E,"Yes",'Order Details'!$I:$I,'Item Summary'!$B42,'Order Details'!$F:$F,'Item Summary'!M$4,'Order Details'!$C:$C,"Downpayment Received")+SUMIFS('Order Details'!$Q:$Q,'Order Details'!$E:$E,"Yes",'Order Details'!$I:$I,'Item Summary'!$B42,'Order Details'!$F:$F,'Item Summary'!M$4,'Order Details'!$C:$C,"In Production")</f>
        <v>0</v>
      </c>
      <c r="N42" s="279">
        <f t="shared" si="2"/>
        <v>3600</v>
      </c>
      <c r="Q42" s="278">
        <v>694672</v>
      </c>
      <c r="R42" s="274" t="str">
        <f>VLOOKUP($Q42,'Pricing Table - eff 27-Jan-2026'!$A:$L,9,FALSE)&amp;""" "&amp;VLOOKUP($Q42,'Pricing Table - eff 27-Jan-2026'!$A:$L,12,FALSE)</f>
        <v>96" VICTORY RED</v>
      </c>
      <c r="S42" s="275">
        <f>SUMIFS('Order Details'!$Q:$Q,'Order Details'!$E:$E,"Yes",'Order Details'!$I:$I,$Q42,'Order Details'!$F:$F,'Item Summary'!S$4)-D42</f>
        <v>0</v>
      </c>
      <c r="T42" s="275">
        <f>SUMIFS('Order Details'!$Q:$Q,'Order Details'!$E:$E,"Yes",'Order Details'!$I:$I,$Q42,'Order Details'!$F:$F,'Item Summary'!T$4)-E42</f>
        <v>0</v>
      </c>
      <c r="U42" s="275">
        <f>SUMIFS('Order Details'!$Q:$Q,'Order Details'!$E:$E,"Yes",'Order Details'!$I:$I,$Q42,'Order Details'!$F:$F,'Item Summary'!U$4)-F42</f>
        <v>400</v>
      </c>
      <c r="V42" s="275">
        <f>SUMIFS('Order Details'!$Q:$Q,'Order Details'!$E:$E,"Yes",'Order Details'!$I:$I,$Q42,'Order Details'!$F:$F,'Item Summary'!V$4)-G42</f>
        <v>200</v>
      </c>
      <c r="W42" s="275">
        <f>SUMIFS('Order Details'!$Q:$Q,'Order Details'!$E:$E,"Yes",'Order Details'!$I:$I,$Q42,'Order Details'!$F:$F,'Item Summary'!W$4)-H42</f>
        <v>0</v>
      </c>
      <c r="X42" s="275">
        <f>SUMIFS('Order Details'!$Q:$Q,'Order Details'!$E:$E,"Yes",'Order Details'!$I:$I,$Q42,'Order Details'!$F:$F,'Item Summary'!X$4)-I42</f>
        <v>0</v>
      </c>
      <c r="Y42" s="275">
        <f>SUMIFS('Order Details'!$Q:$Q,'Order Details'!$E:$E,"Yes",'Order Details'!$I:$I,$Q42,'Order Details'!$F:$F,'Item Summary'!Y$4)-J42</f>
        <v>0</v>
      </c>
      <c r="Z42" s="275">
        <f>SUMIFS('Order Details'!$Q:$Q,'Order Details'!$E:$E,"Yes",'Order Details'!$I:$I,$Q42,'Order Details'!$F:$F,'Item Summary'!Z$4)-K42</f>
        <v>0</v>
      </c>
      <c r="AA42" s="291">
        <f>SUMIFS('Order Details'!$Q:$Q,'Order Details'!$E:$E,"Yes",'Order Details'!$I:$I,$Q42,'Order Details'!$F:$F,'Item Summary'!AA$4)-L42</f>
        <v>0</v>
      </c>
      <c r="AB42" s="276">
        <f>SUMIFS('Order Details'!$Q:$Q,'Order Details'!$E:$E,"Yes",'Order Details'!$I:$I,$Q42,'Order Details'!$F:$F,'Item Summary'!AB$4)-M42</f>
        <v>0</v>
      </c>
      <c r="AC42" s="279">
        <f t="shared" si="3"/>
        <v>600</v>
      </c>
    </row>
    <row r="43" spans="2:29" x14ac:dyDescent="0.3">
      <c r="B43" s="278">
        <v>694673</v>
      </c>
      <c r="C43" s="274" t="str">
        <f>VLOOKUP($B43,'Pricing Table - eff 27-Jan-2026'!$A:$L,9,FALSE)&amp;""" "&amp;VLOOKUP($B43,'Pricing Table - eff 27-Jan-2026'!$A:$L,12,FALSE)</f>
        <v>108" VICTORY RED</v>
      </c>
      <c r="D43" s="275">
        <f>SUMIFS('Order Details'!$Q:$Q,'Order Details'!$E:$E,"Yes",'Order Details'!$I:$I,'Item Summary'!$B43,'Order Details'!$F:$F,'Item Summary'!D$4,'Order Details'!$C:$C,"PO Received")+SUMIFS('Order Details'!$Q:$Q,'Order Details'!$E:$E,"Yes",'Order Details'!$I:$I,'Item Summary'!$B43,'Order Details'!$F:$F,'Item Summary'!D$4,'Order Details'!$C:$C,"Proforma Invoice Sent")+SUMIFS('Order Details'!$Q:$Q,'Order Details'!$E:$E,"Yes",'Order Details'!$I:$I,'Item Summary'!$B43,'Order Details'!$F:$F,'Item Summary'!D$4,'Order Details'!$C:$C,"Downpayment Received")+SUMIFS('Order Details'!$Q:$Q,'Order Details'!$E:$E,"Yes",'Order Details'!$I:$I,'Item Summary'!$B43,'Order Details'!$F:$F,'Item Summary'!D$4,'Order Details'!$C:$C,"In Production")</f>
        <v>0</v>
      </c>
      <c r="E43" s="275">
        <f>SUMIFS('Order Details'!$Q:$Q,'Order Details'!$E:$E,"Yes",'Order Details'!$I:$I,'Item Summary'!$B43,'Order Details'!$F:$F,'Item Summary'!E$4,'Order Details'!$C:$C,"PO Received")+SUMIFS('Order Details'!$Q:$Q,'Order Details'!$E:$E,"Yes",'Order Details'!$I:$I,'Item Summary'!$B43,'Order Details'!$F:$F,'Item Summary'!E$4,'Order Details'!$C:$C,"Proforma Invoice Sent")+SUMIFS('Order Details'!$Q:$Q,'Order Details'!$E:$E,"Yes",'Order Details'!$I:$I,'Item Summary'!$B43,'Order Details'!$F:$F,'Item Summary'!E$4,'Order Details'!$C:$C,"Downpayment Received")+SUMIFS('Order Details'!$Q:$Q,'Order Details'!$E:$E,"Yes",'Order Details'!$I:$I,'Item Summary'!$B43,'Order Details'!$F:$F,'Item Summary'!E$4,'Order Details'!$C:$C,"In Production")</f>
        <v>0</v>
      </c>
      <c r="F43" s="275">
        <f>SUMIFS('Order Details'!$Q:$Q,'Order Details'!$E:$E,"Yes",'Order Details'!$I:$I,'Item Summary'!$B43,'Order Details'!$F:$F,'Item Summary'!F$4,'Order Details'!$C:$C,"PO Received")+SUMIFS('Order Details'!$Q:$Q,'Order Details'!$E:$E,"Yes",'Order Details'!$I:$I,'Item Summary'!$B43,'Order Details'!$F:$F,'Item Summary'!F$4,'Order Details'!$C:$C,"Proforma Invoice Sent")+SUMIFS('Order Details'!$Q:$Q,'Order Details'!$E:$E,"Yes",'Order Details'!$I:$I,'Item Summary'!$B43,'Order Details'!$F:$F,'Item Summary'!F$4,'Order Details'!$C:$C,"Downpayment Received")+SUMIFS('Order Details'!$Q:$Q,'Order Details'!$E:$E,"Yes",'Order Details'!$I:$I,'Item Summary'!$B43,'Order Details'!$F:$F,'Item Summary'!F$4,'Order Details'!$C:$C,"In Production")</f>
        <v>400</v>
      </c>
      <c r="G43" s="275">
        <f>SUMIFS('Order Details'!$Q:$Q,'Order Details'!$E:$E,"Yes",'Order Details'!$I:$I,'Item Summary'!$B43,'Order Details'!$F:$F,'Item Summary'!G$4,'Order Details'!$C:$C,"PO Received")+SUMIFS('Order Details'!$Q:$Q,'Order Details'!$E:$E,"Yes",'Order Details'!$I:$I,'Item Summary'!$B43,'Order Details'!$F:$F,'Item Summary'!G$4,'Order Details'!$C:$C,"Proforma Invoice Sent")+SUMIFS('Order Details'!$Q:$Q,'Order Details'!$E:$E,"Yes",'Order Details'!$I:$I,'Item Summary'!$B43,'Order Details'!$F:$F,'Item Summary'!G$4,'Order Details'!$C:$C,"Downpayment Received")+SUMIFS('Order Details'!$Q:$Q,'Order Details'!$E:$E,"Yes",'Order Details'!$I:$I,'Item Summary'!$B43,'Order Details'!$F:$F,'Item Summary'!G$4,'Order Details'!$C:$C,"In Production")</f>
        <v>1400</v>
      </c>
      <c r="H43" s="275">
        <f>SUMIFS('Order Details'!$Q:$Q,'Order Details'!$E:$E,"Yes",'Order Details'!$I:$I,'Item Summary'!$B43,'Order Details'!$F:$F,'Item Summary'!H$4,'Order Details'!$C:$C,"PO Received")+SUMIFS('Order Details'!$Q:$Q,'Order Details'!$E:$E,"Yes",'Order Details'!$I:$I,'Item Summary'!$B43,'Order Details'!$F:$F,'Item Summary'!H$4,'Order Details'!$C:$C,"Proforma Invoice Sent")+SUMIFS('Order Details'!$Q:$Q,'Order Details'!$E:$E,"Yes",'Order Details'!$I:$I,'Item Summary'!$B43,'Order Details'!$F:$F,'Item Summary'!H$4,'Order Details'!$C:$C,"Downpayment Received")+SUMIFS('Order Details'!$Q:$Q,'Order Details'!$E:$E,"Yes",'Order Details'!$I:$I,'Item Summary'!$B43,'Order Details'!$F:$F,'Item Summary'!H$4,'Order Details'!$C:$C,"In Production")</f>
        <v>2000</v>
      </c>
      <c r="I43" s="275">
        <f>SUMIFS('Order Details'!$Q:$Q,'Order Details'!$E:$E,"Yes",'Order Details'!$I:$I,'Item Summary'!$B43,'Order Details'!$F:$F,'Item Summary'!I$4,'Order Details'!$C:$C,"PO Received")+SUMIFS('Order Details'!$Q:$Q,'Order Details'!$E:$E,"Yes",'Order Details'!$I:$I,'Item Summary'!$B43,'Order Details'!$F:$F,'Item Summary'!I$4,'Order Details'!$C:$C,"Proforma Invoice Sent")+SUMIFS('Order Details'!$Q:$Q,'Order Details'!$E:$E,"Yes",'Order Details'!$I:$I,'Item Summary'!$B43,'Order Details'!$F:$F,'Item Summary'!I$4,'Order Details'!$C:$C,"Downpayment Received")+SUMIFS('Order Details'!$Q:$Q,'Order Details'!$E:$E,"Yes",'Order Details'!$I:$I,'Item Summary'!$B43,'Order Details'!$F:$F,'Item Summary'!I$4,'Order Details'!$C:$C,"In Production")</f>
        <v>0</v>
      </c>
      <c r="J43" s="275">
        <f>SUMIFS('Order Details'!$Q:$Q,'Order Details'!$E:$E,"Yes",'Order Details'!$I:$I,'Item Summary'!$B43,'Order Details'!$F:$F,'Item Summary'!J$4,'Order Details'!$C:$C,"PO Received")+SUMIFS('Order Details'!$Q:$Q,'Order Details'!$E:$E,"Yes",'Order Details'!$I:$I,'Item Summary'!$B43,'Order Details'!$F:$F,'Item Summary'!J$4,'Order Details'!$C:$C,"Proforma Invoice Sent")+SUMIFS('Order Details'!$Q:$Q,'Order Details'!$E:$E,"Yes",'Order Details'!$I:$I,'Item Summary'!$B43,'Order Details'!$F:$F,'Item Summary'!J$4,'Order Details'!$C:$C,"Downpayment Received")+SUMIFS('Order Details'!$Q:$Q,'Order Details'!$E:$E,"Yes",'Order Details'!$I:$I,'Item Summary'!$B43,'Order Details'!$F:$F,'Item Summary'!J$4,'Order Details'!$C:$C,"In Production")</f>
        <v>0</v>
      </c>
      <c r="K43" s="275">
        <f>SUMIFS('Order Details'!$Q:$Q,'Order Details'!$E:$E,"Yes",'Order Details'!$I:$I,'Item Summary'!$B43,'Order Details'!$F:$F,'Item Summary'!K$4,'Order Details'!$C:$C,"PO Received")+SUMIFS('Order Details'!$Q:$Q,'Order Details'!$E:$E,"Yes",'Order Details'!$I:$I,'Item Summary'!$B43,'Order Details'!$F:$F,'Item Summary'!K$4,'Order Details'!$C:$C,"Proforma Invoice Sent")+SUMIFS('Order Details'!$Q:$Q,'Order Details'!$E:$E,"Yes",'Order Details'!$I:$I,'Item Summary'!$B43,'Order Details'!$F:$F,'Item Summary'!K$4,'Order Details'!$C:$C,"Downpayment Received")+SUMIFS('Order Details'!$Q:$Q,'Order Details'!$E:$E,"Yes",'Order Details'!$I:$I,'Item Summary'!$B43,'Order Details'!$F:$F,'Item Summary'!K$4,'Order Details'!$C:$C,"In Production")</f>
        <v>0</v>
      </c>
      <c r="L43" s="291">
        <f>SUMIFS('Order Details'!$Q:$Q,'Order Details'!$E:$E,"Yes",'Order Details'!$I:$I,'Item Summary'!$B43,'Order Details'!$F:$F,'Item Summary'!L$4,'Order Details'!$C:$C,"PO Received")+SUMIFS('Order Details'!$Q:$Q,'Order Details'!$E:$E,"Yes",'Order Details'!$I:$I,'Item Summary'!$B43,'Order Details'!$F:$F,'Item Summary'!L$4,'Order Details'!$C:$C,"Proforma Invoice Sent")+SUMIFS('Order Details'!$Q:$Q,'Order Details'!$E:$E,"Yes",'Order Details'!$I:$I,'Item Summary'!$B43,'Order Details'!$F:$F,'Item Summary'!L$4,'Order Details'!$C:$C,"Downpayment Received")+SUMIFS('Order Details'!$Q:$Q,'Order Details'!$E:$E,"Yes",'Order Details'!$I:$I,'Item Summary'!$B43,'Order Details'!$F:$F,'Item Summary'!L$4,'Order Details'!$C:$C,"In Production")</f>
        <v>0</v>
      </c>
      <c r="M43" s="276">
        <f>SUMIFS('Order Details'!$Q:$Q,'Order Details'!$E:$E,"Yes",'Order Details'!$I:$I,'Item Summary'!$B43,'Order Details'!$F:$F,'Item Summary'!M$4,'Order Details'!$C:$C,"PO Received")+SUMIFS('Order Details'!$Q:$Q,'Order Details'!$E:$E,"Yes",'Order Details'!$I:$I,'Item Summary'!$B43,'Order Details'!$F:$F,'Item Summary'!M$4,'Order Details'!$C:$C,"Proforma Invoice Sent")+SUMIFS('Order Details'!$Q:$Q,'Order Details'!$E:$E,"Yes",'Order Details'!$I:$I,'Item Summary'!$B43,'Order Details'!$F:$F,'Item Summary'!M$4,'Order Details'!$C:$C,"Downpayment Received")+SUMIFS('Order Details'!$Q:$Q,'Order Details'!$E:$E,"Yes",'Order Details'!$I:$I,'Item Summary'!$B43,'Order Details'!$F:$F,'Item Summary'!M$4,'Order Details'!$C:$C,"In Production")</f>
        <v>0</v>
      </c>
      <c r="N43" s="279">
        <f t="shared" si="2"/>
        <v>3800</v>
      </c>
      <c r="Q43" s="278">
        <v>694673</v>
      </c>
      <c r="R43" s="274" t="str">
        <f>VLOOKUP($Q43,'Pricing Table - eff 27-Jan-2026'!$A:$L,9,FALSE)&amp;""" "&amp;VLOOKUP($Q43,'Pricing Table - eff 27-Jan-2026'!$A:$L,12,FALSE)</f>
        <v>108" VICTORY RED</v>
      </c>
      <c r="S43" s="275">
        <f>SUMIFS('Order Details'!$Q:$Q,'Order Details'!$E:$E,"Yes",'Order Details'!$I:$I,$Q43,'Order Details'!$F:$F,'Item Summary'!S$4)-D43</f>
        <v>0</v>
      </c>
      <c r="T43" s="275">
        <f>SUMIFS('Order Details'!$Q:$Q,'Order Details'!$E:$E,"Yes",'Order Details'!$I:$I,$Q43,'Order Details'!$F:$F,'Item Summary'!T$4)-E43</f>
        <v>0</v>
      </c>
      <c r="U43" s="275">
        <f>SUMIFS('Order Details'!$Q:$Q,'Order Details'!$E:$E,"Yes",'Order Details'!$I:$I,$Q43,'Order Details'!$F:$F,'Item Summary'!U$4)-F43</f>
        <v>400</v>
      </c>
      <c r="V43" s="275">
        <f>SUMIFS('Order Details'!$Q:$Q,'Order Details'!$E:$E,"Yes",'Order Details'!$I:$I,$Q43,'Order Details'!$F:$F,'Item Summary'!V$4)-G43</f>
        <v>0</v>
      </c>
      <c r="W43" s="275">
        <f>SUMIFS('Order Details'!$Q:$Q,'Order Details'!$E:$E,"Yes",'Order Details'!$I:$I,$Q43,'Order Details'!$F:$F,'Item Summary'!W$4)-H43</f>
        <v>0</v>
      </c>
      <c r="X43" s="275">
        <f>SUMIFS('Order Details'!$Q:$Q,'Order Details'!$E:$E,"Yes",'Order Details'!$I:$I,$Q43,'Order Details'!$F:$F,'Item Summary'!X$4)-I43</f>
        <v>0</v>
      </c>
      <c r="Y43" s="275">
        <f>SUMIFS('Order Details'!$Q:$Q,'Order Details'!$E:$E,"Yes",'Order Details'!$I:$I,$Q43,'Order Details'!$F:$F,'Item Summary'!Y$4)-J43</f>
        <v>0</v>
      </c>
      <c r="Z43" s="275">
        <f>SUMIFS('Order Details'!$Q:$Q,'Order Details'!$E:$E,"Yes",'Order Details'!$I:$I,$Q43,'Order Details'!$F:$F,'Item Summary'!Z$4)-K43</f>
        <v>0</v>
      </c>
      <c r="AA43" s="291">
        <f>SUMIFS('Order Details'!$Q:$Q,'Order Details'!$E:$E,"Yes",'Order Details'!$I:$I,$Q43,'Order Details'!$F:$F,'Item Summary'!AA$4)-L43</f>
        <v>0</v>
      </c>
      <c r="AB43" s="276">
        <f>SUMIFS('Order Details'!$Q:$Q,'Order Details'!$E:$E,"Yes",'Order Details'!$I:$I,$Q43,'Order Details'!$F:$F,'Item Summary'!AB$4)-M43</f>
        <v>0</v>
      </c>
      <c r="AC43" s="279">
        <f t="shared" si="3"/>
        <v>400</v>
      </c>
    </row>
    <row r="44" spans="2:29" x14ac:dyDescent="0.3">
      <c r="B44" s="278">
        <v>694674</v>
      </c>
      <c r="C44" s="274" t="str">
        <f>VLOOKUP($B44,'Pricing Table - eff 27-Jan-2026'!$A:$L,9,FALSE)&amp;""" "&amp;VLOOKUP($B44,'Pricing Table - eff 27-Jan-2026'!$A:$L,12,FALSE)</f>
        <v>144" VICTORY RED</v>
      </c>
      <c r="D44" s="275">
        <f>SUMIFS('Order Details'!$Q:$Q,'Order Details'!$E:$E,"Yes",'Order Details'!$I:$I,'Item Summary'!$B44,'Order Details'!$F:$F,'Item Summary'!D$4,'Order Details'!$C:$C,"PO Received")+SUMIFS('Order Details'!$Q:$Q,'Order Details'!$E:$E,"Yes",'Order Details'!$I:$I,'Item Summary'!$B44,'Order Details'!$F:$F,'Item Summary'!D$4,'Order Details'!$C:$C,"Proforma Invoice Sent")+SUMIFS('Order Details'!$Q:$Q,'Order Details'!$E:$E,"Yes",'Order Details'!$I:$I,'Item Summary'!$B44,'Order Details'!$F:$F,'Item Summary'!D$4,'Order Details'!$C:$C,"Downpayment Received")+SUMIFS('Order Details'!$Q:$Q,'Order Details'!$E:$E,"Yes",'Order Details'!$I:$I,'Item Summary'!$B44,'Order Details'!$F:$F,'Item Summary'!D$4,'Order Details'!$C:$C,"In Production")</f>
        <v>0</v>
      </c>
      <c r="E44" s="275">
        <f>SUMIFS('Order Details'!$Q:$Q,'Order Details'!$E:$E,"Yes",'Order Details'!$I:$I,'Item Summary'!$B44,'Order Details'!$F:$F,'Item Summary'!E$4,'Order Details'!$C:$C,"PO Received")+SUMIFS('Order Details'!$Q:$Q,'Order Details'!$E:$E,"Yes",'Order Details'!$I:$I,'Item Summary'!$B44,'Order Details'!$F:$F,'Item Summary'!E$4,'Order Details'!$C:$C,"Proforma Invoice Sent")+SUMIFS('Order Details'!$Q:$Q,'Order Details'!$E:$E,"Yes",'Order Details'!$I:$I,'Item Summary'!$B44,'Order Details'!$F:$F,'Item Summary'!E$4,'Order Details'!$C:$C,"Downpayment Received")+SUMIFS('Order Details'!$Q:$Q,'Order Details'!$E:$E,"Yes",'Order Details'!$I:$I,'Item Summary'!$B44,'Order Details'!$F:$F,'Item Summary'!E$4,'Order Details'!$C:$C,"In Production")</f>
        <v>0</v>
      </c>
      <c r="F44" s="275">
        <f>SUMIFS('Order Details'!$Q:$Q,'Order Details'!$E:$E,"Yes",'Order Details'!$I:$I,'Item Summary'!$B44,'Order Details'!$F:$F,'Item Summary'!F$4,'Order Details'!$C:$C,"PO Received")+SUMIFS('Order Details'!$Q:$Q,'Order Details'!$E:$E,"Yes",'Order Details'!$I:$I,'Item Summary'!$B44,'Order Details'!$F:$F,'Item Summary'!F$4,'Order Details'!$C:$C,"Proforma Invoice Sent")+SUMIFS('Order Details'!$Q:$Q,'Order Details'!$E:$E,"Yes",'Order Details'!$I:$I,'Item Summary'!$B44,'Order Details'!$F:$F,'Item Summary'!F$4,'Order Details'!$C:$C,"Downpayment Received")+SUMIFS('Order Details'!$Q:$Q,'Order Details'!$E:$E,"Yes",'Order Details'!$I:$I,'Item Summary'!$B44,'Order Details'!$F:$F,'Item Summary'!F$4,'Order Details'!$C:$C,"In Production")</f>
        <v>0</v>
      </c>
      <c r="G44" s="275">
        <f>SUMIFS('Order Details'!$Q:$Q,'Order Details'!$E:$E,"Yes",'Order Details'!$I:$I,'Item Summary'!$B44,'Order Details'!$F:$F,'Item Summary'!G$4,'Order Details'!$C:$C,"PO Received")+SUMIFS('Order Details'!$Q:$Q,'Order Details'!$E:$E,"Yes",'Order Details'!$I:$I,'Item Summary'!$B44,'Order Details'!$F:$F,'Item Summary'!G$4,'Order Details'!$C:$C,"Proforma Invoice Sent")+SUMIFS('Order Details'!$Q:$Q,'Order Details'!$E:$E,"Yes",'Order Details'!$I:$I,'Item Summary'!$B44,'Order Details'!$F:$F,'Item Summary'!G$4,'Order Details'!$C:$C,"Downpayment Received")+SUMIFS('Order Details'!$Q:$Q,'Order Details'!$E:$E,"Yes",'Order Details'!$I:$I,'Item Summary'!$B44,'Order Details'!$F:$F,'Item Summary'!G$4,'Order Details'!$C:$C,"In Production")</f>
        <v>200</v>
      </c>
      <c r="H44" s="275">
        <f>SUMIFS('Order Details'!$Q:$Q,'Order Details'!$E:$E,"Yes",'Order Details'!$I:$I,'Item Summary'!$B44,'Order Details'!$F:$F,'Item Summary'!H$4,'Order Details'!$C:$C,"PO Received")+SUMIFS('Order Details'!$Q:$Q,'Order Details'!$E:$E,"Yes",'Order Details'!$I:$I,'Item Summary'!$B44,'Order Details'!$F:$F,'Item Summary'!H$4,'Order Details'!$C:$C,"Proforma Invoice Sent")+SUMIFS('Order Details'!$Q:$Q,'Order Details'!$E:$E,"Yes",'Order Details'!$I:$I,'Item Summary'!$B44,'Order Details'!$F:$F,'Item Summary'!H$4,'Order Details'!$C:$C,"Downpayment Received")+SUMIFS('Order Details'!$Q:$Q,'Order Details'!$E:$E,"Yes",'Order Details'!$I:$I,'Item Summary'!$B44,'Order Details'!$F:$F,'Item Summary'!H$4,'Order Details'!$C:$C,"In Production")</f>
        <v>0</v>
      </c>
      <c r="I44" s="275">
        <f>SUMIFS('Order Details'!$Q:$Q,'Order Details'!$E:$E,"Yes",'Order Details'!$I:$I,'Item Summary'!$B44,'Order Details'!$F:$F,'Item Summary'!I$4,'Order Details'!$C:$C,"PO Received")+SUMIFS('Order Details'!$Q:$Q,'Order Details'!$E:$E,"Yes",'Order Details'!$I:$I,'Item Summary'!$B44,'Order Details'!$F:$F,'Item Summary'!I$4,'Order Details'!$C:$C,"Proforma Invoice Sent")+SUMIFS('Order Details'!$Q:$Q,'Order Details'!$E:$E,"Yes",'Order Details'!$I:$I,'Item Summary'!$B44,'Order Details'!$F:$F,'Item Summary'!I$4,'Order Details'!$C:$C,"Downpayment Received")+SUMIFS('Order Details'!$Q:$Q,'Order Details'!$E:$E,"Yes",'Order Details'!$I:$I,'Item Summary'!$B44,'Order Details'!$F:$F,'Item Summary'!I$4,'Order Details'!$C:$C,"In Production")</f>
        <v>0</v>
      </c>
      <c r="J44" s="275">
        <f>SUMIFS('Order Details'!$Q:$Q,'Order Details'!$E:$E,"Yes",'Order Details'!$I:$I,'Item Summary'!$B44,'Order Details'!$F:$F,'Item Summary'!J$4,'Order Details'!$C:$C,"PO Received")+SUMIFS('Order Details'!$Q:$Q,'Order Details'!$E:$E,"Yes",'Order Details'!$I:$I,'Item Summary'!$B44,'Order Details'!$F:$F,'Item Summary'!J$4,'Order Details'!$C:$C,"Proforma Invoice Sent")+SUMIFS('Order Details'!$Q:$Q,'Order Details'!$E:$E,"Yes",'Order Details'!$I:$I,'Item Summary'!$B44,'Order Details'!$F:$F,'Item Summary'!J$4,'Order Details'!$C:$C,"Downpayment Received")+SUMIFS('Order Details'!$Q:$Q,'Order Details'!$E:$E,"Yes",'Order Details'!$I:$I,'Item Summary'!$B44,'Order Details'!$F:$F,'Item Summary'!J$4,'Order Details'!$C:$C,"In Production")</f>
        <v>0</v>
      </c>
      <c r="K44" s="275">
        <f>SUMIFS('Order Details'!$Q:$Q,'Order Details'!$E:$E,"Yes",'Order Details'!$I:$I,'Item Summary'!$B44,'Order Details'!$F:$F,'Item Summary'!K$4,'Order Details'!$C:$C,"PO Received")+SUMIFS('Order Details'!$Q:$Q,'Order Details'!$E:$E,"Yes",'Order Details'!$I:$I,'Item Summary'!$B44,'Order Details'!$F:$F,'Item Summary'!K$4,'Order Details'!$C:$C,"Proforma Invoice Sent")+SUMIFS('Order Details'!$Q:$Q,'Order Details'!$E:$E,"Yes",'Order Details'!$I:$I,'Item Summary'!$B44,'Order Details'!$F:$F,'Item Summary'!K$4,'Order Details'!$C:$C,"Downpayment Received")+SUMIFS('Order Details'!$Q:$Q,'Order Details'!$E:$E,"Yes",'Order Details'!$I:$I,'Item Summary'!$B44,'Order Details'!$F:$F,'Item Summary'!K$4,'Order Details'!$C:$C,"In Production")</f>
        <v>0</v>
      </c>
      <c r="L44" s="291">
        <f>SUMIFS('Order Details'!$Q:$Q,'Order Details'!$E:$E,"Yes",'Order Details'!$I:$I,'Item Summary'!$B44,'Order Details'!$F:$F,'Item Summary'!L$4,'Order Details'!$C:$C,"PO Received")+SUMIFS('Order Details'!$Q:$Q,'Order Details'!$E:$E,"Yes",'Order Details'!$I:$I,'Item Summary'!$B44,'Order Details'!$F:$F,'Item Summary'!L$4,'Order Details'!$C:$C,"Proforma Invoice Sent")+SUMIFS('Order Details'!$Q:$Q,'Order Details'!$E:$E,"Yes",'Order Details'!$I:$I,'Item Summary'!$B44,'Order Details'!$F:$F,'Item Summary'!L$4,'Order Details'!$C:$C,"Downpayment Received")+SUMIFS('Order Details'!$Q:$Q,'Order Details'!$E:$E,"Yes",'Order Details'!$I:$I,'Item Summary'!$B44,'Order Details'!$F:$F,'Item Summary'!L$4,'Order Details'!$C:$C,"In Production")</f>
        <v>0</v>
      </c>
      <c r="M44" s="276">
        <f>SUMIFS('Order Details'!$Q:$Q,'Order Details'!$E:$E,"Yes",'Order Details'!$I:$I,'Item Summary'!$B44,'Order Details'!$F:$F,'Item Summary'!M$4,'Order Details'!$C:$C,"PO Received")+SUMIFS('Order Details'!$Q:$Q,'Order Details'!$E:$E,"Yes",'Order Details'!$I:$I,'Item Summary'!$B44,'Order Details'!$F:$F,'Item Summary'!M$4,'Order Details'!$C:$C,"Proforma Invoice Sent")+SUMIFS('Order Details'!$Q:$Q,'Order Details'!$E:$E,"Yes",'Order Details'!$I:$I,'Item Summary'!$B44,'Order Details'!$F:$F,'Item Summary'!M$4,'Order Details'!$C:$C,"Downpayment Received")+SUMIFS('Order Details'!$Q:$Q,'Order Details'!$E:$E,"Yes",'Order Details'!$I:$I,'Item Summary'!$B44,'Order Details'!$F:$F,'Item Summary'!M$4,'Order Details'!$C:$C,"In Production")</f>
        <v>0</v>
      </c>
      <c r="N44" s="279">
        <f t="shared" si="2"/>
        <v>200</v>
      </c>
      <c r="Q44" s="278">
        <v>694674</v>
      </c>
      <c r="R44" s="274" t="str">
        <f>VLOOKUP($Q44,'Pricing Table - eff 27-Jan-2026'!$A:$L,9,FALSE)&amp;""" "&amp;VLOOKUP($Q44,'Pricing Table - eff 27-Jan-2026'!$A:$L,12,FALSE)</f>
        <v>144" VICTORY RED</v>
      </c>
      <c r="S44" s="275">
        <f>SUMIFS('Order Details'!$Q:$Q,'Order Details'!$E:$E,"Yes",'Order Details'!$I:$I,$Q44,'Order Details'!$F:$F,'Item Summary'!S$4)-D44</f>
        <v>0</v>
      </c>
      <c r="T44" s="275">
        <f>SUMIFS('Order Details'!$Q:$Q,'Order Details'!$E:$E,"Yes",'Order Details'!$I:$I,$Q44,'Order Details'!$F:$F,'Item Summary'!T$4)-E44</f>
        <v>0</v>
      </c>
      <c r="U44" s="275">
        <f>SUMIFS('Order Details'!$Q:$Q,'Order Details'!$E:$E,"Yes",'Order Details'!$I:$I,$Q44,'Order Details'!$F:$F,'Item Summary'!U$4)-F44</f>
        <v>0</v>
      </c>
      <c r="V44" s="275">
        <f>SUMIFS('Order Details'!$Q:$Q,'Order Details'!$E:$E,"Yes",'Order Details'!$I:$I,$Q44,'Order Details'!$F:$F,'Item Summary'!V$4)-G44</f>
        <v>0</v>
      </c>
      <c r="W44" s="275">
        <f>SUMIFS('Order Details'!$Q:$Q,'Order Details'!$E:$E,"Yes",'Order Details'!$I:$I,$Q44,'Order Details'!$F:$F,'Item Summary'!W$4)-H44</f>
        <v>0</v>
      </c>
      <c r="X44" s="275">
        <f>SUMIFS('Order Details'!$Q:$Q,'Order Details'!$E:$E,"Yes",'Order Details'!$I:$I,$Q44,'Order Details'!$F:$F,'Item Summary'!X$4)-I44</f>
        <v>0</v>
      </c>
      <c r="Y44" s="275">
        <f>SUMIFS('Order Details'!$Q:$Q,'Order Details'!$E:$E,"Yes",'Order Details'!$I:$I,$Q44,'Order Details'!$F:$F,'Item Summary'!Y$4)-J44</f>
        <v>0</v>
      </c>
      <c r="Z44" s="275">
        <f>SUMIFS('Order Details'!$Q:$Q,'Order Details'!$E:$E,"Yes",'Order Details'!$I:$I,$Q44,'Order Details'!$F:$F,'Item Summary'!Z$4)-K44</f>
        <v>0</v>
      </c>
      <c r="AA44" s="291">
        <f>SUMIFS('Order Details'!$Q:$Q,'Order Details'!$E:$E,"Yes",'Order Details'!$I:$I,$Q44,'Order Details'!$F:$F,'Item Summary'!AA$4)-L44</f>
        <v>0</v>
      </c>
      <c r="AB44" s="276">
        <f>SUMIFS('Order Details'!$Q:$Q,'Order Details'!$E:$E,"Yes",'Order Details'!$I:$I,$Q44,'Order Details'!$F:$F,'Item Summary'!AB$4)-M44</f>
        <v>0</v>
      </c>
      <c r="AC44" s="279">
        <f t="shared" si="3"/>
        <v>0</v>
      </c>
    </row>
    <row r="45" spans="2:29" x14ac:dyDescent="0.3">
      <c r="B45" s="278">
        <v>695165</v>
      </c>
      <c r="C45" s="274" t="str">
        <f>VLOOKUP($B45,'Pricing Table - eff 27-Jan-2026'!$A:$L,9,FALSE)&amp;""" "&amp;VLOOKUP($B45,'Pricing Table - eff 27-Jan-2026'!$A:$L,12,FALSE)</f>
        <v>96" PEWTER</v>
      </c>
      <c r="D45" s="275">
        <f>SUMIFS('Order Details'!$Q:$Q,'Order Details'!$E:$E,"Yes",'Order Details'!$I:$I,'Item Summary'!$B45,'Order Details'!$F:$F,'Item Summary'!D$4,'Order Details'!$C:$C,"PO Received")+SUMIFS('Order Details'!$Q:$Q,'Order Details'!$E:$E,"Yes",'Order Details'!$I:$I,'Item Summary'!$B45,'Order Details'!$F:$F,'Item Summary'!D$4,'Order Details'!$C:$C,"Proforma Invoice Sent")+SUMIFS('Order Details'!$Q:$Q,'Order Details'!$E:$E,"Yes",'Order Details'!$I:$I,'Item Summary'!$B45,'Order Details'!$F:$F,'Item Summary'!D$4,'Order Details'!$C:$C,"Downpayment Received")+SUMIFS('Order Details'!$Q:$Q,'Order Details'!$E:$E,"Yes",'Order Details'!$I:$I,'Item Summary'!$B45,'Order Details'!$F:$F,'Item Summary'!D$4,'Order Details'!$C:$C,"In Production")</f>
        <v>0</v>
      </c>
      <c r="E45" s="275">
        <f>SUMIFS('Order Details'!$Q:$Q,'Order Details'!$E:$E,"Yes",'Order Details'!$I:$I,'Item Summary'!$B45,'Order Details'!$F:$F,'Item Summary'!E$4,'Order Details'!$C:$C,"PO Received")+SUMIFS('Order Details'!$Q:$Q,'Order Details'!$E:$E,"Yes",'Order Details'!$I:$I,'Item Summary'!$B45,'Order Details'!$F:$F,'Item Summary'!E$4,'Order Details'!$C:$C,"Proforma Invoice Sent")+SUMIFS('Order Details'!$Q:$Q,'Order Details'!$E:$E,"Yes",'Order Details'!$I:$I,'Item Summary'!$B45,'Order Details'!$F:$F,'Item Summary'!E$4,'Order Details'!$C:$C,"Downpayment Received")+SUMIFS('Order Details'!$Q:$Q,'Order Details'!$E:$E,"Yes",'Order Details'!$I:$I,'Item Summary'!$B45,'Order Details'!$F:$F,'Item Summary'!E$4,'Order Details'!$C:$C,"In Production")</f>
        <v>0</v>
      </c>
      <c r="F45" s="275">
        <f>SUMIFS('Order Details'!$Q:$Q,'Order Details'!$E:$E,"Yes",'Order Details'!$I:$I,'Item Summary'!$B45,'Order Details'!$F:$F,'Item Summary'!F$4,'Order Details'!$C:$C,"PO Received")+SUMIFS('Order Details'!$Q:$Q,'Order Details'!$E:$E,"Yes",'Order Details'!$I:$I,'Item Summary'!$B45,'Order Details'!$F:$F,'Item Summary'!F$4,'Order Details'!$C:$C,"Proforma Invoice Sent")+SUMIFS('Order Details'!$Q:$Q,'Order Details'!$E:$E,"Yes",'Order Details'!$I:$I,'Item Summary'!$B45,'Order Details'!$F:$F,'Item Summary'!F$4,'Order Details'!$C:$C,"Downpayment Received")+SUMIFS('Order Details'!$Q:$Q,'Order Details'!$E:$E,"Yes",'Order Details'!$I:$I,'Item Summary'!$B45,'Order Details'!$F:$F,'Item Summary'!F$4,'Order Details'!$C:$C,"In Production")</f>
        <v>0</v>
      </c>
      <c r="G45" s="275">
        <f>SUMIFS('Order Details'!$Q:$Q,'Order Details'!$E:$E,"Yes",'Order Details'!$I:$I,'Item Summary'!$B45,'Order Details'!$F:$F,'Item Summary'!G$4,'Order Details'!$C:$C,"PO Received")+SUMIFS('Order Details'!$Q:$Q,'Order Details'!$E:$E,"Yes",'Order Details'!$I:$I,'Item Summary'!$B45,'Order Details'!$F:$F,'Item Summary'!G$4,'Order Details'!$C:$C,"Proforma Invoice Sent")+SUMIFS('Order Details'!$Q:$Q,'Order Details'!$E:$E,"Yes",'Order Details'!$I:$I,'Item Summary'!$B45,'Order Details'!$F:$F,'Item Summary'!G$4,'Order Details'!$C:$C,"Downpayment Received")+SUMIFS('Order Details'!$Q:$Q,'Order Details'!$E:$E,"Yes",'Order Details'!$I:$I,'Item Summary'!$B45,'Order Details'!$F:$F,'Item Summary'!G$4,'Order Details'!$C:$C,"In Production")</f>
        <v>0</v>
      </c>
      <c r="H45" s="275">
        <f>SUMIFS('Order Details'!$Q:$Q,'Order Details'!$E:$E,"Yes",'Order Details'!$I:$I,'Item Summary'!$B45,'Order Details'!$F:$F,'Item Summary'!H$4,'Order Details'!$C:$C,"PO Received")+SUMIFS('Order Details'!$Q:$Q,'Order Details'!$E:$E,"Yes",'Order Details'!$I:$I,'Item Summary'!$B45,'Order Details'!$F:$F,'Item Summary'!H$4,'Order Details'!$C:$C,"Proforma Invoice Sent")+SUMIFS('Order Details'!$Q:$Q,'Order Details'!$E:$E,"Yes",'Order Details'!$I:$I,'Item Summary'!$B45,'Order Details'!$F:$F,'Item Summary'!H$4,'Order Details'!$C:$C,"Downpayment Received")+SUMIFS('Order Details'!$Q:$Q,'Order Details'!$E:$E,"Yes",'Order Details'!$I:$I,'Item Summary'!$B45,'Order Details'!$F:$F,'Item Summary'!H$4,'Order Details'!$C:$C,"In Production")</f>
        <v>0</v>
      </c>
      <c r="I45" s="275">
        <f>SUMIFS('Order Details'!$Q:$Q,'Order Details'!$E:$E,"Yes",'Order Details'!$I:$I,'Item Summary'!$B45,'Order Details'!$F:$F,'Item Summary'!I$4,'Order Details'!$C:$C,"PO Received")+SUMIFS('Order Details'!$Q:$Q,'Order Details'!$E:$E,"Yes",'Order Details'!$I:$I,'Item Summary'!$B45,'Order Details'!$F:$F,'Item Summary'!I$4,'Order Details'!$C:$C,"Proforma Invoice Sent")+SUMIFS('Order Details'!$Q:$Q,'Order Details'!$E:$E,"Yes",'Order Details'!$I:$I,'Item Summary'!$B45,'Order Details'!$F:$F,'Item Summary'!I$4,'Order Details'!$C:$C,"Downpayment Received")+SUMIFS('Order Details'!$Q:$Q,'Order Details'!$E:$E,"Yes",'Order Details'!$I:$I,'Item Summary'!$B45,'Order Details'!$F:$F,'Item Summary'!I$4,'Order Details'!$C:$C,"In Production")</f>
        <v>0</v>
      </c>
      <c r="J45" s="275">
        <f>SUMIFS('Order Details'!$Q:$Q,'Order Details'!$E:$E,"Yes",'Order Details'!$I:$I,'Item Summary'!$B45,'Order Details'!$F:$F,'Item Summary'!J$4,'Order Details'!$C:$C,"PO Received")+SUMIFS('Order Details'!$Q:$Q,'Order Details'!$E:$E,"Yes",'Order Details'!$I:$I,'Item Summary'!$B45,'Order Details'!$F:$F,'Item Summary'!J$4,'Order Details'!$C:$C,"Proforma Invoice Sent")+SUMIFS('Order Details'!$Q:$Q,'Order Details'!$E:$E,"Yes",'Order Details'!$I:$I,'Item Summary'!$B45,'Order Details'!$F:$F,'Item Summary'!J$4,'Order Details'!$C:$C,"Downpayment Received")+SUMIFS('Order Details'!$Q:$Q,'Order Details'!$E:$E,"Yes",'Order Details'!$I:$I,'Item Summary'!$B45,'Order Details'!$F:$F,'Item Summary'!J$4,'Order Details'!$C:$C,"In Production")</f>
        <v>0</v>
      </c>
      <c r="K45" s="275">
        <f>SUMIFS('Order Details'!$Q:$Q,'Order Details'!$E:$E,"Yes",'Order Details'!$I:$I,'Item Summary'!$B45,'Order Details'!$F:$F,'Item Summary'!K$4,'Order Details'!$C:$C,"PO Received")+SUMIFS('Order Details'!$Q:$Q,'Order Details'!$E:$E,"Yes",'Order Details'!$I:$I,'Item Summary'!$B45,'Order Details'!$F:$F,'Item Summary'!K$4,'Order Details'!$C:$C,"Proforma Invoice Sent")+SUMIFS('Order Details'!$Q:$Q,'Order Details'!$E:$E,"Yes",'Order Details'!$I:$I,'Item Summary'!$B45,'Order Details'!$F:$F,'Item Summary'!K$4,'Order Details'!$C:$C,"Downpayment Received")+SUMIFS('Order Details'!$Q:$Q,'Order Details'!$E:$E,"Yes",'Order Details'!$I:$I,'Item Summary'!$B45,'Order Details'!$F:$F,'Item Summary'!K$4,'Order Details'!$C:$C,"In Production")</f>
        <v>0</v>
      </c>
      <c r="L45" s="291">
        <f>SUMIFS('Order Details'!$Q:$Q,'Order Details'!$E:$E,"Yes",'Order Details'!$I:$I,'Item Summary'!$B45,'Order Details'!$F:$F,'Item Summary'!L$4,'Order Details'!$C:$C,"PO Received")+SUMIFS('Order Details'!$Q:$Q,'Order Details'!$E:$E,"Yes",'Order Details'!$I:$I,'Item Summary'!$B45,'Order Details'!$F:$F,'Item Summary'!L$4,'Order Details'!$C:$C,"Proforma Invoice Sent")+SUMIFS('Order Details'!$Q:$Q,'Order Details'!$E:$E,"Yes",'Order Details'!$I:$I,'Item Summary'!$B45,'Order Details'!$F:$F,'Item Summary'!L$4,'Order Details'!$C:$C,"Downpayment Received")+SUMIFS('Order Details'!$Q:$Q,'Order Details'!$E:$E,"Yes",'Order Details'!$I:$I,'Item Summary'!$B45,'Order Details'!$F:$F,'Item Summary'!L$4,'Order Details'!$C:$C,"In Production")</f>
        <v>0</v>
      </c>
      <c r="M45" s="276">
        <f>SUMIFS('Order Details'!$Q:$Q,'Order Details'!$E:$E,"Yes",'Order Details'!$I:$I,'Item Summary'!$B45,'Order Details'!$F:$F,'Item Summary'!M$4,'Order Details'!$C:$C,"PO Received")+SUMIFS('Order Details'!$Q:$Q,'Order Details'!$E:$E,"Yes",'Order Details'!$I:$I,'Item Summary'!$B45,'Order Details'!$F:$F,'Item Summary'!M$4,'Order Details'!$C:$C,"Proforma Invoice Sent")+SUMIFS('Order Details'!$Q:$Q,'Order Details'!$E:$E,"Yes",'Order Details'!$I:$I,'Item Summary'!$B45,'Order Details'!$F:$F,'Item Summary'!M$4,'Order Details'!$C:$C,"Downpayment Received")+SUMIFS('Order Details'!$Q:$Q,'Order Details'!$E:$E,"Yes",'Order Details'!$I:$I,'Item Summary'!$B45,'Order Details'!$F:$F,'Item Summary'!M$4,'Order Details'!$C:$C,"In Production")</f>
        <v>0</v>
      </c>
      <c r="N45" s="279">
        <f t="shared" si="2"/>
        <v>0</v>
      </c>
      <c r="Q45" s="278">
        <v>695165</v>
      </c>
      <c r="R45" s="274" t="str">
        <f>VLOOKUP($Q45,'Pricing Table - eff 27-Jan-2026'!$A:$L,9,FALSE)&amp;""" "&amp;VLOOKUP($Q45,'Pricing Table - eff 27-Jan-2026'!$A:$L,12,FALSE)</f>
        <v>96" PEWTER</v>
      </c>
      <c r="S45" s="275">
        <f>SUMIFS('Order Details'!$Q:$Q,'Order Details'!$E:$E,"Yes",'Order Details'!$I:$I,$Q45,'Order Details'!$F:$F,'Item Summary'!S$4)-D45</f>
        <v>0</v>
      </c>
      <c r="T45" s="275">
        <f>SUMIFS('Order Details'!$Q:$Q,'Order Details'!$E:$E,"Yes",'Order Details'!$I:$I,$Q45,'Order Details'!$F:$F,'Item Summary'!T$4)-E45</f>
        <v>0</v>
      </c>
      <c r="U45" s="275">
        <f>SUMIFS('Order Details'!$Q:$Q,'Order Details'!$E:$E,"Yes",'Order Details'!$I:$I,$Q45,'Order Details'!$F:$F,'Item Summary'!U$4)-F45</f>
        <v>0</v>
      </c>
      <c r="V45" s="275">
        <f>SUMIFS('Order Details'!$Q:$Q,'Order Details'!$E:$E,"Yes",'Order Details'!$I:$I,$Q45,'Order Details'!$F:$F,'Item Summary'!V$4)-G45</f>
        <v>0</v>
      </c>
      <c r="W45" s="275">
        <f>SUMIFS('Order Details'!$Q:$Q,'Order Details'!$E:$E,"Yes",'Order Details'!$I:$I,$Q45,'Order Details'!$F:$F,'Item Summary'!W$4)-H45</f>
        <v>0</v>
      </c>
      <c r="X45" s="275">
        <f>SUMIFS('Order Details'!$Q:$Q,'Order Details'!$E:$E,"Yes",'Order Details'!$I:$I,$Q45,'Order Details'!$F:$F,'Item Summary'!X$4)-I45</f>
        <v>0</v>
      </c>
      <c r="Y45" s="275">
        <f>SUMIFS('Order Details'!$Q:$Q,'Order Details'!$E:$E,"Yes",'Order Details'!$I:$I,$Q45,'Order Details'!$F:$F,'Item Summary'!Y$4)-J45</f>
        <v>0</v>
      </c>
      <c r="Z45" s="275">
        <f>SUMIFS('Order Details'!$Q:$Q,'Order Details'!$E:$E,"Yes",'Order Details'!$I:$I,$Q45,'Order Details'!$F:$F,'Item Summary'!Z$4)-K45</f>
        <v>0</v>
      </c>
      <c r="AA45" s="291">
        <f>SUMIFS('Order Details'!$Q:$Q,'Order Details'!$E:$E,"Yes",'Order Details'!$I:$I,$Q45,'Order Details'!$F:$F,'Item Summary'!AA$4)-L45</f>
        <v>0</v>
      </c>
      <c r="AB45" s="276">
        <f>SUMIFS('Order Details'!$Q:$Q,'Order Details'!$E:$E,"Yes",'Order Details'!$I:$I,$Q45,'Order Details'!$F:$F,'Item Summary'!AB$4)-M45</f>
        <v>0</v>
      </c>
      <c r="AC45" s="279">
        <f t="shared" si="3"/>
        <v>0</v>
      </c>
    </row>
    <row r="46" spans="2:29" x14ac:dyDescent="0.3">
      <c r="B46" s="278">
        <v>695619</v>
      </c>
      <c r="C46" s="274" t="str">
        <f>VLOOKUP($B46,'Pricing Table - eff 27-Jan-2026'!$A:$L,9,FALSE)&amp;""" "&amp;VLOOKUP($B46,'Pricing Table - eff 27-Jan-2026'!$A:$L,12,FALSE)</f>
        <v>90" INDIGO BLUE</v>
      </c>
      <c r="D46" s="275">
        <f>SUMIFS('Order Details'!$Q:$Q,'Order Details'!$E:$E,"Yes",'Order Details'!$I:$I,'Item Summary'!$B46,'Order Details'!$F:$F,'Item Summary'!D$4,'Order Details'!$C:$C,"PO Received")+SUMIFS('Order Details'!$Q:$Q,'Order Details'!$E:$E,"Yes",'Order Details'!$I:$I,'Item Summary'!$B46,'Order Details'!$F:$F,'Item Summary'!D$4,'Order Details'!$C:$C,"Proforma Invoice Sent")+SUMIFS('Order Details'!$Q:$Q,'Order Details'!$E:$E,"Yes",'Order Details'!$I:$I,'Item Summary'!$B46,'Order Details'!$F:$F,'Item Summary'!D$4,'Order Details'!$C:$C,"Downpayment Received")+SUMIFS('Order Details'!$Q:$Q,'Order Details'!$E:$E,"Yes",'Order Details'!$I:$I,'Item Summary'!$B46,'Order Details'!$F:$F,'Item Summary'!D$4,'Order Details'!$C:$C,"In Production")</f>
        <v>0</v>
      </c>
      <c r="E46" s="275">
        <f>SUMIFS('Order Details'!$Q:$Q,'Order Details'!$E:$E,"Yes",'Order Details'!$I:$I,'Item Summary'!$B46,'Order Details'!$F:$F,'Item Summary'!E$4,'Order Details'!$C:$C,"PO Received")+SUMIFS('Order Details'!$Q:$Q,'Order Details'!$E:$E,"Yes",'Order Details'!$I:$I,'Item Summary'!$B46,'Order Details'!$F:$F,'Item Summary'!E$4,'Order Details'!$C:$C,"Proforma Invoice Sent")+SUMIFS('Order Details'!$Q:$Q,'Order Details'!$E:$E,"Yes",'Order Details'!$I:$I,'Item Summary'!$B46,'Order Details'!$F:$F,'Item Summary'!E$4,'Order Details'!$C:$C,"Downpayment Received")+SUMIFS('Order Details'!$Q:$Q,'Order Details'!$E:$E,"Yes",'Order Details'!$I:$I,'Item Summary'!$B46,'Order Details'!$F:$F,'Item Summary'!E$4,'Order Details'!$C:$C,"In Production")</f>
        <v>0</v>
      </c>
      <c r="F46" s="275">
        <f>SUMIFS('Order Details'!$Q:$Q,'Order Details'!$E:$E,"Yes",'Order Details'!$I:$I,'Item Summary'!$B46,'Order Details'!$F:$F,'Item Summary'!F$4,'Order Details'!$C:$C,"PO Received")+SUMIFS('Order Details'!$Q:$Q,'Order Details'!$E:$E,"Yes",'Order Details'!$I:$I,'Item Summary'!$B46,'Order Details'!$F:$F,'Item Summary'!F$4,'Order Details'!$C:$C,"Proforma Invoice Sent")+SUMIFS('Order Details'!$Q:$Q,'Order Details'!$E:$E,"Yes",'Order Details'!$I:$I,'Item Summary'!$B46,'Order Details'!$F:$F,'Item Summary'!F$4,'Order Details'!$C:$C,"Downpayment Received")+SUMIFS('Order Details'!$Q:$Q,'Order Details'!$E:$E,"Yes",'Order Details'!$I:$I,'Item Summary'!$B46,'Order Details'!$F:$F,'Item Summary'!F$4,'Order Details'!$C:$C,"In Production")</f>
        <v>0</v>
      </c>
      <c r="G46" s="275">
        <f>SUMIFS('Order Details'!$Q:$Q,'Order Details'!$E:$E,"Yes",'Order Details'!$I:$I,'Item Summary'!$B46,'Order Details'!$F:$F,'Item Summary'!G$4,'Order Details'!$C:$C,"PO Received")+SUMIFS('Order Details'!$Q:$Q,'Order Details'!$E:$E,"Yes",'Order Details'!$I:$I,'Item Summary'!$B46,'Order Details'!$F:$F,'Item Summary'!G$4,'Order Details'!$C:$C,"Proforma Invoice Sent")+SUMIFS('Order Details'!$Q:$Q,'Order Details'!$E:$E,"Yes",'Order Details'!$I:$I,'Item Summary'!$B46,'Order Details'!$F:$F,'Item Summary'!G$4,'Order Details'!$C:$C,"Downpayment Received")+SUMIFS('Order Details'!$Q:$Q,'Order Details'!$E:$E,"Yes",'Order Details'!$I:$I,'Item Summary'!$B46,'Order Details'!$F:$F,'Item Summary'!G$4,'Order Details'!$C:$C,"In Production")</f>
        <v>0</v>
      </c>
      <c r="H46" s="275">
        <f>SUMIFS('Order Details'!$Q:$Q,'Order Details'!$E:$E,"Yes",'Order Details'!$I:$I,'Item Summary'!$B46,'Order Details'!$F:$F,'Item Summary'!H$4,'Order Details'!$C:$C,"PO Received")+SUMIFS('Order Details'!$Q:$Q,'Order Details'!$E:$E,"Yes",'Order Details'!$I:$I,'Item Summary'!$B46,'Order Details'!$F:$F,'Item Summary'!H$4,'Order Details'!$C:$C,"Proforma Invoice Sent")+SUMIFS('Order Details'!$Q:$Q,'Order Details'!$E:$E,"Yes",'Order Details'!$I:$I,'Item Summary'!$B46,'Order Details'!$F:$F,'Item Summary'!H$4,'Order Details'!$C:$C,"Downpayment Received")+SUMIFS('Order Details'!$Q:$Q,'Order Details'!$E:$E,"Yes",'Order Details'!$I:$I,'Item Summary'!$B46,'Order Details'!$F:$F,'Item Summary'!H$4,'Order Details'!$C:$C,"In Production")</f>
        <v>0</v>
      </c>
      <c r="I46" s="275">
        <f>SUMIFS('Order Details'!$Q:$Q,'Order Details'!$E:$E,"Yes",'Order Details'!$I:$I,'Item Summary'!$B46,'Order Details'!$F:$F,'Item Summary'!I$4,'Order Details'!$C:$C,"PO Received")+SUMIFS('Order Details'!$Q:$Q,'Order Details'!$E:$E,"Yes",'Order Details'!$I:$I,'Item Summary'!$B46,'Order Details'!$F:$F,'Item Summary'!I$4,'Order Details'!$C:$C,"Proforma Invoice Sent")+SUMIFS('Order Details'!$Q:$Q,'Order Details'!$E:$E,"Yes",'Order Details'!$I:$I,'Item Summary'!$B46,'Order Details'!$F:$F,'Item Summary'!I$4,'Order Details'!$C:$C,"Downpayment Received")+SUMIFS('Order Details'!$Q:$Q,'Order Details'!$E:$E,"Yes",'Order Details'!$I:$I,'Item Summary'!$B46,'Order Details'!$F:$F,'Item Summary'!I$4,'Order Details'!$C:$C,"In Production")</f>
        <v>0</v>
      </c>
      <c r="J46" s="275">
        <f>SUMIFS('Order Details'!$Q:$Q,'Order Details'!$E:$E,"Yes",'Order Details'!$I:$I,'Item Summary'!$B46,'Order Details'!$F:$F,'Item Summary'!J$4,'Order Details'!$C:$C,"PO Received")+SUMIFS('Order Details'!$Q:$Q,'Order Details'!$E:$E,"Yes",'Order Details'!$I:$I,'Item Summary'!$B46,'Order Details'!$F:$F,'Item Summary'!J$4,'Order Details'!$C:$C,"Proforma Invoice Sent")+SUMIFS('Order Details'!$Q:$Q,'Order Details'!$E:$E,"Yes",'Order Details'!$I:$I,'Item Summary'!$B46,'Order Details'!$F:$F,'Item Summary'!J$4,'Order Details'!$C:$C,"Downpayment Received")+SUMIFS('Order Details'!$Q:$Q,'Order Details'!$E:$E,"Yes",'Order Details'!$I:$I,'Item Summary'!$B46,'Order Details'!$F:$F,'Item Summary'!J$4,'Order Details'!$C:$C,"In Production")</f>
        <v>0</v>
      </c>
      <c r="K46" s="275">
        <f>SUMIFS('Order Details'!$Q:$Q,'Order Details'!$E:$E,"Yes",'Order Details'!$I:$I,'Item Summary'!$B46,'Order Details'!$F:$F,'Item Summary'!K$4,'Order Details'!$C:$C,"PO Received")+SUMIFS('Order Details'!$Q:$Q,'Order Details'!$E:$E,"Yes",'Order Details'!$I:$I,'Item Summary'!$B46,'Order Details'!$F:$F,'Item Summary'!K$4,'Order Details'!$C:$C,"Proforma Invoice Sent")+SUMIFS('Order Details'!$Q:$Q,'Order Details'!$E:$E,"Yes",'Order Details'!$I:$I,'Item Summary'!$B46,'Order Details'!$F:$F,'Item Summary'!K$4,'Order Details'!$C:$C,"Downpayment Received")+SUMIFS('Order Details'!$Q:$Q,'Order Details'!$E:$E,"Yes",'Order Details'!$I:$I,'Item Summary'!$B46,'Order Details'!$F:$F,'Item Summary'!K$4,'Order Details'!$C:$C,"In Production")</f>
        <v>0</v>
      </c>
      <c r="L46" s="291">
        <f>SUMIFS('Order Details'!$Q:$Q,'Order Details'!$E:$E,"Yes",'Order Details'!$I:$I,'Item Summary'!$B46,'Order Details'!$F:$F,'Item Summary'!L$4,'Order Details'!$C:$C,"PO Received")+SUMIFS('Order Details'!$Q:$Q,'Order Details'!$E:$E,"Yes",'Order Details'!$I:$I,'Item Summary'!$B46,'Order Details'!$F:$F,'Item Summary'!L$4,'Order Details'!$C:$C,"Proforma Invoice Sent")+SUMIFS('Order Details'!$Q:$Q,'Order Details'!$E:$E,"Yes",'Order Details'!$I:$I,'Item Summary'!$B46,'Order Details'!$F:$F,'Item Summary'!L$4,'Order Details'!$C:$C,"Downpayment Received")+SUMIFS('Order Details'!$Q:$Q,'Order Details'!$E:$E,"Yes",'Order Details'!$I:$I,'Item Summary'!$B46,'Order Details'!$F:$F,'Item Summary'!L$4,'Order Details'!$C:$C,"In Production")</f>
        <v>0</v>
      </c>
      <c r="M46" s="276">
        <f>SUMIFS('Order Details'!$Q:$Q,'Order Details'!$E:$E,"Yes",'Order Details'!$I:$I,'Item Summary'!$B46,'Order Details'!$F:$F,'Item Summary'!M$4,'Order Details'!$C:$C,"PO Received")+SUMIFS('Order Details'!$Q:$Q,'Order Details'!$E:$E,"Yes",'Order Details'!$I:$I,'Item Summary'!$B46,'Order Details'!$F:$F,'Item Summary'!M$4,'Order Details'!$C:$C,"Proforma Invoice Sent")+SUMIFS('Order Details'!$Q:$Q,'Order Details'!$E:$E,"Yes",'Order Details'!$I:$I,'Item Summary'!$B46,'Order Details'!$F:$F,'Item Summary'!M$4,'Order Details'!$C:$C,"Downpayment Received")+SUMIFS('Order Details'!$Q:$Q,'Order Details'!$E:$E,"Yes",'Order Details'!$I:$I,'Item Summary'!$B46,'Order Details'!$F:$F,'Item Summary'!M$4,'Order Details'!$C:$C,"In Production")</f>
        <v>0</v>
      </c>
      <c r="N46" s="279">
        <f t="shared" si="2"/>
        <v>0</v>
      </c>
      <c r="Q46" s="278">
        <v>695619</v>
      </c>
      <c r="R46" s="274" t="str">
        <f>VLOOKUP($Q46,'Pricing Table - eff 27-Jan-2026'!$A:$L,9,FALSE)&amp;""" "&amp;VLOOKUP($Q46,'Pricing Table - eff 27-Jan-2026'!$A:$L,12,FALSE)</f>
        <v>90" INDIGO BLUE</v>
      </c>
      <c r="S46" s="275">
        <f>SUMIFS('Order Details'!$Q:$Q,'Order Details'!$E:$E,"Yes",'Order Details'!$I:$I,$Q46,'Order Details'!$F:$F,'Item Summary'!S$4)-D46</f>
        <v>0</v>
      </c>
      <c r="T46" s="275">
        <f>SUMIFS('Order Details'!$Q:$Q,'Order Details'!$E:$E,"Yes",'Order Details'!$I:$I,$Q46,'Order Details'!$F:$F,'Item Summary'!T$4)-E46</f>
        <v>0</v>
      </c>
      <c r="U46" s="275">
        <f>SUMIFS('Order Details'!$Q:$Q,'Order Details'!$E:$E,"Yes",'Order Details'!$I:$I,$Q46,'Order Details'!$F:$F,'Item Summary'!U$4)-F46</f>
        <v>0</v>
      </c>
      <c r="V46" s="275">
        <f>SUMIFS('Order Details'!$Q:$Q,'Order Details'!$E:$E,"Yes",'Order Details'!$I:$I,$Q46,'Order Details'!$F:$F,'Item Summary'!V$4)-G46</f>
        <v>0</v>
      </c>
      <c r="W46" s="275">
        <f>SUMIFS('Order Details'!$Q:$Q,'Order Details'!$E:$E,"Yes",'Order Details'!$I:$I,$Q46,'Order Details'!$F:$F,'Item Summary'!W$4)-H46</f>
        <v>0</v>
      </c>
      <c r="X46" s="275">
        <f>SUMIFS('Order Details'!$Q:$Q,'Order Details'!$E:$E,"Yes",'Order Details'!$I:$I,$Q46,'Order Details'!$F:$F,'Item Summary'!X$4)-I46</f>
        <v>0</v>
      </c>
      <c r="Y46" s="275">
        <f>SUMIFS('Order Details'!$Q:$Q,'Order Details'!$E:$E,"Yes",'Order Details'!$I:$I,$Q46,'Order Details'!$F:$F,'Item Summary'!Y$4)-J46</f>
        <v>0</v>
      </c>
      <c r="Z46" s="275">
        <f>SUMIFS('Order Details'!$Q:$Q,'Order Details'!$E:$E,"Yes",'Order Details'!$I:$I,$Q46,'Order Details'!$F:$F,'Item Summary'!Z$4)-K46</f>
        <v>0</v>
      </c>
      <c r="AA46" s="291">
        <f>SUMIFS('Order Details'!$Q:$Q,'Order Details'!$E:$E,"Yes",'Order Details'!$I:$I,$Q46,'Order Details'!$F:$F,'Item Summary'!AA$4)-L46</f>
        <v>0</v>
      </c>
      <c r="AB46" s="276">
        <f>SUMIFS('Order Details'!$Q:$Q,'Order Details'!$E:$E,"Yes",'Order Details'!$I:$I,$Q46,'Order Details'!$F:$F,'Item Summary'!AB$4)-M46</f>
        <v>0</v>
      </c>
      <c r="AC46" s="279">
        <f t="shared" si="3"/>
        <v>0</v>
      </c>
    </row>
    <row r="47" spans="2:29" x14ac:dyDescent="0.3">
      <c r="B47" s="278">
        <v>718152</v>
      </c>
      <c r="C47" s="274" t="str">
        <f>VLOOKUP($B47,'Pricing Table - eff 27-Jan-2026'!$A:$L,9,FALSE)&amp;""" "&amp;VLOOKUP($B47,'Pricing Table - eff 27-Jan-2026'!$A:$L,12,FALSE)</f>
        <v>90.5" INDIGO BLUE</v>
      </c>
      <c r="D47" s="275">
        <f>SUMIFS('Order Details'!$Q:$Q,'Order Details'!$E:$E,"Yes",'Order Details'!$I:$I,'Item Summary'!$B47,'Order Details'!$F:$F,'Item Summary'!D$4,'Order Details'!$C:$C,"PO Received")+SUMIFS('Order Details'!$Q:$Q,'Order Details'!$E:$E,"Yes",'Order Details'!$I:$I,'Item Summary'!$B47,'Order Details'!$F:$F,'Item Summary'!D$4,'Order Details'!$C:$C,"Proforma Invoice Sent")+SUMIFS('Order Details'!$Q:$Q,'Order Details'!$E:$E,"Yes",'Order Details'!$I:$I,'Item Summary'!$B47,'Order Details'!$F:$F,'Item Summary'!D$4,'Order Details'!$C:$C,"Downpayment Received")+SUMIFS('Order Details'!$Q:$Q,'Order Details'!$E:$E,"Yes",'Order Details'!$I:$I,'Item Summary'!$B47,'Order Details'!$F:$F,'Item Summary'!D$4,'Order Details'!$C:$C,"In Production")</f>
        <v>0</v>
      </c>
      <c r="E47" s="275">
        <f>SUMIFS('Order Details'!$Q:$Q,'Order Details'!$E:$E,"Yes",'Order Details'!$I:$I,'Item Summary'!$B47,'Order Details'!$F:$F,'Item Summary'!E$4,'Order Details'!$C:$C,"PO Received")+SUMIFS('Order Details'!$Q:$Q,'Order Details'!$E:$E,"Yes",'Order Details'!$I:$I,'Item Summary'!$B47,'Order Details'!$F:$F,'Item Summary'!E$4,'Order Details'!$C:$C,"Proforma Invoice Sent")+SUMIFS('Order Details'!$Q:$Q,'Order Details'!$E:$E,"Yes",'Order Details'!$I:$I,'Item Summary'!$B47,'Order Details'!$F:$F,'Item Summary'!E$4,'Order Details'!$C:$C,"Downpayment Received")+SUMIFS('Order Details'!$Q:$Q,'Order Details'!$E:$E,"Yes",'Order Details'!$I:$I,'Item Summary'!$B47,'Order Details'!$F:$F,'Item Summary'!E$4,'Order Details'!$C:$C,"In Production")</f>
        <v>0</v>
      </c>
      <c r="F47" s="275">
        <f>SUMIFS('Order Details'!$Q:$Q,'Order Details'!$E:$E,"Yes",'Order Details'!$I:$I,'Item Summary'!$B47,'Order Details'!$F:$F,'Item Summary'!F$4,'Order Details'!$C:$C,"PO Received")+SUMIFS('Order Details'!$Q:$Q,'Order Details'!$E:$E,"Yes",'Order Details'!$I:$I,'Item Summary'!$B47,'Order Details'!$F:$F,'Item Summary'!F$4,'Order Details'!$C:$C,"Proforma Invoice Sent")+SUMIFS('Order Details'!$Q:$Q,'Order Details'!$E:$E,"Yes",'Order Details'!$I:$I,'Item Summary'!$B47,'Order Details'!$F:$F,'Item Summary'!F$4,'Order Details'!$C:$C,"Downpayment Received")+SUMIFS('Order Details'!$Q:$Q,'Order Details'!$E:$E,"Yes",'Order Details'!$I:$I,'Item Summary'!$B47,'Order Details'!$F:$F,'Item Summary'!F$4,'Order Details'!$C:$C,"In Production")</f>
        <v>400</v>
      </c>
      <c r="G47" s="275">
        <f>SUMIFS('Order Details'!$Q:$Q,'Order Details'!$E:$E,"Yes",'Order Details'!$I:$I,'Item Summary'!$B47,'Order Details'!$F:$F,'Item Summary'!G$4,'Order Details'!$C:$C,"PO Received")+SUMIFS('Order Details'!$Q:$Q,'Order Details'!$E:$E,"Yes",'Order Details'!$I:$I,'Item Summary'!$B47,'Order Details'!$F:$F,'Item Summary'!G$4,'Order Details'!$C:$C,"Proforma Invoice Sent")+SUMIFS('Order Details'!$Q:$Q,'Order Details'!$E:$E,"Yes",'Order Details'!$I:$I,'Item Summary'!$B47,'Order Details'!$F:$F,'Item Summary'!G$4,'Order Details'!$C:$C,"Downpayment Received")+SUMIFS('Order Details'!$Q:$Q,'Order Details'!$E:$E,"Yes",'Order Details'!$I:$I,'Item Summary'!$B47,'Order Details'!$F:$F,'Item Summary'!G$4,'Order Details'!$C:$C,"In Production")</f>
        <v>400</v>
      </c>
      <c r="H47" s="275">
        <f>SUMIFS('Order Details'!$Q:$Q,'Order Details'!$E:$E,"Yes",'Order Details'!$I:$I,'Item Summary'!$B47,'Order Details'!$F:$F,'Item Summary'!H$4,'Order Details'!$C:$C,"PO Received")+SUMIFS('Order Details'!$Q:$Q,'Order Details'!$E:$E,"Yes",'Order Details'!$I:$I,'Item Summary'!$B47,'Order Details'!$F:$F,'Item Summary'!H$4,'Order Details'!$C:$C,"Proforma Invoice Sent")+SUMIFS('Order Details'!$Q:$Q,'Order Details'!$E:$E,"Yes",'Order Details'!$I:$I,'Item Summary'!$B47,'Order Details'!$F:$F,'Item Summary'!H$4,'Order Details'!$C:$C,"Downpayment Received")+SUMIFS('Order Details'!$Q:$Q,'Order Details'!$E:$E,"Yes",'Order Details'!$I:$I,'Item Summary'!$B47,'Order Details'!$F:$F,'Item Summary'!H$4,'Order Details'!$C:$C,"In Production")</f>
        <v>0</v>
      </c>
      <c r="I47" s="275">
        <f>SUMIFS('Order Details'!$Q:$Q,'Order Details'!$E:$E,"Yes",'Order Details'!$I:$I,'Item Summary'!$B47,'Order Details'!$F:$F,'Item Summary'!I$4,'Order Details'!$C:$C,"PO Received")+SUMIFS('Order Details'!$Q:$Q,'Order Details'!$E:$E,"Yes",'Order Details'!$I:$I,'Item Summary'!$B47,'Order Details'!$F:$F,'Item Summary'!I$4,'Order Details'!$C:$C,"Proforma Invoice Sent")+SUMIFS('Order Details'!$Q:$Q,'Order Details'!$E:$E,"Yes",'Order Details'!$I:$I,'Item Summary'!$B47,'Order Details'!$F:$F,'Item Summary'!I$4,'Order Details'!$C:$C,"Downpayment Received")+SUMIFS('Order Details'!$Q:$Q,'Order Details'!$E:$E,"Yes",'Order Details'!$I:$I,'Item Summary'!$B47,'Order Details'!$F:$F,'Item Summary'!I$4,'Order Details'!$C:$C,"In Production")</f>
        <v>0</v>
      </c>
      <c r="J47" s="275">
        <f>SUMIFS('Order Details'!$Q:$Q,'Order Details'!$E:$E,"Yes",'Order Details'!$I:$I,'Item Summary'!$B47,'Order Details'!$F:$F,'Item Summary'!J$4,'Order Details'!$C:$C,"PO Received")+SUMIFS('Order Details'!$Q:$Q,'Order Details'!$E:$E,"Yes",'Order Details'!$I:$I,'Item Summary'!$B47,'Order Details'!$F:$F,'Item Summary'!J$4,'Order Details'!$C:$C,"Proforma Invoice Sent")+SUMIFS('Order Details'!$Q:$Q,'Order Details'!$E:$E,"Yes",'Order Details'!$I:$I,'Item Summary'!$B47,'Order Details'!$F:$F,'Item Summary'!J$4,'Order Details'!$C:$C,"Downpayment Received")+SUMIFS('Order Details'!$Q:$Q,'Order Details'!$E:$E,"Yes",'Order Details'!$I:$I,'Item Summary'!$B47,'Order Details'!$F:$F,'Item Summary'!J$4,'Order Details'!$C:$C,"In Production")</f>
        <v>0</v>
      </c>
      <c r="K47" s="275">
        <f>SUMIFS('Order Details'!$Q:$Q,'Order Details'!$E:$E,"Yes",'Order Details'!$I:$I,'Item Summary'!$B47,'Order Details'!$F:$F,'Item Summary'!K$4,'Order Details'!$C:$C,"PO Received")+SUMIFS('Order Details'!$Q:$Q,'Order Details'!$E:$E,"Yes",'Order Details'!$I:$I,'Item Summary'!$B47,'Order Details'!$F:$F,'Item Summary'!K$4,'Order Details'!$C:$C,"Proforma Invoice Sent")+SUMIFS('Order Details'!$Q:$Q,'Order Details'!$E:$E,"Yes",'Order Details'!$I:$I,'Item Summary'!$B47,'Order Details'!$F:$F,'Item Summary'!K$4,'Order Details'!$C:$C,"Downpayment Received")+SUMIFS('Order Details'!$Q:$Q,'Order Details'!$E:$E,"Yes",'Order Details'!$I:$I,'Item Summary'!$B47,'Order Details'!$F:$F,'Item Summary'!K$4,'Order Details'!$C:$C,"In Production")</f>
        <v>0</v>
      </c>
      <c r="L47" s="291">
        <f>SUMIFS('Order Details'!$Q:$Q,'Order Details'!$E:$E,"Yes",'Order Details'!$I:$I,'Item Summary'!$B47,'Order Details'!$F:$F,'Item Summary'!L$4,'Order Details'!$C:$C,"PO Received")+SUMIFS('Order Details'!$Q:$Q,'Order Details'!$E:$E,"Yes",'Order Details'!$I:$I,'Item Summary'!$B47,'Order Details'!$F:$F,'Item Summary'!L$4,'Order Details'!$C:$C,"Proforma Invoice Sent")+SUMIFS('Order Details'!$Q:$Q,'Order Details'!$E:$E,"Yes",'Order Details'!$I:$I,'Item Summary'!$B47,'Order Details'!$F:$F,'Item Summary'!L$4,'Order Details'!$C:$C,"Downpayment Received")+SUMIFS('Order Details'!$Q:$Q,'Order Details'!$E:$E,"Yes",'Order Details'!$I:$I,'Item Summary'!$B47,'Order Details'!$F:$F,'Item Summary'!L$4,'Order Details'!$C:$C,"In Production")</f>
        <v>0</v>
      </c>
      <c r="M47" s="276">
        <f>SUMIFS('Order Details'!$Q:$Q,'Order Details'!$E:$E,"Yes",'Order Details'!$I:$I,'Item Summary'!$B47,'Order Details'!$F:$F,'Item Summary'!M$4,'Order Details'!$C:$C,"PO Received")+SUMIFS('Order Details'!$Q:$Q,'Order Details'!$E:$E,"Yes",'Order Details'!$I:$I,'Item Summary'!$B47,'Order Details'!$F:$F,'Item Summary'!M$4,'Order Details'!$C:$C,"Proforma Invoice Sent")+SUMIFS('Order Details'!$Q:$Q,'Order Details'!$E:$E,"Yes",'Order Details'!$I:$I,'Item Summary'!$B47,'Order Details'!$F:$F,'Item Summary'!M$4,'Order Details'!$C:$C,"Downpayment Received")+SUMIFS('Order Details'!$Q:$Q,'Order Details'!$E:$E,"Yes",'Order Details'!$I:$I,'Item Summary'!$B47,'Order Details'!$F:$F,'Item Summary'!M$4,'Order Details'!$C:$C,"In Production")</f>
        <v>0</v>
      </c>
      <c r="N47" s="279">
        <f t="shared" si="2"/>
        <v>800</v>
      </c>
      <c r="Q47" s="278">
        <v>718152</v>
      </c>
      <c r="R47" s="274" t="str">
        <f>VLOOKUP($Q47,'Pricing Table - eff 27-Jan-2026'!$A:$L,9,FALSE)&amp;""" "&amp;VLOOKUP($Q47,'Pricing Table - eff 27-Jan-2026'!$A:$L,12,FALSE)</f>
        <v>90.5" INDIGO BLUE</v>
      </c>
      <c r="S47" s="275">
        <f>SUMIFS('Order Details'!$Q:$Q,'Order Details'!$E:$E,"Yes",'Order Details'!$I:$I,$Q47,'Order Details'!$F:$F,'Item Summary'!S$4)-D47</f>
        <v>0</v>
      </c>
      <c r="T47" s="275">
        <f>SUMIFS('Order Details'!$Q:$Q,'Order Details'!$E:$E,"Yes",'Order Details'!$I:$I,$Q47,'Order Details'!$F:$F,'Item Summary'!T$4)-E47</f>
        <v>0</v>
      </c>
      <c r="U47" s="275">
        <f>SUMIFS('Order Details'!$Q:$Q,'Order Details'!$E:$E,"Yes",'Order Details'!$I:$I,$Q47,'Order Details'!$F:$F,'Item Summary'!U$4)-F47</f>
        <v>0</v>
      </c>
      <c r="V47" s="275">
        <f>SUMIFS('Order Details'!$Q:$Q,'Order Details'!$E:$E,"Yes",'Order Details'!$I:$I,$Q47,'Order Details'!$F:$F,'Item Summary'!V$4)-G47</f>
        <v>0</v>
      </c>
      <c r="W47" s="275">
        <f>SUMIFS('Order Details'!$Q:$Q,'Order Details'!$E:$E,"Yes",'Order Details'!$I:$I,$Q47,'Order Details'!$F:$F,'Item Summary'!W$4)-H47</f>
        <v>0</v>
      </c>
      <c r="X47" s="275">
        <f>SUMIFS('Order Details'!$Q:$Q,'Order Details'!$E:$E,"Yes",'Order Details'!$I:$I,$Q47,'Order Details'!$F:$F,'Item Summary'!X$4)-I47</f>
        <v>0</v>
      </c>
      <c r="Y47" s="275">
        <f>SUMIFS('Order Details'!$Q:$Q,'Order Details'!$E:$E,"Yes",'Order Details'!$I:$I,$Q47,'Order Details'!$F:$F,'Item Summary'!Y$4)-J47</f>
        <v>0</v>
      </c>
      <c r="Z47" s="275">
        <f>SUMIFS('Order Details'!$Q:$Q,'Order Details'!$E:$E,"Yes",'Order Details'!$I:$I,$Q47,'Order Details'!$F:$F,'Item Summary'!Z$4)-K47</f>
        <v>0</v>
      </c>
      <c r="AA47" s="291">
        <f>SUMIFS('Order Details'!$Q:$Q,'Order Details'!$E:$E,"Yes",'Order Details'!$I:$I,$Q47,'Order Details'!$F:$F,'Item Summary'!AA$4)-L47</f>
        <v>0</v>
      </c>
      <c r="AB47" s="276">
        <f>SUMIFS('Order Details'!$Q:$Q,'Order Details'!$E:$E,"Yes",'Order Details'!$I:$I,$Q47,'Order Details'!$F:$F,'Item Summary'!AB$4)-M47</f>
        <v>0</v>
      </c>
      <c r="AC47" s="279">
        <f t="shared" si="3"/>
        <v>0</v>
      </c>
    </row>
    <row r="48" spans="2:29" x14ac:dyDescent="0.3">
      <c r="B48" s="278">
        <v>695620</v>
      </c>
      <c r="C48" s="274" t="str">
        <f>VLOOKUP($B48,'Pricing Table - eff 27-Jan-2026'!$A:$L,9,FALSE)&amp;""" "&amp;VLOOKUP($B48,'Pricing Table - eff 27-Jan-2026'!$A:$L,12,FALSE)</f>
        <v>96" INDIGO BLUE</v>
      </c>
      <c r="D48" s="275">
        <f>SUMIFS('Order Details'!$Q:$Q,'Order Details'!$E:$E,"Yes",'Order Details'!$I:$I,'Item Summary'!$B48,'Order Details'!$F:$F,'Item Summary'!D$4,'Order Details'!$C:$C,"PO Received")+SUMIFS('Order Details'!$Q:$Q,'Order Details'!$E:$E,"Yes",'Order Details'!$I:$I,'Item Summary'!$B48,'Order Details'!$F:$F,'Item Summary'!D$4,'Order Details'!$C:$C,"Proforma Invoice Sent")+SUMIFS('Order Details'!$Q:$Q,'Order Details'!$E:$E,"Yes",'Order Details'!$I:$I,'Item Summary'!$B48,'Order Details'!$F:$F,'Item Summary'!D$4,'Order Details'!$C:$C,"Downpayment Received")+SUMIFS('Order Details'!$Q:$Q,'Order Details'!$E:$E,"Yes",'Order Details'!$I:$I,'Item Summary'!$B48,'Order Details'!$F:$F,'Item Summary'!D$4,'Order Details'!$C:$C,"In Production")</f>
        <v>0</v>
      </c>
      <c r="E48" s="275">
        <f>SUMIFS('Order Details'!$Q:$Q,'Order Details'!$E:$E,"Yes",'Order Details'!$I:$I,'Item Summary'!$B48,'Order Details'!$F:$F,'Item Summary'!E$4,'Order Details'!$C:$C,"PO Received")+SUMIFS('Order Details'!$Q:$Q,'Order Details'!$E:$E,"Yes",'Order Details'!$I:$I,'Item Summary'!$B48,'Order Details'!$F:$F,'Item Summary'!E$4,'Order Details'!$C:$C,"Proforma Invoice Sent")+SUMIFS('Order Details'!$Q:$Q,'Order Details'!$E:$E,"Yes",'Order Details'!$I:$I,'Item Summary'!$B48,'Order Details'!$F:$F,'Item Summary'!E$4,'Order Details'!$C:$C,"Downpayment Received")+SUMIFS('Order Details'!$Q:$Q,'Order Details'!$E:$E,"Yes",'Order Details'!$I:$I,'Item Summary'!$B48,'Order Details'!$F:$F,'Item Summary'!E$4,'Order Details'!$C:$C,"In Production")</f>
        <v>0</v>
      </c>
      <c r="F48" s="275">
        <f>SUMIFS('Order Details'!$Q:$Q,'Order Details'!$E:$E,"Yes",'Order Details'!$I:$I,'Item Summary'!$B48,'Order Details'!$F:$F,'Item Summary'!F$4,'Order Details'!$C:$C,"PO Received")+SUMIFS('Order Details'!$Q:$Q,'Order Details'!$E:$E,"Yes",'Order Details'!$I:$I,'Item Summary'!$B48,'Order Details'!$F:$F,'Item Summary'!F$4,'Order Details'!$C:$C,"Proforma Invoice Sent")+SUMIFS('Order Details'!$Q:$Q,'Order Details'!$E:$E,"Yes",'Order Details'!$I:$I,'Item Summary'!$B48,'Order Details'!$F:$F,'Item Summary'!F$4,'Order Details'!$C:$C,"Downpayment Received")+SUMIFS('Order Details'!$Q:$Q,'Order Details'!$E:$E,"Yes",'Order Details'!$I:$I,'Item Summary'!$B48,'Order Details'!$F:$F,'Item Summary'!F$4,'Order Details'!$C:$C,"In Production")</f>
        <v>400</v>
      </c>
      <c r="G48" s="275">
        <f>SUMIFS('Order Details'!$Q:$Q,'Order Details'!$E:$E,"Yes",'Order Details'!$I:$I,'Item Summary'!$B48,'Order Details'!$F:$F,'Item Summary'!G$4,'Order Details'!$C:$C,"PO Received")+SUMIFS('Order Details'!$Q:$Q,'Order Details'!$E:$E,"Yes",'Order Details'!$I:$I,'Item Summary'!$B48,'Order Details'!$F:$F,'Item Summary'!G$4,'Order Details'!$C:$C,"Proforma Invoice Sent")+SUMIFS('Order Details'!$Q:$Q,'Order Details'!$E:$E,"Yes",'Order Details'!$I:$I,'Item Summary'!$B48,'Order Details'!$F:$F,'Item Summary'!G$4,'Order Details'!$C:$C,"Downpayment Received")+SUMIFS('Order Details'!$Q:$Q,'Order Details'!$E:$E,"Yes",'Order Details'!$I:$I,'Item Summary'!$B48,'Order Details'!$F:$F,'Item Summary'!G$4,'Order Details'!$C:$C,"In Production")</f>
        <v>1800</v>
      </c>
      <c r="H48" s="275">
        <f>SUMIFS('Order Details'!$Q:$Q,'Order Details'!$E:$E,"Yes",'Order Details'!$I:$I,'Item Summary'!$B48,'Order Details'!$F:$F,'Item Summary'!H$4,'Order Details'!$C:$C,"PO Received")+SUMIFS('Order Details'!$Q:$Q,'Order Details'!$E:$E,"Yes",'Order Details'!$I:$I,'Item Summary'!$B48,'Order Details'!$F:$F,'Item Summary'!H$4,'Order Details'!$C:$C,"Proforma Invoice Sent")+SUMIFS('Order Details'!$Q:$Q,'Order Details'!$E:$E,"Yes",'Order Details'!$I:$I,'Item Summary'!$B48,'Order Details'!$F:$F,'Item Summary'!H$4,'Order Details'!$C:$C,"Downpayment Received")+SUMIFS('Order Details'!$Q:$Q,'Order Details'!$E:$E,"Yes",'Order Details'!$I:$I,'Item Summary'!$B48,'Order Details'!$F:$F,'Item Summary'!H$4,'Order Details'!$C:$C,"In Production")</f>
        <v>800</v>
      </c>
      <c r="I48" s="275">
        <f>SUMIFS('Order Details'!$Q:$Q,'Order Details'!$E:$E,"Yes",'Order Details'!$I:$I,'Item Summary'!$B48,'Order Details'!$F:$F,'Item Summary'!I$4,'Order Details'!$C:$C,"PO Received")+SUMIFS('Order Details'!$Q:$Q,'Order Details'!$E:$E,"Yes",'Order Details'!$I:$I,'Item Summary'!$B48,'Order Details'!$F:$F,'Item Summary'!I$4,'Order Details'!$C:$C,"Proforma Invoice Sent")+SUMIFS('Order Details'!$Q:$Q,'Order Details'!$E:$E,"Yes",'Order Details'!$I:$I,'Item Summary'!$B48,'Order Details'!$F:$F,'Item Summary'!I$4,'Order Details'!$C:$C,"Downpayment Received")+SUMIFS('Order Details'!$Q:$Q,'Order Details'!$E:$E,"Yes",'Order Details'!$I:$I,'Item Summary'!$B48,'Order Details'!$F:$F,'Item Summary'!I$4,'Order Details'!$C:$C,"In Production")</f>
        <v>800</v>
      </c>
      <c r="J48" s="275">
        <f>SUMIFS('Order Details'!$Q:$Q,'Order Details'!$E:$E,"Yes",'Order Details'!$I:$I,'Item Summary'!$B48,'Order Details'!$F:$F,'Item Summary'!J$4,'Order Details'!$C:$C,"PO Received")+SUMIFS('Order Details'!$Q:$Q,'Order Details'!$E:$E,"Yes",'Order Details'!$I:$I,'Item Summary'!$B48,'Order Details'!$F:$F,'Item Summary'!J$4,'Order Details'!$C:$C,"Proforma Invoice Sent")+SUMIFS('Order Details'!$Q:$Q,'Order Details'!$E:$E,"Yes",'Order Details'!$I:$I,'Item Summary'!$B48,'Order Details'!$F:$F,'Item Summary'!J$4,'Order Details'!$C:$C,"Downpayment Received")+SUMIFS('Order Details'!$Q:$Q,'Order Details'!$E:$E,"Yes",'Order Details'!$I:$I,'Item Summary'!$B48,'Order Details'!$F:$F,'Item Summary'!J$4,'Order Details'!$C:$C,"In Production")</f>
        <v>0</v>
      </c>
      <c r="K48" s="275">
        <f>SUMIFS('Order Details'!$Q:$Q,'Order Details'!$E:$E,"Yes",'Order Details'!$I:$I,'Item Summary'!$B48,'Order Details'!$F:$F,'Item Summary'!K$4,'Order Details'!$C:$C,"PO Received")+SUMIFS('Order Details'!$Q:$Q,'Order Details'!$E:$E,"Yes",'Order Details'!$I:$I,'Item Summary'!$B48,'Order Details'!$F:$F,'Item Summary'!K$4,'Order Details'!$C:$C,"Proforma Invoice Sent")+SUMIFS('Order Details'!$Q:$Q,'Order Details'!$E:$E,"Yes",'Order Details'!$I:$I,'Item Summary'!$B48,'Order Details'!$F:$F,'Item Summary'!K$4,'Order Details'!$C:$C,"Downpayment Received")+SUMIFS('Order Details'!$Q:$Q,'Order Details'!$E:$E,"Yes",'Order Details'!$I:$I,'Item Summary'!$B48,'Order Details'!$F:$F,'Item Summary'!K$4,'Order Details'!$C:$C,"In Production")</f>
        <v>0</v>
      </c>
      <c r="L48" s="291">
        <f>SUMIFS('Order Details'!$Q:$Q,'Order Details'!$E:$E,"Yes",'Order Details'!$I:$I,'Item Summary'!$B48,'Order Details'!$F:$F,'Item Summary'!L$4,'Order Details'!$C:$C,"PO Received")+SUMIFS('Order Details'!$Q:$Q,'Order Details'!$E:$E,"Yes",'Order Details'!$I:$I,'Item Summary'!$B48,'Order Details'!$F:$F,'Item Summary'!L$4,'Order Details'!$C:$C,"Proforma Invoice Sent")+SUMIFS('Order Details'!$Q:$Q,'Order Details'!$E:$E,"Yes",'Order Details'!$I:$I,'Item Summary'!$B48,'Order Details'!$F:$F,'Item Summary'!L$4,'Order Details'!$C:$C,"Downpayment Received")+SUMIFS('Order Details'!$Q:$Q,'Order Details'!$E:$E,"Yes",'Order Details'!$I:$I,'Item Summary'!$B48,'Order Details'!$F:$F,'Item Summary'!L$4,'Order Details'!$C:$C,"In Production")</f>
        <v>0</v>
      </c>
      <c r="M48" s="276">
        <f>SUMIFS('Order Details'!$Q:$Q,'Order Details'!$E:$E,"Yes",'Order Details'!$I:$I,'Item Summary'!$B48,'Order Details'!$F:$F,'Item Summary'!M$4,'Order Details'!$C:$C,"PO Received")+SUMIFS('Order Details'!$Q:$Q,'Order Details'!$E:$E,"Yes",'Order Details'!$I:$I,'Item Summary'!$B48,'Order Details'!$F:$F,'Item Summary'!M$4,'Order Details'!$C:$C,"Proforma Invoice Sent")+SUMIFS('Order Details'!$Q:$Q,'Order Details'!$E:$E,"Yes",'Order Details'!$I:$I,'Item Summary'!$B48,'Order Details'!$F:$F,'Item Summary'!M$4,'Order Details'!$C:$C,"Downpayment Received")+SUMIFS('Order Details'!$Q:$Q,'Order Details'!$E:$E,"Yes",'Order Details'!$I:$I,'Item Summary'!$B48,'Order Details'!$F:$F,'Item Summary'!M$4,'Order Details'!$C:$C,"In Production")</f>
        <v>0</v>
      </c>
      <c r="N48" s="279">
        <f t="shared" si="2"/>
        <v>3800</v>
      </c>
      <c r="Q48" s="278">
        <v>695620</v>
      </c>
      <c r="R48" s="274" t="str">
        <f>VLOOKUP($Q48,'Pricing Table - eff 27-Jan-2026'!$A:$L,9,FALSE)&amp;""" "&amp;VLOOKUP($Q48,'Pricing Table - eff 27-Jan-2026'!$A:$L,12,FALSE)</f>
        <v>96" INDIGO BLUE</v>
      </c>
      <c r="S48" s="275">
        <f>SUMIFS('Order Details'!$Q:$Q,'Order Details'!$E:$E,"Yes",'Order Details'!$I:$I,$Q48,'Order Details'!$F:$F,'Item Summary'!S$4)-D48</f>
        <v>0</v>
      </c>
      <c r="T48" s="275">
        <f>SUMIFS('Order Details'!$Q:$Q,'Order Details'!$E:$E,"Yes",'Order Details'!$I:$I,$Q48,'Order Details'!$F:$F,'Item Summary'!T$4)-E48</f>
        <v>0</v>
      </c>
      <c r="U48" s="275">
        <f>SUMIFS('Order Details'!$Q:$Q,'Order Details'!$E:$E,"Yes",'Order Details'!$I:$I,$Q48,'Order Details'!$F:$F,'Item Summary'!U$4)-F48</f>
        <v>200</v>
      </c>
      <c r="V48" s="275">
        <f>SUMIFS('Order Details'!$Q:$Q,'Order Details'!$E:$E,"Yes",'Order Details'!$I:$I,$Q48,'Order Details'!$F:$F,'Item Summary'!V$4)-G48</f>
        <v>200</v>
      </c>
      <c r="W48" s="275">
        <f>SUMIFS('Order Details'!$Q:$Q,'Order Details'!$E:$E,"Yes",'Order Details'!$I:$I,$Q48,'Order Details'!$F:$F,'Item Summary'!W$4)-H48</f>
        <v>800</v>
      </c>
      <c r="X48" s="275">
        <f>SUMIFS('Order Details'!$Q:$Q,'Order Details'!$E:$E,"Yes",'Order Details'!$I:$I,$Q48,'Order Details'!$F:$F,'Item Summary'!X$4)-I48</f>
        <v>0</v>
      </c>
      <c r="Y48" s="275">
        <f>SUMIFS('Order Details'!$Q:$Q,'Order Details'!$E:$E,"Yes",'Order Details'!$I:$I,$Q48,'Order Details'!$F:$F,'Item Summary'!Y$4)-J48</f>
        <v>0</v>
      </c>
      <c r="Z48" s="275">
        <f>SUMIFS('Order Details'!$Q:$Q,'Order Details'!$E:$E,"Yes",'Order Details'!$I:$I,$Q48,'Order Details'!$F:$F,'Item Summary'!Z$4)-K48</f>
        <v>0</v>
      </c>
      <c r="AA48" s="291">
        <f>SUMIFS('Order Details'!$Q:$Q,'Order Details'!$E:$E,"Yes",'Order Details'!$I:$I,$Q48,'Order Details'!$F:$F,'Item Summary'!AA$4)-L48</f>
        <v>0</v>
      </c>
      <c r="AB48" s="276">
        <f>SUMIFS('Order Details'!$Q:$Q,'Order Details'!$E:$E,"Yes",'Order Details'!$I:$I,$Q48,'Order Details'!$F:$F,'Item Summary'!AB$4)-M48</f>
        <v>0</v>
      </c>
      <c r="AC48" s="279">
        <f t="shared" si="3"/>
        <v>1200</v>
      </c>
    </row>
    <row r="49" spans="2:29" x14ac:dyDescent="0.3">
      <c r="B49" s="278">
        <v>695621</v>
      </c>
      <c r="C49" s="274" t="str">
        <f>VLOOKUP($B49,'Pricing Table - eff 27-Jan-2026'!$A:$L,9,FALSE)&amp;""" "&amp;VLOOKUP($B49,'Pricing Table - eff 27-Jan-2026'!$A:$L,12,FALSE)</f>
        <v>108" INDIGO BLUE</v>
      </c>
      <c r="D49" s="275">
        <f>SUMIFS('Order Details'!$Q:$Q,'Order Details'!$E:$E,"Yes",'Order Details'!$I:$I,'Item Summary'!$B49,'Order Details'!$F:$F,'Item Summary'!D$4,'Order Details'!$C:$C,"PO Received")+SUMIFS('Order Details'!$Q:$Q,'Order Details'!$E:$E,"Yes",'Order Details'!$I:$I,'Item Summary'!$B49,'Order Details'!$F:$F,'Item Summary'!D$4,'Order Details'!$C:$C,"Proforma Invoice Sent")+SUMIFS('Order Details'!$Q:$Q,'Order Details'!$E:$E,"Yes",'Order Details'!$I:$I,'Item Summary'!$B49,'Order Details'!$F:$F,'Item Summary'!D$4,'Order Details'!$C:$C,"Downpayment Received")+SUMIFS('Order Details'!$Q:$Q,'Order Details'!$E:$E,"Yes",'Order Details'!$I:$I,'Item Summary'!$B49,'Order Details'!$F:$F,'Item Summary'!D$4,'Order Details'!$C:$C,"In Production")</f>
        <v>0</v>
      </c>
      <c r="E49" s="275">
        <f>SUMIFS('Order Details'!$Q:$Q,'Order Details'!$E:$E,"Yes",'Order Details'!$I:$I,'Item Summary'!$B49,'Order Details'!$F:$F,'Item Summary'!E$4,'Order Details'!$C:$C,"PO Received")+SUMIFS('Order Details'!$Q:$Q,'Order Details'!$E:$E,"Yes",'Order Details'!$I:$I,'Item Summary'!$B49,'Order Details'!$F:$F,'Item Summary'!E$4,'Order Details'!$C:$C,"Proforma Invoice Sent")+SUMIFS('Order Details'!$Q:$Q,'Order Details'!$E:$E,"Yes",'Order Details'!$I:$I,'Item Summary'!$B49,'Order Details'!$F:$F,'Item Summary'!E$4,'Order Details'!$C:$C,"Downpayment Received")+SUMIFS('Order Details'!$Q:$Q,'Order Details'!$E:$E,"Yes",'Order Details'!$I:$I,'Item Summary'!$B49,'Order Details'!$F:$F,'Item Summary'!E$4,'Order Details'!$C:$C,"In Production")</f>
        <v>0</v>
      </c>
      <c r="F49" s="275">
        <f>SUMIFS('Order Details'!$Q:$Q,'Order Details'!$E:$E,"Yes",'Order Details'!$I:$I,'Item Summary'!$B49,'Order Details'!$F:$F,'Item Summary'!F$4,'Order Details'!$C:$C,"PO Received")+SUMIFS('Order Details'!$Q:$Q,'Order Details'!$E:$E,"Yes",'Order Details'!$I:$I,'Item Summary'!$B49,'Order Details'!$F:$F,'Item Summary'!F$4,'Order Details'!$C:$C,"Proforma Invoice Sent")+SUMIFS('Order Details'!$Q:$Q,'Order Details'!$E:$E,"Yes",'Order Details'!$I:$I,'Item Summary'!$B49,'Order Details'!$F:$F,'Item Summary'!F$4,'Order Details'!$C:$C,"Downpayment Received")+SUMIFS('Order Details'!$Q:$Q,'Order Details'!$E:$E,"Yes",'Order Details'!$I:$I,'Item Summary'!$B49,'Order Details'!$F:$F,'Item Summary'!F$4,'Order Details'!$C:$C,"In Production")</f>
        <v>150</v>
      </c>
      <c r="G49" s="275">
        <f>SUMIFS('Order Details'!$Q:$Q,'Order Details'!$E:$E,"Yes",'Order Details'!$I:$I,'Item Summary'!$B49,'Order Details'!$F:$F,'Item Summary'!G$4,'Order Details'!$C:$C,"PO Received")+SUMIFS('Order Details'!$Q:$Q,'Order Details'!$E:$E,"Yes",'Order Details'!$I:$I,'Item Summary'!$B49,'Order Details'!$F:$F,'Item Summary'!G$4,'Order Details'!$C:$C,"Proforma Invoice Sent")+SUMIFS('Order Details'!$Q:$Q,'Order Details'!$E:$E,"Yes",'Order Details'!$I:$I,'Item Summary'!$B49,'Order Details'!$F:$F,'Item Summary'!G$4,'Order Details'!$C:$C,"Downpayment Received")+SUMIFS('Order Details'!$Q:$Q,'Order Details'!$E:$E,"Yes",'Order Details'!$I:$I,'Item Summary'!$B49,'Order Details'!$F:$F,'Item Summary'!G$4,'Order Details'!$C:$C,"In Production")</f>
        <v>800</v>
      </c>
      <c r="H49" s="275">
        <f>SUMIFS('Order Details'!$Q:$Q,'Order Details'!$E:$E,"Yes",'Order Details'!$I:$I,'Item Summary'!$B49,'Order Details'!$F:$F,'Item Summary'!H$4,'Order Details'!$C:$C,"PO Received")+SUMIFS('Order Details'!$Q:$Q,'Order Details'!$E:$E,"Yes",'Order Details'!$I:$I,'Item Summary'!$B49,'Order Details'!$F:$F,'Item Summary'!H$4,'Order Details'!$C:$C,"Proforma Invoice Sent")+SUMIFS('Order Details'!$Q:$Q,'Order Details'!$E:$E,"Yes",'Order Details'!$I:$I,'Item Summary'!$B49,'Order Details'!$F:$F,'Item Summary'!H$4,'Order Details'!$C:$C,"Downpayment Received")+SUMIFS('Order Details'!$Q:$Q,'Order Details'!$E:$E,"Yes",'Order Details'!$I:$I,'Item Summary'!$B49,'Order Details'!$F:$F,'Item Summary'!H$4,'Order Details'!$C:$C,"In Production")</f>
        <v>2000</v>
      </c>
      <c r="I49" s="275">
        <f>SUMIFS('Order Details'!$Q:$Q,'Order Details'!$E:$E,"Yes",'Order Details'!$I:$I,'Item Summary'!$B49,'Order Details'!$F:$F,'Item Summary'!I$4,'Order Details'!$C:$C,"PO Received")+SUMIFS('Order Details'!$Q:$Q,'Order Details'!$E:$E,"Yes",'Order Details'!$I:$I,'Item Summary'!$B49,'Order Details'!$F:$F,'Item Summary'!I$4,'Order Details'!$C:$C,"Proforma Invoice Sent")+SUMIFS('Order Details'!$Q:$Q,'Order Details'!$E:$E,"Yes",'Order Details'!$I:$I,'Item Summary'!$B49,'Order Details'!$F:$F,'Item Summary'!I$4,'Order Details'!$C:$C,"Downpayment Received")+SUMIFS('Order Details'!$Q:$Q,'Order Details'!$E:$E,"Yes",'Order Details'!$I:$I,'Item Summary'!$B49,'Order Details'!$F:$F,'Item Summary'!I$4,'Order Details'!$C:$C,"In Production")</f>
        <v>0</v>
      </c>
      <c r="J49" s="275">
        <f>SUMIFS('Order Details'!$Q:$Q,'Order Details'!$E:$E,"Yes",'Order Details'!$I:$I,'Item Summary'!$B49,'Order Details'!$F:$F,'Item Summary'!J$4,'Order Details'!$C:$C,"PO Received")+SUMIFS('Order Details'!$Q:$Q,'Order Details'!$E:$E,"Yes",'Order Details'!$I:$I,'Item Summary'!$B49,'Order Details'!$F:$F,'Item Summary'!J$4,'Order Details'!$C:$C,"Proforma Invoice Sent")+SUMIFS('Order Details'!$Q:$Q,'Order Details'!$E:$E,"Yes",'Order Details'!$I:$I,'Item Summary'!$B49,'Order Details'!$F:$F,'Item Summary'!J$4,'Order Details'!$C:$C,"Downpayment Received")+SUMIFS('Order Details'!$Q:$Q,'Order Details'!$E:$E,"Yes",'Order Details'!$I:$I,'Item Summary'!$B49,'Order Details'!$F:$F,'Item Summary'!J$4,'Order Details'!$C:$C,"In Production")</f>
        <v>0</v>
      </c>
      <c r="K49" s="275">
        <f>SUMIFS('Order Details'!$Q:$Q,'Order Details'!$E:$E,"Yes",'Order Details'!$I:$I,'Item Summary'!$B49,'Order Details'!$F:$F,'Item Summary'!K$4,'Order Details'!$C:$C,"PO Received")+SUMIFS('Order Details'!$Q:$Q,'Order Details'!$E:$E,"Yes",'Order Details'!$I:$I,'Item Summary'!$B49,'Order Details'!$F:$F,'Item Summary'!K$4,'Order Details'!$C:$C,"Proforma Invoice Sent")+SUMIFS('Order Details'!$Q:$Q,'Order Details'!$E:$E,"Yes",'Order Details'!$I:$I,'Item Summary'!$B49,'Order Details'!$F:$F,'Item Summary'!K$4,'Order Details'!$C:$C,"Downpayment Received")+SUMIFS('Order Details'!$Q:$Q,'Order Details'!$E:$E,"Yes",'Order Details'!$I:$I,'Item Summary'!$B49,'Order Details'!$F:$F,'Item Summary'!K$4,'Order Details'!$C:$C,"In Production")</f>
        <v>0</v>
      </c>
      <c r="L49" s="291">
        <f>SUMIFS('Order Details'!$Q:$Q,'Order Details'!$E:$E,"Yes",'Order Details'!$I:$I,'Item Summary'!$B49,'Order Details'!$F:$F,'Item Summary'!L$4,'Order Details'!$C:$C,"PO Received")+SUMIFS('Order Details'!$Q:$Q,'Order Details'!$E:$E,"Yes",'Order Details'!$I:$I,'Item Summary'!$B49,'Order Details'!$F:$F,'Item Summary'!L$4,'Order Details'!$C:$C,"Proforma Invoice Sent")+SUMIFS('Order Details'!$Q:$Q,'Order Details'!$E:$E,"Yes",'Order Details'!$I:$I,'Item Summary'!$B49,'Order Details'!$F:$F,'Item Summary'!L$4,'Order Details'!$C:$C,"Downpayment Received")+SUMIFS('Order Details'!$Q:$Q,'Order Details'!$E:$E,"Yes",'Order Details'!$I:$I,'Item Summary'!$B49,'Order Details'!$F:$F,'Item Summary'!L$4,'Order Details'!$C:$C,"In Production")</f>
        <v>0</v>
      </c>
      <c r="M49" s="276">
        <f>SUMIFS('Order Details'!$Q:$Q,'Order Details'!$E:$E,"Yes",'Order Details'!$I:$I,'Item Summary'!$B49,'Order Details'!$F:$F,'Item Summary'!M$4,'Order Details'!$C:$C,"PO Received")+SUMIFS('Order Details'!$Q:$Q,'Order Details'!$E:$E,"Yes",'Order Details'!$I:$I,'Item Summary'!$B49,'Order Details'!$F:$F,'Item Summary'!M$4,'Order Details'!$C:$C,"Proforma Invoice Sent")+SUMIFS('Order Details'!$Q:$Q,'Order Details'!$E:$E,"Yes",'Order Details'!$I:$I,'Item Summary'!$B49,'Order Details'!$F:$F,'Item Summary'!M$4,'Order Details'!$C:$C,"Downpayment Received")+SUMIFS('Order Details'!$Q:$Q,'Order Details'!$E:$E,"Yes",'Order Details'!$I:$I,'Item Summary'!$B49,'Order Details'!$F:$F,'Item Summary'!M$4,'Order Details'!$C:$C,"In Production")</f>
        <v>0</v>
      </c>
      <c r="N49" s="279">
        <f t="shared" si="2"/>
        <v>2950</v>
      </c>
      <c r="Q49" s="278">
        <v>695621</v>
      </c>
      <c r="R49" s="274" t="str">
        <f>VLOOKUP($Q49,'Pricing Table - eff 27-Jan-2026'!$A:$L,9,FALSE)&amp;""" "&amp;VLOOKUP($Q49,'Pricing Table - eff 27-Jan-2026'!$A:$L,12,FALSE)</f>
        <v>108" INDIGO BLUE</v>
      </c>
      <c r="S49" s="275">
        <f>SUMIFS('Order Details'!$Q:$Q,'Order Details'!$E:$E,"Yes",'Order Details'!$I:$I,$Q49,'Order Details'!$F:$F,'Item Summary'!S$4)-D49</f>
        <v>0</v>
      </c>
      <c r="T49" s="275">
        <f>SUMIFS('Order Details'!$Q:$Q,'Order Details'!$E:$E,"Yes",'Order Details'!$I:$I,$Q49,'Order Details'!$F:$F,'Item Summary'!T$4)-E49</f>
        <v>0</v>
      </c>
      <c r="U49" s="275">
        <f>SUMIFS('Order Details'!$Q:$Q,'Order Details'!$E:$E,"Yes",'Order Details'!$I:$I,$Q49,'Order Details'!$F:$F,'Item Summary'!U$4)-F49</f>
        <v>0</v>
      </c>
      <c r="V49" s="275">
        <f>SUMIFS('Order Details'!$Q:$Q,'Order Details'!$E:$E,"Yes",'Order Details'!$I:$I,$Q49,'Order Details'!$F:$F,'Item Summary'!V$4)-G49</f>
        <v>0</v>
      </c>
      <c r="W49" s="275">
        <f>SUMIFS('Order Details'!$Q:$Q,'Order Details'!$E:$E,"Yes",'Order Details'!$I:$I,$Q49,'Order Details'!$F:$F,'Item Summary'!W$4)-H49</f>
        <v>0</v>
      </c>
      <c r="X49" s="275">
        <f>SUMIFS('Order Details'!$Q:$Q,'Order Details'!$E:$E,"Yes",'Order Details'!$I:$I,$Q49,'Order Details'!$F:$F,'Item Summary'!X$4)-I49</f>
        <v>0</v>
      </c>
      <c r="Y49" s="275">
        <f>SUMIFS('Order Details'!$Q:$Q,'Order Details'!$E:$E,"Yes",'Order Details'!$I:$I,$Q49,'Order Details'!$F:$F,'Item Summary'!Y$4)-J49</f>
        <v>0</v>
      </c>
      <c r="Z49" s="275">
        <f>SUMIFS('Order Details'!$Q:$Q,'Order Details'!$E:$E,"Yes",'Order Details'!$I:$I,$Q49,'Order Details'!$F:$F,'Item Summary'!Z$4)-K49</f>
        <v>0</v>
      </c>
      <c r="AA49" s="291">
        <f>SUMIFS('Order Details'!$Q:$Q,'Order Details'!$E:$E,"Yes",'Order Details'!$I:$I,$Q49,'Order Details'!$F:$F,'Item Summary'!AA$4)-L49</f>
        <v>0</v>
      </c>
      <c r="AB49" s="276">
        <f>SUMIFS('Order Details'!$Q:$Q,'Order Details'!$E:$E,"Yes",'Order Details'!$I:$I,$Q49,'Order Details'!$F:$F,'Item Summary'!AB$4)-M49</f>
        <v>0</v>
      </c>
      <c r="AC49" s="279">
        <f t="shared" si="3"/>
        <v>0</v>
      </c>
    </row>
    <row r="50" spans="2:29" x14ac:dyDescent="0.3">
      <c r="B50" s="278">
        <v>695622</v>
      </c>
      <c r="C50" s="274" t="str">
        <f>VLOOKUP($B50,'Pricing Table - eff 27-Jan-2026'!$A:$L,9,FALSE)&amp;""" "&amp;VLOOKUP($B50,'Pricing Table - eff 27-Jan-2026'!$A:$L,12,FALSE)</f>
        <v>144" INDIGO BLUE</v>
      </c>
      <c r="D50" s="275">
        <f>SUMIFS('Order Details'!$Q:$Q,'Order Details'!$E:$E,"Yes",'Order Details'!$I:$I,'Item Summary'!$B50,'Order Details'!$F:$F,'Item Summary'!D$4,'Order Details'!$C:$C,"PO Received")+SUMIFS('Order Details'!$Q:$Q,'Order Details'!$E:$E,"Yes",'Order Details'!$I:$I,'Item Summary'!$B50,'Order Details'!$F:$F,'Item Summary'!D$4,'Order Details'!$C:$C,"Proforma Invoice Sent")+SUMIFS('Order Details'!$Q:$Q,'Order Details'!$E:$E,"Yes",'Order Details'!$I:$I,'Item Summary'!$B50,'Order Details'!$F:$F,'Item Summary'!D$4,'Order Details'!$C:$C,"Downpayment Received")+SUMIFS('Order Details'!$Q:$Q,'Order Details'!$E:$E,"Yes",'Order Details'!$I:$I,'Item Summary'!$B50,'Order Details'!$F:$F,'Item Summary'!D$4,'Order Details'!$C:$C,"In Production")</f>
        <v>0</v>
      </c>
      <c r="E50" s="275">
        <f>SUMIFS('Order Details'!$Q:$Q,'Order Details'!$E:$E,"Yes",'Order Details'!$I:$I,'Item Summary'!$B50,'Order Details'!$F:$F,'Item Summary'!E$4,'Order Details'!$C:$C,"PO Received")+SUMIFS('Order Details'!$Q:$Q,'Order Details'!$E:$E,"Yes",'Order Details'!$I:$I,'Item Summary'!$B50,'Order Details'!$F:$F,'Item Summary'!E$4,'Order Details'!$C:$C,"Proforma Invoice Sent")+SUMIFS('Order Details'!$Q:$Q,'Order Details'!$E:$E,"Yes",'Order Details'!$I:$I,'Item Summary'!$B50,'Order Details'!$F:$F,'Item Summary'!E$4,'Order Details'!$C:$C,"Downpayment Received")+SUMIFS('Order Details'!$Q:$Q,'Order Details'!$E:$E,"Yes",'Order Details'!$I:$I,'Item Summary'!$B50,'Order Details'!$F:$F,'Item Summary'!E$4,'Order Details'!$C:$C,"In Production")</f>
        <v>0</v>
      </c>
      <c r="F50" s="275">
        <f>SUMIFS('Order Details'!$Q:$Q,'Order Details'!$E:$E,"Yes",'Order Details'!$I:$I,'Item Summary'!$B50,'Order Details'!$F:$F,'Item Summary'!F$4,'Order Details'!$C:$C,"PO Received")+SUMIFS('Order Details'!$Q:$Q,'Order Details'!$E:$E,"Yes",'Order Details'!$I:$I,'Item Summary'!$B50,'Order Details'!$F:$F,'Item Summary'!F$4,'Order Details'!$C:$C,"Proforma Invoice Sent")+SUMIFS('Order Details'!$Q:$Q,'Order Details'!$E:$E,"Yes",'Order Details'!$I:$I,'Item Summary'!$B50,'Order Details'!$F:$F,'Item Summary'!F$4,'Order Details'!$C:$C,"Downpayment Received")+SUMIFS('Order Details'!$Q:$Q,'Order Details'!$E:$E,"Yes",'Order Details'!$I:$I,'Item Summary'!$B50,'Order Details'!$F:$F,'Item Summary'!F$4,'Order Details'!$C:$C,"In Production")</f>
        <v>0</v>
      </c>
      <c r="G50" s="275">
        <f>SUMIFS('Order Details'!$Q:$Q,'Order Details'!$E:$E,"Yes",'Order Details'!$I:$I,'Item Summary'!$B50,'Order Details'!$F:$F,'Item Summary'!G$4,'Order Details'!$C:$C,"PO Received")+SUMIFS('Order Details'!$Q:$Q,'Order Details'!$E:$E,"Yes",'Order Details'!$I:$I,'Item Summary'!$B50,'Order Details'!$F:$F,'Item Summary'!G$4,'Order Details'!$C:$C,"Proforma Invoice Sent")+SUMIFS('Order Details'!$Q:$Q,'Order Details'!$E:$E,"Yes",'Order Details'!$I:$I,'Item Summary'!$B50,'Order Details'!$F:$F,'Item Summary'!G$4,'Order Details'!$C:$C,"Downpayment Received")+SUMIFS('Order Details'!$Q:$Q,'Order Details'!$E:$E,"Yes",'Order Details'!$I:$I,'Item Summary'!$B50,'Order Details'!$F:$F,'Item Summary'!G$4,'Order Details'!$C:$C,"In Production")</f>
        <v>200</v>
      </c>
      <c r="H50" s="275">
        <f>SUMIFS('Order Details'!$Q:$Q,'Order Details'!$E:$E,"Yes",'Order Details'!$I:$I,'Item Summary'!$B50,'Order Details'!$F:$F,'Item Summary'!H$4,'Order Details'!$C:$C,"PO Received")+SUMIFS('Order Details'!$Q:$Q,'Order Details'!$E:$E,"Yes",'Order Details'!$I:$I,'Item Summary'!$B50,'Order Details'!$F:$F,'Item Summary'!H$4,'Order Details'!$C:$C,"Proforma Invoice Sent")+SUMIFS('Order Details'!$Q:$Q,'Order Details'!$E:$E,"Yes",'Order Details'!$I:$I,'Item Summary'!$B50,'Order Details'!$F:$F,'Item Summary'!H$4,'Order Details'!$C:$C,"Downpayment Received")+SUMIFS('Order Details'!$Q:$Q,'Order Details'!$E:$E,"Yes",'Order Details'!$I:$I,'Item Summary'!$B50,'Order Details'!$F:$F,'Item Summary'!H$4,'Order Details'!$C:$C,"In Production")</f>
        <v>0</v>
      </c>
      <c r="I50" s="275">
        <f>SUMIFS('Order Details'!$Q:$Q,'Order Details'!$E:$E,"Yes",'Order Details'!$I:$I,'Item Summary'!$B50,'Order Details'!$F:$F,'Item Summary'!I$4,'Order Details'!$C:$C,"PO Received")+SUMIFS('Order Details'!$Q:$Q,'Order Details'!$E:$E,"Yes",'Order Details'!$I:$I,'Item Summary'!$B50,'Order Details'!$F:$F,'Item Summary'!I$4,'Order Details'!$C:$C,"Proforma Invoice Sent")+SUMIFS('Order Details'!$Q:$Q,'Order Details'!$E:$E,"Yes",'Order Details'!$I:$I,'Item Summary'!$B50,'Order Details'!$F:$F,'Item Summary'!I$4,'Order Details'!$C:$C,"Downpayment Received")+SUMIFS('Order Details'!$Q:$Q,'Order Details'!$E:$E,"Yes",'Order Details'!$I:$I,'Item Summary'!$B50,'Order Details'!$F:$F,'Item Summary'!I$4,'Order Details'!$C:$C,"In Production")</f>
        <v>0</v>
      </c>
      <c r="J50" s="275">
        <f>SUMIFS('Order Details'!$Q:$Q,'Order Details'!$E:$E,"Yes",'Order Details'!$I:$I,'Item Summary'!$B50,'Order Details'!$F:$F,'Item Summary'!J$4,'Order Details'!$C:$C,"PO Received")+SUMIFS('Order Details'!$Q:$Q,'Order Details'!$E:$E,"Yes",'Order Details'!$I:$I,'Item Summary'!$B50,'Order Details'!$F:$F,'Item Summary'!J$4,'Order Details'!$C:$C,"Proforma Invoice Sent")+SUMIFS('Order Details'!$Q:$Q,'Order Details'!$E:$E,"Yes",'Order Details'!$I:$I,'Item Summary'!$B50,'Order Details'!$F:$F,'Item Summary'!J$4,'Order Details'!$C:$C,"Downpayment Received")+SUMIFS('Order Details'!$Q:$Q,'Order Details'!$E:$E,"Yes",'Order Details'!$I:$I,'Item Summary'!$B50,'Order Details'!$F:$F,'Item Summary'!J$4,'Order Details'!$C:$C,"In Production")</f>
        <v>0</v>
      </c>
      <c r="K50" s="275">
        <f>SUMIFS('Order Details'!$Q:$Q,'Order Details'!$E:$E,"Yes",'Order Details'!$I:$I,'Item Summary'!$B50,'Order Details'!$F:$F,'Item Summary'!K$4,'Order Details'!$C:$C,"PO Received")+SUMIFS('Order Details'!$Q:$Q,'Order Details'!$E:$E,"Yes",'Order Details'!$I:$I,'Item Summary'!$B50,'Order Details'!$F:$F,'Item Summary'!K$4,'Order Details'!$C:$C,"Proforma Invoice Sent")+SUMIFS('Order Details'!$Q:$Q,'Order Details'!$E:$E,"Yes",'Order Details'!$I:$I,'Item Summary'!$B50,'Order Details'!$F:$F,'Item Summary'!K$4,'Order Details'!$C:$C,"Downpayment Received")+SUMIFS('Order Details'!$Q:$Q,'Order Details'!$E:$E,"Yes",'Order Details'!$I:$I,'Item Summary'!$B50,'Order Details'!$F:$F,'Item Summary'!K$4,'Order Details'!$C:$C,"In Production")</f>
        <v>0</v>
      </c>
      <c r="L50" s="291">
        <f>SUMIFS('Order Details'!$Q:$Q,'Order Details'!$E:$E,"Yes",'Order Details'!$I:$I,'Item Summary'!$B50,'Order Details'!$F:$F,'Item Summary'!L$4,'Order Details'!$C:$C,"PO Received")+SUMIFS('Order Details'!$Q:$Q,'Order Details'!$E:$E,"Yes",'Order Details'!$I:$I,'Item Summary'!$B50,'Order Details'!$F:$F,'Item Summary'!L$4,'Order Details'!$C:$C,"Proforma Invoice Sent")+SUMIFS('Order Details'!$Q:$Q,'Order Details'!$E:$E,"Yes",'Order Details'!$I:$I,'Item Summary'!$B50,'Order Details'!$F:$F,'Item Summary'!L$4,'Order Details'!$C:$C,"Downpayment Received")+SUMIFS('Order Details'!$Q:$Q,'Order Details'!$E:$E,"Yes",'Order Details'!$I:$I,'Item Summary'!$B50,'Order Details'!$F:$F,'Item Summary'!L$4,'Order Details'!$C:$C,"In Production")</f>
        <v>0</v>
      </c>
      <c r="M50" s="276">
        <f>SUMIFS('Order Details'!$Q:$Q,'Order Details'!$E:$E,"Yes",'Order Details'!$I:$I,'Item Summary'!$B50,'Order Details'!$F:$F,'Item Summary'!M$4,'Order Details'!$C:$C,"PO Received")+SUMIFS('Order Details'!$Q:$Q,'Order Details'!$E:$E,"Yes",'Order Details'!$I:$I,'Item Summary'!$B50,'Order Details'!$F:$F,'Item Summary'!M$4,'Order Details'!$C:$C,"Proforma Invoice Sent")+SUMIFS('Order Details'!$Q:$Q,'Order Details'!$E:$E,"Yes",'Order Details'!$I:$I,'Item Summary'!$B50,'Order Details'!$F:$F,'Item Summary'!M$4,'Order Details'!$C:$C,"Downpayment Received")+SUMIFS('Order Details'!$Q:$Q,'Order Details'!$E:$E,"Yes",'Order Details'!$I:$I,'Item Summary'!$B50,'Order Details'!$F:$F,'Item Summary'!M$4,'Order Details'!$C:$C,"In Production")</f>
        <v>0</v>
      </c>
      <c r="N50" s="279">
        <f t="shared" si="2"/>
        <v>200</v>
      </c>
      <c r="Q50" s="278">
        <v>695622</v>
      </c>
      <c r="R50" s="274" t="str">
        <f>VLOOKUP($Q50,'Pricing Table - eff 27-Jan-2026'!$A:$L,9,FALSE)&amp;""" "&amp;VLOOKUP($Q50,'Pricing Table - eff 27-Jan-2026'!$A:$L,12,FALSE)</f>
        <v>144" INDIGO BLUE</v>
      </c>
      <c r="S50" s="275">
        <f>SUMIFS('Order Details'!$Q:$Q,'Order Details'!$E:$E,"Yes",'Order Details'!$I:$I,$Q50,'Order Details'!$F:$F,'Item Summary'!S$4)-D50</f>
        <v>0</v>
      </c>
      <c r="T50" s="275">
        <f>SUMIFS('Order Details'!$Q:$Q,'Order Details'!$E:$E,"Yes",'Order Details'!$I:$I,$Q50,'Order Details'!$F:$F,'Item Summary'!T$4)-E50</f>
        <v>0</v>
      </c>
      <c r="U50" s="275">
        <f>SUMIFS('Order Details'!$Q:$Q,'Order Details'!$E:$E,"Yes",'Order Details'!$I:$I,$Q50,'Order Details'!$F:$F,'Item Summary'!U$4)-F50</f>
        <v>0</v>
      </c>
      <c r="V50" s="275">
        <f>SUMIFS('Order Details'!$Q:$Q,'Order Details'!$E:$E,"Yes",'Order Details'!$I:$I,$Q50,'Order Details'!$F:$F,'Item Summary'!V$4)-G50</f>
        <v>0</v>
      </c>
      <c r="W50" s="275">
        <f>SUMIFS('Order Details'!$Q:$Q,'Order Details'!$E:$E,"Yes",'Order Details'!$I:$I,$Q50,'Order Details'!$F:$F,'Item Summary'!W$4)-H50</f>
        <v>0</v>
      </c>
      <c r="X50" s="275">
        <f>SUMIFS('Order Details'!$Q:$Q,'Order Details'!$E:$E,"Yes",'Order Details'!$I:$I,$Q50,'Order Details'!$F:$F,'Item Summary'!X$4)-I50</f>
        <v>0</v>
      </c>
      <c r="Y50" s="275">
        <f>SUMIFS('Order Details'!$Q:$Q,'Order Details'!$E:$E,"Yes",'Order Details'!$I:$I,$Q50,'Order Details'!$F:$F,'Item Summary'!Y$4)-J50</f>
        <v>0</v>
      </c>
      <c r="Z50" s="275">
        <f>SUMIFS('Order Details'!$Q:$Q,'Order Details'!$E:$E,"Yes",'Order Details'!$I:$I,$Q50,'Order Details'!$F:$F,'Item Summary'!Z$4)-K50</f>
        <v>0</v>
      </c>
      <c r="AA50" s="291">
        <f>SUMIFS('Order Details'!$Q:$Q,'Order Details'!$E:$E,"Yes",'Order Details'!$I:$I,$Q50,'Order Details'!$F:$F,'Item Summary'!AA$4)-L50</f>
        <v>0</v>
      </c>
      <c r="AB50" s="276">
        <f>SUMIFS('Order Details'!$Q:$Q,'Order Details'!$E:$E,"Yes",'Order Details'!$I:$I,$Q50,'Order Details'!$F:$F,'Item Summary'!AB$4)-M50</f>
        <v>0</v>
      </c>
      <c r="AC50" s="279">
        <f t="shared" si="3"/>
        <v>0</v>
      </c>
    </row>
    <row r="51" spans="2:29" x14ac:dyDescent="0.3">
      <c r="B51" s="278">
        <v>697407</v>
      </c>
      <c r="C51" s="274" t="str">
        <f>VLOOKUP($B51,'Pricing Table - eff 27-Jan-2026'!$A:$L,9,FALSE)&amp;""" "&amp;VLOOKUP($B51,'Pricing Table - eff 27-Jan-2026'!$A:$L,12,FALSE)</f>
        <v>90" ARMY GREEN</v>
      </c>
      <c r="D51" s="275">
        <f>SUMIFS('Order Details'!$Q:$Q,'Order Details'!$E:$E,"Yes",'Order Details'!$I:$I,'Item Summary'!$B51,'Order Details'!$F:$F,'Item Summary'!D$4,'Order Details'!$C:$C,"PO Received")+SUMIFS('Order Details'!$Q:$Q,'Order Details'!$E:$E,"Yes",'Order Details'!$I:$I,'Item Summary'!$B51,'Order Details'!$F:$F,'Item Summary'!D$4,'Order Details'!$C:$C,"Proforma Invoice Sent")+SUMIFS('Order Details'!$Q:$Q,'Order Details'!$E:$E,"Yes",'Order Details'!$I:$I,'Item Summary'!$B51,'Order Details'!$F:$F,'Item Summary'!D$4,'Order Details'!$C:$C,"Downpayment Received")+SUMIFS('Order Details'!$Q:$Q,'Order Details'!$E:$E,"Yes",'Order Details'!$I:$I,'Item Summary'!$B51,'Order Details'!$F:$F,'Item Summary'!D$4,'Order Details'!$C:$C,"In Production")</f>
        <v>0</v>
      </c>
      <c r="E51" s="275">
        <f>SUMIFS('Order Details'!$Q:$Q,'Order Details'!$E:$E,"Yes",'Order Details'!$I:$I,'Item Summary'!$B51,'Order Details'!$F:$F,'Item Summary'!E$4,'Order Details'!$C:$C,"PO Received")+SUMIFS('Order Details'!$Q:$Q,'Order Details'!$E:$E,"Yes",'Order Details'!$I:$I,'Item Summary'!$B51,'Order Details'!$F:$F,'Item Summary'!E$4,'Order Details'!$C:$C,"Proforma Invoice Sent")+SUMIFS('Order Details'!$Q:$Q,'Order Details'!$E:$E,"Yes",'Order Details'!$I:$I,'Item Summary'!$B51,'Order Details'!$F:$F,'Item Summary'!E$4,'Order Details'!$C:$C,"Downpayment Received")+SUMIFS('Order Details'!$Q:$Q,'Order Details'!$E:$E,"Yes",'Order Details'!$I:$I,'Item Summary'!$B51,'Order Details'!$F:$F,'Item Summary'!E$4,'Order Details'!$C:$C,"In Production")</f>
        <v>0</v>
      </c>
      <c r="F51" s="275">
        <f>SUMIFS('Order Details'!$Q:$Q,'Order Details'!$E:$E,"Yes",'Order Details'!$I:$I,'Item Summary'!$B51,'Order Details'!$F:$F,'Item Summary'!F$4,'Order Details'!$C:$C,"PO Received")+SUMIFS('Order Details'!$Q:$Q,'Order Details'!$E:$E,"Yes",'Order Details'!$I:$I,'Item Summary'!$B51,'Order Details'!$F:$F,'Item Summary'!F$4,'Order Details'!$C:$C,"Proforma Invoice Sent")+SUMIFS('Order Details'!$Q:$Q,'Order Details'!$E:$E,"Yes",'Order Details'!$I:$I,'Item Summary'!$B51,'Order Details'!$F:$F,'Item Summary'!F$4,'Order Details'!$C:$C,"Downpayment Received")+SUMIFS('Order Details'!$Q:$Q,'Order Details'!$E:$E,"Yes",'Order Details'!$I:$I,'Item Summary'!$B51,'Order Details'!$F:$F,'Item Summary'!F$4,'Order Details'!$C:$C,"In Production")</f>
        <v>0</v>
      </c>
      <c r="G51" s="275">
        <f>SUMIFS('Order Details'!$Q:$Q,'Order Details'!$E:$E,"Yes",'Order Details'!$I:$I,'Item Summary'!$B51,'Order Details'!$F:$F,'Item Summary'!G$4,'Order Details'!$C:$C,"PO Received")+SUMIFS('Order Details'!$Q:$Q,'Order Details'!$E:$E,"Yes",'Order Details'!$I:$I,'Item Summary'!$B51,'Order Details'!$F:$F,'Item Summary'!G$4,'Order Details'!$C:$C,"Proforma Invoice Sent")+SUMIFS('Order Details'!$Q:$Q,'Order Details'!$E:$E,"Yes",'Order Details'!$I:$I,'Item Summary'!$B51,'Order Details'!$F:$F,'Item Summary'!G$4,'Order Details'!$C:$C,"Downpayment Received")+SUMIFS('Order Details'!$Q:$Q,'Order Details'!$E:$E,"Yes",'Order Details'!$I:$I,'Item Summary'!$B51,'Order Details'!$F:$F,'Item Summary'!G$4,'Order Details'!$C:$C,"In Production")</f>
        <v>0</v>
      </c>
      <c r="H51" s="275">
        <f>SUMIFS('Order Details'!$Q:$Q,'Order Details'!$E:$E,"Yes",'Order Details'!$I:$I,'Item Summary'!$B51,'Order Details'!$F:$F,'Item Summary'!H$4,'Order Details'!$C:$C,"PO Received")+SUMIFS('Order Details'!$Q:$Q,'Order Details'!$E:$E,"Yes",'Order Details'!$I:$I,'Item Summary'!$B51,'Order Details'!$F:$F,'Item Summary'!H$4,'Order Details'!$C:$C,"Proforma Invoice Sent")+SUMIFS('Order Details'!$Q:$Q,'Order Details'!$E:$E,"Yes",'Order Details'!$I:$I,'Item Summary'!$B51,'Order Details'!$F:$F,'Item Summary'!H$4,'Order Details'!$C:$C,"Downpayment Received")+SUMIFS('Order Details'!$Q:$Q,'Order Details'!$E:$E,"Yes",'Order Details'!$I:$I,'Item Summary'!$B51,'Order Details'!$F:$F,'Item Summary'!H$4,'Order Details'!$C:$C,"In Production")</f>
        <v>0</v>
      </c>
      <c r="I51" s="275">
        <f>SUMIFS('Order Details'!$Q:$Q,'Order Details'!$E:$E,"Yes",'Order Details'!$I:$I,'Item Summary'!$B51,'Order Details'!$F:$F,'Item Summary'!I$4,'Order Details'!$C:$C,"PO Received")+SUMIFS('Order Details'!$Q:$Q,'Order Details'!$E:$E,"Yes",'Order Details'!$I:$I,'Item Summary'!$B51,'Order Details'!$F:$F,'Item Summary'!I$4,'Order Details'!$C:$C,"Proforma Invoice Sent")+SUMIFS('Order Details'!$Q:$Q,'Order Details'!$E:$E,"Yes",'Order Details'!$I:$I,'Item Summary'!$B51,'Order Details'!$F:$F,'Item Summary'!I$4,'Order Details'!$C:$C,"Downpayment Received")+SUMIFS('Order Details'!$Q:$Q,'Order Details'!$E:$E,"Yes",'Order Details'!$I:$I,'Item Summary'!$B51,'Order Details'!$F:$F,'Item Summary'!I$4,'Order Details'!$C:$C,"In Production")</f>
        <v>0</v>
      </c>
      <c r="J51" s="275">
        <f>SUMIFS('Order Details'!$Q:$Q,'Order Details'!$E:$E,"Yes",'Order Details'!$I:$I,'Item Summary'!$B51,'Order Details'!$F:$F,'Item Summary'!J$4,'Order Details'!$C:$C,"PO Received")+SUMIFS('Order Details'!$Q:$Q,'Order Details'!$E:$E,"Yes",'Order Details'!$I:$I,'Item Summary'!$B51,'Order Details'!$F:$F,'Item Summary'!J$4,'Order Details'!$C:$C,"Proforma Invoice Sent")+SUMIFS('Order Details'!$Q:$Q,'Order Details'!$E:$E,"Yes",'Order Details'!$I:$I,'Item Summary'!$B51,'Order Details'!$F:$F,'Item Summary'!J$4,'Order Details'!$C:$C,"Downpayment Received")+SUMIFS('Order Details'!$Q:$Q,'Order Details'!$E:$E,"Yes",'Order Details'!$I:$I,'Item Summary'!$B51,'Order Details'!$F:$F,'Item Summary'!J$4,'Order Details'!$C:$C,"In Production")</f>
        <v>0</v>
      </c>
      <c r="K51" s="275">
        <f>SUMIFS('Order Details'!$Q:$Q,'Order Details'!$E:$E,"Yes",'Order Details'!$I:$I,'Item Summary'!$B51,'Order Details'!$F:$F,'Item Summary'!K$4,'Order Details'!$C:$C,"PO Received")+SUMIFS('Order Details'!$Q:$Q,'Order Details'!$E:$E,"Yes",'Order Details'!$I:$I,'Item Summary'!$B51,'Order Details'!$F:$F,'Item Summary'!K$4,'Order Details'!$C:$C,"Proforma Invoice Sent")+SUMIFS('Order Details'!$Q:$Q,'Order Details'!$E:$E,"Yes",'Order Details'!$I:$I,'Item Summary'!$B51,'Order Details'!$F:$F,'Item Summary'!K$4,'Order Details'!$C:$C,"Downpayment Received")+SUMIFS('Order Details'!$Q:$Q,'Order Details'!$E:$E,"Yes",'Order Details'!$I:$I,'Item Summary'!$B51,'Order Details'!$F:$F,'Item Summary'!K$4,'Order Details'!$C:$C,"In Production")</f>
        <v>0</v>
      </c>
      <c r="L51" s="291">
        <f>SUMIFS('Order Details'!$Q:$Q,'Order Details'!$E:$E,"Yes",'Order Details'!$I:$I,'Item Summary'!$B51,'Order Details'!$F:$F,'Item Summary'!L$4,'Order Details'!$C:$C,"PO Received")+SUMIFS('Order Details'!$Q:$Q,'Order Details'!$E:$E,"Yes",'Order Details'!$I:$I,'Item Summary'!$B51,'Order Details'!$F:$F,'Item Summary'!L$4,'Order Details'!$C:$C,"Proforma Invoice Sent")+SUMIFS('Order Details'!$Q:$Q,'Order Details'!$E:$E,"Yes",'Order Details'!$I:$I,'Item Summary'!$B51,'Order Details'!$F:$F,'Item Summary'!L$4,'Order Details'!$C:$C,"Downpayment Received")+SUMIFS('Order Details'!$Q:$Q,'Order Details'!$E:$E,"Yes",'Order Details'!$I:$I,'Item Summary'!$B51,'Order Details'!$F:$F,'Item Summary'!L$4,'Order Details'!$C:$C,"In Production")</f>
        <v>0</v>
      </c>
      <c r="M51" s="276">
        <f>SUMIFS('Order Details'!$Q:$Q,'Order Details'!$E:$E,"Yes",'Order Details'!$I:$I,'Item Summary'!$B51,'Order Details'!$F:$F,'Item Summary'!M$4,'Order Details'!$C:$C,"PO Received")+SUMIFS('Order Details'!$Q:$Q,'Order Details'!$E:$E,"Yes",'Order Details'!$I:$I,'Item Summary'!$B51,'Order Details'!$F:$F,'Item Summary'!M$4,'Order Details'!$C:$C,"Proforma Invoice Sent")+SUMIFS('Order Details'!$Q:$Q,'Order Details'!$E:$E,"Yes",'Order Details'!$I:$I,'Item Summary'!$B51,'Order Details'!$F:$F,'Item Summary'!M$4,'Order Details'!$C:$C,"Downpayment Received")+SUMIFS('Order Details'!$Q:$Q,'Order Details'!$E:$E,"Yes",'Order Details'!$I:$I,'Item Summary'!$B51,'Order Details'!$F:$F,'Item Summary'!M$4,'Order Details'!$C:$C,"In Production")</f>
        <v>0</v>
      </c>
      <c r="N51" s="279">
        <f t="shared" si="2"/>
        <v>0</v>
      </c>
      <c r="Q51" s="278">
        <v>697407</v>
      </c>
      <c r="R51" s="274" t="str">
        <f>VLOOKUP($Q51,'Pricing Table - eff 27-Jan-2026'!$A:$L,9,FALSE)&amp;""" "&amp;VLOOKUP($Q51,'Pricing Table - eff 27-Jan-2026'!$A:$L,12,FALSE)</f>
        <v>90" ARMY GREEN</v>
      </c>
      <c r="S51" s="275">
        <f>SUMIFS('Order Details'!$Q:$Q,'Order Details'!$E:$E,"Yes",'Order Details'!$I:$I,$Q51,'Order Details'!$F:$F,'Item Summary'!S$4)-D51</f>
        <v>0</v>
      </c>
      <c r="T51" s="275">
        <f>SUMIFS('Order Details'!$Q:$Q,'Order Details'!$E:$E,"Yes",'Order Details'!$I:$I,$Q51,'Order Details'!$F:$F,'Item Summary'!T$4)-E51</f>
        <v>0</v>
      </c>
      <c r="U51" s="275">
        <f>SUMIFS('Order Details'!$Q:$Q,'Order Details'!$E:$E,"Yes",'Order Details'!$I:$I,$Q51,'Order Details'!$F:$F,'Item Summary'!U$4)-F51</f>
        <v>0</v>
      </c>
      <c r="V51" s="275">
        <f>SUMIFS('Order Details'!$Q:$Q,'Order Details'!$E:$E,"Yes",'Order Details'!$I:$I,$Q51,'Order Details'!$F:$F,'Item Summary'!V$4)-G51</f>
        <v>400</v>
      </c>
      <c r="W51" s="275">
        <f>SUMIFS('Order Details'!$Q:$Q,'Order Details'!$E:$E,"Yes",'Order Details'!$I:$I,$Q51,'Order Details'!$F:$F,'Item Summary'!W$4)-H51</f>
        <v>0</v>
      </c>
      <c r="X51" s="275">
        <f>SUMIFS('Order Details'!$Q:$Q,'Order Details'!$E:$E,"Yes",'Order Details'!$I:$I,$Q51,'Order Details'!$F:$F,'Item Summary'!X$4)-I51</f>
        <v>0</v>
      </c>
      <c r="Y51" s="275">
        <f>SUMIFS('Order Details'!$Q:$Q,'Order Details'!$E:$E,"Yes",'Order Details'!$I:$I,$Q51,'Order Details'!$F:$F,'Item Summary'!Y$4)-J51</f>
        <v>0</v>
      </c>
      <c r="Z51" s="275">
        <f>SUMIFS('Order Details'!$Q:$Q,'Order Details'!$E:$E,"Yes",'Order Details'!$I:$I,$Q51,'Order Details'!$F:$F,'Item Summary'!Z$4)-K51</f>
        <v>0</v>
      </c>
      <c r="AA51" s="291">
        <f>SUMIFS('Order Details'!$Q:$Q,'Order Details'!$E:$E,"Yes",'Order Details'!$I:$I,$Q51,'Order Details'!$F:$F,'Item Summary'!AA$4)-L51</f>
        <v>0</v>
      </c>
      <c r="AB51" s="276">
        <f>SUMIFS('Order Details'!$Q:$Q,'Order Details'!$E:$E,"Yes",'Order Details'!$I:$I,$Q51,'Order Details'!$F:$F,'Item Summary'!AB$4)-M51</f>
        <v>0</v>
      </c>
      <c r="AC51" s="279">
        <f t="shared" si="3"/>
        <v>400</v>
      </c>
    </row>
    <row r="52" spans="2:29" x14ac:dyDescent="0.3">
      <c r="B52" s="278">
        <v>718722</v>
      </c>
      <c r="C52" s="274" t="str">
        <f>VLOOKUP($B52,'Pricing Table - eff 27-Jan-2026'!$A:$L,9,FALSE)&amp;""" "&amp;VLOOKUP($B52,'Pricing Table - eff 27-Jan-2026'!$A:$L,12,FALSE)</f>
        <v>90.5" ARMY GREEN</v>
      </c>
      <c r="D52" s="275">
        <f>SUMIFS('Order Details'!$Q:$Q,'Order Details'!$E:$E,"Yes",'Order Details'!$I:$I,'Item Summary'!$B52,'Order Details'!$F:$F,'Item Summary'!D$4,'Order Details'!$C:$C,"PO Received")+SUMIFS('Order Details'!$Q:$Q,'Order Details'!$E:$E,"Yes",'Order Details'!$I:$I,'Item Summary'!$B52,'Order Details'!$F:$F,'Item Summary'!D$4,'Order Details'!$C:$C,"Proforma Invoice Sent")+SUMIFS('Order Details'!$Q:$Q,'Order Details'!$E:$E,"Yes",'Order Details'!$I:$I,'Item Summary'!$B52,'Order Details'!$F:$F,'Item Summary'!D$4,'Order Details'!$C:$C,"Downpayment Received")+SUMIFS('Order Details'!$Q:$Q,'Order Details'!$E:$E,"Yes",'Order Details'!$I:$I,'Item Summary'!$B52,'Order Details'!$F:$F,'Item Summary'!D$4,'Order Details'!$C:$C,"In Production")</f>
        <v>0</v>
      </c>
      <c r="E52" s="275">
        <f>SUMIFS('Order Details'!$Q:$Q,'Order Details'!$E:$E,"Yes",'Order Details'!$I:$I,'Item Summary'!$B52,'Order Details'!$F:$F,'Item Summary'!E$4,'Order Details'!$C:$C,"PO Received")+SUMIFS('Order Details'!$Q:$Q,'Order Details'!$E:$E,"Yes",'Order Details'!$I:$I,'Item Summary'!$B52,'Order Details'!$F:$F,'Item Summary'!E$4,'Order Details'!$C:$C,"Proforma Invoice Sent")+SUMIFS('Order Details'!$Q:$Q,'Order Details'!$E:$E,"Yes",'Order Details'!$I:$I,'Item Summary'!$B52,'Order Details'!$F:$F,'Item Summary'!E$4,'Order Details'!$C:$C,"Downpayment Received")+SUMIFS('Order Details'!$Q:$Q,'Order Details'!$E:$E,"Yes",'Order Details'!$I:$I,'Item Summary'!$B52,'Order Details'!$F:$F,'Item Summary'!E$4,'Order Details'!$C:$C,"In Production")</f>
        <v>0</v>
      </c>
      <c r="F52" s="275">
        <f>SUMIFS('Order Details'!$Q:$Q,'Order Details'!$E:$E,"Yes",'Order Details'!$I:$I,'Item Summary'!$B52,'Order Details'!$F:$F,'Item Summary'!F$4,'Order Details'!$C:$C,"PO Received")+SUMIFS('Order Details'!$Q:$Q,'Order Details'!$E:$E,"Yes",'Order Details'!$I:$I,'Item Summary'!$B52,'Order Details'!$F:$F,'Item Summary'!F$4,'Order Details'!$C:$C,"Proforma Invoice Sent")+SUMIFS('Order Details'!$Q:$Q,'Order Details'!$E:$E,"Yes",'Order Details'!$I:$I,'Item Summary'!$B52,'Order Details'!$F:$F,'Item Summary'!F$4,'Order Details'!$C:$C,"Downpayment Received")+SUMIFS('Order Details'!$Q:$Q,'Order Details'!$E:$E,"Yes",'Order Details'!$I:$I,'Item Summary'!$B52,'Order Details'!$F:$F,'Item Summary'!F$4,'Order Details'!$C:$C,"In Production")</f>
        <v>0</v>
      </c>
      <c r="G52" s="275">
        <f>SUMIFS('Order Details'!$Q:$Q,'Order Details'!$E:$E,"Yes",'Order Details'!$I:$I,'Item Summary'!$B52,'Order Details'!$F:$F,'Item Summary'!G$4,'Order Details'!$C:$C,"PO Received")+SUMIFS('Order Details'!$Q:$Q,'Order Details'!$E:$E,"Yes",'Order Details'!$I:$I,'Item Summary'!$B52,'Order Details'!$F:$F,'Item Summary'!G$4,'Order Details'!$C:$C,"Proforma Invoice Sent")+SUMIFS('Order Details'!$Q:$Q,'Order Details'!$E:$E,"Yes",'Order Details'!$I:$I,'Item Summary'!$B52,'Order Details'!$F:$F,'Item Summary'!G$4,'Order Details'!$C:$C,"Downpayment Received")+SUMIFS('Order Details'!$Q:$Q,'Order Details'!$E:$E,"Yes",'Order Details'!$I:$I,'Item Summary'!$B52,'Order Details'!$F:$F,'Item Summary'!G$4,'Order Details'!$C:$C,"In Production")</f>
        <v>600</v>
      </c>
      <c r="H52" s="275">
        <f>SUMIFS('Order Details'!$Q:$Q,'Order Details'!$E:$E,"Yes",'Order Details'!$I:$I,'Item Summary'!$B52,'Order Details'!$F:$F,'Item Summary'!H$4,'Order Details'!$C:$C,"PO Received")+SUMIFS('Order Details'!$Q:$Q,'Order Details'!$E:$E,"Yes",'Order Details'!$I:$I,'Item Summary'!$B52,'Order Details'!$F:$F,'Item Summary'!H$4,'Order Details'!$C:$C,"Proforma Invoice Sent")+SUMIFS('Order Details'!$Q:$Q,'Order Details'!$E:$E,"Yes",'Order Details'!$I:$I,'Item Summary'!$B52,'Order Details'!$F:$F,'Item Summary'!H$4,'Order Details'!$C:$C,"Downpayment Received")+SUMIFS('Order Details'!$Q:$Q,'Order Details'!$E:$E,"Yes",'Order Details'!$I:$I,'Item Summary'!$B52,'Order Details'!$F:$F,'Item Summary'!H$4,'Order Details'!$C:$C,"In Production")</f>
        <v>0</v>
      </c>
      <c r="I52" s="275">
        <f>SUMIFS('Order Details'!$Q:$Q,'Order Details'!$E:$E,"Yes",'Order Details'!$I:$I,'Item Summary'!$B52,'Order Details'!$F:$F,'Item Summary'!I$4,'Order Details'!$C:$C,"PO Received")+SUMIFS('Order Details'!$Q:$Q,'Order Details'!$E:$E,"Yes",'Order Details'!$I:$I,'Item Summary'!$B52,'Order Details'!$F:$F,'Item Summary'!I$4,'Order Details'!$C:$C,"Proforma Invoice Sent")+SUMIFS('Order Details'!$Q:$Q,'Order Details'!$E:$E,"Yes",'Order Details'!$I:$I,'Item Summary'!$B52,'Order Details'!$F:$F,'Item Summary'!I$4,'Order Details'!$C:$C,"Downpayment Received")+SUMIFS('Order Details'!$Q:$Q,'Order Details'!$E:$E,"Yes",'Order Details'!$I:$I,'Item Summary'!$B52,'Order Details'!$F:$F,'Item Summary'!I$4,'Order Details'!$C:$C,"In Production")</f>
        <v>0</v>
      </c>
      <c r="J52" s="275">
        <f>SUMIFS('Order Details'!$Q:$Q,'Order Details'!$E:$E,"Yes",'Order Details'!$I:$I,'Item Summary'!$B52,'Order Details'!$F:$F,'Item Summary'!J$4,'Order Details'!$C:$C,"PO Received")+SUMIFS('Order Details'!$Q:$Q,'Order Details'!$E:$E,"Yes",'Order Details'!$I:$I,'Item Summary'!$B52,'Order Details'!$F:$F,'Item Summary'!J$4,'Order Details'!$C:$C,"Proforma Invoice Sent")+SUMIFS('Order Details'!$Q:$Q,'Order Details'!$E:$E,"Yes",'Order Details'!$I:$I,'Item Summary'!$B52,'Order Details'!$F:$F,'Item Summary'!J$4,'Order Details'!$C:$C,"Downpayment Received")+SUMIFS('Order Details'!$Q:$Q,'Order Details'!$E:$E,"Yes",'Order Details'!$I:$I,'Item Summary'!$B52,'Order Details'!$F:$F,'Item Summary'!J$4,'Order Details'!$C:$C,"In Production")</f>
        <v>0</v>
      </c>
      <c r="K52" s="275">
        <f>SUMIFS('Order Details'!$Q:$Q,'Order Details'!$E:$E,"Yes",'Order Details'!$I:$I,'Item Summary'!$B52,'Order Details'!$F:$F,'Item Summary'!K$4,'Order Details'!$C:$C,"PO Received")+SUMIFS('Order Details'!$Q:$Q,'Order Details'!$E:$E,"Yes",'Order Details'!$I:$I,'Item Summary'!$B52,'Order Details'!$F:$F,'Item Summary'!K$4,'Order Details'!$C:$C,"Proforma Invoice Sent")+SUMIFS('Order Details'!$Q:$Q,'Order Details'!$E:$E,"Yes",'Order Details'!$I:$I,'Item Summary'!$B52,'Order Details'!$F:$F,'Item Summary'!K$4,'Order Details'!$C:$C,"Downpayment Received")+SUMIFS('Order Details'!$Q:$Q,'Order Details'!$E:$E,"Yes",'Order Details'!$I:$I,'Item Summary'!$B52,'Order Details'!$F:$F,'Item Summary'!K$4,'Order Details'!$C:$C,"In Production")</f>
        <v>0</v>
      </c>
      <c r="L52" s="291">
        <f>SUMIFS('Order Details'!$Q:$Q,'Order Details'!$E:$E,"Yes",'Order Details'!$I:$I,'Item Summary'!$B52,'Order Details'!$F:$F,'Item Summary'!L$4,'Order Details'!$C:$C,"PO Received")+SUMIFS('Order Details'!$Q:$Q,'Order Details'!$E:$E,"Yes",'Order Details'!$I:$I,'Item Summary'!$B52,'Order Details'!$F:$F,'Item Summary'!L$4,'Order Details'!$C:$C,"Proforma Invoice Sent")+SUMIFS('Order Details'!$Q:$Q,'Order Details'!$E:$E,"Yes",'Order Details'!$I:$I,'Item Summary'!$B52,'Order Details'!$F:$F,'Item Summary'!L$4,'Order Details'!$C:$C,"Downpayment Received")+SUMIFS('Order Details'!$Q:$Q,'Order Details'!$E:$E,"Yes",'Order Details'!$I:$I,'Item Summary'!$B52,'Order Details'!$F:$F,'Item Summary'!L$4,'Order Details'!$C:$C,"In Production")</f>
        <v>0</v>
      </c>
      <c r="M52" s="276">
        <f>SUMIFS('Order Details'!$Q:$Q,'Order Details'!$E:$E,"Yes",'Order Details'!$I:$I,'Item Summary'!$B52,'Order Details'!$F:$F,'Item Summary'!M$4,'Order Details'!$C:$C,"PO Received")+SUMIFS('Order Details'!$Q:$Q,'Order Details'!$E:$E,"Yes",'Order Details'!$I:$I,'Item Summary'!$B52,'Order Details'!$F:$F,'Item Summary'!M$4,'Order Details'!$C:$C,"Proforma Invoice Sent")+SUMIFS('Order Details'!$Q:$Q,'Order Details'!$E:$E,"Yes",'Order Details'!$I:$I,'Item Summary'!$B52,'Order Details'!$F:$F,'Item Summary'!M$4,'Order Details'!$C:$C,"Downpayment Received")+SUMIFS('Order Details'!$Q:$Q,'Order Details'!$E:$E,"Yes",'Order Details'!$I:$I,'Item Summary'!$B52,'Order Details'!$F:$F,'Item Summary'!M$4,'Order Details'!$C:$C,"In Production")</f>
        <v>0</v>
      </c>
      <c r="N52" s="279">
        <f t="shared" si="2"/>
        <v>600</v>
      </c>
      <c r="Q52" s="278">
        <v>718722</v>
      </c>
      <c r="R52" s="274" t="str">
        <f>VLOOKUP($Q52,'Pricing Table - eff 27-Jan-2026'!$A:$L,9,FALSE)&amp;""" "&amp;VLOOKUP($Q52,'Pricing Table - eff 27-Jan-2026'!$A:$L,12,FALSE)</f>
        <v>90.5" ARMY GREEN</v>
      </c>
      <c r="S52" s="275">
        <f>SUMIFS('Order Details'!$Q:$Q,'Order Details'!$E:$E,"Yes",'Order Details'!$I:$I,$Q52,'Order Details'!$F:$F,'Item Summary'!S$4)-D52</f>
        <v>0</v>
      </c>
      <c r="T52" s="275">
        <f>SUMIFS('Order Details'!$Q:$Q,'Order Details'!$E:$E,"Yes",'Order Details'!$I:$I,$Q52,'Order Details'!$F:$F,'Item Summary'!T$4)-E52</f>
        <v>0</v>
      </c>
      <c r="U52" s="275">
        <f>SUMIFS('Order Details'!$Q:$Q,'Order Details'!$E:$E,"Yes",'Order Details'!$I:$I,$Q52,'Order Details'!$F:$F,'Item Summary'!U$4)-F52</f>
        <v>0</v>
      </c>
      <c r="V52" s="275">
        <f>SUMIFS('Order Details'!$Q:$Q,'Order Details'!$E:$E,"Yes",'Order Details'!$I:$I,$Q52,'Order Details'!$F:$F,'Item Summary'!V$4)-G52</f>
        <v>0</v>
      </c>
      <c r="W52" s="275">
        <f>SUMIFS('Order Details'!$Q:$Q,'Order Details'!$E:$E,"Yes",'Order Details'!$I:$I,$Q52,'Order Details'!$F:$F,'Item Summary'!W$4)-H52</f>
        <v>0</v>
      </c>
      <c r="X52" s="275">
        <f>SUMIFS('Order Details'!$Q:$Q,'Order Details'!$E:$E,"Yes",'Order Details'!$I:$I,$Q52,'Order Details'!$F:$F,'Item Summary'!X$4)-I52</f>
        <v>0</v>
      </c>
      <c r="Y52" s="275">
        <f>SUMIFS('Order Details'!$Q:$Q,'Order Details'!$E:$E,"Yes",'Order Details'!$I:$I,$Q52,'Order Details'!$F:$F,'Item Summary'!Y$4)-J52</f>
        <v>0</v>
      </c>
      <c r="Z52" s="275">
        <f>SUMIFS('Order Details'!$Q:$Q,'Order Details'!$E:$E,"Yes",'Order Details'!$I:$I,$Q52,'Order Details'!$F:$F,'Item Summary'!Z$4)-K52</f>
        <v>0</v>
      </c>
      <c r="AA52" s="291">
        <f>SUMIFS('Order Details'!$Q:$Q,'Order Details'!$E:$E,"Yes",'Order Details'!$I:$I,$Q52,'Order Details'!$F:$F,'Item Summary'!AA$4)-L52</f>
        <v>0</v>
      </c>
      <c r="AB52" s="276">
        <f>SUMIFS('Order Details'!$Q:$Q,'Order Details'!$E:$E,"Yes",'Order Details'!$I:$I,$Q52,'Order Details'!$F:$F,'Item Summary'!AB$4)-M52</f>
        <v>0</v>
      </c>
      <c r="AC52" s="279">
        <f t="shared" si="3"/>
        <v>0</v>
      </c>
    </row>
    <row r="53" spans="2:29" x14ac:dyDescent="0.3">
      <c r="B53" s="278">
        <v>697408</v>
      </c>
      <c r="C53" s="274" t="str">
        <f>VLOOKUP($B53,'Pricing Table - eff 27-Jan-2026'!$A:$L,9,FALSE)&amp;""" "&amp;VLOOKUP($B53,'Pricing Table - eff 27-Jan-2026'!$A:$L,12,FALSE)</f>
        <v>96" ARMY GREEN</v>
      </c>
      <c r="D53" s="275">
        <f>SUMIFS('Order Details'!$Q:$Q,'Order Details'!$E:$E,"Yes",'Order Details'!$I:$I,'Item Summary'!$B53,'Order Details'!$F:$F,'Item Summary'!D$4,'Order Details'!$C:$C,"PO Received")+SUMIFS('Order Details'!$Q:$Q,'Order Details'!$E:$E,"Yes",'Order Details'!$I:$I,'Item Summary'!$B53,'Order Details'!$F:$F,'Item Summary'!D$4,'Order Details'!$C:$C,"Proforma Invoice Sent")+SUMIFS('Order Details'!$Q:$Q,'Order Details'!$E:$E,"Yes",'Order Details'!$I:$I,'Item Summary'!$B53,'Order Details'!$F:$F,'Item Summary'!D$4,'Order Details'!$C:$C,"Downpayment Received")+SUMIFS('Order Details'!$Q:$Q,'Order Details'!$E:$E,"Yes",'Order Details'!$I:$I,'Item Summary'!$B53,'Order Details'!$F:$F,'Item Summary'!D$4,'Order Details'!$C:$C,"In Production")</f>
        <v>0</v>
      </c>
      <c r="E53" s="275">
        <f>SUMIFS('Order Details'!$Q:$Q,'Order Details'!$E:$E,"Yes",'Order Details'!$I:$I,'Item Summary'!$B53,'Order Details'!$F:$F,'Item Summary'!E$4,'Order Details'!$C:$C,"PO Received")+SUMIFS('Order Details'!$Q:$Q,'Order Details'!$E:$E,"Yes",'Order Details'!$I:$I,'Item Summary'!$B53,'Order Details'!$F:$F,'Item Summary'!E$4,'Order Details'!$C:$C,"Proforma Invoice Sent")+SUMIFS('Order Details'!$Q:$Q,'Order Details'!$E:$E,"Yes",'Order Details'!$I:$I,'Item Summary'!$B53,'Order Details'!$F:$F,'Item Summary'!E$4,'Order Details'!$C:$C,"Downpayment Received")+SUMIFS('Order Details'!$Q:$Q,'Order Details'!$E:$E,"Yes",'Order Details'!$I:$I,'Item Summary'!$B53,'Order Details'!$F:$F,'Item Summary'!E$4,'Order Details'!$C:$C,"In Production")</f>
        <v>0</v>
      </c>
      <c r="F53" s="275">
        <f>SUMIFS('Order Details'!$Q:$Q,'Order Details'!$E:$E,"Yes",'Order Details'!$I:$I,'Item Summary'!$B53,'Order Details'!$F:$F,'Item Summary'!F$4,'Order Details'!$C:$C,"PO Received")+SUMIFS('Order Details'!$Q:$Q,'Order Details'!$E:$E,"Yes",'Order Details'!$I:$I,'Item Summary'!$B53,'Order Details'!$F:$F,'Item Summary'!F$4,'Order Details'!$C:$C,"Proforma Invoice Sent")+SUMIFS('Order Details'!$Q:$Q,'Order Details'!$E:$E,"Yes",'Order Details'!$I:$I,'Item Summary'!$B53,'Order Details'!$F:$F,'Item Summary'!F$4,'Order Details'!$C:$C,"Downpayment Received")+SUMIFS('Order Details'!$Q:$Q,'Order Details'!$E:$E,"Yes",'Order Details'!$I:$I,'Item Summary'!$B53,'Order Details'!$F:$F,'Item Summary'!F$4,'Order Details'!$C:$C,"In Production")</f>
        <v>0</v>
      </c>
      <c r="G53" s="275">
        <f>SUMIFS('Order Details'!$Q:$Q,'Order Details'!$E:$E,"Yes",'Order Details'!$I:$I,'Item Summary'!$B53,'Order Details'!$F:$F,'Item Summary'!G$4,'Order Details'!$C:$C,"PO Received")+SUMIFS('Order Details'!$Q:$Q,'Order Details'!$E:$E,"Yes",'Order Details'!$I:$I,'Item Summary'!$B53,'Order Details'!$F:$F,'Item Summary'!G$4,'Order Details'!$C:$C,"Proforma Invoice Sent")+SUMIFS('Order Details'!$Q:$Q,'Order Details'!$E:$E,"Yes",'Order Details'!$I:$I,'Item Summary'!$B53,'Order Details'!$F:$F,'Item Summary'!G$4,'Order Details'!$C:$C,"Downpayment Received")+SUMIFS('Order Details'!$Q:$Q,'Order Details'!$E:$E,"Yes",'Order Details'!$I:$I,'Item Summary'!$B53,'Order Details'!$F:$F,'Item Summary'!G$4,'Order Details'!$C:$C,"In Production")</f>
        <v>1400</v>
      </c>
      <c r="H53" s="275">
        <f>SUMIFS('Order Details'!$Q:$Q,'Order Details'!$E:$E,"Yes",'Order Details'!$I:$I,'Item Summary'!$B53,'Order Details'!$F:$F,'Item Summary'!H$4,'Order Details'!$C:$C,"PO Received")+SUMIFS('Order Details'!$Q:$Q,'Order Details'!$E:$E,"Yes",'Order Details'!$I:$I,'Item Summary'!$B53,'Order Details'!$F:$F,'Item Summary'!H$4,'Order Details'!$C:$C,"Proforma Invoice Sent")+SUMIFS('Order Details'!$Q:$Q,'Order Details'!$E:$E,"Yes",'Order Details'!$I:$I,'Item Summary'!$B53,'Order Details'!$F:$F,'Item Summary'!H$4,'Order Details'!$C:$C,"Downpayment Received")+SUMIFS('Order Details'!$Q:$Q,'Order Details'!$E:$E,"Yes",'Order Details'!$I:$I,'Item Summary'!$B53,'Order Details'!$F:$F,'Item Summary'!H$4,'Order Details'!$C:$C,"In Production")</f>
        <v>0</v>
      </c>
      <c r="I53" s="275">
        <f>SUMIFS('Order Details'!$Q:$Q,'Order Details'!$E:$E,"Yes",'Order Details'!$I:$I,'Item Summary'!$B53,'Order Details'!$F:$F,'Item Summary'!I$4,'Order Details'!$C:$C,"PO Received")+SUMIFS('Order Details'!$Q:$Q,'Order Details'!$E:$E,"Yes",'Order Details'!$I:$I,'Item Summary'!$B53,'Order Details'!$F:$F,'Item Summary'!I$4,'Order Details'!$C:$C,"Proforma Invoice Sent")+SUMIFS('Order Details'!$Q:$Q,'Order Details'!$E:$E,"Yes",'Order Details'!$I:$I,'Item Summary'!$B53,'Order Details'!$F:$F,'Item Summary'!I$4,'Order Details'!$C:$C,"Downpayment Received")+SUMIFS('Order Details'!$Q:$Q,'Order Details'!$E:$E,"Yes",'Order Details'!$I:$I,'Item Summary'!$B53,'Order Details'!$F:$F,'Item Summary'!I$4,'Order Details'!$C:$C,"In Production")</f>
        <v>0</v>
      </c>
      <c r="J53" s="275">
        <f>SUMIFS('Order Details'!$Q:$Q,'Order Details'!$E:$E,"Yes",'Order Details'!$I:$I,'Item Summary'!$B53,'Order Details'!$F:$F,'Item Summary'!J$4,'Order Details'!$C:$C,"PO Received")+SUMIFS('Order Details'!$Q:$Q,'Order Details'!$E:$E,"Yes",'Order Details'!$I:$I,'Item Summary'!$B53,'Order Details'!$F:$F,'Item Summary'!J$4,'Order Details'!$C:$C,"Proforma Invoice Sent")+SUMIFS('Order Details'!$Q:$Q,'Order Details'!$E:$E,"Yes",'Order Details'!$I:$I,'Item Summary'!$B53,'Order Details'!$F:$F,'Item Summary'!J$4,'Order Details'!$C:$C,"Downpayment Received")+SUMIFS('Order Details'!$Q:$Q,'Order Details'!$E:$E,"Yes",'Order Details'!$I:$I,'Item Summary'!$B53,'Order Details'!$F:$F,'Item Summary'!J$4,'Order Details'!$C:$C,"In Production")</f>
        <v>0</v>
      </c>
      <c r="K53" s="275">
        <f>SUMIFS('Order Details'!$Q:$Q,'Order Details'!$E:$E,"Yes",'Order Details'!$I:$I,'Item Summary'!$B53,'Order Details'!$F:$F,'Item Summary'!K$4,'Order Details'!$C:$C,"PO Received")+SUMIFS('Order Details'!$Q:$Q,'Order Details'!$E:$E,"Yes",'Order Details'!$I:$I,'Item Summary'!$B53,'Order Details'!$F:$F,'Item Summary'!K$4,'Order Details'!$C:$C,"Proforma Invoice Sent")+SUMIFS('Order Details'!$Q:$Q,'Order Details'!$E:$E,"Yes",'Order Details'!$I:$I,'Item Summary'!$B53,'Order Details'!$F:$F,'Item Summary'!K$4,'Order Details'!$C:$C,"Downpayment Received")+SUMIFS('Order Details'!$Q:$Q,'Order Details'!$E:$E,"Yes",'Order Details'!$I:$I,'Item Summary'!$B53,'Order Details'!$F:$F,'Item Summary'!K$4,'Order Details'!$C:$C,"In Production")</f>
        <v>0</v>
      </c>
      <c r="L53" s="291">
        <f>SUMIFS('Order Details'!$Q:$Q,'Order Details'!$E:$E,"Yes",'Order Details'!$I:$I,'Item Summary'!$B53,'Order Details'!$F:$F,'Item Summary'!L$4,'Order Details'!$C:$C,"PO Received")+SUMIFS('Order Details'!$Q:$Q,'Order Details'!$E:$E,"Yes",'Order Details'!$I:$I,'Item Summary'!$B53,'Order Details'!$F:$F,'Item Summary'!L$4,'Order Details'!$C:$C,"Proforma Invoice Sent")+SUMIFS('Order Details'!$Q:$Q,'Order Details'!$E:$E,"Yes",'Order Details'!$I:$I,'Item Summary'!$B53,'Order Details'!$F:$F,'Item Summary'!L$4,'Order Details'!$C:$C,"Downpayment Received")+SUMIFS('Order Details'!$Q:$Q,'Order Details'!$E:$E,"Yes",'Order Details'!$I:$I,'Item Summary'!$B53,'Order Details'!$F:$F,'Item Summary'!L$4,'Order Details'!$C:$C,"In Production")</f>
        <v>0</v>
      </c>
      <c r="M53" s="276">
        <f>SUMIFS('Order Details'!$Q:$Q,'Order Details'!$E:$E,"Yes",'Order Details'!$I:$I,'Item Summary'!$B53,'Order Details'!$F:$F,'Item Summary'!M$4,'Order Details'!$C:$C,"PO Received")+SUMIFS('Order Details'!$Q:$Q,'Order Details'!$E:$E,"Yes",'Order Details'!$I:$I,'Item Summary'!$B53,'Order Details'!$F:$F,'Item Summary'!M$4,'Order Details'!$C:$C,"Proforma Invoice Sent")+SUMIFS('Order Details'!$Q:$Q,'Order Details'!$E:$E,"Yes",'Order Details'!$I:$I,'Item Summary'!$B53,'Order Details'!$F:$F,'Item Summary'!M$4,'Order Details'!$C:$C,"Downpayment Received")+SUMIFS('Order Details'!$Q:$Q,'Order Details'!$E:$E,"Yes",'Order Details'!$I:$I,'Item Summary'!$B53,'Order Details'!$F:$F,'Item Summary'!M$4,'Order Details'!$C:$C,"In Production")</f>
        <v>0</v>
      </c>
      <c r="N53" s="279">
        <f t="shared" si="2"/>
        <v>1400</v>
      </c>
      <c r="Q53" s="278">
        <v>697408</v>
      </c>
      <c r="R53" s="274" t="str">
        <f>VLOOKUP($Q53,'Pricing Table - eff 27-Jan-2026'!$A:$L,9,FALSE)&amp;""" "&amp;VLOOKUP($Q53,'Pricing Table - eff 27-Jan-2026'!$A:$L,12,FALSE)</f>
        <v>96" ARMY GREEN</v>
      </c>
      <c r="S53" s="275">
        <f>SUMIFS('Order Details'!$Q:$Q,'Order Details'!$E:$E,"Yes",'Order Details'!$I:$I,$Q53,'Order Details'!$F:$F,'Item Summary'!S$4)-D53</f>
        <v>0</v>
      </c>
      <c r="T53" s="275">
        <f>SUMIFS('Order Details'!$Q:$Q,'Order Details'!$E:$E,"Yes",'Order Details'!$I:$I,$Q53,'Order Details'!$F:$F,'Item Summary'!T$4)-E53</f>
        <v>0</v>
      </c>
      <c r="U53" s="275">
        <f>SUMIFS('Order Details'!$Q:$Q,'Order Details'!$E:$E,"Yes",'Order Details'!$I:$I,$Q53,'Order Details'!$F:$F,'Item Summary'!U$4)-F53</f>
        <v>0</v>
      </c>
      <c r="V53" s="275">
        <f>SUMIFS('Order Details'!$Q:$Q,'Order Details'!$E:$E,"Yes",'Order Details'!$I:$I,$Q53,'Order Details'!$F:$F,'Item Summary'!V$4)-G53</f>
        <v>800</v>
      </c>
      <c r="W53" s="275">
        <f>SUMIFS('Order Details'!$Q:$Q,'Order Details'!$E:$E,"Yes",'Order Details'!$I:$I,$Q53,'Order Details'!$F:$F,'Item Summary'!W$4)-H53</f>
        <v>0</v>
      </c>
      <c r="X53" s="275">
        <f>SUMIFS('Order Details'!$Q:$Q,'Order Details'!$E:$E,"Yes",'Order Details'!$I:$I,$Q53,'Order Details'!$F:$F,'Item Summary'!X$4)-I53</f>
        <v>0</v>
      </c>
      <c r="Y53" s="275">
        <f>SUMIFS('Order Details'!$Q:$Q,'Order Details'!$E:$E,"Yes",'Order Details'!$I:$I,$Q53,'Order Details'!$F:$F,'Item Summary'!Y$4)-J53</f>
        <v>0</v>
      </c>
      <c r="Z53" s="275">
        <f>SUMIFS('Order Details'!$Q:$Q,'Order Details'!$E:$E,"Yes",'Order Details'!$I:$I,$Q53,'Order Details'!$F:$F,'Item Summary'!Z$4)-K53</f>
        <v>0</v>
      </c>
      <c r="AA53" s="291">
        <f>SUMIFS('Order Details'!$Q:$Q,'Order Details'!$E:$E,"Yes",'Order Details'!$I:$I,$Q53,'Order Details'!$F:$F,'Item Summary'!AA$4)-L53</f>
        <v>0</v>
      </c>
      <c r="AB53" s="276">
        <f>SUMIFS('Order Details'!$Q:$Q,'Order Details'!$E:$E,"Yes",'Order Details'!$I:$I,$Q53,'Order Details'!$F:$F,'Item Summary'!AB$4)-M53</f>
        <v>0</v>
      </c>
      <c r="AC53" s="279">
        <f t="shared" si="3"/>
        <v>800</v>
      </c>
    </row>
    <row r="54" spans="2:29" x14ac:dyDescent="0.3">
      <c r="B54" s="278">
        <v>697405</v>
      </c>
      <c r="C54" s="274" t="str">
        <f>VLOOKUP($B54,'Pricing Table - eff 27-Jan-2026'!$A:$L,9,FALSE)&amp;""" "&amp;VLOOKUP($B54,'Pricing Table - eff 27-Jan-2026'!$A:$L,12,FALSE)</f>
        <v>108" ARMY GREEN</v>
      </c>
      <c r="D54" s="275">
        <f>SUMIFS('Order Details'!$Q:$Q,'Order Details'!$E:$E,"Yes",'Order Details'!$I:$I,'Item Summary'!$B54,'Order Details'!$F:$F,'Item Summary'!D$4,'Order Details'!$C:$C,"PO Received")+SUMIFS('Order Details'!$Q:$Q,'Order Details'!$E:$E,"Yes",'Order Details'!$I:$I,'Item Summary'!$B54,'Order Details'!$F:$F,'Item Summary'!D$4,'Order Details'!$C:$C,"Proforma Invoice Sent")+SUMIFS('Order Details'!$Q:$Q,'Order Details'!$E:$E,"Yes",'Order Details'!$I:$I,'Item Summary'!$B54,'Order Details'!$F:$F,'Item Summary'!D$4,'Order Details'!$C:$C,"Downpayment Received")+SUMIFS('Order Details'!$Q:$Q,'Order Details'!$E:$E,"Yes",'Order Details'!$I:$I,'Item Summary'!$B54,'Order Details'!$F:$F,'Item Summary'!D$4,'Order Details'!$C:$C,"In Production")</f>
        <v>0</v>
      </c>
      <c r="E54" s="275">
        <f>SUMIFS('Order Details'!$Q:$Q,'Order Details'!$E:$E,"Yes",'Order Details'!$I:$I,'Item Summary'!$B54,'Order Details'!$F:$F,'Item Summary'!E$4,'Order Details'!$C:$C,"PO Received")+SUMIFS('Order Details'!$Q:$Q,'Order Details'!$E:$E,"Yes",'Order Details'!$I:$I,'Item Summary'!$B54,'Order Details'!$F:$F,'Item Summary'!E$4,'Order Details'!$C:$C,"Proforma Invoice Sent")+SUMIFS('Order Details'!$Q:$Q,'Order Details'!$E:$E,"Yes",'Order Details'!$I:$I,'Item Summary'!$B54,'Order Details'!$F:$F,'Item Summary'!E$4,'Order Details'!$C:$C,"Downpayment Received")+SUMIFS('Order Details'!$Q:$Q,'Order Details'!$E:$E,"Yes",'Order Details'!$I:$I,'Item Summary'!$B54,'Order Details'!$F:$F,'Item Summary'!E$4,'Order Details'!$C:$C,"In Production")</f>
        <v>0</v>
      </c>
      <c r="F54" s="275">
        <f>SUMIFS('Order Details'!$Q:$Q,'Order Details'!$E:$E,"Yes",'Order Details'!$I:$I,'Item Summary'!$B54,'Order Details'!$F:$F,'Item Summary'!F$4,'Order Details'!$C:$C,"PO Received")+SUMIFS('Order Details'!$Q:$Q,'Order Details'!$E:$E,"Yes",'Order Details'!$I:$I,'Item Summary'!$B54,'Order Details'!$F:$F,'Item Summary'!F$4,'Order Details'!$C:$C,"Proforma Invoice Sent")+SUMIFS('Order Details'!$Q:$Q,'Order Details'!$E:$E,"Yes",'Order Details'!$I:$I,'Item Summary'!$B54,'Order Details'!$F:$F,'Item Summary'!F$4,'Order Details'!$C:$C,"Downpayment Received")+SUMIFS('Order Details'!$Q:$Q,'Order Details'!$E:$E,"Yes",'Order Details'!$I:$I,'Item Summary'!$B54,'Order Details'!$F:$F,'Item Summary'!F$4,'Order Details'!$C:$C,"In Production")</f>
        <v>0</v>
      </c>
      <c r="G54" s="275">
        <f>SUMIFS('Order Details'!$Q:$Q,'Order Details'!$E:$E,"Yes",'Order Details'!$I:$I,'Item Summary'!$B54,'Order Details'!$F:$F,'Item Summary'!G$4,'Order Details'!$C:$C,"PO Received")+SUMIFS('Order Details'!$Q:$Q,'Order Details'!$E:$E,"Yes",'Order Details'!$I:$I,'Item Summary'!$B54,'Order Details'!$F:$F,'Item Summary'!G$4,'Order Details'!$C:$C,"Proforma Invoice Sent")+SUMIFS('Order Details'!$Q:$Q,'Order Details'!$E:$E,"Yes",'Order Details'!$I:$I,'Item Summary'!$B54,'Order Details'!$F:$F,'Item Summary'!G$4,'Order Details'!$C:$C,"Downpayment Received")+SUMIFS('Order Details'!$Q:$Q,'Order Details'!$E:$E,"Yes",'Order Details'!$I:$I,'Item Summary'!$B54,'Order Details'!$F:$F,'Item Summary'!G$4,'Order Details'!$C:$C,"In Production")</f>
        <v>800</v>
      </c>
      <c r="H54" s="275">
        <f>SUMIFS('Order Details'!$Q:$Q,'Order Details'!$E:$E,"Yes",'Order Details'!$I:$I,'Item Summary'!$B54,'Order Details'!$F:$F,'Item Summary'!H$4,'Order Details'!$C:$C,"PO Received")+SUMIFS('Order Details'!$Q:$Q,'Order Details'!$E:$E,"Yes",'Order Details'!$I:$I,'Item Summary'!$B54,'Order Details'!$F:$F,'Item Summary'!H$4,'Order Details'!$C:$C,"Proforma Invoice Sent")+SUMIFS('Order Details'!$Q:$Q,'Order Details'!$E:$E,"Yes",'Order Details'!$I:$I,'Item Summary'!$B54,'Order Details'!$F:$F,'Item Summary'!H$4,'Order Details'!$C:$C,"Downpayment Received")+SUMIFS('Order Details'!$Q:$Q,'Order Details'!$E:$E,"Yes",'Order Details'!$I:$I,'Item Summary'!$B54,'Order Details'!$F:$F,'Item Summary'!H$4,'Order Details'!$C:$C,"In Production")</f>
        <v>0</v>
      </c>
      <c r="I54" s="275">
        <f>SUMIFS('Order Details'!$Q:$Q,'Order Details'!$E:$E,"Yes",'Order Details'!$I:$I,'Item Summary'!$B54,'Order Details'!$F:$F,'Item Summary'!I$4,'Order Details'!$C:$C,"PO Received")+SUMIFS('Order Details'!$Q:$Q,'Order Details'!$E:$E,"Yes",'Order Details'!$I:$I,'Item Summary'!$B54,'Order Details'!$F:$F,'Item Summary'!I$4,'Order Details'!$C:$C,"Proforma Invoice Sent")+SUMIFS('Order Details'!$Q:$Q,'Order Details'!$E:$E,"Yes",'Order Details'!$I:$I,'Item Summary'!$B54,'Order Details'!$F:$F,'Item Summary'!I$4,'Order Details'!$C:$C,"Downpayment Received")+SUMIFS('Order Details'!$Q:$Q,'Order Details'!$E:$E,"Yes",'Order Details'!$I:$I,'Item Summary'!$B54,'Order Details'!$F:$F,'Item Summary'!I$4,'Order Details'!$C:$C,"In Production")</f>
        <v>0</v>
      </c>
      <c r="J54" s="275">
        <f>SUMIFS('Order Details'!$Q:$Q,'Order Details'!$E:$E,"Yes",'Order Details'!$I:$I,'Item Summary'!$B54,'Order Details'!$F:$F,'Item Summary'!J$4,'Order Details'!$C:$C,"PO Received")+SUMIFS('Order Details'!$Q:$Q,'Order Details'!$E:$E,"Yes",'Order Details'!$I:$I,'Item Summary'!$B54,'Order Details'!$F:$F,'Item Summary'!J$4,'Order Details'!$C:$C,"Proforma Invoice Sent")+SUMIFS('Order Details'!$Q:$Q,'Order Details'!$E:$E,"Yes",'Order Details'!$I:$I,'Item Summary'!$B54,'Order Details'!$F:$F,'Item Summary'!J$4,'Order Details'!$C:$C,"Downpayment Received")+SUMIFS('Order Details'!$Q:$Q,'Order Details'!$E:$E,"Yes",'Order Details'!$I:$I,'Item Summary'!$B54,'Order Details'!$F:$F,'Item Summary'!J$4,'Order Details'!$C:$C,"In Production")</f>
        <v>0</v>
      </c>
      <c r="K54" s="275">
        <f>SUMIFS('Order Details'!$Q:$Q,'Order Details'!$E:$E,"Yes",'Order Details'!$I:$I,'Item Summary'!$B54,'Order Details'!$F:$F,'Item Summary'!K$4,'Order Details'!$C:$C,"PO Received")+SUMIFS('Order Details'!$Q:$Q,'Order Details'!$E:$E,"Yes",'Order Details'!$I:$I,'Item Summary'!$B54,'Order Details'!$F:$F,'Item Summary'!K$4,'Order Details'!$C:$C,"Proforma Invoice Sent")+SUMIFS('Order Details'!$Q:$Q,'Order Details'!$E:$E,"Yes",'Order Details'!$I:$I,'Item Summary'!$B54,'Order Details'!$F:$F,'Item Summary'!K$4,'Order Details'!$C:$C,"Downpayment Received")+SUMIFS('Order Details'!$Q:$Q,'Order Details'!$E:$E,"Yes",'Order Details'!$I:$I,'Item Summary'!$B54,'Order Details'!$F:$F,'Item Summary'!K$4,'Order Details'!$C:$C,"In Production")</f>
        <v>0</v>
      </c>
      <c r="L54" s="291">
        <f>SUMIFS('Order Details'!$Q:$Q,'Order Details'!$E:$E,"Yes",'Order Details'!$I:$I,'Item Summary'!$B54,'Order Details'!$F:$F,'Item Summary'!L$4,'Order Details'!$C:$C,"PO Received")+SUMIFS('Order Details'!$Q:$Q,'Order Details'!$E:$E,"Yes",'Order Details'!$I:$I,'Item Summary'!$B54,'Order Details'!$F:$F,'Item Summary'!L$4,'Order Details'!$C:$C,"Proforma Invoice Sent")+SUMIFS('Order Details'!$Q:$Q,'Order Details'!$E:$E,"Yes",'Order Details'!$I:$I,'Item Summary'!$B54,'Order Details'!$F:$F,'Item Summary'!L$4,'Order Details'!$C:$C,"Downpayment Received")+SUMIFS('Order Details'!$Q:$Q,'Order Details'!$E:$E,"Yes",'Order Details'!$I:$I,'Item Summary'!$B54,'Order Details'!$F:$F,'Item Summary'!L$4,'Order Details'!$C:$C,"In Production")</f>
        <v>0</v>
      </c>
      <c r="M54" s="276">
        <f>SUMIFS('Order Details'!$Q:$Q,'Order Details'!$E:$E,"Yes",'Order Details'!$I:$I,'Item Summary'!$B54,'Order Details'!$F:$F,'Item Summary'!M$4,'Order Details'!$C:$C,"PO Received")+SUMIFS('Order Details'!$Q:$Q,'Order Details'!$E:$E,"Yes",'Order Details'!$I:$I,'Item Summary'!$B54,'Order Details'!$F:$F,'Item Summary'!M$4,'Order Details'!$C:$C,"Proforma Invoice Sent")+SUMIFS('Order Details'!$Q:$Q,'Order Details'!$E:$E,"Yes",'Order Details'!$I:$I,'Item Summary'!$B54,'Order Details'!$F:$F,'Item Summary'!M$4,'Order Details'!$C:$C,"Downpayment Received")+SUMIFS('Order Details'!$Q:$Q,'Order Details'!$E:$E,"Yes",'Order Details'!$I:$I,'Item Summary'!$B54,'Order Details'!$F:$F,'Item Summary'!M$4,'Order Details'!$C:$C,"In Production")</f>
        <v>0</v>
      </c>
      <c r="N54" s="279">
        <f t="shared" si="2"/>
        <v>800</v>
      </c>
      <c r="Q54" s="278">
        <v>697405</v>
      </c>
      <c r="R54" s="274" t="str">
        <f>VLOOKUP($Q54,'Pricing Table - eff 27-Jan-2026'!$A:$L,9,FALSE)&amp;""" "&amp;VLOOKUP($Q54,'Pricing Table - eff 27-Jan-2026'!$A:$L,12,FALSE)</f>
        <v>108" ARMY GREEN</v>
      </c>
      <c r="S54" s="275">
        <f>SUMIFS('Order Details'!$Q:$Q,'Order Details'!$E:$E,"Yes",'Order Details'!$I:$I,$Q54,'Order Details'!$F:$F,'Item Summary'!S$4)-D54</f>
        <v>0</v>
      </c>
      <c r="T54" s="275">
        <f>SUMIFS('Order Details'!$Q:$Q,'Order Details'!$E:$E,"Yes",'Order Details'!$I:$I,$Q54,'Order Details'!$F:$F,'Item Summary'!T$4)-E54</f>
        <v>0</v>
      </c>
      <c r="U54" s="275">
        <f>SUMIFS('Order Details'!$Q:$Q,'Order Details'!$E:$E,"Yes",'Order Details'!$I:$I,$Q54,'Order Details'!$F:$F,'Item Summary'!U$4)-F54</f>
        <v>0</v>
      </c>
      <c r="V54" s="275">
        <f>SUMIFS('Order Details'!$Q:$Q,'Order Details'!$E:$E,"Yes",'Order Details'!$I:$I,$Q54,'Order Details'!$F:$F,'Item Summary'!V$4)-G54</f>
        <v>200</v>
      </c>
      <c r="W54" s="275">
        <f>SUMIFS('Order Details'!$Q:$Q,'Order Details'!$E:$E,"Yes",'Order Details'!$I:$I,$Q54,'Order Details'!$F:$F,'Item Summary'!W$4)-H54</f>
        <v>0</v>
      </c>
      <c r="X54" s="275">
        <f>SUMIFS('Order Details'!$Q:$Q,'Order Details'!$E:$E,"Yes",'Order Details'!$I:$I,$Q54,'Order Details'!$F:$F,'Item Summary'!X$4)-I54</f>
        <v>0</v>
      </c>
      <c r="Y54" s="275">
        <f>SUMIFS('Order Details'!$Q:$Q,'Order Details'!$E:$E,"Yes",'Order Details'!$I:$I,$Q54,'Order Details'!$F:$F,'Item Summary'!Y$4)-J54</f>
        <v>0</v>
      </c>
      <c r="Z54" s="275">
        <f>SUMIFS('Order Details'!$Q:$Q,'Order Details'!$E:$E,"Yes",'Order Details'!$I:$I,$Q54,'Order Details'!$F:$F,'Item Summary'!Z$4)-K54</f>
        <v>0</v>
      </c>
      <c r="AA54" s="291">
        <f>SUMIFS('Order Details'!$Q:$Q,'Order Details'!$E:$E,"Yes",'Order Details'!$I:$I,$Q54,'Order Details'!$F:$F,'Item Summary'!AA$4)-L54</f>
        <v>0</v>
      </c>
      <c r="AB54" s="276">
        <f>SUMIFS('Order Details'!$Q:$Q,'Order Details'!$E:$E,"Yes",'Order Details'!$I:$I,$Q54,'Order Details'!$F:$F,'Item Summary'!AB$4)-M54</f>
        <v>0</v>
      </c>
      <c r="AC54" s="279">
        <f t="shared" si="3"/>
        <v>200</v>
      </c>
    </row>
    <row r="55" spans="2:29" x14ac:dyDescent="0.3">
      <c r="B55" s="278">
        <v>697406</v>
      </c>
      <c r="C55" s="274" t="str">
        <f>VLOOKUP($B55,'Pricing Table - eff 27-Jan-2026'!$A:$L,9,FALSE)&amp;""" "&amp;VLOOKUP($B55,'Pricing Table - eff 27-Jan-2026'!$A:$L,12,FALSE)</f>
        <v>144" ARMY GREEN</v>
      </c>
      <c r="D55" s="275">
        <f>SUMIFS('Order Details'!$Q:$Q,'Order Details'!$E:$E,"Yes",'Order Details'!$I:$I,'Item Summary'!$B55,'Order Details'!$F:$F,'Item Summary'!D$4,'Order Details'!$C:$C,"PO Received")+SUMIFS('Order Details'!$Q:$Q,'Order Details'!$E:$E,"Yes",'Order Details'!$I:$I,'Item Summary'!$B55,'Order Details'!$F:$F,'Item Summary'!D$4,'Order Details'!$C:$C,"Proforma Invoice Sent")+SUMIFS('Order Details'!$Q:$Q,'Order Details'!$E:$E,"Yes",'Order Details'!$I:$I,'Item Summary'!$B55,'Order Details'!$F:$F,'Item Summary'!D$4,'Order Details'!$C:$C,"Downpayment Received")+SUMIFS('Order Details'!$Q:$Q,'Order Details'!$E:$E,"Yes",'Order Details'!$I:$I,'Item Summary'!$B55,'Order Details'!$F:$F,'Item Summary'!D$4,'Order Details'!$C:$C,"In Production")</f>
        <v>0</v>
      </c>
      <c r="E55" s="275">
        <f>SUMIFS('Order Details'!$Q:$Q,'Order Details'!$E:$E,"Yes",'Order Details'!$I:$I,'Item Summary'!$B55,'Order Details'!$F:$F,'Item Summary'!E$4,'Order Details'!$C:$C,"PO Received")+SUMIFS('Order Details'!$Q:$Q,'Order Details'!$E:$E,"Yes",'Order Details'!$I:$I,'Item Summary'!$B55,'Order Details'!$F:$F,'Item Summary'!E$4,'Order Details'!$C:$C,"Proforma Invoice Sent")+SUMIFS('Order Details'!$Q:$Q,'Order Details'!$E:$E,"Yes",'Order Details'!$I:$I,'Item Summary'!$B55,'Order Details'!$F:$F,'Item Summary'!E$4,'Order Details'!$C:$C,"Downpayment Received")+SUMIFS('Order Details'!$Q:$Q,'Order Details'!$E:$E,"Yes",'Order Details'!$I:$I,'Item Summary'!$B55,'Order Details'!$F:$F,'Item Summary'!E$4,'Order Details'!$C:$C,"In Production")</f>
        <v>0</v>
      </c>
      <c r="F55" s="275">
        <f>SUMIFS('Order Details'!$Q:$Q,'Order Details'!$E:$E,"Yes",'Order Details'!$I:$I,'Item Summary'!$B55,'Order Details'!$F:$F,'Item Summary'!F$4,'Order Details'!$C:$C,"PO Received")+SUMIFS('Order Details'!$Q:$Q,'Order Details'!$E:$E,"Yes",'Order Details'!$I:$I,'Item Summary'!$B55,'Order Details'!$F:$F,'Item Summary'!F$4,'Order Details'!$C:$C,"Proforma Invoice Sent")+SUMIFS('Order Details'!$Q:$Q,'Order Details'!$E:$E,"Yes",'Order Details'!$I:$I,'Item Summary'!$B55,'Order Details'!$F:$F,'Item Summary'!F$4,'Order Details'!$C:$C,"Downpayment Received")+SUMIFS('Order Details'!$Q:$Q,'Order Details'!$E:$E,"Yes",'Order Details'!$I:$I,'Item Summary'!$B55,'Order Details'!$F:$F,'Item Summary'!F$4,'Order Details'!$C:$C,"In Production")</f>
        <v>0</v>
      </c>
      <c r="G55" s="275">
        <f>SUMIFS('Order Details'!$Q:$Q,'Order Details'!$E:$E,"Yes",'Order Details'!$I:$I,'Item Summary'!$B55,'Order Details'!$F:$F,'Item Summary'!G$4,'Order Details'!$C:$C,"PO Received")+SUMIFS('Order Details'!$Q:$Q,'Order Details'!$E:$E,"Yes",'Order Details'!$I:$I,'Item Summary'!$B55,'Order Details'!$F:$F,'Item Summary'!G$4,'Order Details'!$C:$C,"Proforma Invoice Sent")+SUMIFS('Order Details'!$Q:$Q,'Order Details'!$E:$E,"Yes",'Order Details'!$I:$I,'Item Summary'!$B55,'Order Details'!$F:$F,'Item Summary'!G$4,'Order Details'!$C:$C,"Downpayment Received")+SUMIFS('Order Details'!$Q:$Q,'Order Details'!$E:$E,"Yes",'Order Details'!$I:$I,'Item Summary'!$B55,'Order Details'!$F:$F,'Item Summary'!G$4,'Order Details'!$C:$C,"In Production")</f>
        <v>0</v>
      </c>
      <c r="H55" s="275">
        <f>SUMIFS('Order Details'!$Q:$Q,'Order Details'!$E:$E,"Yes",'Order Details'!$I:$I,'Item Summary'!$B55,'Order Details'!$F:$F,'Item Summary'!H$4,'Order Details'!$C:$C,"PO Received")+SUMIFS('Order Details'!$Q:$Q,'Order Details'!$E:$E,"Yes",'Order Details'!$I:$I,'Item Summary'!$B55,'Order Details'!$F:$F,'Item Summary'!H$4,'Order Details'!$C:$C,"Proforma Invoice Sent")+SUMIFS('Order Details'!$Q:$Q,'Order Details'!$E:$E,"Yes",'Order Details'!$I:$I,'Item Summary'!$B55,'Order Details'!$F:$F,'Item Summary'!H$4,'Order Details'!$C:$C,"Downpayment Received")+SUMIFS('Order Details'!$Q:$Q,'Order Details'!$E:$E,"Yes",'Order Details'!$I:$I,'Item Summary'!$B55,'Order Details'!$F:$F,'Item Summary'!H$4,'Order Details'!$C:$C,"In Production")</f>
        <v>0</v>
      </c>
      <c r="I55" s="275">
        <f>SUMIFS('Order Details'!$Q:$Q,'Order Details'!$E:$E,"Yes",'Order Details'!$I:$I,'Item Summary'!$B55,'Order Details'!$F:$F,'Item Summary'!I$4,'Order Details'!$C:$C,"PO Received")+SUMIFS('Order Details'!$Q:$Q,'Order Details'!$E:$E,"Yes",'Order Details'!$I:$I,'Item Summary'!$B55,'Order Details'!$F:$F,'Item Summary'!I$4,'Order Details'!$C:$C,"Proforma Invoice Sent")+SUMIFS('Order Details'!$Q:$Q,'Order Details'!$E:$E,"Yes",'Order Details'!$I:$I,'Item Summary'!$B55,'Order Details'!$F:$F,'Item Summary'!I$4,'Order Details'!$C:$C,"Downpayment Received")+SUMIFS('Order Details'!$Q:$Q,'Order Details'!$E:$E,"Yes",'Order Details'!$I:$I,'Item Summary'!$B55,'Order Details'!$F:$F,'Item Summary'!I$4,'Order Details'!$C:$C,"In Production")</f>
        <v>0</v>
      </c>
      <c r="J55" s="275">
        <f>SUMIFS('Order Details'!$Q:$Q,'Order Details'!$E:$E,"Yes",'Order Details'!$I:$I,'Item Summary'!$B55,'Order Details'!$F:$F,'Item Summary'!J$4,'Order Details'!$C:$C,"PO Received")+SUMIFS('Order Details'!$Q:$Q,'Order Details'!$E:$E,"Yes",'Order Details'!$I:$I,'Item Summary'!$B55,'Order Details'!$F:$F,'Item Summary'!J$4,'Order Details'!$C:$C,"Proforma Invoice Sent")+SUMIFS('Order Details'!$Q:$Q,'Order Details'!$E:$E,"Yes",'Order Details'!$I:$I,'Item Summary'!$B55,'Order Details'!$F:$F,'Item Summary'!J$4,'Order Details'!$C:$C,"Downpayment Received")+SUMIFS('Order Details'!$Q:$Q,'Order Details'!$E:$E,"Yes",'Order Details'!$I:$I,'Item Summary'!$B55,'Order Details'!$F:$F,'Item Summary'!J$4,'Order Details'!$C:$C,"In Production")</f>
        <v>0</v>
      </c>
      <c r="K55" s="275">
        <f>SUMIFS('Order Details'!$Q:$Q,'Order Details'!$E:$E,"Yes",'Order Details'!$I:$I,'Item Summary'!$B55,'Order Details'!$F:$F,'Item Summary'!K$4,'Order Details'!$C:$C,"PO Received")+SUMIFS('Order Details'!$Q:$Q,'Order Details'!$E:$E,"Yes",'Order Details'!$I:$I,'Item Summary'!$B55,'Order Details'!$F:$F,'Item Summary'!K$4,'Order Details'!$C:$C,"Proforma Invoice Sent")+SUMIFS('Order Details'!$Q:$Q,'Order Details'!$E:$E,"Yes",'Order Details'!$I:$I,'Item Summary'!$B55,'Order Details'!$F:$F,'Item Summary'!K$4,'Order Details'!$C:$C,"Downpayment Received")+SUMIFS('Order Details'!$Q:$Q,'Order Details'!$E:$E,"Yes",'Order Details'!$I:$I,'Item Summary'!$B55,'Order Details'!$F:$F,'Item Summary'!K$4,'Order Details'!$C:$C,"In Production")</f>
        <v>0</v>
      </c>
      <c r="L55" s="291">
        <f>SUMIFS('Order Details'!$Q:$Q,'Order Details'!$E:$E,"Yes",'Order Details'!$I:$I,'Item Summary'!$B55,'Order Details'!$F:$F,'Item Summary'!L$4,'Order Details'!$C:$C,"PO Received")+SUMIFS('Order Details'!$Q:$Q,'Order Details'!$E:$E,"Yes",'Order Details'!$I:$I,'Item Summary'!$B55,'Order Details'!$F:$F,'Item Summary'!L$4,'Order Details'!$C:$C,"Proforma Invoice Sent")+SUMIFS('Order Details'!$Q:$Q,'Order Details'!$E:$E,"Yes",'Order Details'!$I:$I,'Item Summary'!$B55,'Order Details'!$F:$F,'Item Summary'!L$4,'Order Details'!$C:$C,"Downpayment Received")+SUMIFS('Order Details'!$Q:$Q,'Order Details'!$E:$E,"Yes",'Order Details'!$I:$I,'Item Summary'!$B55,'Order Details'!$F:$F,'Item Summary'!L$4,'Order Details'!$C:$C,"In Production")</f>
        <v>0</v>
      </c>
      <c r="M55" s="276">
        <f>SUMIFS('Order Details'!$Q:$Q,'Order Details'!$E:$E,"Yes",'Order Details'!$I:$I,'Item Summary'!$B55,'Order Details'!$F:$F,'Item Summary'!M$4,'Order Details'!$C:$C,"PO Received")+SUMIFS('Order Details'!$Q:$Q,'Order Details'!$E:$E,"Yes",'Order Details'!$I:$I,'Item Summary'!$B55,'Order Details'!$F:$F,'Item Summary'!M$4,'Order Details'!$C:$C,"Proforma Invoice Sent")+SUMIFS('Order Details'!$Q:$Q,'Order Details'!$E:$E,"Yes",'Order Details'!$I:$I,'Item Summary'!$B55,'Order Details'!$F:$F,'Item Summary'!M$4,'Order Details'!$C:$C,"Downpayment Received")+SUMIFS('Order Details'!$Q:$Q,'Order Details'!$E:$E,"Yes",'Order Details'!$I:$I,'Item Summary'!$B55,'Order Details'!$F:$F,'Item Summary'!M$4,'Order Details'!$C:$C,"In Production")</f>
        <v>0</v>
      </c>
      <c r="N55" s="279">
        <f t="shared" si="2"/>
        <v>0</v>
      </c>
      <c r="Q55" s="278">
        <v>697406</v>
      </c>
      <c r="R55" s="274" t="str">
        <f>VLOOKUP($Q55,'Pricing Table - eff 27-Jan-2026'!$A:$L,9,FALSE)&amp;""" "&amp;VLOOKUP($Q55,'Pricing Table - eff 27-Jan-2026'!$A:$L,12,FALSE)</f>
        <v>144" ARMY GREEN</v>
      </c>
      <c r="S55" s="275">
        <f>SUMIFS('Order Details'!$Q:$Q,'Order Details'!$E:$E,"Yes",'Order Details'!$I:$I,$Q55,'Order Details'!$F:$F,'Item Summary'!S$4)-D55</f>
        <v>0</v>
      </c>
      <c r="T55" s="275">
        <f>SUMIFS('Order Details'!$Q:$Q,'Order Details'!$E:$E,"Yes",'Order Details'!$I:$I,$Q55,'Order Details'!$F:$F,'Item Summary'!T$4)-E55</f>
        <v>0</v>
      </c>
      <c r="U55" s="275">
        <f>SUMIFS('Order Details'!$Q:$Q,'Order Details'!$E:$E,"Yes",'Order Details'!$I:$I,$Q55,'Order Details'!$F:$F,'Item Summary'!U$4)-F55</f>
        <v>0</v>
      </c>
      <c r="V55" s="275">
        <f>SUMIFS('Order Details'!$Q:$Q,'Order Details'!$E:$E,"Yes",'Order Details'!$I:$I,$Q55,'Order Details'!$F:$F,'Item Summary'!V$4)-G55</f>
        <v>0</v>
      </c>
      <c r="W55" s="275">
        <f>SUMIFS('Order Details'!$Q:$Q,'Order Details'!$E:$E,"Yes",'Order Details'!$I:$I,$Q55,'Order Details'!$F:$F,'Item Summary'!W$4)-H55</f>
        <v>0</v>
      </c>
      <c r="X55" s="275">
        <f>SUMIFS('Order Details'!$Q:$Q,'Order Details'!$E:$E,"Yes",'Order Details'!$I:$I,$Q55,'Order Details'!$F:$F,'Item Summary'!X$4)-I55</f>
        <v>0</v>
      </c>
      <c r="Y55" s="275">
        <f>SUMIFS('Order Details'!$Q:$Q,'Order Details'!$E:$E,"Yes",'Order Details'!$I:$I,$Q55,'Order Details'!$F:$F,'Item Summary'!Y$4)-J55</f>
        <v>0</v>
      </c>
      <c r="Z55" s="275">
        <f>SUMIFS('Order Details'!$Q:$Q,'Order Details'!$E:$E,"Yes",'Order Details'!$I:$I,$Q55,'Order Details'!$F:$F,'Item Summary'!Z$4)-K55</f>
        <v>0</v>
      </c>
      <c r="AA55" s="291">
        <f>SUMIFS('Order Details'!$Q:$Q,'Order Details'!$E:$E,"Yes",'Order Details'!$I:$I,$Q55,'Order Details'!$F:$F,'Item Summary'!AA$4)-L55</f>
        <v>0</v>
      </c>
      <c r="AB55" s="276">
        <f>SUMIFS('Order Details'!$Q:$Q,'Order Details'!$E:$E,"Yes",'Order Details'!$I:$I,$Q55,'Order Details'!$F:$F,'Item Summary'!AB$4)-M55</f>
        <v>0</v>
      </c>
      <c r="AC55" s="279">
        <f t="shared" si="3"/>
        <v>0</v>
      </c>
    </row>
    <row r="56" spans="2:29" x14ac:dyDescent="0.3">
      <c r="B56" s="278">
        <v>697411</v>
      </c>
      <c r="C56" s="274" t="str">
        <f>VLOOKUP($B56,'Pricing Table - eff 27-Jan-2026'!$A:$L,9,FALSE)&amp;""" "&amp;VLOOKUP($B56,'Pricing Table - eff 27-Jan-2026'!$A:$L,12,FALSE)</f>
        <v>90" SAND SAHARA</v>
      </c>
      <c r="D56" s="275">
        <f>SUMIFS('Order Details'!$Q:$Q,'Order Details'!$E:$E,"Yes",'Order Details'!$I:$I,'Item Summary'!$B56,'Order Details'!$F:$F,'Item Summary'!D$4,'Order Details'!$C:$C,"PO Received")+SUMIFS('Order Details'!$Q:$Q,'Order Details'!$E:$E,"Yes",'Order Details'!$I:$I,'Item Summary'!$B56,'Order Details'!$F:$F,'Item Summary'!D$4,'Order Details'!$C:$C,"Proforma Invoice Sent")+SUMIFS('Order Details'!$Q:$Q,'Order Details'!$E:$E,"Yes",'Order Details'!$I:$I,'Item Summary'!$B56,'Order Details'!$F:$F,'Item Summary'!D$4,'Order Details'!$C:$C,"Downpayment Received")+SUMIFS('Order Details'!$Q:$Q,'Order Details'!$E:$E,"Yes",'Order Details'!$I:$I,'Item Summary'!$B56,'Order Details'!$F:$F,'Item Summary'!D$4,'Order Details'!$C:$C,"In Production")</f>
        <v>0</v>
      </c>
      <c r="E56" s="275">
        <f>SUMIFS('Order Details'!$Q:$Q,'Order Details'!$E:$E,"Yes",'Order Details'!$I:$I,'Item Summary'!$B56,'Order Details'!$F:$F,'Item Summary'!E$4,'Order Details'!$C:$C,"PO Received")+SUMIFS('Order Details'!$Q:$Q,'Order Details'!$E:$E,"Yes",'Order Details'!$I:$I,'Item Summary'!$B56,'Order Details'!$F:$F,'Item Summary'!E$4,'Order Details'!$C:$C,"Proforma Invoice Sent")+SUMIFS('Order Details'!$Q:$Q,'Order Details'!$E:$E,"Yes",'Order Details'!$I:$I,'Item Summary'!$B56,'Order Details'!$F:$F,'Item Summary'!E$4,'Order Details'!$C:$C,"Downpayment Received")+SUMIFS('Order Details'!$Q:$Q,'Order Details'!$E:$E,"Yes",'Order Details'!$I:$I,'Item Summary'!$B56,'Order Details'!$F:$F,'Item Summary'!E$4,'Order Details'!$C:$C,"In Production")</f>
        <v>0</v>
      </c>
      <c r="F56" s="275">
        <f>SUMIFS('Order Details'!$Q:$Q,'Order Details'!$E:$E,"Yes",'Order Details'!$I:$I,'Item Summary'!$B56,'Order Details'!$F:$F,'Item Summary'!F$4,'Order Details'!$C:$C,"PO Received")+SUMIFS('Order Details'!$Q:$Q,'Order Details'!$E:$E,"Yes",'Order Details'!$I:$I,'Item Summary'!$B56,'Order Details'!$F:$F,'Item Summary'!F$4,'Order Details'!$C:$C,"Proforma Invoice Sent")+SUMIFS('Order Details'!$Q:$Q,'Order Details'!$E:$E,"Yes",'Order Details'!$I:$I,'Item Summary'!$B56,'Order Details'!$F:$F,'Item Summary'!F$4,'Order Details'!$C:$C,"Downpayment Received")+SUMIFS('Order Details'!$Q:$Q,'Order Details'!$E:$E,"Yes",'Order Details'!$I:$I,'Item Summary'!$B56,'Order Details'!$F:$F,'Item Summary'!F$4,'Order Details'!$C:$C,"In Production")</f>
        <v>0</v>
      </c>
      <c r="G56" s="275">
        <f>SUMIFS('Order Details'!$Q:$Q,'Order Details'!$E:$E,"Yes",'Order Details'!$I:$I,'Item Summary'!$B56,'Order Details'!$F:$F,'Item Summary'!G$4,'Order Details'!$C:$C,"PO Received")+SUMIFS('Order Details'!$Q:$Q,'Order Details'!$E:$E,"Yes",'Order Details'!$I:$I,'Item Summary'!$B56,'Order Details'!$F:$F,'Item Summary'!G$4,'Order Details'!$C:$C,"Proforma Invoice Sent")+SUMIFS('Order Details'!$Q:$Q,'Order Details'!$E:$E,"Yes",'Order Details'!$I:$I,'Item Summary'!$B56,'Order Details'!$F:$F,'Item Summary'!G$4,'Order Details'!$C:$C,"Downpayment Received")+SUMIFS('Order Details'!$Q:$Q,'Order Details'!$E:$E,"Yes",'Order Details'!$I:$I,'Item Summary'!$B56,'Order Details'!$F:$F,'Item Summary'!G$4,'Order Details'!$C:$C,"In Production")</f>
        <v>0</v>
      </c>
      <c r="H56" s="275">
        <f>SUMIFS('Order Details'!$Q:$Q,'Order Details'!$E:$E,"Yes",'Order Details'!$I:$I,'Item Summary'!$B56,'Order Details'!$F:$F,'Item Summary'!H$4,'Order Details'!$C:$C,"PO Received")+SUMIFS('Order Details'!$Q:$Q,'Order Details'!$E:$E,"Yes",'Order Details'!$I:$I,'Item Summary'!$B56,'Order Details'!$F:$F,'Item Summary'!H$4,'Order Details'!$C:$C,"Proforma Invoice Sent")+SUMIFS('Order Details'!$Q:$Q,'Order Details'!$E:$E,"Yes",'Order Details'!$I:$I,'Item Summary'!$B56,'Order Details'!$F:$F,'Item Summary'!H$4,'Order Details'!$C:$C,"Downpayment Received")+SUMIFS('Order Details'!$Q:$Q,'Order Details'!$E:$E,"Yes",'Order Details'!$I:$I,'Item Summary'!$B56,'Order Details'!$F:$F,'Item Summary'!H$4,'Order Details'!$C:$C,"In Production")</f>
        <v>0</v>
      </c>
      <c r="I56" s="275">
        <f>SUMIFS('Order Details'!$Q:$Q,'Order Details'!$E:$E,"Yes",'Order Details'!$I:$I,'Item Summary'!$B56,'Order Details'!$F:$F,'Item Summary'!I$4,'Order Details'!$C:$C,"PO Received")+SUMIFS('Order Details'!$Q:$Q,'Order Details'!$E:$E,"Yes",'Order Details'!$I:$I,'Item Summary'!$B56,'Order Details'!$F:$F,'Item Summary'!I$4,'Order Details'!$C:$C,"Proforma Invoice Sent")+SUMIFS('Order Details'!$Q:$Q,'Order Details'!$E:$E,"Yes",'Order Details'!$I:$I,'Item Summary'!$B56,'Order Details'!$F:$F,'Item Summary'!I$4,'Order Details'!$C:$C,"Downpayment Received")+SUMIFS('Order Details'!$Q:$Q,'Order Details'!$E:$E,"Yes",'Order Details'!$I:$I,'Item Summary'!$B56,'Order Details'!$F:$F,'Item Summary'!I$4,'Order Details'!$C:$C,"In Production")</f>
        <v>0</v>
      </c>
      <c r="J56" s="275">
        <f>SUMIFS('Order Details'!$Q:$Q,'Order Details'!$E:$E,"Yes",'Order Details'!$I:$I,'Item Summary'!$B56,'Order Details'!$F:$F,'Item Summary'!J$4,'Order Details'!$C:$C,"PO Received")+SUMIFS('Order Details'!$Q:$Q,'Order Details'!$E:$E,"Yes",'Order Details'!$I:$I,'Item Summary'!$B56,'Order Details'!$F:$F,'Item Summary'!J$4,'Order Details'!$C:$C,"Proforma Invoice Sent")+SUMIFS('Order Details'!$Q:$Q,'Order Details'!$E:$E,"Yes",'Order Details'!$I:$I,'Item Summary'!$B56,'Order Details'!$F:$F,'Item Summary'!J$4,'Order Details'!$C:$C,"Downpayment Received")+SUMIFS('Order Details'!$Q:$Q,'Order Details'!$E:$E,"Yes",'Order Details'!$I:$I,'Item Summary'!$B56,'Order Details'!$F:$F,'Item Summary'!J$4,'Order Details'!$C:$C,"In Production")</f>
        <v>0</v>
      </c>
      <c r="K56" s="275">
        <f>SUMIFS('Order Details'!$Q:$Q,'Order Details'!$E:$E,"Yes",'Order Details'!$I:$I,'Item Summary'!$B56,'Order Details'!$F:$F,'Item Summary'!K$4,'Order Details'!$C:$C,"PO Received")+SUMIFS('Order Details'!$Q:$Q,'Order Details'!$E:$E,"Yes",'Order Details'!$I:$I,'Item Summary'!$B56,'Order Details'!$F:$F,'Item Summary'!K$4,'Order Details'!$C:$C,"Proforma Invoice Sent")+SUMIFS('Order Details'!$Q:$Q,'Order Details'!$E:$E,"Yes",'Order Details'!$I:$I,'Item Summary'!$B56,'Order Details'!$F:$F,'Item Summary'!K$4,'Order Details'!$C:$C,"Downpayment Received")+SUMIFS('Order Details'!$Q:$Q,'Order Details'!$E:$E,"Yes",'Order Details'!$I:$I,'Item Summary'!$B56,'Order Details'!$F:$F,'Item Summary'!K$4,'Order Details'!$C:$C,"In Production")</f>
        <v>0</v>
      </c>
      <c r="L56" s="291">
        <f>SUMIFS('Order Details'!$Q:$Q,'Order Details'!$E:$E,"Yes",'Order Details'!$I:$I,'Item Summary'!$B56,'Order Details'!$F:$F,'Item Summary'!L$4,'Order Details'!$C:$C,"PO Received")+SUMIFS('Order Details'!$Q:$Q,'Order Details'!$E:$E,"Yes",'Order Details'!$I:$I,'Item Summary'!$B56,'Order Details'!$F:$F,'Item Summary'!L$4,'Order Details'!$C:$C,"Proforma Invoice Sent")+SUMIFS('Order Details'!$Q:$Q,'Order Details'!$E:$E,"Yes",'Order Details'!$I:$I,'Item Summary'!$B56,'Order Details'!$F:$F,'Item Summary'!L$4,'Order Details'!$C:$C,"Downpayment Received")+SUMIFS('Order Details'!$Q:$Q,'Order Details'!$E:$E,"Yes",'Order Details'!$I:$I,'Item Summary'!$B56,'Order Details'!$F:$F,'Item Summary'!L$4,'Order Details'!$C:$C,"In Production")</f>
        <v>0</v>
      </c>
      <c r="M56" s="276">
        <f>SUMIFS('Order Details'!$Q:$Q,'Order Details'!$E:$E,"Yes",'Order Details'!$I:$I,'Item Summary'!$B56,'Order Details'!$F:$F,'Item Summary'!M$4,'Order Details'!$C:$C,"PO Received")+SUMIFS('Order Details'!$Q:$Q,'Order Details'!$E:$E,"Yes",'Order Details'!$I:$I,'Item Summary'!$B56,'Order Details'!$F:$F,'Item Summary'!M$4,'Order Details'!$C:$C,"Proforma Invoice Sent")+SUMIFS('Order Details'!$Q:$Q,'Order Details'!$E:$E,"Yes",'Order Details'!$I:$I,'Item Summary'!$B56,'Order Details'!$F:$F,'Item Summary'!M$4,'Order Details'!$C:$C,"Downpayment Received")+SUMIFS('Order Details'!$Q:$Q,'Order Details'!$E:$E,"Yes",'Order Details'!$I:$I,'Item Summary'!$B56,'Order Details'!$F:$F,'Item Summary'!M$4,'Order Details'!$C:$C,"In Production")</f>
        <v>0</v>
      </c>
      <c r="N56" s="279">
        <f t="shared" si="2"/>
        <v>0</v>
      </c>
      <c r="Q56" s="278">
        <v>697411</v>
      </c>
      <c r="R56" s="274" t="str">
        <f>VLOOKUP($Q56,'Pricing Table - eff 27-Jan-2026'!$A:$L,9,FALSE)&amp;""" "&amp;VLOOKUP($Q56,'Pricing Table - eff 27-Jan-2026'!$A:$L,12,FALSE)</f>
        <v>90" SAND SAHARA</v>
      </c>
      <c r="S56" s="275">
        <f>SUMIFS('Order Details'!$Q:$Q,'Order Details'!$E:$E,"Yes",'Order Details'!$I:$I,$Q56,'Order Details'!$F:$F,'Item Summary'!S$4)-D56</f>
        <v>0</v>
      </c>
      <c r="T56" s="275">
        <f>SUMIFS('Order Details'!$Q:$Q,'Order Details'!$E:$E,"Yes",'Order Details'!$I:$I,$Q56,'Order Details'!$F:$F,'Item Summary'!T$4)-E56</f>
        <v>0</v>
      </c>
      <c r="U56" s="275">
        <f>SUMIFS('Order Details'!$Q:$Q,'Order Details'!$E:$E,"Yes",'Order Details'!$I:$I,$Q56,'Order Details'!$F:$F,'Item Summary'!U$4)-F56</f>
        <v>0</v>
      </c>
      <c r="V56" s="275">
        <f>SUMIFS('Order Details'!$Q:$Q,'Order Details'!$E:$E,"Yes",'Order Details'!$I:$I,$Q56,'Order Details'!$F:$F,'Item Summary'!V$4)-G56</f>
        <v>400</v>
      </c>
      <c r="W56" s="275">
        <f>SUMIFS('Order Details'!$Q:$Q,'Order Details'!$E:$E,"Yes",'Order Details'!$I:$I,$Q56,'Order Details'!$F:$F,'Item Summary'!W$4)-H56</f>
        <v>0</v>
      </c>
      <c r="X56" s="275">
        <f>SUMIFS('Order Details'!$Q:$Q,'Order Details'!$E:$E,"Yes",'Order Details'!$I:$I,$Q56,'Order Details'!$F:$F,'Item Summary'!X$4)-I56</f>
        <v>0</v>
      </c>
      <c r="Y56" s="275">
        <f>SUMIFS('Order Details'!$Q:$Q,'Order Details'!$E:$E,"Yes",'Order Details'!$I:$I,$Q56,'Order Details'!$F:$F,'Item Summary'!Y$4)-J56</f>
        <v>0</v>
      </c>
      <c r="Z56" s="275">
        <f>SUMIFS('Order Details'!$Q:$Q,'Order Details'!$E:$E,"Yes",'Order Details'!$I:$I,$Q56,'Order Details'!$F:$F,'Item Summary'!Z$4)-K56</f>
        <v>0</v>
      </c>
      <c r="AA56" s="291">
        <f>SUMIFS('Order Details'!$Q:$Q,'Order Details'!$E:$E,"Yes",'Order Details'!$I:$I,$Q56,'Order Details'!$F:$F,'Item Summary'!AA$4)-L56</f>
        <v>0</v>
      </c>
      <c r="AB56" s="276">
        <f>SUMIFS('Order Details'!$Q:$Q,'Order Details'!$E:$E,"Yes",'Order Details'!$I:$I,$Q56,'Order Details'!$F:$F,'Item Summary'!AB$4)-M56</f>
        <v>0</v>
      </c>
      <c r="AC56" s="279">
        <f t="shared" si="3"/>
        <v>400</v>
      </c>
    </row>
    <row r="57" spans="2:29" x14ac:dyDescent="0.3">
      <c r="B57" s="278">
        <v>697412</v>
      </c>
      <c r="C57" s="274" t="str">
        <f>VLOOKUP($B57,'Pricing Table - eff 27-Jan-2026'!$A:$L,9,FALSE)&amp;""" "&amp;VLOOKUP($B57,'Pricing Table - eff 27-Jan-2026'!$A:$L,12,FALSE)</f>
        <v>96" SAND SAHARA</v>
      </c>
      <c r="D57" s="275">
        <f>SUMIFS('Order Details'!$Q:$Q,'Order Details'!$E:$E,"Yes",'Order Details'!$I:$I,'Item Summary'!$B57,'Order Details'!$F:$F,'Item Summary'!D$4,'Order Details'!$C:$C,"PO Received")+SUMIFS('Order Details'!$Q:$Q,'Order Details'!$E:$E,"Yes",'Order Details'!$I:$I,'Item Summary'!$B57,'Order Details'!$F:$F,'Item Summary'!D$4,'Order Details'!$C:$C,"Proforma Invoice Sent")+SUMIFS('Order Details'!$Q:$Q,'Order Details'!$E:$E,"Yes",'Order Details'!$I:$I,'Item Summary'!$B57,'Order Details'!$F:$F,'Item Summary'!D$4,'Order Details'!$C:$C,"Downpayment Received")+SUMIFS('Order Details'!$Q:$Q,'Order Details'!$E:$E,"Yes",'Order Details'!$I:$I,'Item Summary'!$B57,'Order Details'!$F:$F,'Item Summary'!D$4,'Order Details'!$C:$C,"In Production")</f>
        <v>0</v>
      </c>
      <c r="E57" s="275">
        <f>SUMIFS('Order Details'!$Q:$Q,'Order Details'!$E:$E,"Yes",'Order Details'!$I:$I,'Item Summary'!$B57,'Order Details'!$F:$F,'Item Summary'!E$4,'Order Details'!$C:$C,"PO Received")+SUMIFS('Order Details'!$Q:$Q,'Order Details'!$E:$E,"Yes",'Order Details'!$I:$I,'Item Summary'!$B57,'Order Details'!$F:$F,'Item Summary'!E$4,'Order Details'!$C:$C,"Proforma Invoice Sent")+SUMIFS('Order Details'!$Q:$Q,'Order Details'!$E:$E,"Yes",'Order Details'!$I:$I,'Item Summary'!$B57,'Order Details'!$F:$F,'Item Summary'!E$4,'Order Details'!$C:$C,"Downpayment Received")+SUMIFS('Order Details'!$Q:$Q,'Order Details'!$E:$E,"Yes",'Order Details'!$I:$I,'Item Summary'!$B57,'Order Details'!$F:$F,'Item Summary'!E$4,'Order Details'!$C:$C,"In Production")</f>
        <v>0</v>
      </c>
      <c r="F57" s="275">
        <f>SUMIFS('Order Details'!$Q:$Q,'Order Details'!$E:$E,"Yes",'Order Details'!$I:$I,'Item Summary'!$B57,'Order Details'!$F:$F,'Item Summary'!F$4,'Order Details'!$C:$C,"PO Received")+SUMIFS('Order Details'!$Q:$Q,'Order Details'!$E:$E,"Yes",'Order Details'!$I:$I,'Item Summary'!$B57,'Order Details'!$F:$F,'Item Summary'!F$4,'Order Details'!$C:$C,"Proforma Invoice Sent")+SUMIFS('Order Details'!$Q:$Q,'Order Details'!$E:$E,"Yes",'Order Details'!$I:$I,'Item Summary'!$B57,'Order Details'!$F:$F,'Item Summary'!F$4,'Order Details'!$C:$C,"Downpayment Received")+SUMIFS('Order Details'!$Q:$Q,'Order Details'!$E:$E,"Yes",'Order Details'!$I:$I,'Item Summary'!$B57,'Order Details'!$F:$F,'Item Summary'!F$4,'Order Details'!$C:$C,"In Production")</f>
        <v>0</v>
      </c>
      <c r="G57" s="275">
        <f>SUMIFS('Order Details'!$Q:$Q,'Order Details'!$E:$E,"Yes",'Order Details'!$I:$I,'Item Summary'!$B57,'Order Details'!$F:$F,'Item Summary'!G$4,'Order Details'!$C:$C,"PO Received")+SUMIFS('Order Details'!$Q:$Q,'Order Details'!$E:$E,"Yes",'Order Details'!$I:$I,'Item Summary'!$B57,'Order Details'!$F:$F,'Item Summary'!G$4,'Order Details'!$C:$C,"Proforma Invoice Sent")+SUMIFS('Order Details'!$Q:$Q,'Order Details'!$E:$E,"Yes",'Order Details'!$I:$I,'Item Summary'!$B57,'Order Details'!$F:$F,'Item Summary'!G$4,'Order Details'!$C:$C,"Downpayment Received")+SUMIFS('Order Details'!$Q:$Q,'Order Details'!$E:$E,"Yes",'Order Details'!$I:$I,'Item Summary'!$B57,'Order Details'!$F:$F,'Item Summary'!G$4,'Order Details'!$C:$C,"In Production")</f>
        <v>0</v>
      </c>
      <c r="H57" s="275">
        <f>SUMIFS('Order Details'!$Q:$Q,'Order Details'!$E:$E,"Yes",'Order Details'!$I:$I,'Item Summary'!$B57,'Order Details'!$F:$F,'Item Summary'!H$4,'Order Details'!$C:$C,"PO Received")+SUMIFS('Order Details'!$Q:$Q,'Order Details'!$E:$E,"Yes",'Order Details'!$I:$I,'Item Summary'!$B57,'Order Details'!$F:$F,'Item Summary'!H$4,'Order Details'!$C:$C,"Proforma Invoice Sent")+SUMIFS('Order Details'!$Q:$Q,'Order Details'!$E:$E,"Yes",'Order Details'!$I:$I,'Item Summary'!$B57,'Order Details'!$F:$F,'Item Summary'!H$4,'Order Details'!$C:$C,"Downpayment Received")+SUMIFS('Order Details'!$Q:$Q,'Order Details'!$E:$E,"Yes",'Order Details'!$I:$I,'Item Summary'!$B57,'Order Details'!$F:$F,'Item Summary'!H$4,'Order Details'!$C:$C,"In Production")</f>
        <v>0</v>
      </c>
      <c r="I57" s="275">
        <f>SUMIFS('Order Details'!$Q:$Q,'Order Details'!$E:$E,"Yes",'Order Details'!$I:$I,'Item Summary'!$B57,'Order Details'!$F:$F,'Item Summary'!I$4,'Order Details'!$C:$C,"PO Received")+SUMIFS('Order Details'!$Q:$Q,'Order Details'!$E:$E,"Yes",'Order Details'!$I:$I,'Item Summary'!$B57,'Order Details'!$F:$F,'Item Summary'!I$4,'Order Details'!$C:$C,"Proforma Invoice Sent")+SUMIFS('Order Details'!$Q:$Q,'Order Details'!$E:$E,"Yes",'Order Details'!$I:$I,'Item Summary'!$B57,'Order Details'!$F:$F,'Item Summary'!I$4,'Order Details'!$C:$C,"Downpayment Received")+SUMIFS('Order Details'!$Q:$Q,'Order Details'!$E:$E,"Yes",'Order Details'!$I:$I,'Item Summary'!$B57,'Order Details'!$F:$F,'Item Summary'!I$4,'Order Details'!$C:$C,"In Production")</f>
        <v>0</v>
      </c>
      <c r="J57" s="275">
        <f>SUMIFS('Order Details'!$Q:$Q,'Order Details'!$E:$E,"Yes",'Order Details'!$I:$I,'Item Summary'!$B57,'Order Details'!$F:$F,'Item Summary'!J$4,'Order Details'!$C:$C,"PO Received")+SUMIFS('Order Details'!$Q:$Q,'Order Details'!$E:$E,"Yes",'Order Details'!$I:$I,'Item Summary'!$B57,'Order Details'!$F:$F,'Item Summary'!J$4,'Order Details'!$C:$C,"Proforma Invoice Sent")+SUMIFS('Order Details'!$Q:$Q,'Order Details'!$E:$E,"Yes",'Order Details'!$I:$I,'Item Summary'!$B57,'Order Details'!$F:$F,'Item Summary'!J$4,'Order Details'!$C:$C,"Downpayment Received")+SUMIFS('Order Details'!$Q:$Q,'Order Details'!$E:$E,"Yes",'Order Details'!$I:$I,'Item Summary'!$B57,'Order Details'!$F:$F,'Item Summary'!J$4,'Order Details'!$C:$C,"In Production")</f>
        <v>0</v>
      </c>
      <c r="K57" s="275">
        <f>SUMIFS('Order Details'!$Q:$Q,'Order Details'!$E:$E,"Yes",'Order Details'!$I:$I,'Item Summary'!$B57,'Order Details'!$F:$F,'Item Summary'!K$4,'Order Details'!$C:$C,"PO Received")+SUMIFS('Order Details'!$Q:$Q,'Order Details'!$E:$E,"Yes",'Order Details'!$I:$I,'Item Summary'!$B57,'Order Details'!$F:$F,'Item Summary'!K$4,'Order Details'!$C:$C,"Proforma Invoice Sent")+SUMIFS('Order Details'!$Q:$Q,'Order Details'!$E:$E,"Yes",'Order Details'!$I:$I,'Item Summary'!$B57,'Order Details'!$F:$F,'Item Summary'!K$4,'Order Details'!$C:$C,"Downpayment Received")+SUMIFS('Order Details'!$Q:$Q,'Order Details'!$E:$E,"Yes",'Order Details'!$I:$I,'Item Summary'!$B57,'Order Details'!$F:$F,'Item Summary'!K$4,'Order Details'!$C:$C,"In Production")</f>
        <v>0</v>
      </c>
      <c r="L57" s="291">
        <f>SUMIFS('Order Details'!$Q:$Q,'Order Details'!$E:$E,"Yes",'Order Details'!$I:$I,'Item Summary'!$B57,'Order Details'!$F:$F,'Item Summary'!L$4,'Order Details'!$C:$C,"PO Received")+SUMIFS('Order Details'!$Q:$Q,'Order Details'!$E:$E,"Yes",'Order Details'!$I:$I,'Item Summary'!$B57,'Order Details'!$F:$F,'Item Summary'!L$4,'Order Details'!$C:$C,"Proforma Invoice Sent")+SUMIFS('Order Details'!$Q:$Q,'Order Details'!$E:$E,"Yes",'Order Details'!$I:$I,'Item Summary'!$B57,'Order Details'!$F:$F,'Item Summary'!L$4,'Order Details'!$C:$C,"Downpayment Received")+SUMIFS('Order Details'!$Q:$Q,'Order Details'!$E:$E,"Yes",'Order Details'!$I:$I,'Item Summary'!$B57,'Order Details'!$F:$F,'Item Summary'!L$4,'Order Details'!$C:$C,"In Production")</f>
        <v>0</v>
      </c>
      <c r="M57" s="276">
        <f>SUMIFS('Order Details'!$Q:$Q,'Order Details'!$E:$E,"Yes",'Order Details'!$I:$I,'Item Summary'!$B57,'Order Details'!$F:$F,'Item Summary'!M$4,'Order Details'!$C:$C,"PO Received")+SUMIFS('Order Details'!$Q:$Q,'Order Details'!$E:$E,"Yes",'Order Details'!$I:$I,'Item Summary'!$B57,'Order Details'!$F:$F,'Item Summary'!M$4,'Order Details'!$C:$C,"Proforma Invoice Sent")+SUMIFS('Order Details'!$Q:$Q,'Order Details'!$E:$E,"Yes",'Order Details'!$I:$I,'Item Summary'!$B57,'Order Details'!$F:$F,'Item Summary'!M$4,'Order Details'!$C:$C,"Downpayment Received")+SUMIFS('Order Details'!$Q:$Q,'Order Details'!$E:$E,"Yes",'Order Details'!$I:$I,'Item Summary'!$B57,'Order Details'!$F:$F,'Item Summary'!M$4,'Order Details'!$C:$C,"In Production")</f>
        <v>0</v>
      </c>
      <c r="N57" s="279">
        <f t="shared" si="2"/>
        <v>0</v>
      </c>
      <c r="Q57" s="278">
        <v>697412</v>
      </c>
      <c r="R57" s="274" t="str">
        <f>VLOOKUP($Q57,'Pricing Table - eff 27-Jan-2026'!$A:$L,9,FALSE)&amp;""" "&amp;VLOOKUP($Q57,'Pricing Table - eff 27-Jan-2026'!$A:$L,12,FALSE)</f>
        <v>96" SAND SAHARA</v>
      </c>
      <c r="S57" s="275">
        <f>SUMIFS('Order Details'!$Q:$Q,'Order Details'!$E:$E,"Yes",'Order Details'!$I:$I,$Q57,'Order Details'!$F:$F,'Item Summary'!S$4)-D57</f>
        <v>0</v>
      </c>
      <c r="T57" s="275">
        <f>SUMIFS('Order Details'!$Q:$Q,'Order Details'!$E:$E,"Yes",'Order Details'!$I:$I,$Q57,'Order Details'!$F:$F,'Item Summary'!T$4)-E57</f>
        <v>0</v>
      </c>
      <c r="U57" s="275">
        <f>SUMIFS('Order Details'!$Q:$Q,'Order Details'!$E:$E,"Yes",'Order Details'!$I:$I,$Q57,'Order Details'!$F:$F,'Item Summary'!U$4)-F57</f>
        <v>0</v>
      </c>
      <c r="V57" s="275">
        <f>SUMIFS('Order Details'!$Q:$Q,'Order Details'!$E:$E,"Yes",'Order Details'!$I:$I,$Q57,'Order Details'!$F:$F,'Item Summary'!V$4)-G57</f>
        <v>800</v>
      </c>
      <c r="W57" s="275">
        <f>SUMIFS('Order Details'!$Q:$Q,'Order Details'!$E:$E,"Yes",'Order Details'!$I:$I,$Q57,'Order Details'!$F:$F,'Item Summary'!W$4)-H57</f>
        <v>0</v>
      </c>
      <c r="X57" s="275">
        <f>SUMIFS('Order Details'!$Q:$Q,'Order Details'!$E:$E,"Yes",'Order Details'!$I:$I,$Q57,'Order Details'!$F:$F,'Item Summary'!X$4)-I57</f>
        <v>0</v>
      </c>
      <c r="Y57" s="275">
        <f>SUMIFS('Order Details'!$Q:$Q,'Order Details'!$E:$E,"Yes",'Order Details'!$I:$I,$Q57,'Order Details'!$F:$F,'Item Summary'!Y$4)-J57</f>
        <v>0</v>
      </c>
      <c r="Z57" s="275">
        <f>SUMIFS('Order Details'!$Q:$Q,'Order Details'!$E:$E,"Yes",'Order Details'!$I:$I,$Q57,'Order Details'!$F:$F,'Item Summary'!Z$4)-K57</f>
        <v>0</v>
      </c>
      <c r="AA57" s="291">
        <f>SUMIFS('Order Details'!$Q:$Q,'Order Details'!$E:$E,"Yes",'Order Details'!$I:$I,$Q57,'Order Details'!$F:$F,'Item Summary'!AA$4)-L57</f>
        <v>0</v>
      </c>
      <c r="AB57" s="276">
        <f>SUMIFS('Order Details'!$Q:$Q,'Order Details'!$E:$E,"Yes",'Order Details'!$I:$I,$Q57,'Order Details'!$F:$F,'Item Summary'!AB$4)-M57</f>
        <v>0</v>
      </c>
      <c r="AC57" s="279">
        <f t="shared" si="3"/>
        <v>800</v>
      </c>
    </row>
    <row r="58" spans="2:29" x14ac:dyDescent="0.3">
      <c r="B58" s="278">
        <v>697409</v>
      </c>
      <c r="C58" s="274" t="str">
        <f>VLOOKUP($B58,'Pricing Table - eff 27-Jan-2026'!$A:$L,9,FALSE)&amp;""" "&amp;VLOOKUP($B58,'Pricing Table - eff 27-Jan-2026'!$A:$L,12,FALSE)</f>
        <v>108" SAND SAHARA</v>
      </c>
      <c r="D58" s="275">
        <f>SUMIFS('Order Details'!$Q:$Q,'Order Details'!$E:$E,"Yes",'Order Details'!$I:$I,'Item Summary'!$B58,'Order Details'!$F:$F,'Item Summary'!D$4,'Order Details'!$C:$C,"PO Received")+SUMIFS('Order Details'!$Q:$Q,'Order Details'!$E:$E,"Yes",'Order Details'!$I:$I,'Item Summary'!$B58,'Order Details'!$F:$F,'Item Summary'!D$4,'Order Details'!$C:$C,"Proforma Invoice Sent")+SUMIFS('Order Details'!$Q:$Q,'Order Details'!$E:$E,"Yes",'Order Details'!$I:$I,'Item Summary'!$B58,'Order Details'!$F:$F,'Item Summary'!D$4,'Order Details'!$C:$C,"Downpayment Received")+SUMIFS('Order Details'!$Q:$Q,'Order Details'!$E:$E,"Yes",'Order Details'!$I:$I,'Item Summary'!$B58,'Order Details'!$F:$F,'Item Summary'!D$4,'Order Details'!$C:$C,"In Production")</f>
        <v>0</v>
      </c>
      <c r="E58" s="275">
        <f>SUMIFS('Order Details'!$Q:$Q,'Order Details'!$E:$E,"Yes",'Order Details'!$I:$I,'Item Summary'!$B58,'Order Details'!$F:$F,'Item Summary'!E$4,'Order Details'!$C:$C,"PO Received")+SUMIFS('Order Details'!$Q:$Q,'Order Details'!$E:$E,"Yes",'Order Details'!$I:$I,'Item Summary'!$B58,'Order Details'!$F:$F,'Item Summary'!E$4,'Order Details'!$C:$C,"Proforma Invoice Sent")+SUMIFS('Order Details'!$Q:$Q,'Order Details'!$E:$E,"Yes",'Order Details'!$I:$I,'Item Summary'!$B58,'Order Details'!$F:$F,'Item Summary'!E$4,'Order Details'!$C:$C,"Downpayment Received")+SUMIFS('Order Details'!$Q:$Q,'Order Details'!$E:$E,"Yes",'Order Details'!$I:$I,'Item Summary'!$B58,'Order Details'!$F:$F,'Item Summary'!E$4,'Order Details'!$C:$C,"In Production")</f>
        <v>0</v>
      </c>
      <c r="F58" s="275">
        <f>SUMIFS('Order Details'!$Q:$Q,'Order Details'!$E:$E,"Yes",'Order Details'!$I:$I,'Item Summary'!$B58,'Order Details'!$F:$F,'Item Summary'!F$4,'Order Details'!$C:$C,"PO Received")+SUMIFS('Order Details'!$Q:$Q,'Order Details'!$E:$E,"Yes",'Order Details'!$I:$I,'Item Summary'!$B58,'Order Details'!$F:$F,'Item Summary'!F$4,'Order Details'!$C:$C,"Proforma Invoice Sent")+SUMIFS('Order Details'!$Q:$Q,'Order Details'!$E:$E,"Yes",'Order Details'!$I:$I,'Item Summary'!$B58,'Order Details'!$F:$F,'Item Summary'!F$4,'Order Details'!$C:$C,"Downpayment Received")+SUMIFS('Order Details'!$Q:$Q,'Order Details'!$E:$E,"Yes",'Order Details'!$I:$I,'Item Summary'!$B58,'Order Details'!$F:$F,'Item Summary'!F$4,'Order Details'!$C:$C,"In Production")</f>
        <v>0</v>
      </c>
      <c r="G58" s="275">
        <f>SUMIFS('Order Details'!$Q:$Q,'Order Details'!$E:$E,"Yes",'Order Details'!$I:$I,'Item Summary'!$B58,'Order Details'!$F:$F,'Item Summary'!G$4,'Order Details'!$C:$C,"PO Received")+SUMIFS('Order Details'!$Q:$Q,'Order Details'!$E:$E,"Yes",'Order Details'!$I:$I,'Item Summary'!$B58,'Order Details'!$F:$F,'Item Summary'!G$4,'Order Details'!$C:$C,"Proforma Invoice Sent")+SUMIFS('Order Details'!$Q:$Q,'Order Details'!$E:$E,"Yes",'Order Details'!$I:$I,'Item Summary'!$B58,'Order Details'!$F:$F,'Item Summary'!G$4,'Order Details'!$C:$C,"Downpayment Received")+SUMIFS('Order Details'!$Q:$Q,'Order Details'!$E:$E,"Yes",'Order Details'!$I:$I,'Item Summary'!$B58,'Order Details'!$F:$F,'Item Summary'!G$4,'Order Details'!$C:$C,"In Production")</f>
        <v>0</v>
      </c>
      <c r="H58" s="275">
        <f>SUMIFS('Order Details'!$Q:$Q,'Order Details'!$E:$E,"Yes",'Order Details'!$I:$I,'Item Summary'!$B58,'Order Details'!$F:$F,'Item Summary'!H$4,'Order Details'!$C:$C,"PO Received")+SUMIFS('Order Details'!$Q:$Q,'Order Details'!$E:$E,"Yes",'Order Details'!$I:$I,'Item Summary'!$B58,'Order Details'!$F:$F,'Item Summary'!H$4,'Order Details'!$C:$C,"Proforma Invoice Sent")+SUMIFS('Order Details'!$Q:$Q,'Order Details'!$E:$E,"Yes",'Order Details'!$I:$I,'Item Summary'!$B58,'Order Details'!$F:$F,'Item Summary'!H$4,'Order Details'!$C:$C,"Downpayment Received")+SUMIFS('Order Details'!$Q:$Q,'Order Details'!$E:$E,"Yes",'Order Details'!$I:$I,'Item Summary'!$B58,'Order Details'!$F:$F,'Item Summary'!H$4,'Order Details'!$C:$C,"In Production")</f>
        <v>0</v>
      </c>
      <c r="I58" s="275">
        <f>SUMIFS('Order Details'!$Q:$Q,'Order Details'!$E:$E,"Yes",'Order Details'!$I:$I,'Item Summary'!$B58,'Order Details'!$F:$F,'Item Summary'!I$4,'Order Details'!$C:$C,"PO Received")+SUMIFS('Order Details'!$Q:$Q,'Order Details'!$E:$E,"Yes",'Order Details'!$I:$I,'Item Summary'!$B58,'Order Details'!$F:$F,'Item Summary'!I$4,'Order Details'!$C:$C,"Proforma Invoice Sent")+SUMIFS('Order Details'!$Q:$Q,'Order Details'!$E:$E,"Yes",'Order Details'!$I:$I,'Item Summary'!$B58,'Order Details'!$F:$F,'Item Summary'!I$4,'Order Details'!$C:$C,"Downpayment Received")+SUMIFS('Order Details'!$Q:$Q,'Order Details'!$E:$E,"Yes",'Order Details'!$I:$I,'Item Summary'!$B58,'Order Details'!$F:$F,'Item Summary'!I$4,'Order Details'!$C:$C,"In Production")</f>
        <v>0</v>
      </c>
      <c r="J58" s="275">
        <f>SUMIFS('Order Details'!$Q:$Q,'Order Details'!$E:$E,"Yes",'Order Details'!$I:$I,'Item Summary'!$B58,'Order Details'!$F:$F,'Item Summary'!J$4,'Order Details'!$C:$C,"PO Received")+SUMIFS('Order Details'!$Q:$Q,'Order Details'!$E:$E,"Yes",'Order Details'!$I:$I,'Item Summary'!$B58,'Order Details'!$F:$F,'Item Summary'!J$4,'Order Details'!$C:$C,"Proforma Invoice Sent")+SUMIFS('Order Details'!$Q:$Q,'Order Details'!$E:$E,"Yes",'Order Details'!$I:$I,'Item Summary'!$B58,'Order Details'!$F:$F,'Item Summary'!J$4,'Order Details'!$C:$C,"Downpayment Received")+SUMIFS('Order Details'!$Q:$Q,'Order Details'!$E:$E,"Yes",'Order Details'!$I:$I,'Item Summary'!$B58,'Order Details'!$F:$F,'Item Summary'!J$4,'Order Details'!$C:$C,"In Production")</f>
        <v>0</v>
      </c>
      <c r="K58" s="275">
        <f>SUMIFS('Order Details'!$Q:$Q,'Order Details'!$E:$E,"Yes",'Order Details'!$I:$I,'Item Summary'!$B58,'Order Details'!$F:$F,'Item Summary'!K$4,'Order Details'!$C:$C,"PO Received")+SUMIFS('Order Details'!$Q:$Q,'Order Details'!$E:$E,"Yes",'Order Details'!$I:$I,'Item Summary'!$B58,'Order Details'!$F:$F,'Item Summary'!K$4,'Order Details'!$C:$C,"Proforma Invoice Sent")+SUMIFS('Order Details'!$Q:$Q,'Order Details'!$E:$E,"Yes",'Order Details'!$I:$I,'Item Summary'!$B58,'Order Details'!$F:$F,'Item Summary'!K$4,'Order Details'!$C:$C,"Downpayment Received")+SUMIFS('Order Details'!$Q:$Q,'Order Details'!$E:$E,"Yes",'Order Details'!$I:$I,'Item Summary'!$B58,'Order Details'!$F:$F,'Item Summary'!K$4,'Order Details'!$C:$C,"In Production")</f>
        <v>0</v>
      </c>
      <c r="L58" s="291">
        <f>SUMIFS('Order Details'!$Q:$Q,'Order Details'!$E:$E,"Yes",'Order Details'!$I:$I,'Item Summary'!$B58,'Order Details'!$F:$F,'Item Summary'!L$4,'Order Details'!$C:$C,"PO Received")+SUMIFS('Order Details'!$Q:$Q,'Order Details'!$E:$E,"Yes",'Order Details'!$I:$I,'Item Summary'!$B58,'Order Details'!$F:$F,'Item Summary'!L$4,'Order Details'!$C:$C,"Proforma Invoice Sent")+SUMIFS('Order Details'!$Q:$Q,'Order Details'!$E:$E,"Yes",'Order Details'!$I:$I,'Item Summary'!$B58,'Order Details'!$F:$F,'Item Summary'!L$4,'Order Details'!$C:$C,"Downpayment Received")+SUMIFS('Order Details'!$Q:$Q,'Order Details'!$E:$E,"Yes",'Order Details'!$I:$I,'Item Summary'!$B58,'Order Details'!$F:$F,'Item Summary'!L$4,'Order Details'!$C:$C,"In Production")</f>
        <v>0</v>
      </c>
      <c r="M58" s="276">
        <f>SUMIFS('Order Details'!$Q:$Q,'Order Details'!$E:$E,"Yes",'Order Details'!$I:$I,'Item Summary'!$B58,'Order Details'!$F:$F,'Item Summary'!M$4,'Order Details'!$C:$C,"PO Received")+SUMIFS('Order Details'!$Q:$Q,'Order Details'!$E:$E,"Yes",'Order Details'!$I:$I,'Item Summary'!$B58,'Order Details'!$F:$F,'Item Summary'!M$4,'Order Details'!$C:$C,"Proforma Invoice Sent")+SUMIFS('Order Details'!$Q:$Q,'Order Details'!$E:$E,"Yes",'Order Details'!$I:$I,'Item Summary'!$B58,'Order Details'!$F:$F,'Item Summary'!M$4,'Order Details'!$C:$C,"Downpayment Received")+SUMIFS('Order Details'!$Q:$Q,'Order Details'!$E:$E,"Yes",'Order Details'!$I:$I,'Item Summary'!$B58,'Order Details'!$F:$F,'Item Summary'!M$4,'Order Details'!$C:$C,"In Production")</f>
        <v>0</v>
      </c>
      <c r="N58" s="279">
        <f t="shared" si="2"/>
        <v>0</v>
      </c>
      <c r="Q58" s="278">
        <v>697409</v>
      </c>
      <c r="R58" s="274" t="str">
        <f>VLOOKUP($Q58,'Pricing Table - eff 27-Jan-2026'!$A:$L,9,FALSE)&amp;""" "&amp;VLOOKUP($Q58,'Pricing Table - eff 27-Jan-2026'!$A:$L,12,FALSE)</f>
        <v>108" SAND SAHARA</v>
      </c>
      <c r="S58" s="275">
        <f>SUMIFS('Order Details'!$Q:$Q,'Order Details'!$E:$E,"Yes",'Order Details'!$I:$I,$Q58,'Order Details'!$F:$F,'Item Summary'!S$4)-D58</f>
        <v>0</v>
      </c>
      <c r="T58" s="275">
        <f>SUMIFS('Order Details'!$Q:$Q,'Order Details'!$E:$E,"Yes",'Order Details'!$I:$I,$Q58,'Order Details'!$F:$F,'Item Summary'!T$4)-E58</f>
        <v>0</v>
      </c>
      <c r="U58" s="275">
        <f>SUMIFS('Order Details'!$Q:$Q,'Order Details'!$E:$E,"Yes",'Order Details'!$I:$I,$Q58,'Order Details'!$F:$F,'Item Summary'!U$4)-F58</f>
        <v>0</v>
      </c>
      <c r="V58" s="275">
        <f>SUMIFS('Order Details'!$Q:$Q,'Order Details'!$E:$E,"Yes",'Order Details'!$I:$I,$Q58,'Order Details'!$F:$F,'Item Summary'!V$4)-G58</f>
        <v>200</v>
      </c>
      <c r="W58" s="275">
        <f>SUMIFS('Order Details'!$Q:$Q,'Order Details'!$E:$E,"Yes",'Order Details'!$I:$I,$Q58,'Order Details'!$F:$F,'Item Summary'!W$4)-H58</f>
        <v>0</v>
      </c>
      <c r="X58" s="275">
        <f>SUMIFS('Order Details'!$Q:$Q,'Order Details'!$E:$E,"Yes",'Order Details'!$I:$I,$Q58,'Order Details'!$F:$F,'Item Summary'!X$4)-I58</f>
        <v>0</v>
      </c>
      <c r="Y58" s="275">
        <f>SUMIFS('Order Details'!$Q:$Q,'Order Details'!$E:$E,"Yes",'Order Details'!$I:$I,$Q58,'Order Details'!$F:$F,'Item Summary'!Y$4)-J58</f>
        <v>0</v>
      </c>
      <c r="Z58" s="275">
        <f>SUMIFS('Order Details'!$Q:$Q,'Order Details'!$E:$E,"Yes",'Order Details'!$I:$I,$Q58,'Order Details'!$F:$F,'Item Summary'!Z$4)-K58</f>
        <v>0</v>
      </c>
      <c r="AA58" s="291">
        <f>SUMIFS('Order Details'!$Q:$Q,'Order Details'!$E:$E,"Yes",'Order Details'!$I:$I,$Q58,'Order Details'!$F:$F,'Item Summary'!AA$4)-L58</f>
        <v>0</v>
      </c>
      <c r="AB58" s="276">
        <f>SUMIFS('Order Details'!$Q:$Q,'Order Details'!$E:$E,"Yes",'Order Details'!$I:$I,$Q58,'Order Details'!$F:$F,'Item Summary'!AB$4)-M58</f>
        <v>0</v>
      </c>
      <c r="AC58" s="279">
        <f t="shared" si="3"/>
        <v>200</v>
      </c>
    </row>
    <row r="59" spans="2:29" x14ac:dyDescent="0.3">
      <c r="B59" s="278">
        <v>697410</v>
      </c>
      <c r="C59" s="274" t="str">
        <f>VLOOKUP($B59,'Pricing Table - eff 27-Jan-2026'!$A:$L,9,FALSE)&amp;""" "&amp;VLOOKUP($B59,'Pricing Table - eff 27-Jan-2026'!$A:$L,12,FALSE)</f>
        <v>144" SAND SAHARA</v>
      </c>
      <c r="D59" s="275">
        <f>SUMIFS('Order Details'!$Q:$Q,'Order Details'!$E:$E,"Yes",'Order Details'!$I:$I,'Item Summary'!$B59,'Order Details'!$F:$F,'Item Summary'!D$4,'Order Details'!$C:$C,"PO Received")+SUMIFS('Order Details'!$Q:$Q,'Order Details'!$E:$E,"Yes",'Order Details'!$I:$I,'Item Summary'!$B59,'Order Details'!$F:$F,'Item Summary'!D$4,'Order Details'!$C:$C,"Proforma Invoice Sent")+SUMIFS('Order Details'!$Q:$Q,'Order Details'!$E:$E,"Yes",'Order Details'!$I:$I,'Item Summary'!$B59,'Order Details'!$F:$F,'Item Summary'!D$4,'Order Details'!$C:$C,"Downpayment Received")+SUMIFS('Order Details'!$Q:$Q,'Order Details'!$E:$E,"Yes",'Order Details'!$I:$I,'Item Summary'!$B59,'Order Details'!$F:$F,'Item Summary'!D$4,'Order Details'!$C:$C,"In Production")</f>
        <v>0</v>
      </c>
      <c r="E59" s="275">
        <f>SUMIFS('Order Details'!$Q:$Q,'Order Details'!$E:$E,"Yes",'Order Details'!$I:$I,'Item Summary'!$B59,'Order Details'!$F:$F,'Item Summary'!E$4,'Order Details'!$C:$C,"PO Received")+SUMIFS('Order Details'!$Q:$Q,'Order Details'!$E:$E,"Yes",'Order Details'!$I:$I,'Item Summary'!$B59,'Order Details'!$F:$F,'Item Summary'!E$4,'Order Details'!$C:$C,"Proforma Invoice Sent")+SUMIFS('Order Details'!$Q:$Q,'Order Details'!$E:$E,"Yes",'Order Details'!$I:$I,'Item Summary'!$B59,'Order Details'!$F:$F,'Item Summary'!E$4,'Order Details'!$C:$C,"Downpayment Received")+SUMIFS('Order Details'!$Q:$Q,'Order Details'!$E:$E,"Yes",'Order Details'!$I:$I,'Item Summary'!$B59,'Order Details'!$F:$F,'Item Summary'!E$4,'Order Details'!$C:$C,"In Production")</f>
        <v>0</v>
      </c>
      <c r="F59" s="275">
        <f>SUMIFS('Order Details'!$Q:$Q,'Order Details'!$E:$E,"Yes",'Order Details'!$I:$I,'Item Summary'!$B59,'Order Details'!$F:$F,'Item Summary'!F$4,'Order Details'!$C:$C,"PO Received")+SUMIFS('Order Details'!$Q:$Q,'Order Details'!$E:$E,"Yes",'Order Details'!$I:$I,'Item Summary'!$B59,'Order Details'!$F:$F,'Item Summary'!F$4,'Order Details'!$C:$C,"Proforma Invoice Sent")+SUMIFS('Order Details'!$Q:$Q,'Order Details'!$E:$E,"Yes",'Order Details'!$I:$I,'Item Summary'!$B59,'Order Details'!$F:$F,'Item Summary'!F$4,'Order Details'!$C:$C,"Downpayment Received")+SUMIFS('Order Details'!$Q:$Q,'Order Details'!$E:$E,"Yes",'Order Details'!$I:$I,'Item Summary'!$B59,'Order Details'!$F:$F,'Item Summary'!F$4,'Order Details'!$C:$C,"In Production")</f>
        <v>0</v>
      </c>
      <c r="G59" s="275">
        <f>SUMIFS('Order Details'!$Q:$Q,'Order Details'!$E:$E,"Yes",'Order Details'!$I:$I,'Item Summary'!$B59,'Order Details'!$F:$F,'Item Summary'!G$4,'Order Details'!$C:$C,"PO Received")+SUMIFS('Order Details'!$Q:$Q,'Order Details'!$E:$E,"Yes",'Order Details'!$I:$I,'Item Summary'!$B59,'Order Details'!$F:$F,'Item Summary'!G$4,'Order Details'!$C:$C,"Proforma Invoice Sent")+SUMIFS('Order Details'!$Q:$Q,'Order Details'!$E:$E,"Yes",'Order Details'!$I:$I,'Item Summary'!$B59,'Order Details'!$F:$F,'Item Summary'!G$4,'Order Details'!$C:$C,"Downpayment Received")+SUMIFS('Order Details'!$Q:$Q,'Order Details'!$E:$E,"Yes",'Order Details'!$I:$I,'Item Summary'!$B59,'Order Details'!$F:$F,'Item Summary'!G$4,'Order Details'!$C:$C,"In Production")</f>
        <v>0</v>
      </c>
      <c r="H59" s="275">
        <f>SUMIFS('Order Details'!$Q:$Q,'Order Details'!$E:$E,"Yes",'Order Details'!$I:$I,'Item Summary'!$B59,'Order Details'!$F:$F,'Item Summary'!H$4,'Order Details'!$C:$C,"PO Received")+SUMIFS('Order Details'!$Q:$Q,'Order Details'!$E:$E,"Yes",'Order Details'!$I:$I,'Item Summary'!$B59,'Order Details'!$F:$F,'Item Summary'!H$4,'Order Details'!$C:$C,"Proforma Invoice Sent")+SUMIFS('Order Details'!$Q:$Q,'Order Details'!$E:$E,"Yes",'Order Details'!$I:$I,'Item Summary'!$B59,'Order Details'!$F:$F,'Item Summary'!H$4,'Order Details'!$C:$C,"Downpayment Received")+SUMIFS('Order Details'!$Q:$Q,'Order Details'!$E:$E,"Yes",'Order Details'!$I:$I,'Item Summary'!$B59,'Order Details'!$F:$F,'Item Summary'!H$4,'Order Details'!$C:$C,"In Production")</f>
        <v>0</v>
      </c>
      <c r="I59" s="275">
        <f>SUMIFS('Order Details'!$Q:$Q,'Order Details'!$E:$E,"Yes",'Order Details'!$I:$I,'Item Summary'!$B59,'Order Details'!$F:$F,'Item Summary'!I$4,'Order Details'!$C:$C,"PO Received")+SUMIFS('Order Details'!$Q:$Q,'Order Details'!$E:$E,"Yes",'Order Details'!$I:$I,'Item Summary'!$B59,'Order Details'!$F:$F,'Item Summary'!I$4,'Order Details'!$C:$C,"Proforma Invoice Sent")+SUMIFS('Order Details'!$Q:$Q,'Order Details'!$E:$E,"Yes",'Order Details'!$I:$I,'Item Summary'!$B59,'Order Details'!$F:$F,'Item Summary'!I$4,'Order Details'!$C:$C,"Downpayment Received")+SUMIFS('Order Details'!$Q:$Q,'Order Details'!$E:$E,"Yes",'Order Details'!$I:$I,'Item Summary'!$B59,'Order Details'!$F:$F,'Item Summary'!I$4,'Order Details'!$C:$C,"In Production")</f>
        <v>0</v>
      </c>
      <c r="J59" s="275">
        <f>SUMIFS('Order Details'!$Q:$Q,'Order Details'!$E:$E,"Yes",'Order Details'!$I:$I,'Item Summary'!$B59,'Order Details'!$F:$F,'Item Summary'!J$4,'Order Details'!$C:$C,"PO Received")+SUMIFS('Order Details'!$Q:$Q,'Order Details'!$E:$E,"Yes",'Order Details'!$I:$I,'Item Summary'!$B59,'Order Details'!$F:$F,'Item Summary'!J$4,'Order Details'!$C:$C,"Proforma Invoice Sent")+SUMIFS('Order Details'!$Q:$Q,'Order Details'!$E:$E,"Yes",'Order Details'!$I:$I,'Item Summary'!$B59,'Order Details'!$F:$F,'Item Summary'!J$4,'Order Details'!$C:$C,"Downpayment Received")+SUMIFS('Order Details'!$Q:$Q,'Order Details'!$E:$E,"Yes",'Order Details'!$I:$I,'Item Summary'!$B59,'Order Details'!$F:$F,'Item Summary'!J$4,'Order Details'!$C:$C,"In Production")</f>
        <v>0</v>
      </c>
      <c r="K59" s="275">
        <f>SUMIFS('Order Details'!$Q:$Q,'Order Details'!$E:$E,"Yes",'Order Details'!$I:$I,'Item Summary'!$B59,'Order Details'!$F:$F,'Item Summary'!K$4,'Order Details'!$C:$C,"PO Received")+SUMIFS('Order Details'!$Q:$Q,'Order Details'!$E:$E,"Yes",'Order Details'!$I:$I,'Item Summary'!$B59,'Order Details'!$F:$F,'Item Summary'!K$4,'Order Details'!$C:$C,"Proforma Invoice Sent")+SUMIFS('Order Details'!$Q:$Q,'Order Details'!$E:$E,"Yes",'Order Details'!$I:$I,'Item Summary'!$B59,'Order Details'!$F:$F,'Item Summary'!K$4,'Order Details'!$C:$C,"Downpayment Received")+SUMIFS('Order Details'!$Q:$Q,'Order Details'!$E:$E,"Yes",'Order Details'!$I:$I,'Item Summary'!$B59,'Order Details'!$F:$F,'Item Summary'!K$4,'Order Details'!$C:$C,"In Production")</f>
        <v>0</v>
      </c>
      <c r="L59" s="291">
        <f>SUMIFS('Order Details'!$Q:$Q,'Order Details'!$E:$E,"Yes",'Order Details'!$I:$I,'Item Summary'!$B59,'Order Details'!$F:$F,'Item Summary'!L$4,'Order Details'!$C:$C,"PO Received")+SUMIFS('Order Details'!$Q:$Q,'Order Details'!$E:$E,"Yes",'Order Details'!$I:$I,'Item Summary'!$B59,'Order Details'!$F:$F,'Item Summary'!L$4,'Order Details'!$C:$C,"Proforma Invoice Sent")+SUMIFS('Order Details'!$Q:$Q,'Order Details'!$E:$E,"Yes",'Order Details'!$I:$I,'Item Summary'!$B59,'Order Details'!$F:$F,'Item Summary'!L$4,'Order Details'!$C:$C,"Downpayment Received")+SUMIFS('Order Details'!$Q:$Q,'Order Details'!$E:$E,"Yes",'Order Details'!$I:$I,'Item Summary'!$B59,'Order Details'!$F:$F,'Item Summary'!L$4,'Order Details'!$C:$C,"In Production")</f>
        <v>0</v>
      </c>
      <c r="M59" s="276">
        <f>SUMIFS('Order Details'!$Q:$Q,'Order Details'!$E:$E,"Yes",'Order Details'!$I:$I,'Item Summary'!$B59,'Order Details'!$F:$F,'Item Summary'!M$4,'Order Details'!$C:$C,"PO Received")+SUMIFS('Order Details'!$Q:$Q,'Order Details'!$E:$E,"Yes",'Order Details'!$I:$I,'Item Summary'!$B59,'Order Details'!$F:$F,'Item Summary'!M$4,'Order Details'!$C:$C,"Proforma Invoice Sent")+SUMIFS('Order Details'!$Q:$Q,'Order Details'!$E:$E,"Yes",'Order Details'!$I:$I,'Item Summary'!$B59,'Order Details'!$F:$F,'Item Summary'!M$4,'Order Details'!$C:$C,"Downpayment Received")+SUMIFS('Order Details'!$Q:$Q,'Order Details'!$E:$E,"Yes",'Order Details'!$I:$I,'Item Summary'!$B59,'Order Details'!$F:$F,'Item Summary'!M$4,'Order Details'!$C:$C,"In Production")</f>
        <v>0</v>
      </c>
      <c r="N59" s="279">
        <f t="shared" si="2"/>
        <v>0</v>
      </c>
      <c r="Q59" s="278">
        <v>697410</v>
      </c>
      <c r="R59" s="274" t="str">
        <f>VLOOKUP($Q59,'Pricing Table - eff 27-Jan-2026'!$A:$L,9,FALSE)&amp;""" "&amp;VLOOKUP($Q59,'Pricing Table - eff 27-Jan-2026'!$A:$L,12,FALSE)</f>
        <v>144" SAND SAHARA</v>
      </c>
      <c r="S59" s="275">
        <f>SUMIFS('Order Details'!$Q:$Q,'Order Details'!$E:$E,"Yes",'Order Details'!$I:$I,$Q59,'Order Details'!$F:$F,'Item Summary'!S$4)-D59</f>
        <v>0</v>
      </c>
      <c r="T59" s="275">
        <f>SUMIFS('Order Details'!$Q:$Q,'Order Details'!$E:$E,"Yes",'Order Details'!$I:$I,$Q59,'Order Details'!$F:$F,'Item Summary'!T$4)-E59</f>
        <v>0</v>
      </c>
      <c r="U59" s="275">
        <f>SUMIFS('Order Details'!$Q:$Q,'Order Details'!$E:$E,"Yes",'Order Details'!$I:$I,$Q59,'Order Details'!$F:$F,'Item Summary'!U$4)-F59</f>
        <v>0</v>
      </c>
      <c r="V59" s="275">
        <f>SUMIFS('Order Details'!$Q:$Q,'Order Details'!$E:$E,"Yes",'Order Details'!$I:$I,$Q59,'Order Details'!$F:$F,'Item Summary'!V$4)-G59</f>
        <v>0</v>
      </c>
      <c r="W59" s="275">
        <f>SUMIFS('Order Details'!$Q:$Q,'Order Details'!$E:$E,"Yes",'Order Details'!$I:$I,$Q59,'Order Details'!$F:$F,'Item Summary'!W$4)-H59</f>
        <v>0</v>
      </c>
      <c r="X59" s="275">
        <f>SUMIFS('Order Details'!$Q:$Q,'Order Details'!$E:$E,"Yes",'Order Details'!$I:$I,$Q59,'Order Details'!$F:$F,'Item Summary'!X$4)-I59</f>
        <v>0</v>
      </c>
      <c r="Y59" s="275">
        <f>SUMIFS('Order Details'!$Q:$Q,'Order Details'!$E:$E,"Yes",'Order Details'!$I:$I,$Q59,'Order Details'!$F:$F,'Item Summary'!Y$4)-J59</f>
        <v>0</v>
      </c>
      <c r="Z59" s="275">
        <f>SUMIFS('Order Details'!$Q:$Q,'Order Details'!$E:$E,"Yes",'Order Details'!$I:$I,$Q59,'Order Details'!$F:$F,'Item Summary'!Z$4)-K59</f>
        <v>0</v>
      </c>
      <c r="AA59" s="291">
        <f>SUMIFS('Order Details'!$Q:$Q,'Order Details'!$E:$E,"Yes",'Order Details'!$I:$I,$Q59,'Order Details'!$F:$F,'Item Summary'!AA$4)-L59</f>
        <v>0</v>
      </c>
      <c r="AB59" s="276">
        <f>SUMIFS('Order Details'!$Q:$Q,'Order Details'!$E:$E,"Yes",'Order Details'!$I:$I,$Q59,'Order Details'!$F:$F,'Item Summary'!AB$4)-M59</f>
        <v>0</v>
      </c>
      <c r="AC59" s="279">
        <f t="shared" si="3"/>
        <v>0</v>
      </c>
    </row>
    <row r="60" spans="2:29" x14ac:dyDescent="0.3">
      <c r="B60" s="278" t="s">
        <v>509</v>
      </c>
      <c r="C60" s="274" t="str">
        <f>VLOOKUP($B60,'Pricing Table - eff 27-Jan-2026'!$A:$L,9,FALSE)&amp;""" "&amp;VLOOKUP($B60,'Pricing Table - eff 27-Jan-2026'!$A:$L,12,FALSE)</f>
        <v>90" SAND SAHARA MATTE</v>
      </c>
      <c r="D60" s="275">
        <f>SUMIFS('Order Details'!$Q:$Q,'Order Details'!$E:$E,"Yes",'Order Details'!$I:$I,'Item Summary'!$B60,'Order Details'!$F:$F,'Item Summary'!D$4,'Order Details'!$C:$C,"PO Received")+SUMIFS('Order Details'!$Q:$Q,'Order Details'!$E:$E,"Yes",'Order Details'!$I:$I,'Item Summary'!$B60,'Order Details'!$F:$F,'Item Summary'!D$4,'Order Details'!$C:$C,"Proforma Invoice Sent")+SUMIFS('Order Details'!$Q:$Q,'Order Details'!$E:$E,"Yes",'Order Details'!$I:$I,'Item Summary'!$B60,'Order Details'!$F:$F,'Item Summary'!D$4,'Order Details'!$C:$C,"Downpayment Received")+SUMIFS('Order Details'!$Q:$Q,'Order Details'!$E:$E,"Yes",'Order Details'!$I:$I,'Item Summary'!$B60,'Order Details'!$F:$F,'Item Summary'!D$4,'Order Details'!$C:$C,"In Production")</f>
        <v>0</v>
      </c>
      <c r="E60" s="275">
        <f>SUMIFS('Order Details'!$Q:$Q,'Order Details'!$E:$E,"Yes",'Order Details'!$I:$I,'Item Summary'!$B60,'Order Details'!$F:$F,'Item Summary'!E$4,'Order Details'!$C:$C,"PO Received")+SUMIFS('Order Details'!$Q:$Q,'Order Details'!$E:$E,"Yes",'Order Details'!$I:$I,'Item Summary'!$B60,'Order Details'!$F:$F,'Item Summary'!E$4,'Order Details'!$C:$C,"Proforma Invoice Sent")+SUMIFS('Order Details'!$Q:$Q,'Order Details'!$E:$E,"Yes",'Order Details'!$I:$I,'Item Summary'!$B60,'Order Details'!$F:$F,'Item Summary'!E$4,'Order Details'!$C:$C,"Downpayment Received")+SUMIFS('Order Details'!$Q:$Q,'Order Details'!$E:$E,"Yes",'Order Details'!$I:$I,'Item Summary'!$B60,'Order Details'!$F:$F,'Item Summary'!E$4,'Order Details'!$C:$C,"In Production")</f>
        <v>0</v>
      </c>
      <c r="F60" s="275">
        <f>SUMIFS('Order Details'!$Q:$Q,'Order Details'!$E:$E,"Yes",'Order Details'!$I:$I,'Item Summary'!$B60,'Order Details'!$F:$F,'Item Summary'!F$4,'Order Details'!$C:$C,"PO Received")+SUMIFS('Order Details'!$Q:$Q,'Order Details'!$E:$E,"Yes",'Order Details'!$I:$I,'Item Summary'!$B60,'Order Details'!$F:$F,'Item Summary'!F$4,'Order Details'!$C:$C,"Proforma Invoice Sent")+SUMIFS('Order Details'!$Q:$Q,'Order Details'!$E:$E,"Yes",'Order Details'!$I:$I,'Item Summary'!$B60,'Order Details'!$F:$F,'Item Summary'!F$4,'Order Details'!$C:$C,"Downpayment Received")+SUMIFS('Order Details'!$Q:$Q,'Order Details'!$E:$E,"Yes",'Order Details'!$I:$I,'Item Summary'!$B60,'Order Details'!$F:$F,'Item Summary'!F$4,'Order Details'!$C:$C,"In Production")</f>
        <v>0</v>
      </c>
      <c r="G60" s="275">
        <f>SUMIFS('Order Details'!$Q:$Q,'Order Details'!$E:$E,"Yes",'Order Details'!$I:$I,'Item Summary'!$B60,'Order Details'!$F:$F,'Item Summary'!G$4,'Order Details'!$C:$C,"PO Received")+SUMIFS('Order Details'!$Q:$Q,'Order Details'!$E:$E,"Yes",'Order Details'!$I:$I,'Item Summary'!$B60,'Order Details'!$F:$F,'Item Summary'!G$4,'Order Details'!$C:$C,"Proforma Invoice Sent")+SUMIFS('Order Details'!$Q:$Q,'Order Details'!$E:$E,"Yes",'Order Details'!$I:$I,'Item Summary'!$B60,'Order Details'!$F:$F,'Item Summary'!G$4,'Order Details'!$C:$C,"Downpayment Received")+SUMIFS('Order Details'!$Q:$Q,'Order Details'!$E:$E,"Yes",'Order Details'!$I:$I,'Item Summary'!$B60,'Order Details'!$F:$F,'Item Summary'!G$4,'Order Details'!$C:$C,"In Production")</f>
        <v>0</v>
      </c>
      <c r="H60" s="275">
        <f>SUMIFS('Order Details'!$Q:$Q,'Order Details'!$E:$E,"Yes",'Order Details'!$I:$I,'Item Summary'!$B60,'Order Details'!$F:$F,'Item Summary'!H$4,'Order Details'!$C:$C,"PO Received")+SUMIFS('Order Details'!$Q:$Q,'Order Details'!$E:$E,"Yes",'Order Details'!$I:$I,'Item Summary'!$B60,'Order Details'!$F:$F,'Item Summary'!H$4,'Order Details'!$C:$C,"Proforma Invoice Sent")+SUMIFS('Order Details'!$Q:$Q,'Order Details'!$E:$E,"Yes",'Order Details'!$I:$I,'Item Summary'!$B60,'Order Details'!$F:$F,'Item Summary'!H$4,'Order Details'!$C:$C,"Downpayment Received")+SUMIFS('Order Details'!$Q:$Q,'Order Details'!$E:$E,"Yes",'Order Details'!$I:$I,'Item Summary'!$B60,'Order Details'!$F:$F,'Item Summary'!H$4,'Order Details'!$C:$C,"In Production")</f>
        <v>0</v>
      </c>
      <c r="I60" s="275">
        <f>SUMIFS('Order Details'!$Q:$Q,'Order Details'!$E:$E,"Yes",'Order Details'!$I:$I,'Item Summary'!$B60,'Order Details'!$F:$F,'Item Summary'!I$4,'Order Details'!$C:$C,"PO Received")+SUMIFS('Order Details'!$Q:$Q,'Order Details'!$E:$E,"Yes",'Order Details'!$I:$I,'Item Summary'!$B60,'Order Details'!$F:$F,'Item Summary'!I$4,'Order Details'!$C:$C,"Proforma Invoice Sent")+SUMIFS('Order Details'!$Q:$Q,'Order Details'!$E:$E,"Yes",'Order Details'!$I:$I,'Item Summary'!$B60,'Order Details'!$F:$F,'Item Summary'!I$4,'Order Details'!$C:$C,"Downpayment Received")+SUMIFS('Order Details'!$Q:$Q,'Order Details'!$E:$E,"Yes",'Order Details'!$I:$I,'Item Summary'!$B60,'Order Details'!$F:$F,'Item Summary'!I$4,'Order Details'!$C:$C,"In Production")</f>
        <v>0</v>
      </c>
      <c r="J60" s="275">
        <f>SUMIFS('Order Details'!$Q:$Q,'Order Details'!$E:$E,"Yes",'Order Details'!$I:$I,'Item Summary'!$B60,'Order Details'!$F:$F,'Item Summary'!J$4,'Order Details'!$C:$C,"PO Received")+SUMIFS('Order Details'!$Q:$Q,'Order Details'!$E:$E,"Yes",'Order Details'!$I:$I,'Item Summary'!$B60,'Order Details'!$F:$F,'Item Summary'!J$4,'Order Details'!$C:$C,"Proforma Invoice Sent")+SUMIFS('Order Details'!$Q:$Q,'Order Details'!$E:$E,"Yes",'Order Details'!$I:$I,'Item Summary'!$B60,'Order Details'!$F:$F,'Item Summary'!J$4,'Order Details'!$C:$C,"Downpayment Received")+SUMIFS('Order Details'!$Q:$Q,'Order Details'!$E:$E,"Yes",'Order Details'!$I:$I,'Item Summary'!$B60,'Order Details'!$F:$F,'Item Summary'!J$4,'Order Details'!$C:$C,"In Production")</f>
        <v>0</v>
      </c>
      <c r="K60" s="275">
        <f>SUMIFS('Order Details'!$Q:$Q,'Order Details'!$E:$E,"Yes",'Order Details'!$I:$I,'Item Summary'!$B60,'Order Details'!$F:$F,'Item Summary'!K$4,'Order Details'!$C:$C,"PO Received")+SUMIFS('Order Details'!$Q:$Q,'Order Details'!$E:$E,"Yes",'Order Details'!$I:$I,'Item Summary'!$B60,'Order Details'!$F:$F,'Item Summary'!K$4,'Order Details'!$C:$C,"Proforma Invoice Sent")+SUMIFS('Order Details'!$Q:$Q,'Order Details'!$E:$E,"Yes",'Order Details'!$I:$I,'Item Summary'!$B60,'Order Details'!$F:$F,'Item Summary'!K$4,'Order Details'!$C:$C,"Downpayment Received")+SUMIFS('Order Details'!$Q:$Q,'Order Details'!$E:$E,"Yes",'Order Details'!$I:$I,'Item Summary'!$B60,'Order Details'!$F:$F,'Item Summary'!K$4,'Order Details'!$C:$C,"In Production")</f>
        <v>0</v>
      </c>
      <c r="L60" s="291">
        <f>SUMIFS('Order Details'!$Q:$Q,'Order Details'!$E:$E,"Yes",'Order Details'!$I:$I,'Item Summary'!$B60,'Order Details'!$F:$F,'Item Summary'!L$4,'Order Details'!$C:$C,"PO Received")+SUMIFS('Order Details'!$Q:$Q,'Order Details'!$E:$E,"Yes",'Order Details'!$I:$I,'Item Summary'!$B60,'Order Details'!$F:$F,'Item Summary'!L$4,'Order Details'!$C:$C,"Proforma Invoice Sent")+SUMIFS('Order Details'!$Q:$Q,'Order Details'!$E:$E,"Yes",'Order Details'!$I:$I,'Item Summary'!$B60,'Order Details'!$F:$F,'Item Summary'!L$4,'Order Details'!$C:$C,"Downpayment Received")+SUMIFS('Order Details'!$Q:$Q,'Order Details'!$E:$E,"Yes",'Order Details'!$I:$I,'Item Summary'!$B60,'Order Details'!$F:$F,'Item Summary'!L$4,'Order Details'!$C:$C,"In Production")</f>
        <v>0</v>
      </c>
      <c r="M60" s="276">
        <f>SUMIFS('Order Details'!$Q:$Q,'Order Details'!$E:$E,"Yes",'Order Details'!$I:$I,'Item Summary'!$B60,'Order Details'!$F:$F,'Item Summary'!M$4,'Order Details'!$C:$C,"PO Received")+SUMIFS('Order Details'!$Q:$Q,'Order Details'!$E:$E,"Yes",'Order Details'!$I:$I,'Item Summary'!$B60,'Order Details'!$F:$F,'Item Summary'!M$4,'Order Details'!$C:$C,"Proforma Invoice Sent")+SUMIFS('Order Details'!$Q:$Q,'Order Details'!$E:$E,"Yes",'Order Details'!$I:$I,'Item Summary'!$B60,'Order Details'!$F:$F,'Item Summary'!M$4,'Order Details'!$C:$C,"Downpayment Received")+SUMIFS('Order Details'!$Q:$Q,'Order Details'!$E:$E,"Yes",'Order Details'!$I:$I,'Item Summary'!$B60,'Order Details'!$F:$F,'Item Summary'!M$4,'Order Details'!$C:$C,"In Production")</f>
        <v>0</v>
      </c>
      <c r="N60" s="279">
        <f t="shared" ref="N60:N64" si="4">SUM(D60:M60)</f>
        <v>0</v>
      </c>
      <c r="Q60" s="278" t="s">
        <v>509</v>
      </c>
      <c r="R60" s="274" t="str">
        <f>VLOOKUP($Q60,'Pricing Table - eff 27-Jan-2026'!$A:$L,9,FALSE)&amp;""" "&amp;VLOOKUP($Q60,'Pricing Table - eff 27-Jan-2026'!$A:$L,12,FALSE)</f>
        <v>90" SAND SAHARA MATTE</v>
      </c>
      <c r="S60" s="275">
        <f>SUMIFS('Order Details'!$Q:$Q,'Order Details'!$E:$E,"Yes",'Order Details'!$I:$I,$Q60,'Order Details'!$F:$F,'Item Summary'!S$4)-D60</f>
        <v>0</v>
      </c>
      <c r="T60" s="275">
        <f>SUMIFS('Order Details'!$Q:$Q,'Order Details'!$E:$E,"Yes",'Order Details'!$I:$I,$Q60,'Order Details'!$F:$F,'Item Summary'!T$4)-E60</f>
        <v>0</v>
      </c>
      <c r="U60" s="275">
        <f>SUMIFS('Order Details'!$Q:$Q,'Order Details'!$E:$E,"Yes",'Order Details'!$I:$I,$Q60,'Order Details'!$F:$F,'Item Summary'!U$4)-F60</f>
        <v>0</v>
      </c>
      <c r="V60" s="275">
        <f>SUMIFS('Order Details'!$Q:$Q,'Order Details'!$E:$E,"Yes",'Order Details'!$I:$I,$Q60,'Order Details'!$F:$F,'Item Summary'!V$4)-G60</f>
        <v>0</v>
      </c>
      <c r="W60" s="275">
        <f>SUMIFS('Order Details'!$Q:$Q,'Order Details'!$E:$E,"Yes",'Order Details'!$I:$I,$Q60,'Order Details'!$F:$F,'Item Summary'!W$4)-H60</f>
        <v>0</v>
      </c>
      <c r="X60" s="275">
        <f>SUMIFS('Order Details'!$Q:$Q,'Order Details'!$E:$E,"Yes",'Order Details'!$I:$I,$Q60,'Order Details'!$F:$F,'Item Summary'!X$4)-I60</f>
        <v>0</v>
      </c>
      <c r="Y60" s="275">
        <f>SUMIFS('Order Details'!$Q:$Q,'Order Details'!$E:$E,"Yes",'Order Details'!$I:$I,$Q60,'Order Details'!$F:$F,'Item Summary'!Y$4)-J60</f>
        <v>0</v>
      </c>
      <c r="Z60" s="275">
        <f>SUMIFS('Order Details'!$Q:$Q,'Order Details'!$E:$E,"Yes",'Order Details'!$I:$I,$Q60,'Order Details'!$F:$F,'Item Summary'!Z$4)-K60</f>
        <v>0</v>
      </c>
      <c r="AA60" s="291">
        <f>SUMIFS('Order Details'!$Q:$Q,'Order Details'!$E:$E,"Yes",'Order Details'!$I:$I,$Q60,'Order Details'!$F:$F,'Item Summary'!AA$4)-L60</f>
        <v>0</v>
      </c>
      <c r="AB60" s="276">
        <f>SUMIFS('Order Details'!$Q:$Q,'Order Details'!$E:$E,"Yes",'Order Details'!$I:$I,$Q60,'Order Details'!$F:$F,'Item Summary'!AB$4)-M60</f>
        <v>0</v>
      </c>
      <c r="AC60" s="279">
        <f t="shared" ref="AC60:AC64" si="5">SUM(S60:AB60)</f>
        <v>0</v>
      </c>
    </row>
    <row r="61" spans="2:29" x14ac:dyDescent="0.3">
      <c r="B61" s="278">
        <v>721547</v>
      </c>
      <c r="C61" s="274" t="str">
        <f>VLOOKUP($B61,'Pricing Table - eff 27-Jan-2026'!$A:$L,9,FALSE)&amp;""" "&amp;VLOOKUP($B61,'Pricing Table - eff 27-Jan-2026'!$A:$L,12,FALSE)</f>
        <v>90.5" SAND SAHARA MATTE</v>
      </c>
      <c r="D61" s="275">
        <f>SUMIFS('Order Details'!$Q:$Q,'Order Details'!$E:$E,"Yes",'Order Details'!$I:$I,'Item Summary'!$B61,'Order Details'!$F:$F,'Item Summary'!D$4,'Order Details'!$C:$C,"PO Received")+SUMIFS('Order Details'!$Q:$Q,'Order Details'!$E:$E,"Yes",'Order Details'!$I:$I,'Item Summary'!$B61,'Order Details'!$F:$F,'Item Summary'!D$4,'Order Details'!$C:$C,"Proforma Invoice Sent")+SUMIFS('Order Details'!$Q:$Q,'Order Details'!$E:$E,"Yes",'Order Details'!$I:$I,'Item Summary'!$B61,'Order Details'!$F:$F,'Item Summary'!D$4,'Order Details'!$C:$C,"Downpayment Received")+SUMIFS('Order Details'!$Q:$Q,'Order Details'!$E:$E,"Yes",'Order Details'!$I:$I,'Item Summary'!$B61,'Order Details'!$F:$F,'Item Summary'!D$4,'Order Details'!$C:$C,"In Production")</f>
        <v>0</v>
      </c>
      <c r="E61" s="275">
        <f>SUMIFS('Order Details'!$Q:$Q,'Order Details'!$E:$E,"Yes",'Order Details'!$I:$I,'Item Summary'!$B61,'Order Details'!$F:$F,'Item Summary'!E$4,'Order Details'!$C:$C,"PO Received")+SUMIFS('Order Details'!$Q:$Q,'Order Details'!$E:$E,"Yes",'Order Details'!$I:$I,'Item Summary'!$B61,'Order Details'!$F:$F,'Item Summary'!E$4,'Order Details'!$C:$C,"Proforma Invoice Sent")+SUMIFS('Order Details'!$Q:$Q,'Order Details'!$E:$E,"Yes",'Order Details'!$I:$I,'Item Summary'!$B61,'Order Details'!$F:$F,'Item Summary'!E$4,'Order Details'!$C:$C,"Downpayment Received")+SUMIFS('Order Details'!$Q:$Q,'Order Details'!$E:$E,"Yes",'Order Details'!$I:$I,'Item Summary'!$B61,'Order Details'!$F:$F,'Item Summary'!E$4,'Order Details'!$C:$C,"In Production")</f>
        <v>0</v>
      </c>
      <c r="F61" s="275">
        <f>SUMIFS('Order Details'!$Q:$Q,'Order Details'!$E:$E,"Yes",'Order Details'!$I:$I,'Item Summary'!$B61,'Order Details'!$F:$F,'Item Summary'!F$4,'Order Details'!$C:$C,"PO Received")+SUMIFS('Order Details'!$Q:$Q,'Order Details'!$E:$E,"Yes",'Order Details'!$I:$I,'Item Summary'!$B61,'Order Details'!$F:$F,'Item Summary'!F$4,'Order Details'!$C:$C,"Proforma Invoice Sent")+SUMIFS('Order Details'!$Q:$Q,'Order Details'!$E:$E,"Yes",'Order Details'!$I:$I,'Item Summary'!$B61,'Order Details'!$F:$F,'Item Summary'!F$4,'Order Details'!$C:$C,"Downpayment Received")+SUMIFS('Order Details'!$Q:$Q,'Order Details'!$E:$E,"Yes",'Order Details'!$I:$I,'Item Summary'!$B61,'Order Details'!$F:$F,'Item Summary'!F$4,'Order Details'!$C:$C,"In Production")</f>
        <v>0</v>
      </c>
      <c r="G61" s="275">
        <f>SUMIFS('Order Details'!$Q:$Q,'Order Details'!$E:$E,"Yes",'Order Details'!$I:$I,'Item Summary'!$B61,'Order Details'!$F:$F,'Item Summary'!G$4,'Order Details'!$C:$C,"PO Received")+SUMIFS('Order Details'!$Q:$Q,'Order Details'!$E:$E,"Yes",'Order Details'!$I:$I,'Item Summary'!$B61,'Order Details'!$F:$F,'Item Summary'!G$4,'Order Details'!$C:$C,"Proforma Invoice Sent")+SUMIFS('Order Details'!$Q:$Q,'Order Details'!$E:$E,"Yes",'Order Details'!$I:$I,'Item Summary'!$B61,'Order Details'!$F:$F,'Item Summary'!G$4,'Order Details'!$C:$C,"Downpayment Received")+SUMIFS('Order Details'!$Q:$Q,'Order Details'!$E:$E,"Yes",'Order Details'!$I:$I,'Item Summary'!$B61,'Order Details'!$F:$F,'Item Summary'!G$4,'Order Details'!$C:$C,"In Production")</f>
        <v>800</v>
      </c>
      <c r="H61" s="275">
        <f>SUMIFS('Order Details'!$Q:$Q,'Order Details'!$E:$E,"Yes",'Order Details'!$I:$I,'Item Summary'!$B61,'Order Details'!$F:$F,'Item Summary'!H$4,'Order Details'!$C:$C,"PO Received")+SUMIFS('Order Details'!$Q:$Q,'Order Details'!$E:$E,"Yes",'Order Details'!$I:$I,'Item Summary'!$B61,'Order Details'!$F:$F,'Item Summary'!H$4,'Order Details'!$C:$C,"Proforma Invoice Sent")+SUMIFS('Order Details'!$Q:$Q,'Order Details'!$E:$E,"Yes",'Order Details'!$I:$I,'Item Summary'!$B61,'Order Details'!$F:$F,'Item Summary'!H$4,'Order Details'!$C:$C,"Downpayment Received")+SUMIFS('Order Details'!$Q:$Q,'Order Details'!$E:$E,"Yes",'Order Details'!$I:$I,'Item Summary'!$B61,'Order Details'!$F:$F,'Item Summary'!H$4,'Order Details'!$C:$C,"In Production")</f>
        <v>0</v>
      </c>
      <c r="I61" s="275">
        <f>SUMIFS('Order Details'!$Q:$Q,'Order Details'!$E:$E,"Yes",'Order Details'!$I:$I,'Item Summary'!$B61,'Order Details'!$F:$F,'Item Summary'!I$4,'Order Details'!$C:$C,"PO Received")+SUMIFS('Order Details'!$Q:$Q,'Order Details'!$E:$E,"Yes",'Order Details'!$I:$I,'Item Summary'!$B61,'Order Details'!$F:$F,'Item Summary'!I$4,'Order Details'!$C:$C,"Proforma Invoice Sent")+SUMIFS('Order Details'!$Q:$Q,'Order Details'!$E:$E,"Yes",'Order Details'!$I:$I,'Item Summary'!$B61,'Order Details'!$F:$F,'Item Summary'!I$4,'Order Details'!$C:$C,"Downpayment Received")+SUMIFS('Order Details'!$Q:$Q,'Order Details'!$E:$E,"Yes",'Order Details'!$I:$I,'Item Summary'!$B61,'Order Details'!$F:$F,'Item Summary'!I$4,'Order Details'!$C:$C,"In Production")</f>
        <v>0</v>
      </c>
      <c r="J61" s="275">
        <f>SUMIFS('Order Details'!$Q:$Q,'Order Details'!$E:$E,"Yes",'Order Details'!$I:$I,'Item Summary'!$B61,'Order Details'!$F:$F,'Item Summary'!J$4,'Order Details'!$C:$C,"PO Received")+SUMIFS('Order Details'!$Q:$Q,'Order Details'!$E:$E,"Yes",'Order Details'!$I:$I,'Item Summary'!$B61,'Order Details'!$F:$F,'Item Summary'!J$4,'Order Details'!$C:$C,"Proforma Invoice Sent")+SUMIFS('Order Details'!$Q:$Q,'Order Details'!$E:$E,"Yes",'Order Details'!$I:$I,'Item Summary'!$B61,'Order Details'!$F:$F,'Item Summary'!J$4,'Order Details'!$C:$C,"Downpayment Received")+SUMIFS('Order Details'!$Q:$Q,'Order Details'!$E:$E,"Yes",'Order Details'!$I:$I,'Item Summary'!$B61,'Order Details'!$F:$F,'Item Summary'!J$4,'Order Details'!$C:$C,"In Production")</f>
        <v>0</v>
      </c>
      <c r="K61" s="275">
        <f>SUMIFS('Order Details'!$Q:$Q,'Order Details'!$E:$E,"Yes",'Order Details'!$I:$I,'Item Summary'!$B61,'Order Details'!$F:$F,'Item Summary'!K$4,'Order Details'!$C:$C,"PO Received")+SUMIFS('Order Details'!$Q:$Q,'Order Details'!$E:$E,"Yes",'Order Details'!$I:$I,'Item Summary'!$B61,'Order Details'!$F:$F,'Item Summary'!K$4,'Order Details'!$C:$C,"Proforma Invoice Sent")+SUMIFS('Order Details'!$Q:$Q,'Order Details'!$E:$E,"Yes",'Order Details'!$I:$I,'Item Summary'!$B61,'Order Details'!$F:$F,'Item Summary'!K$4,'Order Details'!$C:$C,"Downpayment Received")+SUMIFS('Order Details'!$Q:$Q,'Order Details'!$E:$E,"Yes",'Order Details'!$I:$I,'Item Summary'!$B61,'Order Details'!$F:$F,'Item Summary'!K$4,'Order Details'!$C:$C,"In Production")</f>
        <v>0</v>
      </c>
      <c r="L61" s="291">
        <f>SUMIFS('Order Details'!$Q:$Q,'Order Details'!$E:$E,"Yes",'Order Details'!$I:$I,'Item Summary'!$B61,'Order Details'!$F:$F,'Item Summary'!L$4,'Order Details'!$C:$C,"PO Received")+SUMIFS('Order Details'!$Q:$Q,'Order Details'!$E:$E,"Yes",'Order Details'!$I:$I,'Item Summary'!$B61,'Order Details'!$F:$F,'Item Summary'!L$4,'Order Details'!$C:$C,"Proforma Invoice Sent")+SUMIFS('Order Details'!$Q:$Q,'Order Details'!$E:$E,"Yes",'Order Details'!$I:$I,'Item Summary'!$B61,'Order Details'!$F:$F,'Item Summary'!L$4,'Order Details'!$C:$C,"Downpayment Received")+SUMIFS('Order Details'!$Q:$Q,'Order Details'!$E:$E,"Yes",'Order Details'!$I:$I,'Item Summary'!$B61,'Order Details'!$F:$F,'Item Summary'!L$4,'Order Details'!$C:$C,"In Production")</f>
        <v>0</v>
      </c>
      <c r="M61" s="276">
        <f>SUMIFS('Order Details'!$Q:$Q,'Order Details'!$E:$E,"Yes",'Order Details'!$I:$I,'Item Summary'!$B61,'Order Details'!$F:$F,'Item Summary'!M$4,'Order Details'!$C:$C,"PO Received")+SUMIFS('Order Details'!$Q:$Q,'Order Details'!$E:$E,"Yes",'Order Details'!$I:$I,'Item Summary'!$B61,'Order Details'!$F:$F,'Item Summary'!M$4,'Order Details'!$C:$C,"Proforma Invoice Sent")+SUMIFS('Order Details'!$Q:$Q,'Order Details'!$E:$E,"Yes",'Order Details'!$I:$I,'Item Summary'!$B61,'Order Details'!$F:$F,'Item Summary'!M$4,'Order Details'!$C:$C,"Downpayment Received")+SUMIFS('Order Details'!$Q:$Q,'Order Details'!$E:$E,"Yes",'Order Details'!$I:$I,'Item Summary'!$B61,'Order Details'!$F:$F,'Item Summary'!M$4,'Order Details'!$C:$C,"In Production")</f>
        <v>0</v>
      </c>
      <c r="N61" s="279">
        <f t="shared" si="4"/>
        <v>800</v>
      </c>
      <c r="Q61" s="278">
        <v>721547</v>
      </c>
      <c r="R61" s="274" t="str">
        <f>VLOOKUP($Q61,'Pricing Table - eff 27-Jan-2026'!$A:$L,9,FALSE)&amp;""" "&amp;VLOOKUP($Q61,'Pricing Table - eff 27-Jan-2026'!$A:$L,12,FALSE)</f>
        <v>90.5" SAND SAHARA MATTE</v>
      </c>
      <c r="S61" s="275">
        <f>SUMIFS('Order Details'!$Q:$Q,'Order Details'!$E:$E,"Yes",'Order Details'!$I:$I,$Q61,'Order Details'!$F:$F,'Item Summary'!S$4)-D61</f>
        <v>0</v>
      </c>
      <c r="T61" s="275">
        <f>SUMIFS('Order Details'!$Q:$Q,'Order Details'!$E:$E,"Yes",'Order Details'!$I:$I,$Q61,'Order Details'!$F:$F,'Item Summary'!T$4)-E61</f>
        <v>0</v>
      </c>
      <c r="U61" s="275">
        <f>SUMIFS('Order Details'!$Q:$Q,'Order Details'!$E:$E,"Yes",'Order Details'!$I:$I,$Q61,'Order Details'!$F:$F,'Item Summary'!U$4)-F61</f>
        <v>0</v>
      </c>
      <c r="V61" s="275">
        <f>SUMIFS('Order Details'!$Q:$Q,'Order Details'!$E:$E,"Yes",'Order Details'!$I:$I,$Q61,'Order Details'!$F:$F,'Item Summary'!V$4)-G61</f>
        <v>0</v>
      </c>
      <c r="W61" s="275">
        <f>SUMIFS('Order Details'!$Q:$Q,'Order Details'!$E:$E,"Yes",'Order Details'!$I:$I,$Q61,'Order Details'!$F:$F,'Item Summary'!W$4)-H61</f>
        <v>0</v>
      </c>
      <c r="X61" s="275">
        <f>SUMIFS('Order Details'!$Q:$Q,'Order Details'!$E:$E,"Yes",'Order Details'!$I:$I,$Q61,'Order Details'!$F:$F,'Item Summary'!X$4)-I61</f>
        <v>0</v>
      </c>
      <c r="Y61" s="275">
        <f>SUMIFS('Order Details'!$Q:$Q,'Order Details'!$E:$E,"Yes",'Order Details'!$I:$I,$Q61,'Order Details'!$F:$F,'Item Summary'!Y$4)-J61</f>
        <v>0</v>
      </c>
      <c r="Z61" s="275">
        <f>SUMIFS('Order Details'!$Q:$Q,'Order Details'!$E:$E,"Yes",'Order Details'!$I:$I,$Q61,'Order Details'!$F:$F,'Item Summary'!Z$4)-K61</f>
        <v>0</v>
      </c>
      <c r="AA61" s="291">
        <f>SUMIFS('Order Details'!$Q:$Q,'Order Details'!$E:$E,"Yes",'Order Details'!$I:$I,$Q61,'Order Details'!$F:$F,'Item Summary'!AA$4)-L61</f>
        <v>0</v>
      </c>
      <c r="AB61" s="276">
        <f>SUMIFS('Order Details'!$Q:$Q,'Order Details'!$E:$E,"Yes",'Order Details'!$I:$I,$Q61,'Order Details'!$F:$F,'Item Summary'!AB$4)-M61</f>
        <v>0</v>
      </c>
      <c r="AC61" s="279">
        <f t="shared" si="5"/>
        <v>0</v>
      </c>
    </row>
    <row r="62" spans="2:29" x14ac:dyDescent="0.3">
      <c r="B62" s="278">
        <v>721548</v>
      </c>
      <c r="C62" s="274" t="str">
        <f>VLOOKUP($B62,'Pricing Table - eff 27-Jan-2026'!$A:$L,9,FALSE)&amp;""" "&amp;VLOOKUP($B62,'Pricing Table - eff 27-Jan-2026'!$A:$L,12,FALSE)</f>
        <v>96" SAND SAHARA MATTE</v>
      </c>
      <c r="D62" s="275">
        <f>SUMIFS('Order Details'!$Q:$Q,'Order Details'!$E:$E,"Yes",'Order Details'!$I:$I,'Item Summary'!$B62,'Order Details'!$F:$F,'Item Summary'!D$4,'Order Details'!$C:$C,"PO Received")+SUMIFS('Order Details'!$Q:$Q,'Order Details'!$E:$E,"Yes",'Order Details'!$I:$I,'Item Summary'!$B62,'Order Details'!$F:$F,'Item Summary'!D$4,'Order Details'!$C:$C,"Proforma Invoice Sent")+SUMIFS('Order Details'!$Q:$Q,'Order Details'!$E:$E,"Yes",'Order Details'!$I:$I,'Item Summary'!$B62,'Order Details'!$F:$F,'Item Summary'!D$4,'Order Details'!$C:$C,"Downpayment Received")+SUMIFS('Order Details'!$Q:$Q,'Order Details'!$E:$E,"Yes",'Order Details'!$I:$I,'Item Summary'!$B62,'Order Details'!$F:$F,'Item Summary'!D$4,'Order Details'!$C:$C,"In Production")</f>
        <v>0</v>
      </c>
      <c r="E62" s="275">
        <f>SUMIFS('Order Details'!$Q:$Q,'Order Details'!$E:$E,"Yes",'Order Details'!$I:$I,'Item Summary'!$B62,'Order Details'!$F:$F,'Item Summary'!E$4,'Order Details'!$C:$C,"PO Received")+SUMIFS('Order Details'!$Q:$Q,'Order Details'!$E:$E,"Yes",'Order Details'!$I:$I,'Item Summary'!$B62,'Order Details'!$F:$F,'Item Summary'!E$4,'Order Details'!$C:$C,"Proforma Invoice Sent")+SUMIFS('Order Details'!$Q:$Q,'Order Details'!$E:$E,"Yes",'Order Details'!$I:$I,'Item Summary'!$B62,'Order Details'!$F:$F,'Item Summary'!E$4,'Order Details'!$C:$C,"Downpayment Received")+SUMIFS('Order Details'!$Q:$Q,'Order Details'!$E:$E,"Yes",'Order Details'!$I:$I,'Item Summary'!$B62,'Order Details'!$F:$F,'Item Summary'!E$4,'Order Details'!$C:$C,"In Production")</f>
        <v>0</v>
      </c>
      <c r="F62" s="275">
        <f>SUMIFS('Order Details'!$Q:$Q,'Order Details'!$E:$E,"Yes",'Order Details'!$I:$I,'Item Summary'!$B62,'Order Details'!$F:$F,'Item Summary'!F$4,'Order Details'!$C:$C,"PO Received")+SUMIFS('Order Details'!$Q:$Q,'Order Details'!$E:$E,"Yes",'Order Details'!$I:$I,'Item Summary'!$B62,'Order Details'!$F:$F,'Item Summary'!F$4,'Order Details'!$C:$C,"Proforma Invoice Sent")+SUMIFS('Order Details'!$Q:$Q,'Order Details'!$E:$E,"Yes",'Order Details'!$I:$I,'Item Summary'!$B62,'Order Details'!$F:$F,'Item Summary'!F$4,'Order Details'!$C:$C,"Downpayment Received")+SUMIFS('Order Details'!$Q:$Q,'Order Details'!$E:$E,"Yes",'Order Details'!$I:$I,'Item Summary'!$B62,'Order Details'!$F:$F,'Item Summary'!F$4,'Order Details'!$C:$C,"In Production")</f>
        <v>0</v>
      </c>
      <c r="G62" s="275">
        <f>SUMIFS('Order Details'!$Q:$Q,'Order Details'!$E:$E,"Yes",'Order Details'!$I:$I,'Item Summary'!$B62,'Order Details'!$F:$F,'Item Summary'!G$4,'Order Details'!$C:$C,"PO Received")+SUMIFS('Order Details'!$Q:$Q,'Order Details'!$E:$E,"Yes",'Order Details'!$I:$I,'Item Summary'!$B62,'Order Details'!$F:$F,'Item Summary'!G$4,'Order Details'!$C:$C,"Proforma Invoice Sent")+SUMIFS('Order Details'!$Q:$Q,'Order Details'!$E:$E,"Yes",'Order Details'!$I:$I,'Item Summary'!$B62,'Order Details'!$F:$F,'Item Summary'!G$4,'Order Details'!$C:$C,"Downpayment Received")+SUMIFS('Order Details'!$Q:$Q,'Order Details'!$E:$E,"Yes",'Order Details'!$I:$I,'Item Summary'!$B62,'Order Details'!$F:$F,'Item Summary'!G$4,'Order Details'!$C:$C,"In Production")</f>
        <v>800</v>
      </c>
      <c r="H62" s="275">
        <f>SUMIFS('Order Details'!$Q:$Q,'Order Details'!$E:$E,"Yes",'Order Details'!$I:$I,'Item Summary'!$B62,'Order Details'!$F:$F,'Item Summary'!H$4,'Order Details'!$C:$C,"PO Received")+SUMIFS('Order Details'!$Q:$Q,'Order Details'!$E:$E,"Yes",'Order Details'!$I:$I,'Item Summary'!$B62,'Order Details'!$F:$F,'Item Summary'!H$4,'Order Details'!$C:$C,"Proforma Invoice Sent")+SUMIFS('Order Details'!$Q:$Q,'Order Details'!$E:$E,"Yes",'Order Details'!$I:$I,'Item Summary'!$B62,'Order Details'!$F:$F,'Item Summary'!H$4,'Order Details'!$C:$C,"Downpayment Received")+SUMIFS('Order Details'!$Q:$Q,'Order Details'!$E:$E,"Yes",'Order Details'!$I:$I,'Item Summary'!$B62,'Order Details'!$F:$F,'Item Summary'!H$4,'Order Details'!$C:$C,"In Production")</f>
        <v>0</v>
      </c>
      <c r="I62" s="275">
        <f>SUMIFS('Order Details'!$Q:$Q,'Order Details'!$E:$E,"Yes",'Order Details'!$I:$I,'Item Summary'!$B62,'Order Details'!$F:$F,'Item Summary'!I$4,'Order Details'!$C:$C,"PO Received")+SUMIFS('Order Details'!$Q:$Q,'Order Details'!$E:$E,"Yes",'Order Details'!$I:$I,'Item Summary'!$B62,'Order Details'!$F:$F,'Item Summary'!I$4,'Order Details'!$C:$C,"Proforma Invoice Sent")+SUMIFS('Order Details'!$Q:$Q,'Order Details'!$E:$E,"Yes",'Order Details'!$I:$I,'Item Summary'!$B62,'Order Details'!$F:$F,'Item Summary'!I$4,'Order Details'!$C:$C,"Downpayment Received")+SUMIFS('Order Details'!$Q:$Q,'Order Details'!$E:$E,"Yes",'Order Details'!$I:$I,'Item Summary'!$B62,'Order Details'!$F:$F,'Item Summary'!I$4,'Order Details'!$C:$C,"In Production")</f>
        <v>0</v>
      </c>
      <c r="J62" s="275">
        <f>SUMIFS('Order Details'!$Q:$Q,'Order Details'!$E:$E,"Yes",'Order Details'!$I:$I,'Item Summary'!$B62,'Order Details'!$F:$F,'Item Summary'!J$4,'Order Details'!$C:$C,"PO Received")+SUMIFS('Order Details'!$Q:$Q,'Order Details'!$E:$E,"Yes",'Order Details'!$I:$I,'Item Summary'!$B62,'Order Details'!$F:$F,'Item Summary'!J$4,'Order Details'!$C:$C,"Proforma Invoice Sent")+SUMIFS('Order Details'!$Q:$Q,'Order Details'!$E:$E,"Yes",'Order Details'!$I:$I,'Item Summary'!$B62,'Order Details'!$F:$F,'Item Summary'!J$4,'Order Details'!$C:$C,"Downpayment Received")+SUMIFS('Order Details'!$Q:$Q,'Order Details'!$E:$E,"Yes",'Order Details'!$I:$I,'Item Summary'!$B62,'Order Details'!$F:$F,'Item Summary'!J$4,'Order Details'!$C:$C,"In Production")</f>
        <v>0</v>
      </c>
      <c r="K62" s="275">
        <f>SUMIFS('Order Details'!$Q:$Q,'Order Details'!$E:$E,"Yes",'Order Details'!$I:$I,'Item Summary'!$B62,'Order Details'!$F:$F,'Item Summary'!K$4,'Order Details'!$C:$C,"PO Received")+SUMIFS('Order Details'!$Q:$Q,'Order Details'!$E:$E,"Yes",'Order Details'!$I:$I,'Item Summary'!$B62,'Order Details'!$F:$F,'Item Summary'!K$4,'Order Details'!$C:$C,"Proforma Invoice Sent")+SUMIFS('Order Details'!$Q:$Q,'Order Details'!$E:$E,"Yes",'Order Details'!$I:$I,'Item Summary'!$B62,'Order Details'!$F:$F,'Item Summary'!K$4,'Order Details'!$C:$C,"Downpayment Received")+SUMIFS('Order Details'!$Q:$Q,'Order Details'!$E:$E,"Yes",'Order Details'!$I:$I,'Item Summary'!$B62,'Order Details'!$F:$F,'Item Summary'!K$4,'Order Details'!$C:$C,"In Production")</f>
        <v>0</v>
      </c>
      <c r="L62" s="291">
        <f>SUMIFS('Order Details'!$Q:$Q,'Order Details'!$E:$E,"Yes",'Order Details'!$I:$I,'Item Summary'!$B62,'Order Details'!$F:$F,'Item Summary'!L$4,'Order Details'!$C:$C,"PO Received")+SUMIFS('Order Details'!$Q:$Q,'Order Details'!$E:$E,"Yes",'Order Details'!$I:$I,'Item Summary'!$B62,'Order Details'!$F:$F,'Item Summary'!L$4,'Order Details'!$C:$C,"Proforma Invoice Sent")+SUMIFS('Order Details'!$Q:$Q,'Order Details'!$E:$E,"Yes",'Order Details'!$I:$I,'Item Summary'!$B62,'Order Details'!$F:$F,'Item Summary'!L$4,'Order Details'!$C:$C,"Downpayment Received")+SUMIFS('Order Details'!$Q:$Q,'Order Details'!$E:$E,"Yes",'Order Details'!$I:$I,'Item Summary'!$B62,'Order Details'!$F:$F,'Item Summary'!L$4,'Order Details'!$C:$C,"In Production")</f>
        <v>0</v>
      </c>
      <c r="M62" s="276">
        <f>SUMIFS('Order Details'!$Q:$Q,'Order Details'!$E:$E,"Yes",'Order Details'!$I:$I,'Item Summary'!$B62,'Order Details'!$F:$F,'Item Summary'!M$4,'Order Details'!$C:$C,"PO Received")+SUMIFS('Order Details'!$Q:$Q,'Order Details'!$E:$E,"Yes",'Order Details'!$I:$I,'Item Summary'!$B62,'Order Details'!$F:$F,'Item Summary'!M$4,'Order Details'!$C:$C,"Proforma Invoice Sent")+SUMIFS('Order Details'!$Q:$Q,'Order Details'!$E:$E,"Yes",'Order Details'!$I:$I,'Item Summary'!$B62,'Order Details'!$F:$F,'Item Summary'!M$4,'Order Details'!$C:$C,"Downpayment Received")+SUMIFS('Order Details'!$Q:$Q,'Order Details'!$E:$E,"Yes",'Order Details'!$I:$I,'Item Summary'!$B62,'Order Details'!$F:$F,'Item Summary'!M$4,'Order Details'!$C:$C,"In Production")</f>
        <v>0</v>
      </c>
      <c r="N62" s="279">
        <f t="shared" si="4"/>
        <v>800</v>
      </c>
      <c r="Q62" s="278">
        <v>721548</v>
      </c>
      <c r="R62" s="274" t="str">
        <f>VLOOKUP($Q62,'Pricing Table - eff 27-Jan-2026'!$A:$L,9,FALSE)&amp;""" "&amp;VLOOKUP($Q62,'Pricing Table - eff 27-Jan-2026'!$A:$L,12,FALSE)</f>
        <v>96" SAND SAHARA MATTE</v>
      </c>
      <c r="S62" s="275">
        <f>SUMIFS('Order Details'!$Q:$Q,'Order Details'!$E:$E,"Yes",'Order Details'!$I:$I,$Q62,'Order Details'!$F:$F,'Item Summary'!S$4)-D62</f>
        <v>0</v>
      </c>
      <c r="T62" s="275">
        <f>SUMIFS('Order Details'!$Q:$Q,'Order Details'!$E:$E,"Yes",'Order Details'!$I:$I,$Q62,'Order Details'!$F:$F,'Item Summary'!T$4)-E62</f>
        <v>0</v>
      </c>
      <c r="U62" s="275">
        <f>SUMIFS('Order Details'!$Q:$Q,'Order Details'!$E:$E,"Yes",'Order Details'!$I:$I,$Q62,'Order Details'!$F:$F,'Item Summary'!U$4)-F62</f>
        <v>0</v>
      </c>
      <c r="V62" s="275">
        <f>SUMIFS('Order Details'!$Q:$Q,'Order Details'!$E:$E,"Yes",'Order Details'!$I:$I,$Q62,'Order Details'!$F:$F,'Item Summary'!V$4)-G62</f>
        <v>0</v>
      </c>
      <c r="W62" s="275">
        <f>SUMIFS('Order Details'!$Q:$Q,'Order Details'!$E:$E,"Yes",'Order Details'!$I:$I,$Q62,'Order Details'!$F:$F,'Item Summary'!W$4)-H62</f>
        <v>0</v>
      </c>
      <c r="X62" s="275">
        <f>SUMIFS('Order Details'!$Q:$Q,'Order Details'!$E:$E,"Yes",'Order Details'!$I:$I,$Q62,'Order Details'!$F:$F,'Item Summary'!X$4)-I62</f>
        <v>0</v>
      </c>
      <c r="Y62" s="275">
        <f>SUMIFS('Order Details'!$Q:$Q,'Order Details'!$E:$E,"Yes",'Order Details'!$I:$I,$Q62,'Order Details'!$F:$F,'Item Summary'!Y$4)-J62</f>
        <v>0</v>
      </c>
      <c r="Z62" s="275">
        <f>SUMIFS('Order Details'!$Q:$Q,'Order Details'!$E:$E,"Yes",'Order Details'!$I:$I,$Q62,'Order Details'!$F:$F,'Item Summary'!Z$4)-K62</f>
        <v>0</v>
      </c>
      <c r="AA62" s="291">
        <f>SUMIFS('Order Details'!$Q:$Q,'Order Details'!$E:$E,"Yes",'Order Details'!$I:$I,$Q62,'Order Details'!$F:$F,'Item Summary'!AA$4)-L62</f>
        <v>0</v>
      </c>
      <c r="AB62" s="276">
        <f>SUMIFS('Order Details'!$Q:$Q,'Order Details'!$E:$E,"Yes",'Order Details'!$I:$I,$Q62,'Order Details'!$F:$F,'Item Summary'!AB$4)-M62</f>
        <v>0</v>
      </c>
      <c r="AC62" s="279">
        <f t="shared" si="5"/>
        <v>0</v>
      </c>
    </row>
    <row r="63" spans="2:29" x14ac:dyDescent="0.3">
      <c r="B63" s="278">
        <v>721549</v>
      </c>
      <c r="C63" s="274" t="str">
        <f>VLOOKUP($B63,'Pricing Table - eff 27-Jan-2026'!$A:$L,9,FALSE)&amp;""" "&amp;VLOOKUP($B63,'Pricing Table - eff 27-Jan-2026'!$A:$L,12,FALSE)</f>
        <v>108" SAND SAHARA MATTE</v>
      </c>
      <c r="D63" s="275">
        <f>SUMIFS('Order Details'!$Q:$Q,'Order Details'!$E:$E,"Yes",'Order Details'!$I:$I,'Item Summary'!$B63,'Order Details'!$F:$F,'Item Summary'!D$4,'Order Details'!$C:$C,"PO Received")+SUMIFS('Order Details'!$Q:$Q,'Order Details'!$E:$E,"Yes",'Order Details'!$I:$I,'Item Summary'!$B63,'Order Details'!$F:$F,'Item Summary'!D$4,'Order Details'!$C:$C,"Proforma Invoice Sent")+SUMIFS('Order Details'!$Q:$Q,'Order Details'!$E:$E,"Yes",'Order Details'!$I:$I,'Item Summary'!$B63,'Order Details'!$F:$F,'Item Summary'!D$4,'Order Details'!$C:$C,"Downpayment Received")+SUMIFS('Order Details'!$Q:$Q,'Order Details'!$E:$E,"Yes",'Order Details'!$I:$I,'Item Summary'!$B63,'Order Details'!$F:$F,'Item Summary'!D$4,'Order Details'!$C:$C,"In Production")</f>
        <v>0</v>
      </c>
      <c r="E63" s="275">
        <f>SUMIFS('Order Details'!$Q:$Q,'Order Details'!$E:$E,"Yes",'Order Details'!$I:$I,'Item Summary'!$B63,'Order Details'!$F:$F,'Item Summary'!E$4,'Order Details'!$C:$C,"PO Received")+SUMIFS('Order Details'!$Q:$Q,'Order Details'!$E:$E,"Yes",'Order Details'!$I:$I,'Item Summary'!$B63,'Order Details'!$F:$F,'Item Summary'!E$4,'Order Details'!$C:$C,"Proforma Invoice Sent")+SUMIFS('Order Details'!$Q:$Q,'Order Details'!$E:$E,"Yes",'Order Details'!$I:$I,'Item Summary'!$B63,'Order Details'!$F:$F,'Item Summary'!E$4,'Order Details'!$C:$C,"Downpayment Received")+SUMIFS('Order Details'!$Q:$Q,'Order Details'!$E:$E,"Yes",'Order Details'!$I:$I,'Item Summary'!$B63,'Order Details'!$F:$F,'Item Summary'!E$4,'Order Details'!$C:$C,"In Production")</f>
        <v>0</v>
      </c>
      <c r="F63" s="275">
        <f>SUMIFS('Order Details'!$Q:$Q,'Order Details'!$E:$E,"Yes",'Order Details'!$I:$I,'Item Summary'!$B63,'Order Details'!$F:$F,'Item Summary'!F$4,'Order Details'!$C:$C,"PO Received")+SUMIFS('Order Details'!$Q:$Q,'Order Details'!$E:$E,"Yes",'Order Details'!$I:$I,'Item Summary'!$B63,'Order Details'!$F:$F,'Item Summary'!F$4,'Order Details'!$C:$C,"Proforma Invoice Sent")+SUMIFS('Order Details'!$Q:$Q,'Order Details'!$E:$E,"Yes",'Order Details'!$I:$I,'Item Summary'!$B63,'Order Details'!$F:$F,'Item Summary'!F$4,'Order Details'!$C:$C,"Downpayment Received")+SUMIFS('Order Details'!$Q:$Q,'Order Details'!$E:$E,"Yes",'Order Details'!$I:$I,'Item Summary'!$B63,'Order Details'!$F:$F,'Item Summary'!F$4,'Order Details'!$C:$C,"In Production")</f>
        <v>0</v>
      </c>
      <c r="G63" s="275">
        <f>SUMIFS('Order Details'!$Q:$Q,'Order Details'!$E:$E,"Yes",'Order Details'!$I:$I,'Item Summary'!$B63,'Order Details'!$F:$F,'Item Summary'!G$4,'Order Details'!$C:$C,"PO Received")+SUMIFS('Order Details'!$Q:$Q,'Order Details'!$E:$E,"Yes",'Order Details'!$I:$I,'Item Summary'!$B63,'Order Details'!$F:$F,'Item Summary'!G$4,'Order Details'!$C:$C,"Proforma Invoice Sent")+SUMIFS('Order Details'!$Q:$Q,'Order Details'!$E:$E,"Yes",'Order Details'!$I:$I,'Item Summary'!$B63,'Order Details'!$F:$F,'Item Summary'!G$4,'Order Details'!$C:$C,"Downpayment Received")+SUMIFS('Order Details'!$Q:$Q,'Order Details'!$E:$E,"Yes",'Order Details'!$I:$I,'Item Summary'!$B63,'Order Details'!$F:$F,'Item Summary'!G$4,'Order Details'!$C:$C,"In Production")</f>
        <v>800</v>
      </c>
      <c r="H63" s="275">
        <f>SUMIFS('Order Details'!$Q:$Q,'Order Details'!$E:$E,"Yes",'Order Details'!$I:$I,'Item Summary'!$B63,'Order Details'!$F:$F,'Item Summary'!H$4,'Order Details'!$C:$C,"PO Received")+SUMIFS('Order Details'!$Q:$Q,'Order Details'!$E:$E,"Yes",'Order Details'!$I:$I,'Item Summary'!$B63,'Order Details'!$F:$F,'Item Summary'!H$4,'Order Details'!$C:$C,"Proforma Invoice Sent")+SUMIFS('Order Details'!$Q:$Q,'Order Details'!$E:$E,"Yes",'Order Details'!$I:$I,'Item Summary'!$B63,'Order Details'!$F:$F,'Item Summary'!H$4,'Order Details'!$C:$C,"Downpayment Received")+SUMIFS('Order Details'!$Q:$Q,'Order Details'!$E:$E,"Yes",'Order Details'!$I:$I,'Item Summary'!$B63,'Order Details'!$F:$F,'Item Summary'!H$4,'Order Details'!$C:$C,"In Production")</f>
        <v>0</v>
      </c>
      <c r="I63" s="275">
        <f>SUMIFS('Order Details'!$Q:$Q,'Order Details'!$E:$E,"Yes",'Order Details'!$I:$I,'Item Summary'!$B63,'Order Details'!$F:$F,'Item Summary'!I$4,'Order Details'!$C:$C,"PO Received")+SUMIFS('Order Details'!$Q:$Q,'Order Details'!$E:$E,"Yes",'Order Details'!$I:$I,'Item Summary'!$B63,'Order Details'!$F:$F,'Item Summary'!I$4,'Order Details'!$C:$C,"Proforma Invoice Sent")+SUMIFS('Order Details'!$Q:$Q,'Order Details'!$E:$E,"Yes",'Order Details'!$I:$I,'Item Summary'!$B63,'Order Details'!$F:$F,'Item Summary'!I$4,'Order Details'!$C:$C,"Downpayment Received")+SUMIFS('Order Details'!$Q:$Q,'Order Details'!$E:$E,"Yes",'Order Details'!$I:$I,'Item Summary'!$B63,'Order Details'!$F:$F,'Item Summary'!I$4,'Order Details'!$C:$C,"In Production")</f>
        <v>0</v>
      </c>
      <c r="J63" s="275">
        <f>SUMIFS('Order Details'!$Q:$Q,'Order Details'!$E:$E,"Yes",'Order Details'!$I:$I,'Item Summary'!$B63,'Order Details'!$F:$F,'Item Summary'!J$4,'Order Details'!$C:$C,"PO Received")+SUMIFS('Order Details'!$Q:$Q,'Order Details'!$E:$E,"Yes",'Order Details'!$I:$I,'Item Summary'!$B63,'Order Details'!$F:$F,'Item Summary'!J$4,'Order Details'!$C:$C,"Proforma Invoice Sent")+SUMIFS('Order Details'!$Q:$Q,'Order Details'!$E:$E,"Yes",'Order Details'!$I:$I,'Item Summary'!$B63,'Order Details'!$F:$F,'Item Summary'!J$4,'Order Details'!$C:$C,"Downpayment Received")+SUMIFS('Order Details'!$Q:$Q,'Order Details'!$E:$E,"Yes",'Order Details'!$I:$I,'Item Summary'!$B63,'Order Details'!$F:$F,'Item Summary'!J$4,'Order Details'!$C:$C,"In Production")</f>
        <v>0</v>
      </c>
      <c r="K63" s="275">
        <f>SUMIFS('Order Details'!$Q:$Q,'Order Details'!$E:$E,"Yes",'Order Details'!$I:$I,'Item Summary'!$B63,'Order Details'!$F:$F,'Item Summary'!K$4,'Order Details'!$C:$C,"PO Received")+SUMIFS('Order Details'!$Q:$Q,'Order Details'!$E:$E,"Yes",'Order Details'!$I:$I,'Item Summary'!$B63,'Order Details'!$F:$F,'Item Summary'!K$4,'Order Details'!$C:$C,"Proforma Invoice Sent")+SUMIFS('Order Details'!$Q:$Q,'Order Details'!$E:$E,"Yes",'Order Details'!$I:$I,'Item Summary'!$B63,'Order Details'!$F:$F,'Item Summary'!K$4,'Order Details'!$C:$C,"Downpayment Received")+SUMIFS('Order Details'!$Q:$Q,'Order Details'!$E:$E,"Yes",'Order Details'!$I:$I,'Item Summary'!$B63,'Order Details'!$F:$F,'Item Summary'!K$4,'Order Details'!$C:$C,"In Production")</f>
        <v>0</v>
      </c>
      <c r="L63" s="291">
        <f>SUMIFS('Order Details'!$Q:$Q,'Order Details'!$E:$E,"Yes",'Order Details'!$I:$I,'Item Summary'!$B63,'Order Details'!$F:$F,'Item Summary'!L$4,'Order Details'!$C:$C,"PO Received")+SUMIFS('Order Details'!$Q:$Q,'Order Details'!$E:$E,"Yes",'Order Details'!$I:$I,'Item Summary'!$B63,'Order Details'!$F:$F,'Item Summary'!L$4,'Order Details'!$C:$C,"Proforma Invoice Sent")+SUMIFS('Order Details'!$Q:$Q,'Order Details'!$E:$E,"Yes",'Order Details'!$I:$I,'Item Summary'!$B63,'Order Details'!$F:$F,'Item Summary'!L$4,'Order Details'!$C:$C,"Downpayment Received")+SUMIFS('Order Details'!$Q:$Q,'Order Details'!$E:$E,"Yes",'Order Details'!$I:$I,'Item Summary'!$B63,'Order Details'!$F:$F,'Item Summary'!L$4,'Order Details'!$C:$C,"In Production")</f>
        <v>0</v>
      </c>
      <c r="M63" s="276">
        <f>SUMIFS('Order Details'!$Q:$Q,'Order Details'!$E:$E,"Yes",'Order Details'!$I:$I,'Item Summary'!$B63,'Order Details'!$F:$F,'Item Summary'!M$4,'Order Details'!$C:$C,"PO Received")+SUMIFS('Order Details'!$Q:$Q,'Order Details'!$E:$E,"Yes",'Order Details'!$I:$I,'Item Summary'!$B63,'Order Details'!$F:$F,'Item Summary'!M$4,'Order Details'!$C:$C,"Proforma Invoice Sent")+SUMIFS('Order Details'!$Q:$Q,'Order Details'!$E:$E,"Yes",'Order Details'!$I:$I,'Item Summary'!$B63,'Order Details'!$F:$F,'Item Summary'!M$4,'Order Details'!$C:$C,"Downpayment Received")+SUMIFS('Order Details'!$Q:$Q,'Order Details'!$E:$E,"Yes",'Order Details'!$I:$I,'Item Summary'!$B63,'Order Details'!$F:$F,'Item Summary'!M$4,'Order Details'!$C:$C,"In Production")</f>
        <v>0</v>
      </c>
      <c r="N63" s="279">
        <f t="shared" si="4"/>
        <v>800</v>
      </c>
      <c r="Q63" s="278">
        <v>721549</v>
      </c>
      <c r="R63" s="274" t="str">
        <f>VLOOKUP($Q63,'Pricing Table - eff 27-Jan-2026'!$A:$L,9,FALSE)&amp;""" "&amp;VLOOKUP($Q63,'Pricing Table - eff 27-Jan-2026'!$A:$L,12,FALSE)</f>
        <v>108" SAND SAHARA MATTE</v>
      </c>
      <c r="S63" s="275">
        <f>SUMIFS('Order Details'!$Q:$Q,'Order Details'!$E:$E,"Yes",'Order Details'!$I:$I,$Q63,'Order Details'!$F:$F,'Item Summary'!S$4)-D63</f>
        <v>0</v>
      </c>
      <c r="T63" s="275">
        <f>SUMIFS('Order Details'!$Q:$Q,'Order Details'!$E:$E,"Yes",'Order Details'!$I:$I,$Q63,'Order Details'!$F:$F,'Item Summary'!T$4)-E63</f>
        <v>0</v>
      </c>
      <c r="U63" s="275">
        <f>SUMIFS('Order Details'!$Q:$Q,'Order Details'!$E:$E,"Yes",'Order Details'!$I:$I,$Q63,'Order Details'!$F:$F,'Item Summary'!U$4)-F63</f>
        <v>0</v>
      </c>
      <c r="V63" s="275">
        <f>SUMIFS('Order Details'!$Q:$Q,'Order Details'!$E:$E,"Yes",'Order Details'!$I:$I,$Q63,'Order Details'!$F:$F,'Item Summary'!V$4)-G63</f>
        <v>0</v>
      </c>
      <c r="W63" s="275">
        <f>SUMIFS('Order Details'!$Q:$Q,'Order Details'!$E:$E,"Yes",'Order Details'!$I:$I,$Q63,'Order Details'!$F:$F,'Item Summary'!W$4)-H63</f>
        <v>0</v>
      </c>
      <c r="X63" s="275">
        <f>SUMIFS('Order Details'!$Q:$Q,'Order Details'!$E:$E,"Yes",'Order Details'!$I:$I,$Q63,'Order Details'!$F:$F,'Item Summary'!X$4)-I63</f>
        <v>0</v>
      </c>
      <c r="Y63" s="275">
        <f>SUMIFS('Order Details'!$Q:$Q,'Order Details'!$E:$E,"Yes",'Order Details'!$I:$I,$Q63,'Order Details'!$F:$F,'Item Summary'!Y$4)-J63</f>
        <v>0</v>
      </c>
      <c r="Z63" s="275">
        <f>SUMIFS('Order Details'!$Q:$Q,'Order Details'!$E:$E,"Yes",'Order Details'!$I:$I,$Q63,'Order Details'!$F:$F,'Item Summary'!Z$4)-K63</f>
        <v>0</v>
      </c>
      <c r="AA63" s="291">
        <f>SUMIFS('Order Details'!$Q:$Q,'Order Details'!$E:$E,"Yes",'Order Details'!$I:$I,$Q63,'Order Details'!$F:$F,'Item Summary'!AA$4)-L63</f>
        <v>0</v>
      </c>
      <c r="AB63" s="276">
        <f>SUMIFS('Order Details'!$Q:$Q,'Order Details'!$E:$E,"Yes",'Order Details'!$I:$I,$Q63,'Order Details'!$F:$F,'Item Summary'!AB$4)-M63</f>
        <v>0</v>
      </c>
      <c r="AC63" s="279">
        <f t="shared" si="5"/>
        <v>0</v>
      </c>
    </row>
    <row r="64" spans="2:29" x14ac:dyDescent="0.3">
      <c r="B64" s="278" t="s">
        <v>510</v>
      </c>
      <c r="C64" s="274" t="str">
        <f>VLOOKUP($B64,'Pricing Table - eff 27-Jan-2026'!$A:$L,9,FALSE)&amp;""" "&amp;VLOOKUP($B64,'Pricing Table - eff 27-Jan-2026'!$A:$L,12,FALSE)</f>
        <v>144" SAND SAHARA MATTE</v>
      </c>
      <c r="D64" s="275">
        <f>SUMIFS('Order Details'!$Q:$Q,'Order Details'!$E:$E,"Yes",'Order Details'!$I:$I,'Item Summary'!$B64,'Order Details'!$F:$F,'Item Summary'!D$4,'Order Details'!$C:$C,"PO Received")+SUMIFS('Order Details'!$Q:$Q,'Order Details'!$E:$E,"Yes",'Order Details'!$I:$I,'Item Summary'!$B64,'Order Details'!$F:$F,'Item Summary'!D$4,'Order Details'!$C:$C,"Proforma Invoice Sent")+SUMIFS('Order Details'!$Q:$Q,'Order Details'!$E:$E,"Yes",'Order Details'!$I:$I,'Item Summary'!$B64,'Order Details'!$F:$F,'Item Summary'!D$4,'Order Details'!$C:$C,"Downpayment Received")+SUMIFS('Order Details'!$Q:$Q,'Order Details'!$E:$E,"Yes",'Order Details'!$I:$I,'Item Summary'!$B64,'Order Details'!$F:$F,'Item Summary'!D$4,'Order Details'!$C:$C,"In Production")</f>
        <v>0</v>
      </c>
      <c r="E64" s="275">
        <f>SUMIFS('Order Details'!$Q:$Q,'Order Details'!$E:$E,"Yes",'Order Details'!$I:$I,'Item Summary'!$B64,'Order Details'!$F:$F,'Item Summary'!E$4,'Order Details'!$C:$C,"PO Received")+SUMIFS('Order Details'!$Q:$Q,'Order Details'!$E:$E,"Yes",'Order Details'!$I:$I,'Item Summary'!$B64,'Order Details'!$F:$F,'Item Summary'!E$4,'Order Details'!$C:$C,"Proforma Invoice Sent")+SUMIFS('Order Details'!$Q:$Q,'Order Details'!$E:$E,"Yes",'Order Details'!$I:$I,'Item Summary'!$B64,'Order Details'!$F:$F,'Item Summary'!E$4,'Order Details'!$C:$C,"Downpayment Received")+SUMIFS('Order Details'!$Q:$Q,'Order Details'!$E:$E,"Yes",'Order Details'!$I:$I,'Item Summary'!$B64,'Order Details'!$F:$F,'Item Summary'!E$4,'Order Details'!$C:$C,"In Production")</f>
        <v>0</v>
      </c>
      <c r="F64" s="275">
        <f>SUMIFS('Order Details'!$Q:$Q,'Order Details'!$E:$E,"Yes",'Order Details'!$I:$I,'Item Summary'!$B64,'Order Details'!$F:$F,'Item Summary'!F$4,'Order Details'!$C:$C,"PO Received")+SUMIFS('Order Details'!$Q:$Q,'Order Details'!$E:$E,"Yes",'Order Details'!$I:$I,'Item Summary'!$B64,'Order Details'!$F:$F,'Item Summary'!F$4,'Order Details'!$C:$C,"Proforma Invoice Sent")+SUMIFS('Order Details'!$Q:$Q,'Order Details'!$E:$E,"Yes",'Order Details'!$I:$I,'Item Summary'!$B64,'Order Details'!$F:$F,'Item Summary'!F$4,'Order Details'!$C:$C,"Downpayment Received")+SUMIFS('Order Details'!$Q:$Q,'Order Details'!$E:$E,"Yes",'Order Details'!$I:$I,'Item Summary'!$B64,'Order Details'!$F:$F,'Item Summary'!F$4,'Order Details'!$C:$C,"In Production")</f>
        <v>0</v>
      </c>
      <c r="G64" s="275">
        <f>SUMIFS('Order Details'!$Q:$Q,'Order Details'!$E:$E,"Yes",'Order Details'!$I:$I,'Item Summary'!$B64,'Order Details'!$F:$F,'Item Summary'!G$4,'Order Details'!$C:$C,"PO Received")+SUMIFS('Order Details'!$Q:$Q,'Order Details'!$E:$E,"Yes",'Order Details'!$I:$I,'Item Summary'!$B64,'Order Details'!$F:$F,'Item Summary'!G$4,'Order Details'!$C:$C,"Proforma Invoice Sent")+SUMIFS('Order Details'!$Q:$Q,'Order Details'!$E:$E,"Yes",'Order Details'!$I:$I,'Item Summary'!$B64,'Order Details'!$F:$F,'Item Summary'!G$4,'Order Details'!$C:$C,"Downpayment Received")+SUMIFS('Order Details'!$Q:$Q,'Order Details'!$E:$E,"Yes",'Order Details'!$I:$I,'Item Summary'!$B64,'Order Details'!$F:$F,'Item Summary'!G$4,'Order Details'!$C:$C,"In Production")</f>
        <v>0</v>
      </c>
      <c r="H64" s="275">
        <f>SUMIFS('Order Details'!$Q:$Q,'Order Details'!$E:$E,"Yes",'Order Details'!$I:$I,'Item Summary'!$B64,'Order Details'!$F:$F,'Item Summary'!H$4,'Order Details'!$C:$C,"PO Received")+SUMIFS('Order Details'!$Q:$Q,'Order Details'!$E:$E,"Yes",'Order Details'!$I:$I,'Item Summary'!$B64,'Order Details'!$F:$F,'Item Summary'!H$4,'Order Details'!$C:$C,"Proforma Invoice Sent")+SUMIFS('Order Details'!$Q:$Q,'Order Details'!$E:$E,"Yes",'Order Details'!$I:$I,'Item Summary'!$B64,'Order Details'!$F:$F,'Item Summary'!H$4,'Order Details'!$C:$C,"Downpayment Received")+SUMIFS('Order Details'!$Q:$Q,'Order Details'!$E:$E,"Yes",'Order Details'!$I:$I,'Item Summary'!$B64,'Order Details'!$F:$F,'Item Summary'!H$4,'Order Details'!$C:$C,"In Production")</f>
        <v>0</v>
      </c>
      <c r="I64" s="275">
        <f>SUMIFS('Order Details'!$Q:$Q,'Order Details'!$E:$E,"Yes",'Order Details'!$I:$I,'Item Summary'!$B64,'Order Details'!$F:$F,'Item Summary'!I$4,'Order Details'!$C:$C,"PO Received")+SUMIFS('Order Details'!$Q:$Q,'Order Details'!$E:$E,"Yes",'Order Details'!$I:$I,'Item Summary'!$B64,'Order Details'!$F:$F,'Item Summary'!I$4,'Order Details'!$C:$C,"Proforma Invoice Sent")+SUMIFS('Order Details'!$Q:$Q,'Order Details'!$E:$E,"Yes",'Order Details'!$I:$I,'Item Summary'!$B64,'Order Details'!$F:$F,'Item Summary'!I$4,'Order Details'!$C:$C,"Downpayment Received")+SUMIFS('Order Details'!$Q:$Q,'Order Details'!$E:$E,"Yes",'Order Details'!$I:$I,'Item Summary'!$B64,'Order Details'!$F:$F,'Item Summary'!I$4,'Order Details'!$C:$C,"In Production")</f>
        <v>0</v>
      </c>
      <c r="J64" s="275">
        <f>SUMIFS('Order Details'!$Q:$Q,'Order Details'!$E:$E,"Yes",'Order Details'!$I:$I,'Item Summary'!$B64,'Order Details'!$F:$F,'Item Summary'!J$4,'Order Details'!$C:$C,"PO Received")+SUMIFS('Order Details'!$Q:$Q,'Order Details'!$E:$E,"Yes",'Order Details'!$I:$I,'Item Summary'!$B64,'Order Details'!$F:$F,'Item Summary'!J$4,'Order Details'!$C:$C,"Proforma Invoice Sent")+SUMIFS('Order Details'!$Q:$Q,'Order Details'!$E:$E,"Yes",'Order Details'!$I:$I,'Item Summary'!$B64,'Order Details'!$F:$F,'Item Summary'!J$4,'Order Details'!$C:$C,"Downpayment Received")+SUMIFS('Order Details'!$Q:$Q,'Order Details'!$E:$E,"Yes",'Order Details'!$I:$I,'Item Summary'!$B64,'Order Details'!$F:$F,'Item Summary'!J$4,'Order Details'!$C:$C,"In Production")</f>
        <v>0</v>
      </c>
      <c r="K64" s="275">
        <f>SUMIFS('Order Details'!$Q:$Q,'Order Details'!$E:$E,"Yes",'Order Details'!$I:$I,'Item Summary'!$B64,'Order Details'!$F:$F,'Item Summary'!K$4,'Order Details'!$C:$C,"PO Received")+SUMIFS('Order Details'!$Q:$Q,'Order Details'!$E:$E,"Yes",'Order Details'!$I:$I,'Item Summary'!$B64,'Order Details'!$F:$F,'Item Summary'!K$4,'Order Details'!$C:$C,"Proforma Invoice Sent")+SUMIFS('Order Details'!$Q:$Q,'Order Details'!$E:$E,"Yes",'Order Details'!$I:$I,'Item Summary'!$B64,'Order Details'!$F:$F,'Item Summary'!K$4,'Order Details'!$C:$C,"Downpayment Received")+SUMIFS('Order Details'!$Q:$Q,'Order Details'!$E:$E,"Yes",'Order Details'!$I:$I,'Item Summary'!$B64,'Order Details'!$F:$F,'Item Summary'!K$4,'Order Details'!$C:$C,"In Production")</f>
        <v>0</v>
      </c>
      <c r="L64" s="291">
        <f>SUMIFS('Order Details'!$Q:$Q,'Order Details'!$E:$E,"Yes",'Order Details'!$I:$I,'Item Summary'!$B64,'Order Details'!$F:$F,'Item Summary'!L$4,'Order Details'!$C:$C,"PO Received")+SUMIFS('Order Details'!$Q:$Q,'Order Details'!$E:$E,"Yes",'Order Details'!$I:$I,'Item Summary'!$B64,'Order Details'!$F:$F,'Item Summary'!L$4,'Order Details'!$C:$C,"Proforma Invoice Sent")+SUMIFS('Order Details'!$Q:$Q,'Order Details'!$E:$E,"Yes",'Order Details'!$I:$I,'Item Summary'!$B64,'Order Details'!$F:$F,'Item Summary'!L$4,'Order Details'!$C:$C,"Downpayment Received")+SUMIFS('Order Details'!$Q:$Q,'Order Details'!$E:$E,"Yes",'Order Details'!$I:$I,'Item Summary'!$B64,'Order Details'!$F:$F,'Item Summary'!L$4,'Order Details'!$C:$C,"In Production")</f>
        <v>0</v>
      </c>
      <c r="M64" s="276">
        <f>SUMIFS('Order Details'!$Q:$Q,'Order Details'!$E:$E,"Yes",'Order Details'!$I:$I,'Item Summary'!$B64,'Order Details'!$F:$F,'Item Summary'!M$4,'Order Details'!$C:$C,"PO Received")+SUMIFS('Order Details'!$Q:$Q,'Order Details'!$E:$E,"Yes",'Order Details'!$I:$I,'Item Summary'!$B64,'Order Details'!$F:$F,'Item Summary'!M$4,'Order Details'!$C:$C,"Proforma Invoice Sent")+SUMIFS('Order Details'!$Q:$Q,'Order Details'!$E:$E,"Yes",'Order Details'!$I:$I,'Item Summary'!$B64,'Order Details'!$F:$F,'Item Summary'!M$4,'Order Details'!$C:$C,"Downpayment Received")+SUMIFS('Order Details'!$Q:$Q,'Order Details'!$E:$E,"Yes",'Order Details'!$I:$I,'Item Summary'!$B64,'Order Details'!$F:$F,'Item Summary'!M$4,'Order Details'!$C:$C,"In Production")</f>
        <v>0</v>
      </c>
      <c r="N64" s="279">
        <f t="shared" si="4"/>
        <v>0</v>
      </c>
      <c r="Q64" s="278" t="s">
        <v>510</v>
      </c>
      <c r="R64" s="274" t="str">
        <f>VLOOKUP($Q64,'Pricing Table - eff 27-Jan-2026'!$A:$L,9,FALSE)&amp;""" "&amp;VLOOKUP($Q64,'Pricing Table - eff 27-Jan-2026'!$A:$L,12,FALSE)</f>
        <v>144" SAND SAHARA MATTE</v>
      </c>
      <c r="S64" s="275">
        <f>SUMIFS('Order Details'!$Q:$Q,'Order Details'!$E:$E,"Yes",'Order Details'!$I:$I,$Q64,'Order Details'!$F:$F,'Item Summary'!S$4)-D64</f>
        <v>0</v>
      </c>
      <c r="T64" s="275">
        <f>SUMIFS('Order Details'!$Q:$Q,'Order Details'!$E:$E,"Yes",'Order Details'!$I:$I,$Q64,'Order Details'!$F:$F,'Item Summary'!T$4)-E64</f>
        <v>0</v>
      </c>
      <c r="U64" s="275">
        <f>SUMIFS('Order Details'!$Q:$Q,'Order Details'!$E:$E,"Yes",'Order Details'!$I:$I,$Q64,'Order Details'!$F:$F,'Item Summary'!U$4)-F64</f>
        <v>0</v>
      </c>
      <c r="V64" s="275">
        <f>SUMIFS('Order Details'!$Q:$Q,'Order Details'!$E:$E,"Yes",'Order Details'!$I:$I,$Q64,'Order Details'!$F:$F,'Item Summary'!V$4)-G64</f>
        <v>0</v>
      </c>
      <c r="W64" s="275">
        <f>SUMIFS('Order Details'!$Q:$Q,'Order Details'!$E:$E,"Yes",'Order Details'!$I:$I,$Q64,'Order Details'!$F:$F,'Item Summary'!W$4)-H64</f>
        <v>0</v>
      </c>
      <c r="X64" s="275">
        <f>SUMIFS('Order Details'!$Q:$Q,'Order Details'!$E:$E,"Yes",'Order Details'!$I:$I,$Q64,'Order Details'!$F:$F,'Item Summary'!X$4)-I64</f>
        <v>0</v>
      </c>
      <c r="Y64" s="275">
        <f>SUMIFS('Order Details'!$Q:$Q,'Order Details'!$E:$E,"Yes",'Order Details'!$I:$I,$Q64,'Order Details'!$F:$F,'Item Summary'!Y$4)-J64</f>
        <v>0</v>
      </c>
      <c r="Z64" s="275">
        <f>SUMIFS('Order Details'!$Q:$Q,'Order Details'!$E:$E,"Yes",'Order Details'!$I:$I,$Q64,'Order Details'!$F:$F,'Item Summary'!Z$4)-K64</f>
        <v>0</v>
      </c>
      <c r="AA64" s="291">
        <f>SUMIFS('Order Details'!$Q:$Q,'Order Details'!$E:$E,"Yes",'Order Details'!$I:$I,$Q64,'Order Details'!$F:$F,'Item Summary'!AA$4)-L64</f>
        <v>0</v>
      </c>
      <c r="AB64" s="276">
        <f>SUMIFS('Order Details'!$Q:$Q,'Order Details'!$E:$E,"Yes",'Order Details'!$I:$I,$Q64,'Order Details'!$F:$F,'Item Summary'!AB$4)-M64</f>
        <v>0</v>
      </c>
      <c r="AC64" s="279">
        <f t="shared" si="5"/>
        <v>0</v>
      </c>
    </row>
    <row r="65" spans="2:29" x14ac:dyDescent="0.3">
      <c r="B65" s="278">
        <v>706750</v>
      </c>
      <c r="C65" s="274" t="str">
        <f>VLOOKUP($B65,'Pricing Table - eff 27-Jan-2026'!$A:$L,9,FALSE)&amp;""" "&amp;VLOOKUP($B65,'Pricing Table - eff 27-Jan-2026'!$A:$L,12,FALSE)</f>
        <v>96" YELLOW</v>
      </c>
      <c r="D65" s="275">
        <f>SUMIFS('Order Details'!$Q:$Q,'Order Details'!$E:$E,"Yes",'Order Details'!$I:$I,'Item Summary'!$B65,'Order Details'!$F:$F,'Item Summary'!D$4,'Order Details'!$C:$C,"PO Received")+SUMIFS('Order Details'!$Q:$Q,'Order Details'!$E:$E,"Yes",'Order Details'!$I:$I,'Item Summary'!$B65,'Order Details'!$F:$F,'Item Summary'!D$4,'Order Details'!$C:$C,"Proforma Invoice Sent")+SUMIFS('Order Details'!$Q:$Q,'Order Details'!$E:$E,"Yes",'Order Details'!$I:$I,'Item Summary'!$B65,'Order Details'!$F:$F,'Item Summary'!D$4,'Order Details'!$C:$C,"Downpayment Received")+SUMIFS('Order Details'!$Q:$Q,'Order Details'!$E:$E,"Yes",'Order Details'!$I:$I,'Item Summary'!$B65,'Order Details'!$F:$F,'Item Summary'!D$4,'Order Details'!$C:$C,"In Production")</f>
        <v>0</v>
      </c>
      <c r="E65" s="275">
        <f>SUMIFS('Order Details'!$Q:$Q,'Order Details'!$E:$E,"Yes",'Order Details'!$I:$I,'Item Summary'!$B65,'Order Details'!$F:$F,'Item Summary'!E$4,'Order Details'!$C:$C,"PO Received")+SUMIFS('Order Details'!$Q:$Q,'Order Details'!$E:$E,"Yes",'Order Details'!$I:$I,'Item Summary'!$B65,'Order Details'!$F:$F,'Item Summary'!E$4,'Order Details'!$C:$C,"Proforma Invoice Sent")+SUMIFS('Order Details'!$Q:$Q,'Order Details'!$E:$E,"Yes",'Order Details'!$I:$I,'Item Summary'!$B65,'Order Details'!$F:$F,'Item Summary'!E$4,'Order Details'!$C:$C,"Downpayment Received")+SUMIFS('Order Details'!$Q:$Q,'Order Details'!$E:$E,"Yes",'Order Details'!$I:$I,'Item Summary'!$B65,'Order Details'!$F:$F,'Item Summary'!E$4,'Order Details'!$C:$C,"In Production")</f>
        <v>0</v>
      </c>
      <c r="F65" s="275">
        <f>SUMIFS('Order Details'!$Q:$Q,'Order Details'!$E:$E,"Yes",'Order Details'!$I:$I,'Item Summary'!$B65,'Order Details'!$F:$F,'Item Summary'!F$4,'Order Details'!$C:$C,"PO Received")+SUMIFS('Order Details'!$Q:$Q,'Order Details'!$E:$E,"Yes",'Order Details'!$I:$I,'Item Summary'!$B65,'Order Details'!$F:$F,'Item Summary'!F$4,'Order Details'!$C:$C,"Proforma Invoice Sent")+SUMIFS('Order Details'!$Q:$Q,'Order Details'!$E:$E,"Yes",'Order Details'!$I:$I,'Item Summary'!$B65,'Order Details'!$F:$F,'Item Summary'!F$4,'Order Details'!$C:$C,"Downpayment Received")+SUMIFS('Order Details'!$Q:$Q,'Order Details'!$E:$E,"Yes",'Order Details'!$I:$I,'Item Summary'!$B65,'Order Details'!$F:$F,'Item Summary'!F$4,'Order Details'!$C:$C,"In Production")</f>
        <v>0</v>
      </c>
      <c r="G65" s="275">
        <f>SUMIFS('Order Details'!$Q:$Q,'Order Details'!$E:$E,"Yes",'Order Details'!$I:$I,'Item Summary'!$B65,'Order Details'!$F:$F,'Item Summary'!G$4,'Order Details'!$C:$C,"PO Received")+SUMIFS('Order Details'!$Q:$Q,'Order Details'!$E:$E,"Yes",'Order Details'!$I:$I,'Item Summary'!$B65,'Order Details'!$F:$F,'Item Summary'!G$4,'Order Details'!$C:$C,"Proforma Invoice Sent")+SUMIFS('Order Details'!$Q:$Q,'Order Details'!$E:$E,"Yes",'Order Details'!$I:$I,'Item Summary'!$B65,'Order Details'!$F:$F,'Item Summary'!G$4,'Order Details'!$C:$C,"Downpayment Received")+SUMIFS('Order Details'!$Q:$Q,'Order Details'!$E:$E,"Yes",'Order Details'!$I:$I,'Item Summary'!$B65,'Order Details'!$F:$F,'Item Summary'!G$4,'Order Details'!$C:$C,"In Production")</f>
        <v>0</v>
      </c>
      <c r="H65" s="275">
        <f>SUMIFS('Order Details'!$Q:$Q,'Order Details'!$E:$E,"Yes",'Order Details'!$I:$I,'Item Summary'!$B65,'Order Details'!$F:$F,'Item Summary'!H$4,'Order Details'!$C:$C,"PO Received")+SUMIFS('Order Details'!$Q:$Q,'Order Details'!$E:$E,"Yes",'Order Details'!$I:$I,'Item Summary'!$B65,'Order Details'!$F:$F,'Item Summary'!H$4,'Order Details'!$C:$C,"Proforma Invoice Sent")+SUMIFS('Order Details'!$Q:$Q,'Order Details'!$E:$E,"Yes",'Order Details'!$I:$I,'Item Summary'!$B65,'Order Details'!$F:$F,'Item Summary'!H$4,'Order Details'!$C:$C,"Downpayment Received")+SUMIFS('Order Details'!$Q:$Q,'Order Details'!$E:$E,"Yes",'Order Details'!$I:$I,'Item Summary'!$B65,'Order Details'!$F:$F,'Item Summary'!H$4,'Order Details'!$C:$C,"In Production")</f>
        <v>0</v>
      </c>
      <c r="I65" s="275">
        <f>SUMIFS('Order Details'!$Q:$Q,'Order Details'!$E:$E,"Yes",'Order Details'!$I:$I,'Item Summary'!$B65,'Order Details'!$F:$F,'Item Summary'!I$4,'Order Details'!$C:$C,"PO Received")+SUMIFS('Order Details'!$Q:$Q,'Order Details'!$E:$E,"Yes",'Order Details'!$I:$I,'Item Summary'!$B65,'Order Details'!$F:$F,'Item Summary'!I$4,'Order Details'!$C:$C,"Proforma Invoice Sent")+SUMIFS('Order Details'!$Q:$Q,'Order Details'!$E:$E,"Yes",'Order Details'!$I:$I,'Item Summary'!$B65,'Order Details'!$F:$F,'Item Summary'!I$4,'Order Details'!$C:$C,"Downpayment Received")+SUMIFS('Order Details'!$Q:$Q,'Order Details'!$E:$E,"Yes",'Order Details'!$I:$I,'Item Summary'!$B65,'Order Details'!$F:$F,'Item Summary'!I$4,'Order Details'!$C:$C,"In Production")</f>
        <v>0</v>
      </c>
      <c r="J65" s="275">
        <f>SUMIFS('Order Details'!$Q:$Q,'Order Details'!$E:$E,"Yes",'Order Details'!$I:$I,'Item Summary'!$B65,'Order Details'!$F:$F,'Item Summary'!J$4,'Order Details'!$C:$C,"PO Received")+SUMIFS('Order Details'!$Q:$Q,'Order Details'!$E:$E,"Yes",'Order Details'!$I:$I,'Item Summary'!$B65,'Order Details'!$F:$F,'Item Summary'!J$4,'Order Details'!$C:$C,"Proforma Invoice Sent")+SUMIFS('Order Details'!$Q:$Q,'Order Details'!$E:$E,"Yes",'Order Details'!$I:$I,'Item Summary'!$B65,'Order Details'!$F:$F,'Item Summary'!J$4,'Order Details'!$C:$C,"Downpayment Received")+SUMIFS('Order Details'!$Q:$Q,'Order Details'!$E:$E,"Yes",'Order Details'!$I:$I,'Item Summary'!$B65,'Order Details'!$F:$F,'Item Summary'!J$4,'Order Details'!$C:$C,"In Production")</f>
        <v>0</v>
      </c>
      <c r="K65" s="275">
        <f>SUMIFS('Order Details'!$Q:$Q,'Order Details'!$E:$E,"Yes",'Order Details'!$I:$I,'Item Summary'!$B65,'Order Details'!$F:$F,'Item Summary'!K$4,'Order Details'!$C:$C,"PO Received")+SUMIFS('Order Details'!$Q:$Q,'Order Details'!$E:$E,"Yes",'Order Details'!$I:$I,'Item Summary'!$B65,'Order Details'!$F:$F,'Item Summary'!K$4,'Order Details'!$C:$C,"Proforma Invoice Sent")+SUMIFS('Order Details'!$Q:$Q,'Order Details'!$E:$E,"Yes",'Order Details'!$I:$I,'Item Summary'!$B65,'Order Details'!$F:$F,'Item Summary'!K$4,'Order Details'!$C:$C,"Downpayment Received")+SUMIFS('Order Details'!$Q:$Q,'Order Details'!$E:$E,"Yes",'Order Details'!$I:$I,'Item Summary'!$B65,'Order Details'!$F:$F,'Item Summary'!K$4,'Order Details'!$C:$C,"In Production")</f>
        <v>0</v>
      </c>
      <c r="L65" s="291">
        <f>SUMIFS('Order Details'!$Q:$Q,'Order Details'!$E:$E,"Yes",'Order Details'!$I:$I,'Item Summary'!$B65,'Order Details'!$F:$F,'Item Summary'!L$4,'Order Details'!$C:$C,"PO Received")+SUMIFS('Order Details'!$Q:$Q,'Order Details'!$E:$E,"Yes",'Order Details'!$I:$I,'Item Summary'!$B65,'Order Details'!$F:$F,'Item Summary'!L$4,'Order Details'!$C:$C,"Proforma Invoice Sent")+SUMIFS('Order Details'!$Q:$Q,'Order Details'!$E:$E,"Yes",'Order Details'!$I:$I,'Item Summary'!$B65,'Order Details'!$F:$F,'Item Summary'!L$4,'Order Details'!$C:$C,"Downpayment Received")+SUMIFS('Order Details'!$Q:$Q,'Order Details'!$E:$E,"Yes",'Order Details'!$I:$I,'Item Summary'!$B65,'Order Details'!$F:$F,'Item Summary'!L$4,'Order Details'!$C:$C,"In Production")</f>
        <v>0</v>
      </c>
      <c r="M65" s="276">
        <f>SUMIFS('Order Details'!$Q:$Q,'Order Details'!$E:$E,"Yes",'Order Details'!$I:$I,'Item Summary'!$B65,'Order Details'!$F:$F,'Item Summary'!M$4,'Order Details'!$C:$C,"PO Received")+SUMIFS('Order Details'!$Q:$Q,'Order Details'!$E:$E,"Yes",'Order Details'!$I:$I,'Item Summary'!$B65,'Order Details'!$F:$F,'Item Summary'!M$4,'Order Details'!$C:$C,"Proforma Invoice Sent")+SUMIFS('Order Details'!$Q:$Q,'Order Details'!$E:$E,"Yes",'Order Details'!$I:$I,'Item Summary'!$B65,'Order Details'!$F:$F,'Item Summary'!M$4,'Order Details'!$C:$C,"Downpayment Received")+SUMIFS('Order Details'!$Q:$Q,'Order Details'!$E:$E,"Yes",'Order Details'!$I:$I,'Item Summary'!$B65,'Order Details'!$F:$F,'Item Summary'!M$4,'Order Details'!$C:$C,"In Production")</f>
        <v>0</v>
      </c>
      <c r="N65" s="279">
        <f t="shared" si="2"/>
        <v>0</v>
      </c>
      <c r="Q65" s="278">
        <v>706750</v>
      </c>
      <c r="R65" s="274" t="str">
        <f>VLOOKUP($Q65,'Pricing Table - eff 27-Jan-2026'!$A:$L,9,FALSE)&amp;""" "&amp;VLOOKUP($Q65,'Pricing Table - eff 27-Jan-2026'!$A:$L,12,FALSE)</f>
        <v>96" YELLOW</v>
      </c>
      <c r="S65" s="275">
        <f>SUMIFS('Order Details'!$Q:$Q,'Order Details'!$E:$E,"Yes",'Order Details'!$I:$I,$Q65,'Order Details'!$F:$F,'Item Summary'!S$4)-D65</f>
        <v>0</v>
      </c>
      <c r="T65" s="275">
        <f>SUMIFS('Order Details'!$Q:$Q,'Order Details'!$E:$E,"Yes",'Order Details'!$I:$I,$Q65,'Order Details'!$F:$F,'Item Summary'!T$4)-E65</f>
        <v>0</v>
      </c>
      <c r="U65" s="275">
        <f>SUMIFS('Order Details'!$Q:$Q,'Order Details'!$E:$E,"Yes",'Order Details'!$I:$I,$Q65,'Order Details'!$F:$F,'Item Summary'!U$4)-F65</f>
        <v>0</v>
      </c>
      <c r="V65" s="275">
        <f>SUMIFS('Order Details'!$Q:$Q,'Order Details'!$E:$E,"Yes",'Order Details'!$I:$I,$Q65,'Order Details'!$F:$F,'Item Summary'!V$4)-G65</f>
        <v>0</v>
      </c>
      <c r="W65" s="275">
        <f>SUMIFS('Order Details'!$Q:$Q,'Order Details'!$E:$E,"Yes",'Order Details'!$I:$I,$Q65,'Order Details'!$F:$F,'Item Summary'!W$4)-H65</f>
        <v>0</v>
      </c>
      <c r="X65" s="275">
        <f>SUMIFS('Order Details'!$Q:$Q,'Order Details'!$E:$E,"Yes",'Order Details'!$I:$I,$Q65,'Order Details'!$F:$F,'Item Summary'!X$4)-I65</f>
        <v>0</v>
      </c>
      <c r="Y65" s="275">
        <f>SUMIFS('Order Details'!$Q:$Q,'Order Details'!$E:$E,"Yes",'Order Details'!$I:$I,$Q65,'Order Details'!$F:$F,'Item Summary'!Y$4)-J65</f>
        <v>0</v>
      </c>
      <c r="Z65" s="275">
        <f>SUMIFS('Order Details'!$Q:$Q,'Order Details'!$E:$E,"Yes",'Order Details'!$I:$I,$Q65,'Order Details'!$F:$F,'Item Summary'!Z$4)-K65</f>
        <v>0</v>
      </c>
      <c r="AA65" s="291">
        <f>SUMIFS('Order Details'!$Q:$Q,'Order Details'!$E:$E,"Yes",'Order Details'!$I:$I,$Q65,'Order Details'!$F:$F,'Item Summary'!AA$4)-L65</f>
        <v>0</v>
      </c>
      <c r="AB65" s="276">
        <f>SUMIFS('Order Details'!$Q:$Q,'Order Details'!$E:$E,"Yes",'Order Details'!$I:$I,$Q65,'Order Details'!$F:$F,'Item Summary'!AB$4)-M65</f>
        <v>0</v>
      </c>
      <c r="AC65" s="279">
        <f t="shared" si="3"/>
        <v>0</v>
      </c>
    </row>
    <row r="66" spans="2:29" x14ac:dyDescent="0.3">
      <c r="B66" s="300">
        <v>706751</v>
      </c>
      <c r="C66" s="274" t="str">
        <f>VLOOKUP($B66,'Pricing Table - eff 27-Jan-2026'!$A:$L,9,FALSE)&amp;""" "&amp;VLOOKUP($B66,'Pricing Table - eff 27-Jan-2026'!$A:$L,12,FALSE)</f>
        <v>96" ORANGE</v>
      </c>
      <c r="D66" s="295">
        <f>SUMIFS('Order Details'!$Q:$Q,'Order Details'!$E:$E,"Yes",'Order Details'!$I:$I,'Item Summary'!$B66,'Order Details'!$F:$F,'Item Summary'!D$4,'Order Details'!$C:$C,"PO Received")+SUMIFS('Order Details'!$Q:$Q,'Order Details'!$E:$E,"Yes",'Order Details'!$I:$I,'Item Summary'!$B66,'Order Details'!$F:$F,'Item Summary'!D$4,'Order Details'!$C:$C,"Proforma Invoice Sent")+SUMIFS('Order Details'!$Q:$Q,'Order Details'!$E:$E,"Yes",'Order Details'!$I:$I,'Item Summary'!$B66,'Order Details'!$F:$F,'Item Summary'!D$4,'Order Details'!$C:$C,"Downpayment Received")+SUMIFS('Order Details'!$Q:$Q,'Order Details'!$E:$E,"Yes",'Order Details'!$I:$I,'Item Summary'!$B66,'Order Details'!$F:$F,'Item Summary'!D$4,'Order Details'!$C:$C,"In Production")</f>
        <v>0</v>
      </c>
      <c r="E66" s="295">
        <f>SUMIFS('Order Details'!$Q:$Q,'Order Details'!$E:$E,"Yes",'Order Details'!$I:$I,'Item Summary'!$B66,'Order Details'!$F:$F,'Item Summary'!E$4,'Order Details'!$C:$C,"PO Received")+SUMIFS('Order Details'!$Q:$Q,'Order Details'!$E:$E,"Yes",'Order Details'!$I:$I,'Item Summary'!$B66,'Order Details'!$F:$F,'Item Summary'!E$4,'Order Details'!$C:$C,"Proforma Invoice Sent")+SUMIFS('Order Details'!$Q:$Q,'Order Details'!$E:$E,"Yes",'Order Details'!$I:$I,'Item Summary'!$B66,'Order Details'!$F:$F,'Item Summary'!E$4,'Order Details'!$C:$C,"Downpayment Received")+SUMIFS('Order Details'!$Q:$Q,'Order Details'!$E:$E,"Yes",'Order Details'!$I:$I,'Item Summary'!$B66,'Order Details'!$F:$F,'Item Summary'!E$4,'Order Details'!$C:$C,"In Production")</f>
        <v>0</v>
      </c>
      <c r="F66" s="295">
        <f>SUMIFS('Order Details'!$Q:$Q,'Order Details'!$E:$E,"Yes",'Order Details'!$I:$I,'Item Summary'!$B66,'Order Details'!$F:$F,'Item Summary'!F$4,'Order Details'!$C:$C,"PO Received")+SUMIFS('Order Details'!$Q:$Q,'Order Details'!$E:$E,"Yes",'Order Details'!$I:$I,'Item Summary'!$B66,'Order Details'!$F:$F,'Item Summary'!F$4,'Order Details'!$C:$C,"Proforma Invoice Sent")+SUMIFS('Order Details'!$Q:$Q,'Order Details'!$E:$E,"Yes",'Order Details'!$I:$I,'Item Summary'!$B66,'Order Details'!$F:$F,'Item Summary'!F$4,'Order Details'!$C:$C,"Downpayment Received")+SUMIFS('Order Details'!$Q:$Q,'Order Details'!$E:$E,"Yes",'Order Details'!$I:$I,'Item Summary'!$B66,'Order Details'!$F:$F,'Item Summary'!F$4,'Order Details'!$C:$C,"In Production")</f>
        <v>0</v>
      </c>
      <c r="G66" s="295">
        <f>SUMIFS('Order Details'!$Q:$Q,'Order Details'!$E:$E,"Yes",'Order Details'!$I:$I,'Item Summary'!$B66,'Order Details'!$F:$F,'Item Summary'!G$4,'Order Details'!$C:$C,"PO Received")+SUMIFS('Order Details'!$Q:$Q,'Order Details'!$E:$E,"Yes",'Order Details'!$I:$I,'Item Summary'!$B66,'Order Details'!$F:$F,'Item Summary'!G$4,'Order Details'!$C:$C,"Proforma Invoice Sent")+SUMIFS('Order Details'!$Q:$Q,'Order Details'!$E:$E,"Yes",'Order Details'!$I:$I,'Item Summary'!$B66,'Order Details'!$F:$F,'Item Summary'!G$4,'Order Details'!$C:$C,"Downpayment Received")+SUMIFS('Order Details'!$Q:$Q,'Order Details'!$E:$E,"Yes",'Order Details'!$I:$I,'Item Summary'!$B66,'Order Details'!$F:$F,'Item Summary'!G$4,'Order Details'!$C:$C,"In Production")</f>
        <v>0</v>
      </c>
      <c r="H66" s="295">
        <f>SUMIFS('Order Details'!$Q:$Q,'Order Details'!$E:$E,"Yes",'Order Details'!$I:$I,'Item Summary'!$B66,'Order Details'!$F:$F,'Item Summary'!H$4,'Order Details'!$C:$C,"PO Received")+SUMIFS('Order Details'!$Q:$Q,'Order Details'!$E:$E,"Yes",'Order Details'!$I:$I,'Item Summary'!$B66,'Order Details'!$F:$F,'Item Summary'!H$4,'Order Details'!$C:$C,"Proforma Invoice Sent")+SUMIFS('Order Details'!$Q:$Q,'Order Details'!$E:$E,"Yes",'Order Details'!$I:$I,'Item Summary'!$B66,'Order Details'!$F:$F,'Item Summary'!H$4,'Order Details'!$C:$C,"Downpayment Received")+SUMIFS('Order Details'!$Q:$Q,'Order Details'!$E:$E,"Yes",'Order Details'!$I:$I,'Item Summary'!$B66,'Order Details'!$F:$F,'Item Summary'!H$4,'Order Details'!$C:$C,"In Production")</f>
        <v>0</v>
      </c>
      <c r="I66" s="295">
        <f>SUMIFS('Order Details'!$Q:$Q,'Order Details'!$E:$E,"Yes",'Order Details'!$I:$I,'Item Summary'!$B66,'Order Details'!$F:$F,'Item Summary'!I$4,'Order Details'!$C:$C,"PO Received")+SUMIFS('Order Details'!$Q:$Q,'Order Details'!$E:$E,"Yes",'Order Details'!$I:$I,'Item Summary'!$B66,'Order Details'!$F:$F,'Item Summary'!I$4,'Order Details'!$C:$C,"Proforma Invoice Sent")+SUMIFS('Order Details'!$Q:$Q,'Order Details'!$E:$E,"Yes",'Order Details'!$I:$I,'Item Summary'!$B66,'Order Details'!$F:$F,'Item Summary'!I$4,'Order Details'!$C:$C,"Downpayment Received")+SUMIFS('Order Details'!$Q:$Q,'Order Details'!$E:$E,"Yes",'Order Details'!$I:$I,'Item Summary'!$B66,'Order Details'!$F:$F,'Item Summary'!I$4,'Order Details'!$C:$C,"In Production")</f>
        <v>0</v>
      </c>
      <c r="J66" s="295">
        <f>SUMIFS('Order Details'!$Q:$Q,'Order Details'!$E:$E,"Yes",'Order Details'!$I:$I,'Item Summary'!$B66,'Order Details'!$F:$F,'Item Summary'!J$4,'Order Details'!$C:$C,"PO Received")+SUMIFS('Order Details'!$Q:$Q,'Order Details'!$E:$E,"Yes",'Order Details'!$I:$I,'Item Summary'!$B66,'Order Details'!$F:$F,'Item Summary'!J$4,'Order Details'!$C:$C,"Proforma Invoice Sent")+SUMIFS('Order Details'!$Q:$Q,'Order Details'!$E:$E,"Yes",'Order Details'!$I:$I,'Item Summary'!$B66,'Order Details'!$F:$F,'Item Summary'!J$4,'Order Details'!$C:$C,"Downpayment Received")+SUMIFS('Order Details'!$Q:$Q,'Order Details'!$E:$E,"Yes",'Order Details'!$I:$I,'Item Summary'!$B66,'Order Details'!$F:$F,'Item Summary'!J$4,'Order Details'!$C:$C,"In Production")</f>
        <v>0</v>
      </c>
      <c r="K66" s="295">
        <f>SUMIFS('Order Details'!$Q:$Q,'Order Details'!$E:$E,"Yes",'Order Details'!$I:$I,'Item Summary'!$B66,'Order Details'!$F:$F,'Item Summary'!K$4,'Order Details'!$C:$C,"PO Received")+SUMIFS('Order Details'!$Q:$Q,'Order Details'!$E:$E,"Yes",'Order Details'!$I:$I,'Item Summary'!$B66,'Order Details'!$F:$F,'Item Summary'!K$4,'Order Details'!$C:$C,"Proforma Invoice Sent")+SUMIFS('Order Details'!$Q:$Q,'Order Details'!$E:$E,"Yes",'Order Details'!$I:$I,'Item Summary'!$B66,'Order Details'!$F:$F,'Item Summary'!K$4,'Order Details'!$C:$C,"Downpayment Received")+SUMIFS('Order Details'!$Q:$Q,'Order Details'!$E:$E,"Yes",'Order Details'!$I:$I,'Item Summary'!$B66,'Order Details'!$F:$F,'Item Summary'!K$4,'Order Details'!$C:$C,"In Production")</f>
        <v>0</v>
      </c>
      <c r="L66" s="154">
        <f>SUMIFS('Order Details'!$Q:$Q,'Order Details'!$E:$E,"Yes",'Order Details'!$I:$I,'Item Summary'!$B66,'Order Details'!$F:$F,'Item Summary'!L$4,'Order Details'!$C:$C,"PO Received")+SUMIFS('Order Details'!$Q:$Q,'Order Details'!$E:$E,"Yes",'Order Details'!$I:$I,'Item Summary'!$B66,'Order Details'!$F:$F,'Item Summary'!L$4,'Order Details'!$C:$C,"Proforma Invoice Sent")+SUMIFS('Order Details'!$Q:$Q,'Order Details'!$E:$E,"Yes",'Order Details'!$I:$I,'Item Summary'!$B66,'Order Details'!$F:$F,'Item Summary'!L$4,'Order Details'!$C:$C,"Downpayment Received")+SUMIFS('Order Details'!$Q:$Q,'Order Details'!$E:$E,"Yes",'Order Details'!$I:$I,'Item Summary'!$B66,'Order Details'!$F:$F,'Item Summary'!L$4,'Order Details'!$C:$C,"In Production")</f>
        <v>0</v>
      </c>
      <c r="M66" s="296">
        <f>SUMIFS('Order Details'!$Q:$Q,'Order Details'!$E:$E,"Yes",'Order Details'!$I:$I,'Item Summary'!$B66,'Order Details'!$F:$F,'Item Summary'!M$4,'Order Details'!$C:$C,"PO Received")+SUMIFS('Order Details'!$Q:$Q,'Order Details'!$E:$E,"Yes",'Order Details'!$I:$I,'Item Summary'!$B66,'Order Details'!$F:$F,'Item Summary'!M$4,'Order Details'!$C:$C,"Proforma Invoice Sent")+SUMIFS('Order Details'!$Q:$Q,'Order Details'!$E:$E,"Yes",'Order Details'!$I:$I,'Item Summary'!$B66,'Order Details'!$F:$F,'Item Summary'!M$4,'Order Details'!$C:$C,"Downpayment Received")+SUMIFS('Order Details'!$Q:$Q,'Order Details'!$E:$E,"Yes",'Order Details'!$I:$I,'Item Summary'!$B66,'Order Details'!$F:$F,'Item Summary'!M$4,'Order Details'!$C:$C,"In Production")</f>
        <v>0</v>
      </c>
      <c r="N66" s="297">
        <f t="shared" si="2"/>
        <v>0</v>
      </c>
      <c r="Q66" s="278">
        <v>706751</v>
      </c>
      <c r="R66" s="274" t="str">
        <f>VLOOKUP($Q66,'Pricing Table - eff 27-Jan-2026'!$A:$L,9,FALSE)&amp;""" "&amp;VLOOKUP($Q66,'Pricing Table - eff 27-Jan-2026'!$A:$L,12,FALSE)</f>
        <v>96" ORANGE</v>
      </c>
      <c r="S66" s="295">
        <f>SUMIFS('Order Details'!$Q:$Q,'Order Details'!$E:$E,"Yes",'Order Details'!$I:$I,$Q66,'Order Details'!$F:$F,'Item Summary'!S$4)-D66</f>
        <v>0</v>
      </c>
      <c r="T66" s="295">
        <f>SUMIFS('Order Details'!$Q:$Q,'Order Details'!$E:$E,"Yes",'Order Details'!$I:$I,$Q66,'Order Details'!$F:$F,'Item Summary'!T$4)-E66</f>
        <v>0</v>
      </c>
      <c r="U66" s="295">
        <f>SUMIFS('Order Details'!$Q:$Q,'Order Details'!$E:$E,"Yes",'Order Details'!$I:$I,$Q66,'Order Details'!$F:$F,'Item Summary'!U$4)-F66</f>
        <v>0</v>
      </c>
      <c r="V66" s="295">
        <f>SUMIFS('Order Details'!$Q:$Q,'Order Details'!$E:$E,"Yes",'Order Details'!$I:$I,$Q66,'Order Details'!$F:$F,'Item Summary'!V$4)-G66</f>
        <v>0</v>
      </c>
      <c r="W66" s="295">
        <f>SUMIFS('Order Details'!$Q:$Q,'Order Details'!$E:$E,"Yes",'Order Details'!$I:$I,$Q66,'Order Details'!$F:$F,'Item Summary'!W$4)-H66</f>
        <v>0</v>
      </c>
      <c r="X66" s="295">
        <f>SUMIFS('Order Details'!$Q:$Q,'Order Details'!$E:$E,"Yes",'Order Details'!$I:$I,$Q66,'Order Details'!$F:$F,'Item Summary'!X$4)-I66</f>
        <v>0</v>
      </c>
      <c r="Y66" s="295">
        <f>SUMIFS('Order Details'!$Q:$Q,'Order Details'!$E:$E,"Yes",'Order Details'!$I:$I,$Q66,'Order Details'!$F:$F,'Item Summary'!Y$4)-J66</f>
        <v>0</v>
      </c>
      <c r="Z66" s="295">
        <f>SUMIFS('Order Details'!$Q:$Q,'Order Details'!$E:$E,"Yes",'Order Details'!$I:$I,$Q66,'Order Details'!$F:$F,'Item Summary'!Z$4)-K66</f>
        <v>0</v>
      </c>
      <c r="AA66" s="154">
        <f>SUMIFS('Order Details'!$Q:$Q,'Order Details'!$E:$E,"Yes",'Order Details'!$I:$I,$Q66,'Order Details'!$F:$F,'Item Summary'!AA$4)-L66</f>
        <v>0</v>
      </c>
      <c r="AB66" s="296">
        <f>SUMIFS('Order Details'!$Q:$Q,'Order Details'!$E:$E,"Yes",'Order Details'!$I:$I,$Q66,'Order Details'!$F:$F,'Item Summary'!AB$4)-M66</f>
        <v>0</v>
      </c>
      <c r="AC66" s="297">
        <f t="shared" si="3"/>
        <v>0</v>
      </c>
    </row>
    <row r="67" spans="2:29" ht="15" thickBot="1" x14ac:dyDescent="0.35">
      <c r="B67" s="281">
        <v>708236</v>
      </c>
      <c r="C67" s="282" t="str">
        <f>VLOOKUP($B67,'Pricing Table - eff 27-Jan-2026'!$A:$L,9,FALSE)&amp;""" "&amp;VLOOKUP($B67,'Pricing Table - eff 27-Jan-2026'!$A:$L,12,FALSE)</f>
        <v>96" BRANDY WINE</v>
      </c>
      <c r="D67" s="283">
        <f>SUMIFS('Order Details'!$Q:$Q,'Order Details'!$E:$E,"Yes",'Order Details'!$I:$I,'Item Summary'!$B67,'Order Details'!$F:$F,'Item Summary'!D$4,'Order Details'!$C:$C,"PO Received")+SUMIFS('Order Details'!$Q:$Q,'Order Details'!$E:$E,"Yes",'Order Details'!$I:$I,'Item Summary'!$B67,'Order Details'!$F:$F,'Item Summary'!D$4,'Order Details'!$C:$C,"Proforma Invoice Sent")+SUMIFS('Order Details'!$Q:$Q,'Order Details'!$E:$E,"Yes",'Order Details'!$I:$I,'Item Summary'!$B67,'Order Details'!$F:$F,'Item Summary'!D$4,'Order Details'!$C:$C,"Downpayment Received")+SUMIFS('Order Details'!$Q:$Q,'Order Details'!$E:$E,"Yes",'Order Details'!$I:$I,'Item Summary'!$B67,'Order Details'!$F:$F,'Item Summary'!D$4,'Order Details'!$C:$C,"In Production")</f>
        <v>0</v>
      </c>
      <c r="E67" s="283">
        <f>SUMIFS('Order Details'!$Q:$Q,'Order Details'!$E:$E,"Yes",'Order Details'!$I:$I,'Item Summary'!$B67,'Order Details'!$F:$F,'Item Summary'!E$4,'Order Details'!$C:$C,"PO Received")+SUMIFS('Order Details'!$Q:$Q,'Order Details'!$E:$E,"Yes",'Order Details'!$I:$I,'Item Summary'!$B67,'Order Details'!$F:$F,'Item Summary'!E$4,'Order Details'!$C:$C,"Proforma Invoice Sent")+SUMIFS('Order Details'!$Q:$Q,'Order Details'!$E:$E,"Yes",'Order Details'!$I:$I,'Item Summary'!$B67,'Order Details'!$F:$F,'Item Summary'!E$4,'Order Details'!$C:$C,"Downpayment Received")+SUMIFS('Order Details'!$Q:$Q,'Order Details'!$E:$E,"Yes",'Order Details'!$I:$I,'Item Summary'!$B67,'Order Details'!$F:$F,'Item Summary'!E$4,'Order Details'!$C:$C,"In Production")</f>
        <v>0</v>
      </c>
      <c r="F67" s="283">
        <f>SUMIFS('Order Details'!$Q:$Q,'Order Details'!$E:$E,"Yes",'Order Details'!$I:$I,'Item Summary'!$B67,'Order Details'!$F:$F,'Item Summary'!F$4,'Order Details'!$C:$C,"PO Received")+SUMIFS('Order Details'!$Q:$Q,'Order Details'!$E:$E,"Yes",'Order Details'!$I:$I,'Item Summary'!$B67,'Order Details'!$F:$F,'Item Summary'!F$4,'Order Details'!$C:$C,"Proforma Invoice Sent")+SUMIFS('Order Details'!$Q:$Q,'Order Details'!$E:$E,"Yes",'Order Details'!$I:$I,'Item Summary'!$B67,'Order Details'!$F:$F,'Item Summary'!F$4,'Order Details'!$C:$C,"Downpayment Received")+SUMIFS('Order Details'!$Q:$Q,'Order Details'!$E:$E,"Yes",'Order Details'!$I:$I,'Item Summary'!$B67,'Order Details'!$F:$F,'Item Summary'!F$4,'Order Details'!$C:$C,"In Production")</f>
        <v>0</v>
      </c>
      <c r="G67" s="283">
        <f>SUMIFS('Order Details'!$Q:$Q,'Order Details'!$E:$E,"Yes",'Order Details'!$I:$I,'Item Summary'!$B67,'Order Details'!$F:$F,'Item Summary'!G$4,'Order Details'!$C:$C,"PO Received")+SUMIFS('Order Details'!$Q:$Q,'Order Details'!$E:$E,"Yes",'Order Details'!$I:$I,'Item Summary'!$B67,'Order Details'!$F:$F,'Item Summary'!G$4,'Order Details'!$C:$C,"Proforma Invoice Sent")+SUMIFS('Order Details'!$Q:$Q,'Order Details'!$E:$E,"Yes",'Order Details'!$I:$I,'Item Summary'!$B67,'Order Details'!$F:$F,'Item Summary'!G$4,'Order Details'!$C:$C,"Downpayment Received")+SUMIFS('Order Details'!$Q:$Q,'Order Details'!$E:$E,"Yes",'Order Details'!$I:$I,'Item Summary'!$B67,'Order Details'!$F:$F,'Item Summary'!G$4,'Order Details'!$C:$C,"In Production")</f>
        <v>0</v>
      </c>
      <c r="H67" s="283">
        <f>SUMIFS('Order Details'!$Q:$Q,'Order Details'!$E:$E,"Yes",'Order Details'!$I:$I,'Item Summary'!$B67,'Order Details'!$F:$F,'Item Summary'!H$4,'Order Details'!$C:$C,"PO Received")+SUMIFS('Order Details'!$Q:$Q,'Order Details'!$E:$E,"Yes",'Order Details'!$I:$I,'Item Summary'!$B67,'Order Details'!$F:$F,'Item Summary'!H$4,'Order Details'!$C:$C,"Proforma Invoice Sent")+SUMIFS('Order Details'!$Q:$Q,'Order Details'!$E:$E,"Yes",'Order Details'!$I:$I,'Item Summary'!$B67,'Order Details'!$F:$F,'Item Summary'!H$4,'Order Details'!$C:$C,"Downpayment Received")+SUMIFS('Order Details'!$Q:$Q,'Order Details'!$E:$E,"Yes",'Order Details'!$I:$I,'Item Summary'!$B67,'Order Details'!$F:$F,'Item Summary'!H$4,'Order Details'!$C:$C,"In Production")</f>
        <v>0</v>
      </c>
      <c r="I67" s="283">
        <f>SUMIFS('Order Details'!$Q:$Q,'Order Details'!$E:$E,"Yes",'Order Details'!$I:$I,'Item Summary'!$B67,'Order Details'!$F:$F,'Item Summary'!I$4,'Order Details'!$C:$C,"PO Received")+SUMIFS('Order Details'!$Q:$Q,'Order Details'!$E:$E,"Yes",'Order Details'!$I:$I,'Item Summary'!$B67,'Order Details'!$F:$F,'Item Summary'!I$4,'Order Details'!$C:$C,"Proforma Invoice Sent")+SUMIFS('Order Details'!$Q:$Q,'Order Details'!$E:$E,"Yes",'Order Details'!$I:$I,'Item Summary'!$B67,'Order Details'!$F:$F,'Item Summary'!I$4,'Order Details'!$C:$C,"Downpayment Received")+SUMIFS('Order Details'!$Q:$Q,'Order Details'!$E:$E,"Yes",'Order Details'!$I:$I,'Item Summary'!$B67,'Order Details'!$F:$F,'Item Summary'!I$4,'Order Details'!$C:$C,"In Production")</f>
        <v>0</v>
      </c>
      <c r="J67" s="283">
        <f>SUMIFS('Order Details'!$Q:$Q,'Order Details'!$E:$E,"Yes",'Order Details'!$I:$I,'Item Summary'!$B67,'Order Details'!$F:$F,'Item Summary'!J$4,'Order Details'!$C:$C,"PO Received")+SUMIFS('Order Details'!$Q:$Q,'Order Details'!$E:$E,"Yes",'Order Details'!$I:$I,'Item Summary'!$B67,'Order Details'!$F:$F,'Item Summary'!J$4,'Order Details'!$C:$C,"Proforma Invoice Sent")+SUMIFS('Order Details'!$Q:$Q,'Order Details'!$E:$E,"Yes",'Order Details'!$I:$I,'Item Summary'!$B67,'Order Details'!$F:$F,'Item Summary'!J$4,'Order Details'!$C:$C,"Downpayment Received")+SUMIFS('Order Details'!$Q:$Q,'Order Details'!$E:$E,"Yes",'Order Details'!$I:$I,'Item Summary'!$B67,'Order Details'!$F:$F,'Item Summary'!J$4,'Order Details'!$C:$C,"In Production")</f>
        <v>0</v>
      </c>
      <c r="K67" s="283">
        <f>SUMIFS('Order Details'!$Q:$Q,'Order Details'!$E:$E,"Yes",'Order Details'!$I:$I,'Item Summary'!$B67,'Order Details'!$F:$F,'Item Summary'!K$4,'Order Details'!$C:$C,"PO Received")+SUMIFS('Order Details'!$Q:$Q,'Order Details'!$E:$E,"Yes",'Order Details'!$I:$I,'Item Summary'!$B67,'Order Details'!$F:$F,'Item Summary'!K$4,'Order Details'!$C:$C,"Proforma Invoice Sent")+SUMIFS('Order Details'!$Q:$Q,'Order Details'!$E:$E,"Yes",'Order Details'!$I:$I,'Item Summary'!$B67,'Order Details'!$F:$F,'Item Summary'!K$4,'Order Details'!$C:$C,"Downpayment Received")+SUMIFS('Order Details'!$Q:$Q,'Order Details'!$E:$E,"Yes",'Order Details'!$I:$I,'Item Summary'!$B67,'Order Details'!$F:$F,'Item Summary'!K$4,'Order Details'!$C:$C,"In Production")</f>
        <v>0</v>
      </c>
      <c r="L67" s="299">
        <f>SUMIFS('Order Details'!$Q:$Q,'Order Details'!$E:$E,"Yes",'Order Details'!$I:$I,'Item Summary'!$B67,'Order Details'!$F:$F,'Item Summary'!L$4,'Order Details'!$C:$C,"PO Received")+SUMIFS('Order Details'!$Q:$Q,'Order Details'!$E:$E,"Yes",'Order Details'!$I:$I,'Item Summary'!$B67,'Order Details'!$F:$F,'Item Summary'!L$4,'Order Details'!$C:$C,"Proforma Invoice Sent")+SUMIFS('Order Details'!$Q:$Q,'Order Details'!$E:$E,"Yes",'Order Details'!$I:$I,'Item Summary'!$B67,'Order Details'!$F:$F,'Item Summary'!L$4,'Order Details'!$C:$C,"Downpayment Received")+SUMIFS('Order Details'!$Q:$Q,'Order Details'!$E:$E,"Yes",'Order Details'!$I:$I,'Item Summary'!$B67,'Order Details'!$F:$F,'Item Summary'!L$4,'Order Details'!$C:$C,"In Production")</f>
        <v>0</v>
      </c>
      <c r="M67" s="284">
        <f>SUMIFS('Order Details'!$Q:$Q,'Order Details'!$E:$E,"Yes",'Order Details'!$I:$I,'Item Summary'!$B67,'Order Details'!$F:$F,'Item Summary'!M$4,'Order Details'!$C:$C,"PO Received")+SUMIFS('Order Details'!$Q:$Q,'Order Details'!$E:$E,"Yes",'Order Details'!$I:$I,'Item Summary'!$B67,'Order Details'!$F:$F,'Item Summary'!M$4,'Order Details'!$C:$C,"Proforma Invoice Sent")+SUMIFS('Order Details'!$Q:$Q,'Order Details'!$E:$E,"Yes",'Order Details'!$I:$I,'Item Summary'!$B67,'Order Details'!$F:$F,'Item Summary'!M$4,'Order Details'!$C:$C,"Downpayment Received")+SUMIFS('Order Details'!$Q:$Q,'Order Details'!$E:$E,"Yes",'Order Details'!$I:$I,'Item Summary'!$B67,'Order Details'!$F:$F,'Item Summary'!M$4,'Order Details'!$C:$C,"In Production")</f>
        <v>0</v>
      </c>
      <c r="N67" s="285">
        <f t="shared" si="2"/>
        <v>0</v>
      </c>
      <c r="Q67" s="281">
        <v>708236</v>
      </c>
      <c r="R67" s="282" t="str">
        <f>VLOOKUP($Q67,'Pricing Table - eff 27-Jan-2026'!$A:$L,9,FALSE)&amp;""" "&amp;VLOOKUP($Q67,'Pricing Table - eff 27-Jan-2026'!$A:$L,12,FALSE)</f>
        <v>96" BRANDY WINE</v>
      </c>
      <c r="S67" s="298">
        <f>SUMIFS('Order Details'!$Q:$Q,'Order Details'!$E:$E,"Yes",'Order Details'!$I:$I,$Q67,'Order Details'!$F:$F,'Item Summary'!S$4)-D67</f>
        <v>0</v>
      </c>
      <c r="T67" s="283">
        <f>SUMIFS('Order Details'!$Q:$Q,'Order Details'!$E:$E,"Yes",'Order Details'!$I:$I,$Q67,'Order Details'!$F:$F,'Item Summary'!T$4)-E67</f>
        <v>0</v>
      </c>
      <c r="U67" s="283">
        <f>SUMIFS('Order Details'!$Q:$Q,'Order Details'!$E:$E,"Yes",'Order Details'!$I:$I,$Q67,'Order Details'!$F:$F,'Item Summary'!U$4)-F67</f>
        <v>0</v>
      </c>
      <c r="V67" s="283">
        <f>SUMIFS('Order Details'!$Q:$Q,'Order Details'!$E:$E,"Yes",'Order Details'!$I:$I,$Q67,'Order Details'!$F:$F,'Item Summary'!V$4)-G67</f>
        <v>0</v>
      </c>
      <c r="W67" s="283">
        <f>SUMIFS('Order Details'!$Q:$Q,'Order Details'!$E:$E,"Yes",'Order Details'!$I:$I,$Q67,'Order Details'!$F:$F,'Item Summary'!W$4)-H67</f>
        <v>0</v>
      </c>
      <c r="X67" s="283">
        <f>SUMIFS('Order Details'!$Q:$Q,'Order Details'!$E:$E,"Yes",'Order Details'!$I:$I,$Q67,'Order Details'!$F:$F,'Item Summary'!X$4)-I67</f>
        <v>0</v>
      </c>
      <c r="Y67" s="283">
        <f>SUMIFS('Order Details'!$Q:$Q,'Order Details'!$E:$E,"Yes",'Order Details'!$I:$I,$Q67,'Order Details'!$F:$F,'Item Summary'!Y$4)-J67</f>
        <v>0</v>
      </c>
      <c r="Z67" s="283">
        <f>SUMIFS('Order Details'!$Q:$Q,'Order Details'!$E:$E,"Yes",'Order Details'!$I:$I,$Q67,'Order Details'!$F:$F,'Item Summary'!Z$4)-K67</f>
        <v>0</v>
      </c>
      <c r="AA67" s="299">
        <f>SUMIFS('Order Details'!$Q:$Q,'Order Details'!$E:$E,"Yes",'Order Details'!$I:$I,$Q67,'Order Details'!$F:$F,'Item Summary'!AA$4)-L67</f>
        <v>0</v>
      </c>
      <c r="AB67" s="284">
        <f>SUMIFS('Order Details'!$Q:$Q,'Order Details'!$E:$E,"Yes",'Order Details'!$I:$I,$Q67,'Order Details'!$F:$F,'Item Summary'!AB$4)-M67</f>
        <v>0</v>
      </c>
      <c r="AC67" s="285">
        <f t="shared" si="3"/>
        <v>0</v>
      </c>
    </row>
    <row r="68" spans="2:29" ht="15.6" thickTop="1" thickBot="1" x14ac:dyDescent="0.35">
      <c r="B68" s="286"/>
      <c r="C68" s="287" t="s">
        <v>417</v>
      </c>
      <c r="D68" s="288">
        <f t="shared" ref="D68:N68" si="6">SUM(D5:D67)</f>
        <v>7800</v>
      </c>
      <c r="E68" s="289">
        <f t="shared" si="6"/>
        <v>8000</v>
      </c>
      <c r="F68" s="289">
        <f t="shared" si="6"/>
        <v>26100</v>
      </c>
      <c r="G68" s="289">
        <f t="shared" si="6"/>
        <v>33800</v>
      </c>
      <c r="H68" s="289">
        <f t="shared" si="6"/>
        <v>20000</v>
      </c>
      <c r="I68" s="289">
        <f t="shared" si="6"/>
        <v>32000</v>
      </c>
      <c r="J68" s="289">
        <f t="shared" si="6"/>
        <v>16000</v>
      </c>
      <c r="K68" s="289">
        <f t="shared" si="6"/>
        <v>0</v>
      </c>
      <c r="L68" s="292">
        <f t="shared" si="6"/>
        <v>15800</v>
      </c>
      <c r="M68" s="290">
        <f t="shared" si="6"/>
        <v>5600</v>
      </c>
      <c r="N68" s="158">
        <f t="shared" si="6"/>
        <v>165100</v>
      </c>
      <c r="Q68" s="286"/>
      <c r="R68" s="287" t="s">
        <v>417</v>
      </c>
      <c r="S68" s="288">
        <f t="shared" ref="S68:AC68" si="7">SUM(S5:S67)</f>
        <v>2600</v>
      </c>
      <c r="T68" s="289">
        <f t="shared" si="7"/>
        <v>26000</v>
      </c>
      <c r="U68" s="289">
        <f t="shared" si="7"/>
        <v>26200</v>
      </c>
      <c r="V68" s="289">
        <f t="shared" si="7"/>
        <v>41800</v>
      </c>
      <c r="W68" s="289">
        <f t="shared" si="7"/>
        <v>38800</v>
      </c>
      <c r="X68" s="289">
        <f t="shared" si="7"/>
        <v>5600</v>
      </c>
      <c r="Y68" s="289">
        <f t="shared" si="7"/>
        <v>7600</v>
      </c>
      <c r="Z68" s="289">
        <f t="shared" si="7"/>
        <v>35600</v>
      </c>
      <c r="AA68" s="292">
        <f t="shared" si="7"/>
        <v>2600</v>
      </c>
      <c r="AB68" s="290">
        <f t="shared" si="7"/>
        <v>30000</v>
      </c>
      <c r="AC68" s="158">
        <f t="shared" si="7"/>
        <v>216800</v>
      </c>
    </row>
  </sheetData>
  <mergeCells count="6">
    <mergeCell ref="B2:N2"/>
    <mergeCell ref="B3:C3"/>
    <mergeCell ref="D3:N3"/>
    <mergeCell ref="Q2:AC2"/>
    <mergeCell ref="Q3:R3"/>
    <mergeCell ref="S3:AC3"/>
  </mergeCells>
  <conditionalFormatting sqref="B5:B68 Q5:Q68">
    <cfRule type="expression" dxfId="17" priority="2">
      <formula>IF(COUNTIFS($A:$A,B5)&gt;1,1,0)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B30B-606F-4EB4-AEC7-9F16405607B3}">
  <sheetPr codeName="Sheet2"/>
  <dimension ref="A1:AP300"/>
  <sheetViews>
    <sheetView zoomScale="85" zoomScaleNormal="85" workbookViewId="0">
      <pane xSplit="5" ySplit="3" topLeftCell="F93" activePane="bottomRight" state="frozen"/>
      <selection pane="topRight" activeCell="F1" sqref="F1"/>
      <selection pane="bottomLeft" activeCell="A4" sqref="A4"/>
      <selection pane="bottomRight" activeCell="E108" sqref="E108"/>
    </sheetView>
  </sheetViews>
  <sheetFormatPr defaultColWidth="8.88671875" defaultRowHeight="18" x14ac:dyDescent="0.3"/>
  <cols>
    <col min="1" max="1" width="6.33203125" style="131" customWidth="1"/>
    <col min="2" max="2" width="14.109375" style="131" customWidth="1"/>
    <col min="3" max="3" width="6.33203125" style="131" customWidth="1"/>
    <col min="4" max="4" width="13.6640625" style="131" hidden="1" customWidth="1"/>
    <col min="5" max="5" width="31.33203125" style="131" customWidth="1"/>
    <col min="6" max="6" width="15.6640625" style="131" customWidth="1"/>
    <col min="7" max="7" width="8.6640625" style="131" customWidth="1"/>
    <col min="8" max="8" width="10.33203125" style="131" customWidth="1"/>
    <col min="9" max="9" width="19.6640625" style="131" customWidth="1"/>
    <col min="10" max="10" width="21.33203125" style="131" customWidth="1"/>
    <col min="11" max="11" width="18.88671875" style="131" customWidth="1"/>
    <col min="12" max="12" width="16.6640625" style="131" customWidth="1"/>
    <col min="13" max="13" width="22.6640625" style="131" customWidth="1"/>
    <col min="14" max="14" width="20.44140625" style="131" customWidth="1"/>
    <col min="15" max="15" width="8.33203125" style="131" customWidth="1"/>
    <col min="16" max="16" width="16.44140625" style="131" customWidth="1"/>
    <col min="17" max="17" width="18.5546875" style="136" customWidth="1"/>
    <col min="18" max="18" width="8.33203125" style="136" customWidth="1"/>
    <col min="19" max="19" width="18.44140625" style="131" customWidth="1"/>
    <col min="20" max="20" width="16.44140625" style="136" customWidth="1"/>
    <col min="21" max="21" width="20.33203125" style="136" customWidth="1"/>
    <col min="22" max="22" width="25.109375" style="131" customWidth="1"/>
    <col min="23" max="23" width="10" style="131" customWidth="1"/>
    <col min="24" max="24" width="19.5546875" style="131" customWidth="1"/>
    <col min="25" max="26" width="16.44140625" style="131" customWidth="1"/>
    <col min="27" max="27" width="16.44140625" style="136" customWidth="1"/>
    <col min="28" max="28" width="12.109375" style="136" bestFit="1" customWidth="1"/>
    <col min="29" max="29" width="20.6640625" style="131" customWidth="1"/>
    <col min="30" max="31" width="16.44140625" style="136" customWidth="1"/>
    <col min="32" max="33" width="16.44140625" style="139" customWidth="1"/>
    <col min="34" max="35" width="16.44140625" style="131" customWidth="1"/>
    <col min="36" max="36" width="16.44140625" style="136" customWidth="1"/>
    <col min="37" max="37" width="8.109375" style="136" hidden="1" customWidth="1"/>
    <col min="38" max="38" width="18.6640625" style="131" customWidth="1"/>
    <col min="39" max="39" width="16.44140625" style="131" customWidth="1"/>
    <col min="40" max="40" width="12.88671875" style="131" hidden="1" customWidth="1"/>
    <col min="41" max="41" width="16.44140625" style="136" customWidth="1"/>
    <col min="42" max="16384" width="8.88671875" style="131"/>
  </cols>
  <sheetData>
    <row r="1" spans="1:41" ht="14.4" x14ac:dyDescent="0.3">
      <c r="Q1" s="168"/>
      <c r="R1" s="168"/>
      <c r="S1" s="136"/>
      <c r="AB1" s="136" t="s">
        <v>493</v>
      </c>
      <c r="AF1" s="131"/>
      <c r="AG1" s="131"/>
    </row>
    <row r="2" spans="1:41" s="62" customFormat="1" ht="63" customHeight="1" x14ac:dyDescent="0.3">
      <c r="A2" s="328" t="s">
        <v>13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30"/>
      <c r="M2" s="331" t="s">
        <v>14</v>
      </c>
      <c r="N2" s="332"/>
      <c r="O2" s="332"/>
      <c r="P2" s="333"/>
      <c r="Q2" s="323" t="s">
        <v>15</v>
      </c>
      <c r="R2" s="325"/>
      <c r="S2" s="325"/>
      <c r="T2" s="325"/>
      <c r="U2" s="324"/>
      <c r="V2" s="331" t="s">
        <v>16</v>
      </c>
      <c r="W2" s="332"/>
      <c r="X2" s="332"/>
      <c r="Y2" s="332"/>
      <c r="Z2" s="332"/>
      <c r="AA2" s="332"/>
      <c r="AB2" s="333"/>
      <c r="AC2" s="326" t="s">
        <v>17</v>
      </c>
      <c r="AD2" s="326"/>
      <c r="AE2" s="326"/>
      <c r="AF2" s="326"/>
      <c r="AG2" s="326"/>
      <c r="AH2" s="326"/>
      <c r="AI2" s="326"/>
      <c r="AJ2" s="327" t="s">
        <v>18</v>
      </c>
      <c r="AK2" s="327"/>
      <c r="AL2" s="327"/>
      <c r="AM2" s="323" t="s">
        <v>450</v>
      </c>
      <c r="AN2" s="324"/>
      <c r="AO2" s="101" t="s">
        <v>19</v>
      </c>
    </row>
    <row r="3" spans="1:41" s="132" customFormat="1" ht="54" x14ac:dyDescent="0.3">
      <c r="A3" s="51" t="s">
        <v>20</v>
      </c>
      <c r="B3" s="51" t="s">
        <v>21</v>
      </c>
      <c r="C3" s="51" t="s">
        <v>22</v>
      </c>
      <c r="D3" s="42" t="s">
        <v>23</v>
      </c>
      <c r="E3" s="51" t="s">
        <v>24</v>
      </c>
      <c r="F3" s="52" t="s">
        <v>25</v>
      </c>
      <c r="G3" s="43" t="s">
        <v>26</v>
      </c>
      <c r="H3" s="42" t="s">
        <v>27</v>
      </c>
      <c r="I3" s="51" t="s">
        <v>28</v>
      </c>
      <c r="J3" s="42" t="s">
        <v>29</v>
      </c>
      <c r="K3" s="44" t="s">
        <v>30</v>
      </c>
      <c r="L3" s="44" t="s">
        <v>31</v>
      </c>
      <c r="M3" s="51" t="s">
        <v>32</v>
      </c>
      <c r="N3" s="51" t="s">
        <v>33</v>
      </c>
      <c r="O3" s="42" t="s">
        <v>34</v>
      </c>
      <c r="P3" s="42" t="s">
        <v>35</v>
      </c>
      <c r="Q3" s="52" t="s">
        <v>36</v>
      </c>
      <c r="R3" s="43" t="s">
        <v>37</v>
      </c>
      <c r="S3" s="54" t="s">
        <v>38</v>
      </c>
      <c r="T3" s="43" t="s">
        <v>39</v>
      </c>
      <c r="U3" s="43" t="s">
        <v>40</v>
      </c>
      <c r="V3" s="51" t="s">
        <v>449</v>
      </c>
      <c r="W3" s="51" t="s">
        <v>41</v>
      </c>
      <c r="X3" s="51" t="s">
        <v>42</v>
      </c>
      <c r="Y3" s="51" t="s">
        <v>43</v>
      </c>
      <c r="Z3" s="42" t="s">
        <v>44</v>
      </c>
      <c r="AA3" s="262" t="s">
        <v>45</v>
      </c>
      <c r="AB3" s="43" t="s">
        <v>46</v>
      </c>
      <c r="AC3" s="51" t="s">
        <v>47</v>
      </c>
      <c r="AD3" s="52" t="s">
        <v>48</v>
      </c>
      <c r="AE3" s="52" t="s">
        <v>570</v>
      </c>
      <c r="AF3" s="54" t="s">
        <v>49</v>
      </c>
      <c r="AG3" s="54" t="s">
        <v>50</v>
      </c>
      <c r="AH3" s="44" t="s">
        <v>51</v>
      </c>
      <c r="AI3" s="44" t="s">
        <v>52</v>
      </c>
      <c r="AJ3" s="52" t="s">
        <v>53</v>
      </c>
      <c r="AK3" s="43" t="s">
        <v>54</v>
      </c>
      <c r="AL3" s="51" t="s">
        <v>55</v>
      </c>
      <c r="AM3" s="51" t="s">
        <v>451</v>
      </c>
      <c r="AN3" s="42" t="s">
        <v>56</v>
      </c>
      <c r="AO3" s="52" t="s">
        <v>57</v>
      </c>
    </row>
    <row r="4" spans="1:41" x14ac:dyDescent="0.35">
      <c r="A4" s="133" cm="1">
        <f t="array" ref="A4">ROW(4:4)-3</f>
        <v>1</v>
      </c>
      <c r="B4" s="133">
        <v>52896147</v>
      </c>
      <c r="C4" s="133">
        <v>0</v>
      </c>
      <c r="D4" s="133" t="str">
        <f t="shared" ref="D4:D35" si="0">B4&amp;"-"&amp;C4</f>
        <v>52896147-0</v>
      </c>
      <c r="E4" s="133" t="s">
        <v>455</v>
      </c>
      <c r="F4" s="164">
        <v>45792</v>
      </c>
      <c r="G4" s="134" t="str">
        <f t="shared" ref="G4:G35" si="1">IF(OR(E4="PO Revised",E4="PO Cancelled"),"No","Yes")</f>
        <v>Yes</v>
      </c>
      <c r="H4" s="135">
        <f>SUMIFS('Order Details'!$R:$R,'Order Details'!$A:$A,'Order Summary'!$B4,'Order Details'!$B:$B,'Order Summary'!$C4,'Order Details'!$E:$E,"Yes")</f>
        <v>13</v>
      </c>
      <c r="I4" s="133" t="s">
        <v>58</v>
      </c>
      <c r="J4" s="133" t="str">
        <f>VLOOKUP($I4,'Master Data'!$L$5:$M$15,2,FALSE)</f>
        <v>Houston</v>
      </c>
      <c r="K4" s="137">
        <f>SUMIFS('Order Details'!$U:$U,'Order Details'!$A:$A,'Order Summary'!$B4,'Order Details'!$B:$B,'Order Summary'!$C4,'Order Details'!$E:$E,"Yes")</f>
        <v>61748</v>
      </c>
      <c r="L4" s="138">
        <f>SUMIFS('Order Details'!$P:$P,'Order Details'!$A:$A,'Order Summary'!$B4,'Order Details'!$B:$B,'Order Summary'!$C4,'Order Details'!$E:$E,"Yes")</f>
        <v>8201.5619999999999</v>
      </c>
      <c r="M4" s="133" t="s">
        <v>59</v>
      </c>
      <c r="N4" s="164">
        <v>45867</v>
      </c>
      <c r="O4" s="171">
        <f t="shared" ref="O4:O24" si="2">IF(N4="","",$N4-$F4)</f>
        <v>75</v>
      </c>
      <c r="P4" s="174">
        <f>ROUND(SUMIFS('Order Details'!$V:$V,'Order Details'!$A:$A,'Order Summary'!$B4,'Order Details'!$B:$B,'Order Summary'!$C4,'Order Details'!$E:$E,"Yes"),2)</f>
        <v>61748</v>
      </c>
      <c r="Q4" s="164">
        <v>45945</v>
      </c>
      <c r="R4" s="171">
        <f t="shared" ref="R4:R35" si="3">IF(Q4="","",$Q4-$N4)</f>
        <v>78</v>
      </c>
      <c r="S4" s="169">
        <v>67248</v>
      </c>
      <c r="T4" s="165">
        <f>IF(Q4="","",Q4+_xlfn.MAXIFS('Order Details'!$W:$W,'Order Details'!$A:$A,'Order Summary'!$B4,'Order Details'!$B:$B,'Order Summary'!$C4,'Order Details'!$E:$E,"Yes"))</f>
        <v>46035</v>
      </c>
      <c r="U4" s="164">
        <v>45904</v>
      </c>
      <c r="V4" s="133" t="s">
        <v>60</v>
      </c>
      <c r="W4" s="133" t="s">
        <v>61</v>
      </c>
      <c r="X4" s="133" t="s">
        <v>62</v>
      </c>
      <c r="Y4" s="133" t="s">
        <v>63</v>
      </c>
      <c r="Z4" s="309" t="str">
        <f>IF($Y4="","",IF(VLOOKUP($Y4,'Master Data'!$F$12:$I$17,2,FALSE)="","",VLOOKUP($Y4,'Master Data'!$F$12:$I$17,2,FALSE)))</f>
        <v>https://www.maersk.com/tracking/</v>
      </c>
      <c r="AA4" s="164">
        <f t="shared" ref="AA4:AA9" si="4">U4</f>
        <v>45904</v>
      </c>
      <c r="AB4" s="171" t="str">
        <f>IF(OR(AA4="",AA4="COMPLETE"),"",IF($AA4-$Q4&lt;0,"",$AA4-$Q4))</f>
        <v/>
      </c>
      <c r="AC4" s="133" t="s">
        <v>64</v>
      </c>
      <c r="AD4" s="164">
        <v>45848</v>
      </c>
      <c r="AE4" s="164"/>
      <c r="AF4" s="137">
        <v>4500</v>
      </c>
      <c r="AG4" s="137">
        <v>1000</v>
      </c>
      <c r="AH4" s="169">
        <v>67248</v>
      </c>
      <c r="AI4" s="137">
        <f t="shared" ref="AI4:AI35" si="5">AH4-S4</f>
        <v>0</v>
      </c>
      <c r="AJ4" s="164" t="s">
        <v>65</v>
      </c>
      <c r="AK4" s="171" t="s">
        <v>65</v>
      </c>
      <c r="AL4" s="137">
        <v>0</v>
      </c>
      <c r="AM4" s="166">
        <v>45902</v>
      </c>
      <c r="AN4" s="244" t="str">
        <f t="shared" ref="AN4:AN35" si="6">IFERROR(IF(OR(AM4="",AJ4=""),"",$AM4-$AJ4),"")</f>
        <v/>
      </c>
      <c r="AO4" s="164">
        <v>45905</v>
      </c>
    </row>
    <row r="5" spans="1:41" x14ac:dyDescent="0.35">
      <c r="A5" s="133" cm="1">
        <f t="array" ref="A5">ROW(5:5)-3</f>
        <v>2</v>
      </c>
      <c r="B5" s="133">
        <v>52896149</v>
      </c>
      <c r="C5" s="133">
        <v>0</v>
      </c>
      <c r="D5" s="133" t="str">
        <f t="shared" si="0"/>
        <v>52896149-0</v>
      </c>
      <c r="E5" s="133" t="s">
        <v>455</v>
      </c>
      <c r="F5" s="164">
        <v>45792</v>
      </c>
      <c r="G5" s="134" t="str">
        <f t="shared" si="1"/>
        <v>Yes</v>
      </c>
      <c r="H5" s="135">
        <f>SUMIFS('Order Details'!$R:$R,'Order Details'!$A:$A,'Order Summary'!$B5,'Order Details'!$B:$B,'Order Summary'!$C5,'Order Details'!$E:$E,"Yes")</f>
        <v>12</v>
      </c>
      <c r="I5" s="133" t="s">
        <v>58</v>
      </c>
      <c r="J5" s="133" t="str">
        <f>VLOOKUP($I5,'Master Data'!$L$5:$M$15,2,FALSE)</f>
        <v>Houston</v>
      </c>
      <c r="K5" s="137">
        <f>SUMIFS('Order Details'!$U:$U,'Order Details'!$A:$A,'Order Summary'!$B5,'Order Details'!$B:$B,'Order Summary'!$C5,'Order Details'!$E:$E,"Yes")</f>
        <v>63466</v>
      </c>
      <c r="L5" s="138">
        <f>SUMIFS('Order Details'!$P:$P,'Order Details'!$A:$A,'Order Summary'!$B5,'Order Details'!$B:$B,'Order Summary'!$C5,'Order Details'!$E:$E,"Yes")</f>
        <v>8429.3970000000008</v>
      </c>
      <c r="M5" s="133" t="s">
        <v>66</v>
      </c>
      <c r="N5" s="164">
        <v>45867</v>
      </c>
      <c r="O5" s="171">
        <f t="shared" si="2"/>
        <v>75</v>
      </c>
      <c r="P5" s="174">
        <f>ROUND(SUMIFS('Order Details'!$V:$V,'Order Details'!$A:$A,'Order Summary'!$B5,'Order Details'!$B:$B,'Order Summary'!$C5,'Order Details'!$E:$E,"Yes"),2)</f>
        <v>64580.639999999999</v>
      </c>
      <c r="Q5" s="164">
        <v>45945</v>
      </c>
      <c r="R5" s="171">
        <f t="shared" si="3"/>
        <v>78</v>
      </c>
      <c r="S5" s="137">
        <v>68965.98</v>
      </c>
      <c r="T5" s="165">
        <f>IF(Q5="","",Q5+_xlfn.MAXIFS('Order Details'!$W:$W,'Order Details'!$A:$A,'Order Summary'!$B5,'Order Details'!$B:$B,'Order Summary'!$C5,'Order Details'!$E:$E,"Yes"))</f>
        <v>46035</v>
      </c>
      <c r="U5" s="164">
        <v>45904</v>
      </c>
      <c r="V5" s="133" t="s">
        <v>67</v>
      </c>
      <c r="W5" s="133" t="s">
        <v>61</v>
      </c>
      <c r="X5" s="133" t="s">
        <v>68</v>
      </c>
      <c r="Y5" s="133" t="s">
        <v>63</v>
      </c>
      <c r="Z5" s="309" t="str">
        <f>IF($Y5="","",IF(VLOOKUP($Y5,'Master Data'!$F$12:$I$17,2,FALSE)="","",VLOOKUP($Y5,'Master Data'!$F$12:$I$17,2,FALSE)))</f>
        <v>https://www.maersk.com/tracking/</v>
      </c>
      <c r="AA5" s="164">
        <f t="shared" si="4"/>
        <v>45904</v>
      </c>
      <c r="AB5" s="171" t="str">
        <f>IF(OR(AA5="",AA5="COMPLETE"),"",IF($AA5-$Q5&lt;0,"",$AA5-$Q5))</f>
        <v/>
      </c>
      <c r="AC5" s="133" t="s">
        <v>69</v>
      </c>
      <c r="AD5" s="164">
        <v>45848</v>
      </c>
      <c r="AE5" s="164"/>
      <c r="AF5" s="137">
        <v>4500</v>
      </c>
      <c r="AG5" s="137">
        <v>1000</v>
      </c>
      <c r="AH5" s="169">
        <v>68965.98</v>
      </c>
      <c r="AI5" s="137">
        <f t="shared" si="5"/>
        <v>0</v>
      </c>
      <c r="AJ5" s="164" t="s">
        <v>65</v>
      </c>
      <c r="AK5" s="171" t="s">
        <v>65</v>
      </c>
      <c r="AL5" s="137">
        <v>0</v>
      </c>
      <c r="AM5" s="167">
        <v>45901</v>
      </c>
      <c r="AN5" s="244" t="str">
        <f t="shared" si="6"/>
        <v/>
      </c>
      <c r="AO5" s="164">
        <v>45904</v>
      </c>
    </row>
    <row r="6" spans="1:41" x14ac:dyDescent="0.35">
      <c r="A6" s="133" cm="1">
        <f t="array" ref="A6">ROW(6:6)-3</f>
        <v>3</v>
      </c>
      <c r="B6" s="133">
        <v>23971953</v>
      </c>
      <c r="C6" s="133">
        <v>0</v>
      </c>
      <c r="D6" s="133" t="str">
        <f t="shared" si="0"/>
        <v>23971953-0</v>
      </c>
      <c r="E6" s="133" t="s">
        <v>455</v>
      </c>
      <c r="F6" s="164">
        <v>45792</v>
      </c>
      <c r="G6" s="134" t="str">
        <f t="shared" si="1"/>
        <v>Yes</v>
      </c>
      <c r="H6" s="135">
        <f>SUMIFS('Order Details'!$R:$R,'Order Details'!$A:$A,'Order Summary'!$B6,'Order Details'!$B:$B,'Order Summary'!$C6,'Order Details'!$E:$E,"Yes")</f>
        <v>13</v>
      </c>
      <c r="I6" s="133" t="s">
        <v>70</v>
      </c>
      <c r="J6" s="133" t="str">
        <f>VLOOKUP($I6,'Master Data'!$L$5:$M$15,2,FALSE)</f>
        <v>Baltimore</v>
      </c>
      <c r="K6" s="137">
        <f>SUMIFS('Order Details'!$U:$U,'Order Details'!$A:$A,'Order Summary'!$B6,'Order Details'!$B:$B,'Order Summary'!$C6,'Order Details'!$E:$E,"Yes")</f>
        <v>62901.08</v>
      </c>
      <c r="L6" s="138">
        <f>SUMIFS('Order Details'!$P:$P,'Order Details'!$A:$A,'Order Summary'!$B6,'Order Details'!$B:$B,'Order Summary'!$C6,'Order Details'!$E:$E,"Yes")</f>
        <v>8353.9500000000007</v>
      </c>
      <c r="M6" s="133" t="s">
        <v>71</v>
      </c>
      <c r="N6" s="164">
        <v>45867</v>
      </c>
      <c r="O6" s="171">
        <f t="shared" si="2"/>
        <v>75</v>
      </c>
      <c r="P6" s="174">
        <f>ROUND(SUMIFS('Order Details'!$V:$V,'Order Details'!$A:$A,'Order Summary'!$B6,'Order Details'!$B:$B,'Order Summary'!$C6,'Order Details'!$E:$E,"Yes"),2)</f>
        <v>63602.42</v>
      </c>
      <c r="Q6" s="164">
        <v>45897</v>
      </c>
      <c r="R6" s="171">
        <f t="shared" si="3"/>
        <v>30</v>
      </c>
      <c r="S6" s="137">
        <v>31801.21</v>
      </c>
      <c r="T6" s="165">
        <f>IF(Q6="","",Q6+_xlfn.MAXIFS('Order Details'!$W:$W,'Order Details'!$A:$A,'Order Summary'!$B6,'Order Details'!$B:$B,'Order Summary'!$C6,'Order Details'!$E:$E,"Yes"))</f>
        <v>45987</v>
      </c>
      <c r="U6" s="164">
        <v>45959</v>
      </c>
      <c r="V6" s="133" t="s">
        <v>72</v>
      </c>
      <c r="W6" s="133" t="s">
        <v>61</v>
      </c>
      <c r="X6" s="133" t="s">
        <v>73</v>
      </c>
      <c r="Y6" s="133" t="s">
        <v>74</v>
      </c>
      <c r="Z6" s="309" t="str">
        <f>IF($Y6="","",IF(VLOOKUP($Y6,'Master Data'!$F$12:$I$17,2,FALSE)="","",VLOOKUP($Y6,'Master Data'!$F$12:$I$17,2,FALSE)))</f>
        <v/>
      </c>
      <c r="AA6" s="164">
        <f t="shared" si="4"/>
        <v>45959</v>
      </c>
      <c r="AB6" s="171">
        <f>IF(OR(AA6="",AA6="COMPLETE"),"",IF($AA6-$Q6&lt;0,"",$AA6-$Q6))</f>
        <v>62</v>
      </c>
      <c r="AC6" s="133" t="s">
        <v>75</v>
      </c>
      <c r="AD6" s="164">
        <v>45896</v>
      </c>
      <c r="AE6" s="164"/>
      <c r="AF6" s="137">
        <v>4500</v>
      </c>
      <c r="AG6" s="137">
        <v>1000</v>
      </c>
      <c r="AH6" s="169">
        <v>68576.3</v>
      </c>
      <c r="AI6" s="137">
        <f t="shared" si="5"/>
        <v>36775.090000000004</v>
      </c>
      <c r="AJ6" s="164">
        <v>45904</v>
      </c>
      <c r="AK6" s="171">
        <f t="shared" ref="AK6:AK37" si="7">IF(AJ6="","",$AJ6-$AD6)</f>
        <v>8</v>
      </c>
      <c r="AL6" s="137">
        <v>36775.089999999997</v>
      </c>
      <c r="AM6" s="167">
        <v>45955</v>
      </c>
      <c r="AN6" s="244">
        <f t="shared" si="6"/>
        <v>51</v>
      </c>
      <c r="AO6" s="164">
        <v>45959</v>
      </c>
    </row>
    <row r="7" spans="1:41" x14ac:dyDescent="0.35">
      <c r="A7" s="133" cm="1">
        <f t="array" ref="A7">ROW(7:7)-3</f>
        <v>4</v>
      </c>
      <c r="B7" s="133">
        <v>23971983</v>
      </c>
      <c r="C7" s="133">
        <v>0</v>
      </c>
      <c r="D7" s="133" t="str">
        <f t="shared" si="0"/>
        <v>23971983-0</v>
      </c>
      <c r="E7" s="133" t="s">
        <v>455</v>
      </c>
      <c r="F7" s="164">
        <v>45792</v>
      </c>
      <c r="G7" s="134" t="str">
        <f t="shared" si="1"/>
        <v>Yes</v>
      </c>
      <c r="H7" s="135">
        <f>SUMIFS('Order Details'!$R:$R,'Order Details'!$A:$A,'Order Summary'!$B7,'Order Details'!$B:$B,'Order Summary'!$C7,'Order Details'!$E:$E,"Yes")</f>
        <v>14</v>
      </c>
      <c r="I7" s="133" t="s">
        <v>70</v>
      </c>
      <c r="J7" s="133" t="str">
        <f>VLOOKUP($I7,'Master Data'!$L$5:$M$15,2,FALSE)</f>
        <v>Baltimore</v>
      </c>
      <c r="K7" s="137">
        <f>SUMIFS('Order Details'!$U:$U,'Order Details'!$A:$A,'Order Summary'!$B7,'Order Details'!$B:$B,'Order Summary'!$C7,'Order Details'!$E:$E,"Yes")</f>
        <v>64035.54</v>
      </c>
      <c r="L7" s="138">
        <f>SUMIFS('Order Details'!$P:$P,'Order Details'!$A:$A,'Order Summary'!$B7,'Order Details'!$B:$B,'Order Summary'!$C7,'Order Details'!$E:$E,"Yes")</f>
        <v>8505.84</v>
      </c>
      <c r="M7" s="133" t="s">
        <v>76</v>
      </c>
      <c r="N7" s="164">
        <v>45867</v>
      </c>
      <c r="O7" s="171">
        <f t="shared" si="2"/>
        <v>75</v>
      </c>
      <c r="P7" s="174">
        <f>ROUND(SUMIFS('Order Details'!$V:$V,'Order Details'!$A:$A,'Order Summary'!$B7,'Order Details'!$B:$B,'Order Summary'!$C7,'Order Details'!$E:$E,"Yes"),2)</f>
        <v>66345.55</v>
      </c>
      <c r="Q7" s="164">
        <v>45922</v>
      </c>
      <c r="R7" s="171">
        <f t="shared" si="3"/>
        <v>55</v>
      </c>
      <c r="S7" s="137">
        <v>33172.78</v>
      </c>
      <c r="T7" s="165">
        <f>IF(Q7="","",Q7+_xlfn.MAXIFS('Order Details'!$W:$W,'Order Details'!$A:$A,'Order Summary'!$B7,'Order Details'!$B:$B,'Order Summary'!$C7,'Order Details'!$E:$E,"Yes"))</f>
        <v>46012</v>
      </c>
      <c r="U7" s="164">
        <v>45959</v>
      </c>
      <c r="V7" s="133" t="s">
        <v>72</v>
      </c>
      <c r="W7" s="133" t="s">
        <v>61</v>
      </c>
      <c r="X7" s="133" t="s">
        <v>77</v>
      </c>
      <c r="Y7" s="133" t="s">
        <v>74</v>
      </c>
      <c r="Z7" s="309" t="str">
        <f>IF($Y7="","",IF(VLOOKUP($Y7,'Master Data'!$F$12:$I$17,2,FALSE)="","",VLOOKUP($Y7,'Master Data'!$F$12:$I$17,2,FALSE)))</f>
        <v/>
      </c>
      <c r="AA7" s="164">
        <f t="shared" si="4"/>
        <v>45959</v>
      </c>
      <c r="AB7" s="171">
        <f>IF(OR(AA7="",AA7="COMPLETE"),"",IF($AA7-$Q7&lt;0,"",$AA7-$Q7))</f>
        <v>37</v>
      </c>
      <c r="AC7" s="133" t="s">
        <v>78</v>
      </c>
      <c r="AD7" s="164">
        <v>45896</v>
      </c>
      <c r="AE7" s="164"/>
      <c r="AF7" s="137">
        <v>4500</v>
      </c>
      <c r="AG7" s="137">
        <v>1000</v>
      </c>
      <c r="AH7" s="137">
        <f t="shared" ref="AH7:AH14" si="8">P7+AF7+AG7</f>
        <v>71845.55</v>
      </c>
      <c r="AI7" s="137">
        <f t="shared" si="5"/>
        <v>38672.770000000004</v>
      </c>
      <c r="AJ7" s="164">
        <v>45904</v>
      </c>
      <c r="AK7" s="171">
        <f t="shared" si="7"/>
        <v>8</v>
      </c>
      <c r="AL7" s="137">
        <v>38672.769999999997</v>
      </c>
      <c r="AM7" s="167">
        <v>45955</v>
      </c>
      <c r="AN7" s="244">
        <f t="shared" si="6"/>
        <v>51</v>
      </c>
      <c r="AO7" s="164">
        <v>45959</v>
      </c>
    </row>
    <row r="8" spans="1:41" x14ac:dyDescent="0.35">
      <c r="A8" s="133" cm="1">
        <f t="array" ref="A8">ROW(8:8)-3</f>
        <v>5</v>
      </c>
      <c r="B8" s="133">
        <v>52896525</v>
      </c>
      <c r="C8" s="133">
        <v>0</v>
      </c>
      <c r="D8" s="133" t="str">
        <f t="shared" si="0"/>
        <v>52896525-0</v>
      </c>
      <c r="E8" s="133" t="s">
        <v>455</v>
      </c>
      <c r="F8" s="164">
        <v>45792</v>
      </c>
      <c r="G8" s="134" t="str">
        <f t="shared" si="1"/>
        <v>Yes</v>
      </c>
      <c r="H8" s="135">
        <f>SUMIFS('Order Details'!$R:$R,'Order Details'!$A:$A,'Order Summary'!$B8,'Order Details'!$B:$B,'Order Summary'!$C8,'Order Details'!$E:$E,"Yes")</f>
        <v>13</v>
      </c>
      <c r="I8" s="133" t="s">
        <v>79</v>
      </c>
      <c r="J8" s="133" t="str">
        <f>VLOOKUP($I8,'Master Data'!$L$5:$M$15,2,FALSE)</f>
        <v>Oakland</v>
      </c>
      <c r="K8" s="137">
        <f>SUMIFS('Order Details'!$U:$U,'Order Details'!$A:$A,'Order Summary'!$B8,'Order Details'!$B:$B,'Order Summary'!$C8,'Order Details'!$E:$E,"Yes")</f>
        <v>60605.540000000008</v>
      </c>
      <c r="L8" s="138">
        <f>SUMIFS('Order Details'!$P:$P,'Order Details'!$A:$A,'Order Summary'!$B8,'Order Details'!$B:$B,'Order Summary'!$C8,'Order Details'!$E:$E,"Yes")</f>
        <v>8049.4230000000007</v>
      </c>
      <c r="M8" s="133" t="s">
        <v>80</v>
      </c>
      <c r="N8" s="164">
        <v>45867</v>
      </c>
      <c r="O8" s="171">
        <f t="shared" si="2"/>
        <v>75</v>
      </c>
      <c r="P8" s="174">
        <f>ROUND(SUMIFS('Order Details'!$V:$V,'Order Details'!$A:$A,'Order Summary'!$B8,'Order Details'!$B:$B,'Order Summary'!$C8,'Order Details'!$E:$E,"Yes"),2)</f>
        <v>60612.160000000003</v>
      </c>
      <c r="Q8" s="164">
        <v>45897</v>
      </c>
      <c r="R8" s="171">
        <f t="shared" si="3"/>
        <v>30</v>
      </c>
      <c r="S8" s="137">
        <v>30306.080000000002</v>
      </c>
      <c r="T8" s="165">
        <f>IF(Q8="","",Q8+_xlfn.MAXIFS('Order Details'!$W:$W,'Order Details'!$A:$A,'Order Summary'!$B8,'Order Details'!$B:$B,'Order Summary'!$C8,'Order Details'!$E:$E,"Yes"))</f>
        <v>45942</v>
      </c>
      <c r="U8" s="164">
        <v>45974</v>
      </c>
      <c r="V8" s="133" t="s">
        <v>81</v>
      </c>
      <c r="W8" s="133" t="s">
        <v>61</v>
      </c>
      <c r="X8" s="133" t="s">
        <v>82</v>
      </c>
      <c r="Y8" s="133" t="s">
        <v>63</v>
      </c>
      <c r="Z8" s="309" t="str">
        <f>IF($Y8="","",IF(VLOOKUP($Y8,'Master Data'!$F$12:$I$17,2,FALSE)="","",VLOOKUP($Y8,'Master Data'!$F$12:$I$17,2,FALSE)))</f>
        <v>https://www.maersk.com/tracking/</v>
      </c>
      <c r="AA8" s="164">
        <f t="shared" si="4"/>
        <v>45974</v>
      </c>
      <c r="AB8" s="171">
        <f t="shared" ref="AB8:AB71" si="9">IF(OR(AA8="",AA8="COMPLETE"),"",IF($AA8-$Q8&lt;0,"",$AA8-$Q8))</f>
        <v>77</v>
      </c>
      <c r="AC8" s="175" t="s">
        <v>83</v>
      </c>
      <c r="AD8" s="164">
        <v>45896</v>
      </c>
      <c r="AE8" s="164"/>
      <c r="AF8" s="137">
        <v>4500</v>
      </c>
      <c r="AG8" s="137">
        <v>1000</v>
      </c>
      <c r="AH8" s="137">
        <f t="shared" si="8"/>
        <v>66112.160000000003</v>
      </c>
      <c r="AI8" s="137">
        <f t="shared" si="5"/>
        <v>35806.080000000002</v>
      </c>
      <c r="AJ8" s="164">
        <v>45904</v>
      </c>
      <c r="AK8" s="171">
        <f t="shared" si="7"/>
        <v>8</v>
      </c>
      <c r="AL8" s="137">
        <v>35806.080000000002</v>
      </c>
      <c r="AM8" s="167">
        <v>45972</v>
      </c>
      <c r="AN8" s="244">
        <f t="shared" si="6"/>
        <v>68</v>
      </c>
      <c r="AO8" s="164">
        <v>45975</v>
      </c>
    </row>
    <row r="9" spans="1:41" ht="18" customHeight="1" x14ac:dyDescent="0.35">
      <c r="A9" s="133" cm="1">
        <f t="array" ref="A9">ROW(9:9)-3</f>
        <v>6</v>
      </c>
      <c r="B9" s="133">
        <v>52899499</v>
      </c>
      <c r="C9" s="133">
        <v>0</v>
      </c>
      <c r="D9" s="133" t="str">
        <f t="shared" si="0"/>
        <v>52899499-0</v>
      </c>
      <c r="E9" s="133" t="s">
        <v>455</v>
      </c>
      <c r="F9" s="164">
        <v>45792</v>
      </c>
      <c r="G9" s="134" t="str">
        <f t="shared" si="1"/>
        <v>Yes</v>
      </c>
      <c r="H9" s="135">
        <f>SUMIFS('Order Details'!$R:$R,'Order Details'!$A:$A,'Order Summary'!$B9,'Order Details'!$B:$B,'Order Summary'!$C9,'Order Details'!$E:$E,"Yes")</f>
        <v>13</v>
      </c>
      <c r="I9" s="133" t="s">
        <v>79</v>
      </c>
      <c r="J9" s="133" t="str">
        <f>VLOOKUP($I9,'Master Data'!$L$5:$M$15,2,FALSE)</f>
        <v>Oakland</v>
      </c>
      <c r="K9" s="137">
        <f>SUMIFS('Order Details'!$U:$U,'Order Details'!$A:$A,'Order Summary'!$B9,'Order Details'!$B:$B,'Order Summary'!$C9,'Order Details'!$E:$E,"Yes")</f>
        <v>60892</v>
      </c>
      <c r="L9" s="138">
        <f>SUMIFS('Order Details'!$P:$P,'Order Details'!$A:$A,'Order Summary'!$B9,'Order Details'!$B:$B,'Order Summary'!$C9,'Order Details'!$E:$E,"Yes")</f>
        <v>8087.0220000000018</v>
      </c>
      <c r="M9" s="133" t="s">
        <v>84</v>
      </c>
      <c r="N9" s="164">
        <v>45867</v>
      </c>
      <c r="O9" s="171">
        <f t="shared" si="2"/>
        <v>75</v>
      </c>
      <c r="P9" s="174">
        <f>ROUND(SUMIFS('Order Details'!$V:$V,'Order Details'!$A:$A,'Order Summary'!$B9,'Order Details'!$B:$B,'Order Summary'!$C9,'Order Details'!$E:$E,"Yes"),2)</f>
        <v>63560.54</v>
      </c>
      <c r="Q9" s="164">
        <v>45897</v>
      </c>
      <c r="R9" s="171">
        <f t="shared" si="3"/>
        <v>30</v>
      </c>
      <c r="S9" s="137">
        <v>31780.27</v>
      </c>
      <c r="T9" s="165">
        <f>IF(Q9="","",Q9+_xlfn.MAXIFS('Order Details'!$W:$W,'Order Details'!$A:$A,'Order Summary'!$B9,'Order Details'!$B:$B,'Order Summary'!$C9,'Order Details'!$E:$E,"Yes"))</f>
        <v>45942</v>
      </c>
      <c r="U9" s="164">
        <v>45974</v>
      </c>
      <c r="V9" s="133" t="s">
        <v>81</v>
      </c>
      <c r="W9" s="133" t="s">
        <v>61</v>
      </c>
      <c r="X9" s="133" t="s">
        <v>85</v>
      </c>
      <c r="Y9" s="133" t="s">
        <v>63</v>
      </c>
      <c r="Z9" s="309" t="str">
        <f>IF($Y9="","",IF(VLOOKUP($Y9,'Master Data'!$F$12:$I$17,2,FALSE)="","",VLOOKUP($Y9,'Master Data'!$F$12:$I$17,2,FALSE)))</f>
        <v>https://www.maersk.com/tracking/</v>
      </c>
      <c r="AA9" s="164">
        <f t="shared" si="4"/>
        <v>45974</v>
      </c>
      <c r="AB9" s="171">
        <f t="shared" si="9"/>
        <v>77</v>
      </c>
      <c r="AC9" s="133" t="s">
        <v>86</v>
      </c>
      <c r="AD9" s="164">
        <v>45896</v>
      </c>
      <c r="AE9" s="164"/>
      <c r="AF9" s="137">
        <v>4500</v>
      </c>
      <c r="AG9" s="137">
        <v>1000</v>
      </c>
      <c r="AH9" s="137">
        <f t="shared" si="8"/>
        <v>69060.540000000008</v>
      </c>
      <c r="AI9" s="137">
        <f t="shared" si="5"/>
        <v>37280.270000000004</v>
      </c>
      <c r="AJ9" s="164">
        <v>45904</v>
      </c>
      <c r="AK9" s="171">
        <f t="shared" si="7"/>
        <v>8</v>
      </c>
      <c r="AL9" s="137">
        <v>37280.269999999997</v>
      </c>
      <c r="AM9" s="167">
        <v>45972</v>
      </c>
      <c r="AN9" s="244">
        <f t="shared" si="6"/>
        <v>68</v>
      </c>
      <c r="AO9" s="164">
        <v>45975</v>
      </c>
    </row>
    <row r="10" spans="1:41" x14ac:dyDescent="0.35">
      <c r="A10" s="133" cm="1">
        <f t="array" ref="A10">ROW(10:10)-3</f>
        <v>7</v>
      </c>
      <c r="B10" s="133">
        <v>23971982</v>
      </c>
      <c r="C10" s="133">
        <v>0</v>
      </c>
      <c r="D10" s="133" t="str">
        <f t="shared" si="0"/>
        <v>23971982-0</v>
      </c>
      <c r="E10" s="133" t="s">
        <v>455</v>
      </c>
      <c r="F10" s="164">
        <v>45792</v>
      </c>
      <c r="G10" s="134" t="str">
        <f t="shared" si="1"/>
        <v>Yes</v>
      </c>
      <c r="H10" s="135">
        <f>SUMIFS('Order Details'!$R:$R,'Order Details'!$A:$A,'Order Summary'!$B10,'Order Details'!$B:$B,'Order Summary'!$C10,'Order Details'!$E:$E,"Yes")</f>
        <v>14</v>
      </c>
      <c r="I10" s="133" t="s">
        <v>70</v>
      </c>
      <c r="J10" s="133" t="str">
        <f>VLOOKUP($I10,'Master Data'!$L$5:$M$15,2,FALSE)</f>
        <v>Baltimore</v>
      </c>
      <c r="K10" s="137">
        <f>SUMIFS('Order Details'!$U:$U,'Order Details'!$A:$A,'Order Summary'!$B10,'Order Details'!$B:$B,'Order Summary'!$C10,'Order Details'!$E:$E,"Yes")</f>
        <v>64035.54</v>
      </c>
      <c r="L10" s="138">
        <f>SUMIFS('Order Details'!$P:$P,'Order Details'!$A:$A,'Order Summary'!$B10,'Order Details'!$B:$B,'Order Summary'!$C10,'Order Details'!$E:$E,"Yes")</f>
        <v>8505.84</v>
      </c>
      <c r="M10" s="133" t="s">
        <v>87</v>
      </c>
      <c r="N10" s="164">
        <v>45867</v>
      </c>
      <c r="O10" s="171">
        <f t="shared" si="2"/>
        <v>75</v>
      </c>
      <c r="P10" s="174">
        <f>ROUND(SUMIFS('Order Details'!$V:$V,'Order Details'!$A:$A,'Order Summary'!$B10,'Order Details'!$B:$B,'Order Summary'!$C10,'Order Details'!$E:$E,"Yes"),2)</f>
        <v>64048.98</v>
      </c>
      <c r="Q10" s="164">
        <v>45897</v>
      </c>
      <c r="R10" s="171">
        <f t="shared" si="3"/>
        <v>30</v>
      </c>
      <c r="S10" s="137">
        <v>32024.67</v>
      </c>
      <c r="T10" s="165">
        <f>IF(Q10="","",Q10+_xlfn.MAXIFS('Order Details'!$W:$W,'Order Details'!$A:$A,'Order Summary'!$B10,'Order Details'!$B:$B,'Order Summary'!$C10,'Order Details'!$E:$E,"Yes"))</f>
        <v>45942</v>
      </c>
      <c r="U10" s="164">
        <v>45959</v>
      </c>
      <c r="V10" s="133" t="s">
        <v>88</v>
      </c>
      <c r="W10" s="133" t="s">
        <v>61</v>
      </c>
      <c r="X10" s="133" t="s">
        <v>89</v>
      </c>
      <c r="Y10" s="133" t="s">
        <v>74</v>
      </c>
      <c r="Z10" s="309" t="str">
        <f>IF($Y10="","",IF(VLOOKUP($Y10,'Master Data'!$F$12:$I$17,2,FALSE)="","",VLOOKUP($Y10,'Master Data'!$F$12:$I$17,2,FALSE)))</f>
        <v/>
      </c>
      <c r="AA10" s="164" t="s">
        <v>575</v>
      </c>
      <c r="AB10" s="171" t="str">
        <f t="shared" si="9"/>
        <v/>
      </c>
      <c r="AC10" s="133" t="s">
        <v>90</v>
      </c>
      <c r="AD10" s="164">
        <v>45900</v>
      </c>
      <c r="AE10" s="164"/>
      <c r="AF10" s="137">
        <v>4500</v>
      </c>
      <c r="AG10" s="137">
        <v>1000</v>
      </c>
      <c r="AH10" s="137">
        <f t="shared" si="8"/>
        <v>69548.98000000001</v>
      </c>
      <c r="AI10" s="137">
        <f t="shared" si="5"/>
        <v>37524.310000000012</v>
      </c>
      <c r="AJ10" s="164">
        <v>45904</v>
      </c>
      <c r="AK10" s="171">
        <f t="shared" si="7"/>
        <v>4</v>
      </c>
      <c r="AL10" s="137">
        <v>37524.31</v>
      </c>
      <c r="AM10" s="167">
        <v>45955</v>
      </c>
      <c r="AN10" s="244">
        <f t="shared" si="6"/>
        <v>51</v>
      </c>
      <c r="AO10" s="164">
        <v>45959</v>
      </c>
    </row>
    <row r="11" spans="1:41" x14ac:dyDescent="0.35">
      <c r="A11" s="133" cm="1">
        <f t="array" ref="A11">ROW(11:11)-3</f>
        <v>8</v>
      </c>
      <c r="B11" s="133">
        <v>52895565</v>
      </c>
      <c r="C11" s="133">
        <v>0</v>
      </c>
      <c r="D11" s="133" t="str">
        <f t="shared" si="0"/>
        <v>52895565-0</v>
      </c>
      <c r="E11" s="133" t="s">
        <v>455</v>
      </c>
      <c r="F11" s="164">
        <v>45792</v>
      </c>
      <c r="G11" s="134" t="str">
        <f t="shared" si="1"/>
        <v>Yes</v>
      </c>
      <c r="H11" s="135">
        <f>SUMIFS('Order Details'!$R:$R,'Order Details'!$A:$A,'Order Summary'!$B11,'Order Details'!$B:$B,'Order Summary'!$C11,'Order Details'!$E:$E,"Yes")</f>
        <v>13</v>
      </c>
      <c r="I11" s="133" t="s">
        <v>79</v>
      </c>
      <c r="J11" s="133" t="str">
        <f>VLOOKUP($I11,'Master Data'!$L$5:$M$15,2,FALSE)</f>
        <v>Oakland</v>
      </c>
      <c r="K11" s="137">
        <f>SUMIFS('Order Details'!$U:$U,'Order Details'!$A:$A,'Order Summary'!$B11,'Order Details'!$B:$B,'Order Summary'!$C11,'Order Details'!$E:$E,"Yes")</f>
        <v>60606.23</v>
      </c>
      <c r="L11" s="138">
        <f>SUMIFS('Order Details'!$P:$P,'Order Details'!$A:$A,'Order Summary'!$B11,'Order Details'!$B:$B,'Order Summary'!$C11,'Order Details'!$E:$E,"Yes")</f>
        <v>8049.4230000000007</v>
      </c>
      <c r="M11" s="133" t="s">
        <v>91</v>
      </c>
      <c r="N11" s="164">
        <v>45867</v>
      </c>
      <c r="O11" s="171">
        <f t="shared" si="2"/>
        <v>75</v>
      </c>
      <c r="P11" s="174">
        <f>ROUND(SUMIFS('Order Details'!$V:$V,'Order Details'!$A:$A,'Order Summary'!$B11,'Order Details'!$B:$B,'Order Summary'!$C11,'Order Details'!$E:$E,"Yes"),2)</f>
        <v>64958.84</v>
      </c>
      <c r="Q11" s="164">
        <v>45897</v>
      </c>
      <c r="R11" s="171">
        <f t="shared" si="3"/>
        <v>30</v>
      </c>
      <c r="S11" s="137">
        <v>32479.42</v>
      </c>
      <c r="T11" s="165">
        <f>IF(Q11="","",Q11+_xlfn.MAXIFS('Order Details'!$W:$W,'Order Details'!$A:$A,'Order Summary'!$B11,'Order Details'!$B:$B,'Order Summary'!$C11,'Order Details'!$E:$E,"Yes"))</f>
        <v>45987</v>
      </c>
      <c r="U11" s="164">
        <v>45981</v>
      </c>
      <c r="V11" s="133" t="s">
        <v>92</v>
      </c>
      <c r="W11" s="133" t="s">
        <v>61</v>
      </c>
      <c r="X11" s="133" t="s">
        <v>93</v>
      </c>
      <c r="Y11" s="133" t="s">
        <v>63</v>
      </c>
      <c r="Z11" s="309" t="str">
        <f>IF($Y11="","",IF(VLOOKUP($Y11,'Master Data'!$F$12:$I$17,2,FALSE)="","",VLOOKUP($Y11,'Master Data'!$F$12:$I$17,2,FALSE)))</f>
        <v>https://www.maersk.com/tracking/</v>
      </c>
      <c r="AA11" s="164" t="s">
        <v>575</v>
      </c>
      <c r="AB11" s="171" t="str">
        <f t="shared" si="9"/>
        <v/>
      </c>
      <c r="AC11" s="133" t="s">
        <v>94</v>
      </c>
      <c r="AD11" s="164">
        <v>45909</v>
      </c>
      <c r="AE11" s="164"/>
      <c r="AF11" s="137">
        <v>4500</v>
      </c>
      <c r="AG11" s="137">
        <v>1000</v>
      </c>
      <c r="AH11" s="137">
        <f t="shared" si="8"/>
        <v>70458.84</v>
      </c>
      <c r="AI11" s="137">
        <f t="shared" si="5"/>
        <v>37979.42</v>
      </c>
      <c r="AJ11" s="164">
        <v>45918</v>
      </c>
      <c r="AK11" s="171">
        <f t="shared" si="7"/>
        <v>9</v>
      </c>
      <c r="AL11" s="137">
        <v>37979.42</v>
      </c>
      <c r="AM11" s="167">
        <v>45979</v>
      </c>
      <c r="AN11" s="244">
        <f t="shared" si="6"/>
        <v>61</v>
      </c>
      <c r="AO11" s="164">
        <v>45981</v>
      </c>
    </row>
    <row r="12" spans="1:41" ht="18" customHeight="1" x14ac:dyDescent="0.35">
      <c r="A12" s="133" cm="1">
        <f t="array" ref="A12">ROW(12:12)-3</f>
        <v>9</v>
      </c>
      <c r="B12" s="133">
        <v>52895556</v>
      </c>
      <c r="C12" s="133">
        <v>0</v>
      </c>
      <c r="D12" s="133" t="str">
        <f t="shared" si="0"/>
        <v>52895556-0</v>
      </c>
      <c r="E12" s="133" t="s">
        <v>455</v>
      </c>
      <c r="F12" s="164">
        <v>45792</v>
      </c>
      <c r="G12" s="134" t="str">
        <f t="shared" si="1"/>
        <v>Yes</v>
      </c>
      <c r="H12" s="135">
        <f>SUMIFS('Order Details'!$R:$R,'Order Details'!$A:$A,'Order Summary'!$B12,'Order Details'!$B:$B,'Order Summary'!$C12,'Order Details'!$E:$E,"Yes")</f>
        <v>13</v>
      </c>
      <c r="I12" s="133" t="s">
        <v>79</v>
      </c>
      <c r="J12" s="133" t="str">
        <f>VLOOKUP($I12,'Master Data'!$L$5:$M$15,2,FALSE)</f>
        <v>Oakland</v>
      </c>
      <c r="K12" s="137">
        <f>SUMIFS('Order Details'!$U:$U,'Order Details'!$A:$A,'Order Summary'!$B12,'Order Details'!$B:$B,'Order Summary'!$C12,'Order Details'!$E:$E,"Yes")</f>
        <v>60606.23</v>
      </c>
      <c r="L12" s="138">
        <f>SUMIFS('Order Details'!$P:$P,'Order Details'!$A:$A,'Order Summary'!$B12,'Order Details'!$B:$B,'Order Summary'!$C12,'Order Details'!$E:$E,"Yes")</f>
        <v>8049.4230000000007</v>
      </c>
      <c r="M12" s="133" t="s">
        <v>95</v>
      </c>
      <c r="N12" s="164">
        <v>45867</v>
      </c>
      <c r="O12" s="171">
        <f t="shared" si="2"/>
        <v>75</v>
      </c>
      <c r="P12" s="174">
        <f>ROUND(SUMIFS('Order Details'!$V:$V,'Order Details'!$A:$A,'Order Summary'!$B12,'Order Details'!$B:$B,'Order Summary'!$C12,'Order Details'!$E:$E,"Yes"),2)</f>
        <v>64958.84</v>
      </c>
      <c r="Q12" s="164">
        <v>45897</v>
      </c>
      <c r="R12" s="171">
        <f t="shared" si="3"/>
        <v>30</v>
      </c>
      <c r="S12" s="137">
        <v>32479.42</v>
      </c>
      <c r="T12" s="165">
        <f>IF(Q12="","",Q12+_xlfn.MAXIFS('Order Details'!$W:$W,'Order Details'!$A:$A,'Order Summary'!$B12,'Order Details'!$B:$B,'Order Summary'!$C12,'Order Details'!$E:$E,"Yes"))</f>
        <v>45987</v>
      </c>
      <c r="U12" s="164">
        <v>45981</v>
      </c>
      <c r="V12" s="133" t="s">
        <v>92</v>
      </c>
      <c r="W12" s="133" t="s">
        <v>61</v>
      </c>
      <c r="X12" s="133" t="s">
        <v>96</v>
      </c>
      <c r="Y12" s="133" t="s">
        <v>63</v>
      </c>
      <c r="Z12" s="309" t="str">
        <f>IF($Y12="","",IF(VLOOKUP($Y12,'Master Data'!$F$12:$I$17,2,FALSE)="","",VLOOKUP($Y12,'Master Data'!$F$12:$I$17,2,FALSE)))</f>
        <v>https://www.maersk.com/tracking/</v>
      </c>
      <c r="AA12" s="164" t="s">
        <v>575</v>
      </c>
      <c r="AB12" s="171" t="str">
        <f t="shared" si="9"/>
        <v/>
      </c>
      <c r="AC12" s="175" t="s">
        <v>97</v>
      </c>
      <c r="AD12" s="164">
        <v>45909</v>
      </c>
      <c r="AE12" s="164"/>
      <c r="AF12" s="137">
        <v>4500</v>
      </c>
      <c r="AG12" s="137">
        <v>1000</v>
      </c>
      <c r="AH12" s="137">
        <f t="shared" si="8"/>
        <v>70458.84</v>
      </c>
      <c r="AI12" s="137">
        <f t="shared" si="5"/>
        <v>37979.42</v>
      </c>
      <c r="AJ12" s="164">
        <v>45918</v>
      </c>
      <c r="AK12" s="171">
        <f t="shared" si="7"/>
        <v>9</v>
      </c>
      <c r="AL12" s="137">
        <v>37979.42</v>
      </c>
      <c r="AM12" s="167">
        <v>45979</v>
      </c>
      <c r="AN12" s="244">
        <f t="shared" si="6"/>
        <v>61</v>
      </c>
      <c r="AO12" s="164">
        <v>45995</v>
      </c>
    </row>
    <row r="13" spans="1:41" x14ac:dyDescent="0.35">
      <c r="A13" s="133" cm="1">
        <f t="array" ref="A13">ROW(13:13)-3</f>
        <v>10</v>
      </c>
      <c r="B13" s="133">
        <v>52896537</v>
      </c>
      <c r="C13" s="133">
        <v>0</v>
      </c>
      <c r="D13" s="133" t="str">
        <f t="shared" si="0"/>
        <v>52896537-0</v>
      </c>
      <c r="E13" s="133" t="s">
        <v>455</v>
      </c>
      <c r="F13" s="164">
        <v>45792</v>
      </c>
      <c r="G13" s="134" t="str">
        <f t="shared" si="1"/>
        <v>Yes</v>
      </c>
      <c r="H13" s="135">
        <f>SUMIFS('Order Details'!$R:$R,'Order Details'!$A:$A,'Order Summary'!$B13,'Order Details'!$B:$B,'Order Summary'!$C13,'Order Details'!$E:$E,"Yes")</f>
        <v>14</v>
      </c>
      <c r="I13" s="133" t="s">
        <v>79</v>
      </c>
      <c r="J13" s="133" t="str">
        <f>VLOOKUP($I13,'Master Data'!$L$5:$M$15,2,FALSE)</f>
        <v>Oakland</v>
      </c>
      <c r="K13" s="137">
        <f>SUMIFS('Order Details'!$U:$U,'Order Details'!$A:$A,'Order Summary'!$B13,'Order Details'!$B:$B,'Order Summary'!$C13,'Order Details'!$E:$E,"Yes")</f>
        <v>64036.229999999996</v>
      </c>
      <c r="L13" s="138">
        <f>SUMIFS('Order Details'!$P:$P,'Order Details'!$A:$A,'Order Summary'!$B13,'Order Details'!$B:$B,'Order Summary'!$C13,'Order Details'!$E:$E,"Yes")</f>
        <v>8504.3460000000014</v>
      </c>
      <c r="M13" s="133" t="s">
        <v>98</v>
      </c>
      <c r="N13" s="164">
        <v>45867</v>
      </c>
      <c r="O13" s="171">
        <f t="shared" si="2"/>
        <v>75</v>
      </c>
      <c r="P13" s="174">
        <f>ROUND(SUMIFS('Order Details'!$V:$V,'Order Details'!$A:$A,'Order Summary'!$B13,'Order Details'!$B:$B,'Order Summary'!$C13,'Order Details'!$E:$E,"Yes"),2)</f>
        <v>64037.73</v>
      </c>
      <c r="Q13" s="164">
        <v>45897</v>
      </c>
      <c r="R13" s="171">
        <f t="shared" si="3"/>
        <v>30</v>
      </c>
      <c r="S13" s="137">
        <v>32018.87</v>
      </c>
      <c r="T13" s="165">
        <f>IF(Q13="","",Q13+_xlfn.MAXIFS('Order Details'!$W:$W,'Order Details'!$A:$A,'Order Summary'!$B13,'Order Details'!$B:$B,'Order Summary'!$C13,'Order Details'!$E:$E,"Yes"))</f>
        <v>45987</v>
      </c>
      <c r="U13" s="164">
        <v>45981</v>
      </c>
      <c r="V13" s="133" t="s">
        <v>92</v>
      </c>
      <c r="W13" s="133" t="s">
        <v>61</v>
      </c>
      <c r="X13" s="133" t="s">
        <v>99</v>
      </c>
      <c r="Y13" s="133" t="s">
        <v>63</v>
      </c>
      <c r="Z13" s="309" t="str">
        <f>IF($Y13="","",IF(VLOOKUP($Y13,'Master Data'!$F$12:$I$17,2,FALSE)="","",VLOOKUP($Y13,'Master Data'!$F$12:$I$17,2,FALSE)))</f>
        <v>https://www.maersk.com/tracking/</v>
      </c>
      <c r="AA13" s="164">
        <f>U13</f>
        <v>45981</v>
      </c>
      <c r="AB13" s="171">
        <f t="shared" si="9"/>
        <v>84</v>
      </c>
      <c r="AC13" s="133" t="s">
        <v>100</v>
      </c>
      <c r="AD13" s="164">
        <v>45909</v>
      </c>
      <c r="AE13" s="164"/>
      <c r="AF13" s="137">
        <v>4500</v>
      </c>
      <c r="AG13" s="137">
        <v>1000</v>
      </c>
      <c r="AH13" s="137">
        <f t="shared" si="8"/>
        <v>69537.73000000001</v>
      </c>
      <c r="AI13" s="137">
        <f t="shared" si="5"/>
        <v>37518.860000000015</v>
      </c>
      <c r="AJ13" s="164">
        <v>45918</v>
      </c>
      <c r="AK13" s="171">
        <f t="shared" si="7"/>
        <v>9</v>
      </c>
      <c r="AL13" s="137">
        <v>37518.86</v>
      </c>
      <c r="AM13" s="167">
        <v>45979</v>
      </c>
      <c r="AN13" s="244">
        <f t="shared" si="6"/>
        <v>61</v>
      </c>
      <c r="AO13" s="164">
        <v>45981</v>
      </c>
    </row>
    <row r="14" spans="1:41" x14ac:dyDescent="0.35">
      <c r="A14" s="133" cm="1">
        <f t="array" ref="A14">ROW(14:14)-3</f>
        <v>11</v>
      </c>
      <c r="B14" s="133">
        <v>24011436</v>
      </c>
      <c r="C14" s="133">
        <v>0</v>
      </c>
      <c r="D14" s="133" t="str">
        <f t="shared" si="0"/>
        <v>24011436-0</v>
      </c>
      <c r="E14" s="133" t="s">
        <v>455</v>
      </c>
      <c r="F14" s="164">
        <v>45792</v>
      </c>
      <c r="G14" s="134" t="str">
        <f t="shared" si="1"/>
        <v>Yes</v>
      </c>
      <c r="H14" s="135">
        <f>SUMIFS('Order Details'!$R:$R,'Order Details'!$A:$A,'Order Summary'!$B14,'Order Details'!$B:$B,'Order Summary'!$C14,'Order Details'!$E:$E,"Yes")</f>
        <v>14</v>
      </c>
      <c r="I14" s="133" t="s">
        <v>101</v>
      </c>
      <c r="J14" s="133" t="str">
        <f>VLOOKUP($I14,'Master Data'!$L$5:$M$15,2,FALSE)</f>
        <v>Baltimore</v>
      </c>
      <c r="K14" s="137">
        <f>SUMIFS('Order Details'!$U:$U,'Order Details'!$A:$A,'Order Summary'!$B14,'Order Details'!$B:$B,'Order Summary'!$C14,'Order Details'!$E:$E,"Yes")</f>
        <v>65006.2</v>
      </c>
      <c r="L14" s="138">
        <f>SUMIFS('Order Details'!$P:$P,'Order Details'!$A:$A,'Order Summary'!$B14,'Order Details'!$B:$B,'Order Summary'!$C14,'Order Details'!$E:$E,"Yes")</f>
        <v>8505.84</v>
      </c>
      <c r="M14" s="133" t="s">
        <v>102</v>
      </c>
      <c r="N14" s="164">
        <v>45867</v>
      </c>
      <c r="O14" s="171">
        <f t="shared" si="2"/>
        <v>75</v>
      </c>
      <c r="P14" s="174">
        <f>ROUND(SUMIFS('Order Details'!$V:$V,'Order Details'!$A:$A,'Order Summary'!$B14,'Order Details'!$B:$B,'Order Summary'!$C14,'Order Details'!$E:$E,"Yes"),2)</f>
        <v>65033.22</v>
      </c>
      <c r="Q14" s="164">
        <v>45897</v>
      </c>
      <c r="R14" s="171">
        <f t="shared" si="3"/>
        <v>30</v>
      </c>
      <c r="S14" s="137">
        <v>32516.61</v>
      </c>
      <c r="T14" s="165">
        <f>IF(Q14="","",Q14+_xlfn.MAXIFS('Order Details'!$W:$W,'Order Details'!$A:$A,'Order Summary'!$B14,'Order Details'!$B:$B,'Order Summary'!$C14,'Order Details'!$E:$E,"Yes"))</f>
        <v>45987</v>
      </c>
      <c r="U14" s="164">
        <v>45987</v>
      </c>
      <c r="V14" s="133" t="s">
        <v>103</v>
      </c>
      <c r="W14" s="133" t="s">
        <v>61</v>
      </c>
      <c r="X14" s="133" t="s">
        <v>104</v>
      </c>
      <c r="Y14" s="133" t="s">
        <v>74</v>
      </c>
      <c r="Z14" s="309" t="str">
        <f>IF($Y14="","",IF(VLOOKUP($Y14,'Master Data'!$F$12:$I$17,2,FALSE)="","",VLOOKUP($Y14,'Master Data'!$F$12:$I$17,2,FALSE)))</f>
        <v/>
      </c>
      <c r="AA14" s="164">
        <f>U14</f>
        <v>45987</v>
      </c>
      <c r="AB14" s="171">
        <f t="shared" si="9"/>
        <v>90</v>
      </c>
      <c r="AC14" s="133" t="s">
        <v>105</v>
      </c>
      <c r="AD14" s="164">
        <v>45916</v>
      </c>
      <c r="AE14" s="164"/>
      <c r="AF14" s="137">
        <v>4500</v>
      </c>
      <c r="AG14" s="137">
        <v>1000</v>
      </c>
      <c r="AH14" s="137">
        <f t="shared" si="8"/>
        <v>70533.22</v>
      </c>
      <c r="AI14" s="137">
        <f t="shared" si="5"/>
        <v>38016.61</v>
      </c>
      <c r="AJ14" s="164">
        <v>45918</v>
      </c>
      <c r="AK14" s="171">
        <f t="shared" si="7"/>
        <v>2</v>
      </c>
      <c r="AL14" s="137">
        <v>38016.61</v>
      </c>
      <c r="AM14" s="167">
        <v>45982</v>
      </c>
      <c r="AN14" s="244">
        <f t="shared" si="6"/>
        <v>64</v>
      </c>
      <c r="AO14" s="164">
        <v>45987</v>
      </c>
    </row>
    <row r="15" spans="1:41" x14ac:dyDescent="0.35">
      <c r="A15" s="133" cm="1">
        <f t="array" ref="A15">ROW(15:15)-3</f>
        <v>12</v>
      </c>
      <c r="B15" s="133">
        <v>52923476</v>
      </c>
      <c r="C15" s="133">
        <v>0</v>
      </c>
      <c r="D15" s="133" t="str">
        <f t="shared" si="0"/>
        <v>52923476-0</v>
      </c>
      <c r="E15" s="133" t="s">
        <v>455</v>
      </c>
      <c r="F15" s="164">
        <v>45792</v>
      </c>
      <c r="G15" s="134" t="str">
        <f t="shared" si="1"/>
        <v>Yes</v>
      </c>
      <c r="H15" s="135">
        <f>SUMIFS('Order Details'!$R:$R,'Order Details'!$A:$A,'Order Summary'!$B15,'Order Details'!$B:$B,'Order Summary'!$C15,'Order Details'!$E:$E,"Yes")</f>
        <v>10</v>
      </c>
      <c r="I15" s="133" t="s">
        <v>58</v>
      </c>
      <c r="J15" s="133" t="str">
        <f>VLOOKUP($I15,'Master Data'!$L$5:$M$15,2,FALSE)</f>
        <v>Houston</v>
      </c>
      <c r="K15" s="137">
        <f>SUMIFS('Order Details'!$U:$U,'Order Details'!$A:$A,'Order Summary'!$B15,'Order Details'!$B:$B,'Order Summary'!$C15,'Order Details'!$E:$E,"Yes")</f>
        <v>60515</v>
      </c>
      <c r="L15" s="138">
        <f>SUMIFS('Order Details'!$P:$P,'Order Details'!$A:$A,'Order Summary'!$B15,'Order Details'!$B:$B,'Order Summary'!$C15,'Order Details'!$E:$E,"Yes")</f>
        <v>7971.7350000000006</v>
      </c>
      <c r="M15" s="133" t="s">
        <v>106</v>
      </c>
      <c r="N15" s="164">
        <v>45867</v>
      </c>
      <c r="O15" s="171">
        <f t="shared" si="2"/>
        <v>75</v>
      </c>
      <c r="P15" s="174">
        <f>ROUND(SUMIFS('Order Details'!$V:$V,'Order Details'!$A:$A,'Order Summary'!$B15,'Order Details'!$B:$B,'Order Summary'!$C15,'Order Details'!$E:$E,"Yes"),2)</f>
        <v>60519.02</v>
      </c>
      <c r="Q15" s="164">
        <v>45897</v>
      </c>
      <c r="R15" s="171">
        <f t="shared" si="3"/>
        <v>30</v>
      </c>
      <c r="S15" s="137">
        <v>30259.51</v>
      </c>
      <c r="T15" s="165">
        <f>IF(Q15="","",Q15+_xlfn.MAXIFS('Order Details'!$W:$W,'Order Details'!$A:$A,'Order Summary'!$B15,'Order Details'!$B:$B,'Order Summary'!$C15,'Order Details'!$E:$E,"Yes"))</f>
        <v>45987</v>
      </c>
      <c r="U15" s="164">
        <v>45974</v>
      </c>
      <c r="V15" s="133" t="s">
        <v>107</v>
      </c>
      <c r="W15" s="133" t="s">
        <v>61</v>
      </c>
      <c r="X15" s="133" t="s">
        <v>108</v>
      </c>
      <c r="Y15" s="133" t="s">
        <v>63</v>
      </c>
      <c r="Z15" s="309" t="str">
        <f>IF($Y15="","",IF(VLOOKUP($Y15,'Master Data'!$F$12:$I$17,2,FALSE)="","",VLOOKUP($Y15,'Master Data'!$F$12:$I$17,2,FALSE)))</f>
        <v>https://www.maersk.com/tracking/</v>
      </c>
      <c r="AA15" s="164">
        <f>U15</f>
        <v>45974</v>
      </c>
      <c r="AB15" s="171">
        <f t="shared" si="9"/>
        <v>77</v>
      </c>
      <c r="AC15" s="133" t="s">
        <v>109</v>
      </c>
      <c r="AD15" s="164">
        <v>45916</v>
      </c>
      <c r="AE15" s="164"/>
      <c r="AF15" s="137">
        <v>4500</v>
      </c>
      <c r="AG15" s="137">
        <v>1000</v>
      </c>
      <c r="AH15" s="169">
        <v>65447.15</v>
      </c>
      <c r="AI15" s="137">
        <f t="shared" si="5"/>
        <v>35187.64</v>
      </c>
      <c r="AJ15" s="164">
        <v>45918</v>
      </c>
      <c r="AK15" s="171">
        <f t="shared" si="7"/>
        <v>2</v>
      </c>
      <c r="AL15" s="137">
        <v>35187.64</v>
      </c>
      <c r="AM15" s="167">
        <v>45972</v>
      </c>
      <c r="AN15" s="244">
        <f t="shared" si="6"/>
        <v>54</v>
      </c>
      <c r="AO15" s="164">
        <v>45974</v>
      </c>
    </row>
    <row r="16" spans="1:41" x14ac:dyDescent="0.35">
      <c r="A16" s="133" cm="1">
        <f t="array" ref="A16">ROW(16:16)-3</f>
        <v>13</v>
      </c>
      <c r="B16" s="133">
        <v>24045985</v>
      </c>
      <c r="C16" s="133">
        <v>0</v>
      </c>
      <c r="D16" s="133" t="str">
        <f t="shared" si="0"/>
        <v>24045985-0</v>
      </c>
      <c r="E16" s="133" t="s">
        <v>455</v>
      </c>
      <c r="F16" s="164">
        <v>45888</v>
      </c>
      <c r="G16" s="134" t="str">
        <f t="shared" si="1"/>
        <v>Yes</v>
      </c>
      <c r="H16" s="135">
        <f>SUMIFS('Order Details'!$R:$R,'Order Details'!$A:$A,'Order Summary'!$B16,'Order Details'!$B:$B,'Order Summary'!$C16,'Order Details'!$E:$E,"Yes")</f>
        <v>14</v>
      </c>
      <c r="I16" s="133" t="s">
        <v>101</v>
      </c>
      <c r="J16" s="133" t="str">
        <f>VLOOKUP($I16,'Master Data'!$L$5:$M$15,2,FALSE)</f>
        <v>Baltimore</v>
      </c>
      <c r="K16" s="137">
        <f>SUMIFS('Order Details'!$U:$U,'Order Details'!$A:$A,'Order Summary'!$B16,'Order Details'!$B:$B,'Order Summary'!$C16,'Order Details'!$E:$E,"Yes")</f>
        <v>65006.2</v>
      </c>
      <c r="L16" s="138">
        <f>SUMIFS('Order Details'!$P:$P,'Order Details'!$A:$A,'Order Summary'!$B16,'Order Details'!$B:$B,'Order Summary'!$C16,'Order Details'!$E:$E,"Yes")</f>
        <v>8505.84</v>
      </c>
      <c r="M16" s="133" t="s">
        <v>111</v>
      </c>
      <c r="N16" s="164">
        <v>45888</v>
      </c>
      <c r="O16" s="171">
        <f t="shared" si="2"/>
        <v>0</v>
      </c>
      <c r="P16" s="174">
        <f>ROUND(SUMIFS('Order Details'!$V:$V,'Order Details'!$A:$A,'Order Summary'!$B16,'Order Details'!$B:$B,'Order Summary'!$C16,'Order Details'!$E:$E,"Yes"),2)</f>
        <v>65033.22</v>
      </c>
      <c r="Q16" s="164">
        <v>45922</v>
      </c>
      <c r="R16" s="171">
        <f t="shared" si="3"/>
        <v>34</v>
      </c>
      <c r="S16" s="137">
        <v>32516.62</v>
      </c>
      <c r="T16" s="165">
        <f>IF(Q16="","",Q16+_xlfn.MAXIFS('Order Details'!$W:$W,'Order Details'!$A:$A,'Order Summary'!$B16,'Order Details'!$B:$B,'Order Summary'!$C16,'Order Details'!$E:$E,"Yes"))</f>
        <v>46012</v>
      </c>
      <c r="U16" s="164">
        <v>45994</v>
      </c>
      <c r="V16" s="133" t="s">
        <v>112</v>
      </c>
      <c r="W16" s="133" t="s">
        <v>61</v>
      </c>
      <c r="X16" s="133" t="s">
        <v>113</v>
      </c>
      <c r="Y16" s="133" t="s">
        <v>74</v>
      </c>
      <c r="Z16" s="309" t="str">
        <f>IF($Y16="","",IF(VLOOKUP($Y16,'Master Data'!$F$12:$I$17,2,FALSE)="","",VLOOKUP($Y16,'Master Data'!$F$12:$I$17,2,FALSE)))</f>
        <v/>
      </c>
      <c r="AA16" s="164" t="s">
        <v>575</v>
      </c>
      <c r="AB16" s="171" t="str">
        <f t="shared" si="9"/>
        <v/>
      </c>
      <c r="AC16" s="133" t="s">
        <v>114</v>
      </c>
      <c r="AD16" s="164">
        <v>45929</v>
      </c>
      <c r="AE16" s="164"/>
      <c r="AF16" s="137">
        <v>4500</v>
      </c>
      <c r="AG16" s="137">
        <v>1000</v>
      </c>
      <c r="AH16" s="137">
        <f t="shared" ref="AH16:AH47" si="10">P16+AF16+AG16</f>
        <v>70533.22</v>
      </c>
      <c r="AI16" s="137">
        <f t="shared" si="5"/>
        <v>38016.600000000006</v>
      </c>
      <c r="AJ16" s="164">
        <v>45945</v>
      </c>
      <c r="AK16" s="171">
        <f t="shared" si="7"/>
        <v>16</v>
      </c>
      <c r="AL16" s="137">
        <v>38016.6</v>
      </c>
      <c r="AM16" s="167" t="s">
        <v>115</v>
      </c>
      <c r="AN16" s="244" t="str">
        <f t="shared" si="6"/>
        <v/>
      </c>
      <c r="AO16" s="164"/>
    </row>
    <row r="17" spans="1:42" x14ac:dyDescent="0.35">
      <c r="A17" s="133" cm="1">
        <f t="array" ref="A17">ROW(17:17)-3</f>
        <v>14</v>
      </c>
      <c r="B17" s="133">
        <v>24045978</v>
      </c>
      <c r="C17" s="133">
        <v>1</v>
      </c>
      <c r="D17" s="133" t="str">
        <f t="shared" si="0"/>
        <v>24045978-1</v>
      </c>
      <c r="E17" s="133" t="s">
        <v>455</v>
      </c>
      <c r="F17" s="164">
        <v>45888</v>
      </c>
      <c r="G17" s="134" t="str">
        <f t="shared" si="1"/>
        <v>Yes</v>
      </c>
      <c r="H17" s="135">
        <f>SUMIFS('Order Details'!$R:$R,'Order Details'!$A:$A,'Order Summary'!$B17,'Order Details'!$B:$B,'Order Summary'!$C17,'Order Details'!$E:$E,"Yes")</f>
        <v>13</v>
      </c>
      <c r="I17" s="133" t="s">
        <v>116</v>
      </c>
      <c r="J17" s="133" t="str">
        <f>VLOOKUP($I17,'Master Data'!$L$5:$M$15,2,FALSE)</f>
        <v>Savannah</v>
      </c>
      <c r="K17" s="137">
        <f>SUMIFS('Order Details'!$U:$U,'Order Details'!$A:$A,'Order Summary'!$B17,'Order Details'!$B:$B,'Order Summary'!$C17,'Order Details'!$E:$E,"Yes")</f>
        <v>64026.9</v>
      </c>
      <c r="L17" s="138">
        <f>SUMIFS('Order Details'!$P:$P,'Order Details'!$A:$A,'Order Summary'!$B17,'Order Details'!$B:$B,'Order Summary'!$C17,'Order Details'!$E:$E,"Yes")</f>
        <v>8505.3420000000006</v>
      </c>
      <c r="M17" s="133" t="s">
        <v>117</v>
      </c>
      <c r="N17" s="164">
        <v>45888</v>
      </c>
      <c r="O17" s="171">
        <f t="shared" si="2"/>
        <v>0</v>
      </c>
      <c r="P17" s="174">
        <f>ROUND(SUMIFS('Order Details'!$V:$V,'Order Details'!$A:$A,'Order Summary'!$B17,'Order Details'!$B:$B,'Order Summary'!$C17,'Order Details'!$E:$E,"Yes"),2)</f>
        <v>64045.23</v>
      </c>
      <c r="Q17" s="164">
        <v>45922</v>
      </c>
      <c r="R17" s="171">
        <f t="shared" si="3"/>
        <v>34</v>
      </c>
      <c r="S17" s="137">
        <v>30594.83</v>
      </c>
      <c r="T17" s="165">
        <f>IF(Q17="","",Q17+_xlfn.MAXIFS('Order Details'!$W:$W,'Order Details'!$A:$A,'Order Summary'!$B17,'Order Details'!$B:$B,'Order Summary'!$C17,'Order Details'!$E:$E,"Yes"))</f>
        <v>45967</v>
      </c>
      <c r="U17" s="164">
        <v>45990</v>
      </c>
      <c r="V17" s="133" t="s">
        <v>118</v>
      </c>
      <c r="W17" s="133" t="s">
        <v>61</v>
      </c>
      <c r="X17" s="133" t="s">
        <v>119</v>
      </c>
      <c r="Y17" s="133" t="s">
        <v>63</v>
      </c>
      <c r="Z17" s="309" t="str">
        <f>IF($Y17="","",IF(VLOOKUP($Y17,'Master Data'!$F$12:$I$17,2,FALSE)="","",VLOOKUP($Y17,'Master Data'!$F$12:$I$17,2,FALSE)))</f>
        <v>https://www.maersk.com/tracking/</v>
      </c>
      <c r="AA17" s="164">
        <f>U17</f>
        <v>45990</v>
      </c>
      <c r="AB17" s="171">
        <f t="shared" si="9"/>
        <v>68</v>
      </c>
      <c r="AC17" s="133" t="s">
        <v>120</v>
      </c>
      <c r="AD17" s="164">
        <v>45938</v>
      </c>
      <c r="AE17" s="164"/>
      <c r="AF17" s="137">
        <v>4500</v>
      </c>
      <c r="AG17" s="137">
        <v>1000</v>
      </c>
      <c r="AH17" s="137">
        <f t="shared" si="10"/>
        <v>69545.23000000001</v>
      </c>
      <c r="AI17" s="137">
        <f t="shared" si="5"/>
        <v>38950.400000000009</v>
      </c>
      <c r="AJ17" s="164">
        <v>45985</v>
      </c>
      <c r="AK17" s="171">
        <f t="shared" si="7"/>
        <v>47</v>
      </c>
      <c r="AL17" s="137">
        <v>38950.400000000001</v>
      </c>
      <c r="AM17" s="167">
        <v>45976</v>
      </c>
      <c r="AN17" s="244">
        <f t="shared" si="6"/>
        <v>-9</v>
      </c>
      <c r="AO17" s="164">
        <v>45990</v>
      </c>
    </row>
    <row r="18" spans="1:42" x14ac:dyDescent="0.35">
      <c r="A18" s="133" cm="1">
        <f t="array" ref="A18">ROW(18:18)-3</f>
        <v>15</v>
      </c>
      <c r="B18" s="133">
        <v>24045982</v>
      </c>
      <c r="C18" s="133">
        <v>1</v>
      </c>
      <c r="D18" s="133" t="str">
        <f t="shared" si="0"/>
        <v>24045982-1</v>
      </c>
      <c r="E18" s="133" t="s">
        <v>455</v>
      </c>
      <c r="F18" s="164">
        <v>45888</v>
      </c>
      <c r="G18" s="134" t="str">
        <f t="shared" si="1"/>
        <v>Yes</v>
      </c>
      <c r="H18" s="135">
        <f>SUMIFS('Order Details'!$R:$R,'Order Details'!$A:$A,'Order Summary'!$B18,'Order Details'!$B:$B,'Order Summary'!$C18,'Order Details'!$E:$E,"Yes")</f>
        <v>13</v>
      </c>
      <c r="I18" s="133" t="s">
        <v>116</v>
      </c>
      <c r="J18" s="133" t="str">
        <f>VLOOKUP($I18,'Master Data'!$L$5:$M$15,2,FALSE)</f>
        <v>Savannah</v>
      </c>
      <c r="K18" s="137">
        <f>SUMIFS('Order Details'!$U:$U,'Order Details'!$A:$A,'Order Summary'!$B18,'Order Details'!$B:$B,'Order Summary'!$C18,'Order Details'!$E:$E,"Yes")</f>
        <v>68600.25</v>
      </c>
      <c r="L18" s="138">
        <f>SUMIFS('Order Details'!$P:$P,'Order Details'!$A:$A,'Order Summary'!$B18,'Order Details'!$B:$B,'Order Summary'!$C18,'Order Details'!$E:$E,"Yes")</f>
        <v>8505.3420000000006</v>
      </c>
      <c r="M18" s="133" t="s">
        <v>121</v>
      </c>
      <c r="N18" s="164">
        <v>45888</v>
      </c>
      <c r="O18" s="171">
        <f t="shared" si="2"/>
        <v>0</v>
      </c>
      <c r="P18" s="174">
        <f>ROUND(SUMIFS('Order Details'!$V:$V,'Order Details'!$A:$A,'Order Summary'!$B18,'Order Details'!$B:$B,'Order Summary'!$C18,'Order Details'!$E:$E,"Yes"),2)</f>
        <v>68638.11</v>
      </c>
      <c r="Q18" s="164">
        <v>45922</v>
      </c>
      <c r="R18" s="171">
        <f t="shared" si="3"/>
        <v>34</v>
      </c>
      <c r="S18" s="137">
        <v>34933.94</v>
      </c>
      <c r="T18" s="165">
        <f>IF(Q18="","",Q18+_xlfn.MAXIFS('Order Details'!$W:$W,'Order Details'!$A:$A,'Order Summary'!$B18,'Order Details'!$B:$B,'Order Summary'!$C18,'Order Details'!$E:$E,"Yes"))</f>
        <v>45967</v>
      </c>
      <c r="U18" s="164">
        <v>45990</v>
      </c>
      <c r="V18" s="133" t="s">
        <v>118</v>
      </c>
      <c r="W18" s="133" t="s">
        <v>61</v>
      </c>
      <c r="X18" s="133" t="s">
        <v>122</v>
      </c>
      <c r="Y18" s="133" t="s">
        <v>63</v>
      </c>
      <c r="Z18" s="309" t="str">
        <f>IF($Y18="","",IF(VLOOKUP($Y18,'Master Data'!$F$12:$I$17,2,FALSE)="","",VLOOKUP($Y18,'Master Data'!$F$12:$I$17,2,FALSE)))</f>
        <v>https://www.maersk.com/tracking/</v>
      </c>
      <c r="AA18" s="164">
        <f>U18</f>
        <v>45990</v>
      </c>
      <c r="AB18" s="171">
        <f t="shared" si="9"/>
        <v>68</v>
      </c>
      <c r="AC18" s="133" t="s">
        <v>123</v>
      </c>
      <c r="AD18" s="164">
        <v>45938</v>
      </c>
      <c r="AE18" s="164"/>
      <c r="AF18" s="137">
        <v>4500</v>
      </c>
      <c r="AG18" s="137">
        <v>1000</v>
      </c>
      <c r="AH18" s="137">
        <f t="shared" si="10"/>
        <v>74138.11</v>
      </c>
      <c r="AI18" s="137">
        <f t="shared" si="5"/>
        <v>39204.17</v>
      </c>
      <c r="AJ18" s="164">
        <v>45985</v>
      </c>
      <c r="AK18" s="171">
        <f t="shared" si="7"/>
        <v>47</v>
      </c>
      <c r="AL18" s="137">
        <v>39204.17</v>
      </c>
      <c r="AM18" s="167">
        <v>45976</v>
      </c>
      <c r="AN18" s="244">
        <f t="shared" si="6"/>
        <v>-9</v>
      </c>
      <c r="AO18" s="164">
        <v>45990</v>
      </c>
    </row>
    <row r="19" spans="1:42" x14ac:dyDescent="0.35">
      <c r="A19" s="133" cm="1">
        <f t="array" ref="A19">ROW(19:19)-3</f>
        <v>16</v>
      </c>
      <c r="B19" s="133">
        <v>52906591</v>
      </c>
      <c r="C19" s="133">
        <v>0</v>
      </c>
      <c r="D19" s="133" t="str">
        <f t="shared" si="0"/>
        <v>52906591-0</v>
      </c>
      <c r="E19" s="133" t="s">
        <v>455</v>
      </c>
      <c r="F19" s="164">
        <v>45792</v>
      </c>
      <c r="G19" s="134" t="str">
        <f t="shared" si="1"/>
        <v>Yes</v>
      </c>
      <c r="H19" s="135">
        <f>SUMIFS('Order Details'!$R:$R,'Order Details'!$A:$A,'Order Summary'!$B19,'Order Details'!$B:$B,'Order Summary'!$C19,'Order Details'!$E:$E,"Yes")</f>
        <v>14</v>
      </c>
      <c r="I19" s="133" t="s">
        <v>79</v>
      </c>
      <c r="J19" s="133" t="str">
        <f>VLOOKUP($I19,'Master Data'!$L$5:$M$15,2,FALSE)</f>
        <v>Oakland</v>
      </c>
      <c r="K19" s="137">
        <f>SUMIFS('Order Details'!$U:$U,'Order Details'!$A:$A,'Order Summary'!$B19,'Order Details'!$B:$B,'Order Summary'!$C19,'Order Details'!$E:$E,"Yes")</f>
        <v>68599.5</v>
      </c>
      <c r="L19" s="138">
        <f>SUMIFS('Order Details'!$P:$P,'Order Details'!$A:$A,'Order Summary'!$B19,'Order Details'!$B:$B,'Order Summary'!$C19,'Order Details'!$E:$E,"Yes")</f>
        <v>8504.3460000000014</v>
      </c>
      <c r="M19" s="133" t="s">
        <v>124</v>
      </c>
      <c r="N19" s="164">
        <v>45867</v>
      </c>
      <c r="O19" s="171">
        <f t="shared" si="2"/>
        <v>75</v>
      </c>
      <c r="P19" s="174">
        <f>ROUND(SUMIFS('Order Details'!$V:$V,'Order Details'!$A:$A,'Order Summary'!$B19,'Order Details'!$B:$B,'Order Summary'!$C19,'Order Details'!$E:$E,"Yes"),2)</f>
        <v>68630.070000000007</v>
      </c>
      <c r="Q19" s="164">
        <v>45897</v>
      </c>
      <c r="R19" s="171">
        <f t="shared" si="3"/>
        <v>30</v>
      </c>
      <c r="S19" s="137">
        <v>34315.040000000001</v>
      </c>
      <c r="T19" s="165">
        <f>IF(Q19="","",Q19+_xlfn.MAXIFS('Order Details'!$W:$W,'Order Details'!$A:$A,'Order Summary'!$B19,'Order Details'!$B:$B,'Order Summary'!$C19,'Order Details'!$E:$E,"Yes"))</f>
        <v>45987</v>
      </c>
      <c r="U19" s="164">
        <v>46023</v>
      </c>
      <c r="V19" s="133" t="s">
        <v>125</v>
      </c>
      <c r="W19" s="133" t="s">
        <v>61</v>
      </c>
      <c r="X19" s="133" t="s">
        <v>126</v>
      </c>
      <c r="Y19" s="133" t="s">
        <v>63</v>
      </c>
      <c r="Z19" s="309" t="str">
        <f>IF($Y19="","",IF(VLOOKUP($Y19,'Master Data'!$F$12:$I$17,2,FALSE)="","",VLOOKUP($Y19,'Master Data'!$F$12:$I$17,2,FALSE)))</f>
        <v>https://www.maersk.com/tracking/</v>
      </c>
      <c r="AA19" s="164" t="s">
        <v>575</v>
      </c>
      <c r="AB19" s="171" t="str">
        <f t="shared" si="9"/>
        <v/>
      </c>
      <c r="AC19" s="133" t="s">
        <v>127</v>
      </c>
      <c r="AD19" s="164">
        <v>45945</v>
      </c>
      <c r="AE19" s="164"/>
      <c r="AF19" s="137">
        <v>4500</v>
      </c>
      <c r="AG19" s="137">
        <v>1000</v>
      </c>
      <c r="AH19" s="169">
        <f t="shared" si="10"/>
        <v>74130.070000000007</v>
      </c>
      <c r="AI19" s="137">
        <f t="shared" si="5"/>
        <v>39815.030000000006</v>
      </c>
      <c r="AJ19" s="164"/>
      <c r="AK19" s="171" t="str">
        <f t="shared" si="7"/>
        <v/>
      </c>
      <c r="AL19" s="137"/>
      <c r="AM19" s="167">
        <v>46034</v>
      </c>
      <c r="AN19" s="244" t="str">
        <f t="shared" si="6"/>
        <v/>
      </c>
      <c r="AO19" s="164">
        <v>46030</v>
      </c>
    </row>
    <row r="20" spans="1:42" x14ac:dyDescent="0.35">
      <c r="A20" s="133" cm="1">
        <f t="array" ref="A20">ROW(20:20)-3</f>
        <v>17</v>
      </c>
      <c r="B20" s="133">
        <v>24034224</v>
      </c>
      <c r="C20" s="133">
        <v>0</v>
      </c>
      <c r="D20" s="133" t="str">
        <f t="shared" si="0"/>
        <v>24034224-0</v>
      </c>
      <c r="E20" s="133" t="s">
        <v>455</v>
      </c>
      <c r="F20" s="164">
        <v>45888</v>
      </c>
      <c r="G20" s="134" t="str">
        <f t="shared" si="1"/>
        <v>Yes</v>
      </c>
      <c r="H20" s="135">
        <f>SUMIFS('Order Details'!$R:$R,'Order Details'!$A:$A,'Order Summary'!$B20,'Order Details'!$B:$B,'Order Summary'!$C20,'Order Details'!$E:$E,"Yes")</f>
        <v>11</v>
      </c>
      <c r="I20" s="133" t="s">
        <v>70</v>
      </c>
      <c r="J20" s="133" t="str">
        <f>VLOOKUP($I20,'Master Data'!$L$5:$M$15,2,FALSE)</f>
        <v>Baltimore</v>
      </c>
      <c r="K20" s="137">
        <f>SUMIFS('Order Details'!$U:$U,'Order Details'!$A:$A,'Order Summary'!$B20,'Order Details'!$B:$B,'Order Summary'!$C20,'Order Details'!$E:$E,"Yes")</f>
        <v>62107.5</v>
      </c>
      <c r="L20" s="138">
        <f>SUMIFS('Order Details'!$P:$P,'Order Details'!$A:$A,'Order Summary'!$B20,'Order Details'!$B:$B,'Order Summary'!$C20,'Order Details'!$E:$E,"Yes")</f>
        <v>8200.5660000000025</v>
      </c>
      <c r="M20" s="133" t="s">
        <v>129</v>
      </c>
      <c r="N20" s="164">
        <v>45888</v>
      </c>
      <c r="O20" s="171">
        <f t="shared" si="2"/>
        <v>0</v>
      </c>
      <c r="P20" s="174">
        <f>ROUND(SUMIFS('Order Details'!$V:$V,'Order Details'!$A:$A,'Order Summary'!$B20,'Order Details'!$B:$B,'Order Summary'!$C20,'Order Details'!$E:$E,"Yes"),2)</f>
        <v>62119.35</v>
      </c>
      <c r="Q20" s="164">
        <v>45897</v>
      </c>
      <c r="R20" s="171">
        <f t="shared" si="3"/>
        <v>9</v>
      </c>
      <c r="S20" s="137">
        <v>31059.68</v>
      </c>
      <c r="T20" s="165">
        <f>IF(Q20="","",Q20+_xlfn.MAXIFS('Order Details'!$W:$W,'Order Details'!$A:$A,'Order Summary'!$B20,'Order Details'!$B:$B,'Order Summary'!$C20,'Order Details'!$E:$E,"Yes"))</f>
        <v>45987</v>
      </c>
      <c r="U20" s="164">
        <v>46015</v>
      </c>
      <c r="V20" s="133" t="s">
        <v>130</v>
      </c>
      <c r="W20" s="133" t="s">
        <v>61</v>
      </c>
      <c r="X20" s="133" t="s">
        <v>131</v>
      </c>
      <c r="Y20" s="133" t="s">
        <v>74</v>
      </c>
      <c r="Z20" s="309" t="str">
        <f>IF($Y20="","",IF(VLOOKUP($Y20,'Master Data'!$F$12:$I$17,2,FALSE)="","",VLOOKUP($Y20,'Master Data'!$F$12:$I$17,2,FALSE)))</f>
        <v/>
      </c>
      <c r="AA20" s="164" t="s">
        <v>575</v>
      </c>
      <c r="AB20" s="171" t="str">
        <f t="shared" si="9"/>
        <v/>
      </c>
      <c r="AC20" s="133" t="s">
        <v>132</v>
      </c>
      <c r="AD20" s="164">
        <v>45945</v>
      </c>
      <c r="AE20" s="164"/>
      <c r="AF20" s="137">
        <v>4500</v>
      </c>
      <c r="AG20" s="137">
        <v>1000</v>
      </c>
      <c r="AH20" s="137">
        <f t="shared" si="10"/>
        <v>67619.350000000006</v>
      </c>
      <c r="AI20" s="137">
        <f t="shared" si="5"/>
        <v>36559.670000000006</v>
      </c>
      <c r="AJ20" s="164"/>
      <c r="AK20" s="171" t="str">
        <f t="shared" si="7"/>
        <v/>
      </c>
      <c r="AL20" s="137"/>
      <c r="AM20" s="167"/>
      <c r="AN20" s="244" t="str">
        <f t="shared" si="6"/>
        <v/>
      </c>
      <c r="AO20" s="164">
        <v>46017</v>
      </c>
    </row>
    <row r="21" spans="1:42" x14ac:dyDescent="0.35">
      <c r="A21" s="133" cm="1">
        <f t="array" ref="A21">ROW(21:21)-3</f>
        <v>18</v>
      </c>
      <c r="B21" s="133">
        <v>24034229</v>
      </c>
      <c r="C21" s="133">
        <v>0</v>
      </c>
      <c r="D21" s="133" t="str">
        <f t="shared" si="0"/>
        <v>24034229-0</v>
      </c>
      <c r="E21" s="133" t="s">
        <v>455</v>
      </c>
      <c r="F21" s="164">
        <v>45888</v>
      </c>
      <c r="G21" s="134" t="str">
        <f t="shared" si="1"/>
        <v>Yes</v>
      </c>
      <c r="H21" s="135">
        <f>SUMIFS('Order Details'!$R:$R,'Order Details'!$A:$A,'Order Summary'!$B21,'Order Details'!$B:$B,'Order Summary'!$C21,'Order Details'!$E:$E,"Yes")</f>
        <v>11</v>
      </c>
      <c r="I21" s="133" t="s">
        <v>70</v>
      </c>
      <c r="J21" s="133" t="str">
        <f>VLOOKUP($I21,'Master Data'!$L$5:$M$15,2,FALSE)</f>
        <v>Baltimore</v>
      </c>
      <c r="K21" s="137">
        <f>SUMIFS('Order Details'!$U:$U,'Order Details'!$A:$A,'Order Summary'!$B21,'Order Details'!$B:$B,'Order Summary'!$C21,'Order Details'!$E:$E,"Yes")</f>
        <v>62597.5</v>
      </c>
      <c r="L21" s="138">
        <f>SUMIFS('Order Details'!$P:$P,'Order Details'!$A:$A,'Order Summary'!$B21,'Order Details'!$B:$B,'Order Summary'!$C21,'Order Details'!$E:$E,"Yes")</f>
        <v>8200.5660000000007</v>
      </c>
      <c r="M21" s="133" t="s">
        <v>133</v>
      </c>
      <c r="N21" s="164">
        <v>45888</v>
      </c>
      <c r="O21" s="171">
        <f t="shared" si="2"/>
        <v>0</v>
      </c>
      <c r="P21" s="174">
        <f>ROUND(SUMIFS('Order Details'!$V:$V,'Order Details'!$A:$A,'Order Summary'!$B21,'Order Details'!$B:$B,'Order Summary'!$C21,'Order Details'!$E:$E,"Yes"),2)</f>
        <v>62611.21</v>
      </c>
      <c r="Q21" s="164">
        <v>45897</v>
      </c>
      <c r="R21" s="171">
        <f t="shared" si="3"/>
        <v>9</v>
      </c>
      <c r="S21" s="137">
        <v>31305.61</v>
      </c>
      <c r="T21" s="165">
        <f>IF(Q21="","",Q21+_xlfn.MAXIFS('Order Details'!$W:$W,'Order Details'!$A:$A,'Order Summary'!$B21,'Order Details'!$B:$B,'Order Summary'!$C21,'Order Details'!$E:$E,"Yes"))</f>
        <v>45987</v>
      </c>
      <c r="U21" s="164">
        <v>46015</v>
      </c>
      <c r="V21" s="133" t="s">
        <v>130</v>
      </c>
      <c r="W21" s="133" t="s">
        <v>61</v>
      </c>
      <c r="X21" s="133" t="s">
        <v>134</v>
      </c>
      <c r="Y21" s="133" t="s">
        <v>74</v>
      </c>
      <c r="Z21" s="309" t="str">
        <f>IF($Y21="","",IF(VLOOKUP($Y21,'Master Data'!$F$12:$I$17,2,FALSE)="","",VLOOKUP($Y21,'Master Data'!$F$12:$I$17,2,FALSE)))</f>
        <v/>
      </c>
      <c r="AA21" s="164" t="s">
        <v>575</v>
      </c>
      <c r="AB21" s="171" t="str">
        <f t="shared" si="9"/>
        <v/>
      </c>
      <c r="AC21" s="133" t="s">
        <v>135</v>
      </c>
      <c r="AD21" s="164">
        <v>45945</v>
      </c>
      <c r="AE21" s="164"/>
      <c r="AF21" s="137">
        <v>4500</v>
      </c>
      <c r="AG21" s="137">
        <v>1000</v>
      </c>
      <c r="AH21" s="137">
        <f t="shared" si="10"/>
        <v>68111.209999999992</v>
      </c>
      <c r="AI21" s="137">
        <f t="shared" si="5"/>
        <v>36805.599999999991</v>
      </c>
      <c r="AJ21" s="164"/>
      <c r="AK21" s="171" t="str">
        <f t="shared" si="7"/>
        <v/>
      </c>
      <c r="AL21" s="137"/>
      <c r="AM21" s="167"/>
      <c r="AN21" s="244" t="str">
        <f t="shared" si="6"/>
        <v/>
      </c>
      <c r="AO21" s="164">
        <v>46017</v>
      </c>
    </row>
    <row r="22" spans="1:42" x14ac:dyDescent="0.35">
      <c r="A22" s="133" cm="1">
        <f t="array" ref="A22">ROW(22:22)-3</f>
        <v>19</v>
      </c>
      <c r="B22" s="133">
        <v>52945529</v>
      </c>
      <c r="C22" s="133">
        <v>0</v>
      </c>
      <c r="D22" s="133" t="str">
        <f t="shared" si="0"/>
        <v>52945529-0</v>
      </c>
      <c r="E22" s="133" t="s">
        <v>455</v>
      </c>
      <c r="F22" s="164">
        <v>45917</v>
      </c>
      <c r="G22" s="134" t="str">
        <f t="shared" si="1"/>
        <v>Yes</v>
      </c>
      <c r="H22" s="135">
        <f>SUMIFS('Order Details'!$R:$R,'Order Details'!$A:$A,'Order Summary'!$B22,'Order Details'!$B:$B,'Order Summary'!$C22,'Order Details'!$E:$E,"Yes")</f>
        <v>11</v>
      </c>
      <c r="I22" s="133" t="s">
        <v>58</v>
      </c>
      <c r="J22" s="133" t="str">
        <f>VLOOKUP($I22,'Master Data'!$L$5:$M$15,2,FALSE)</f>
        <v>Houston</v>
      </c>
      <c r="K22" s="137">
        <f>SUMIFS('Order Details'!$U:$U,'Order Details'!$A:$A,'Order Summary'!$B22,'Order Details'!$B:$B,'Order Summary'!$C22,'Order Details'!$E:$E,"Yes")</f>
        <v>62883.1</v>
      </c>
      <c r="L22" s="138">
        <f>SUMIFS('Order Details'!$P:$P,'Order Details'!$A:$A,'Order Summary'!$B22,'Order Details'!$B:$B,'Order Summary'!$C22,'Order Details'!$E:$E,"Yes")</f>
        <v>8351.9580000000005</v>
      </c>
      <c r="M22" s="133" t="s">
        <v>136</v>
      </c>
      <c r="N22" s="164">
        <v>45924</v>
      </c>
      <c r="O22" s="171">
        <f t="shared" si="2"/>
        <v>7</v>
      </c>
      <c r="P22" s="174">
        <f>ROUND(SUMIFS('Order Details'!$V:$V,'Order Details'!$A:$A,'Order Summary'!$B22,'Order Details'!$B:$B,'Order Summary'!$C22,'Order Details'!$E:$E,"Yes"),2)</f>
        <v>62890.239999999998</v>
      </c>
      <c r="Q22" s="164" t="s">
        <v>65</v>
      </c>
      <c r="R22" s="171" t="s">
        <v>65</v>
      </c>
      <c r="S22" s="137" t="s">
        <v>65</v>
      </c>
      <c r="T22" s="165" t="s">
        <v>65</v>
      </c>
      <c r="U22" s="164">
        <v>46009</v>
      </c>
      <c r="V22" s="133" t="s">
        <v>137</v>
      </c>
      <c r="W22" s="133" t="s">
        <v>61</v>
      </c>
      <c r="X22" s="133" t="s">
        <v>138</v>
      </c>
      <c r="Y22" s="133" t="s">
        <v>63</v>
      </c>
      <c r="Z22" s="309" t="str">
        <f>IF($Y22="","",IF(VLOOKUP($Y22,'Master Data'!$F$12:$I$17,2,FALSE)="","",VLOOKUP($Y22,'Master Data'!$F$12:$I$17,2,FALSE)))</f>
        <v>https://www.maersk.com/tracking/</v>
      </c>
      <c r="AA22" s="164" t="s">
        <v>575</v>
      </c>
      <c r="AB22" s="171" t="str">
        <f t="shared" si="9"/>
        <v/>
      </c>
      <c r="AC22" s="133" t="s">
        <v>139</v>
      </c>
      <c r="AD22" s="164">
        <v>45952</v>
      </c>
      <c r="AE22" s="164"/>
      <c r="AF22" s="137">
        <v>4500</v>
      </c>
      <c r="AG22" s="137">
        <v>1000</v>
      </c>
      <c r="AH22" s="137">
        <f t="shared" si="10"/>
        <v>68390.239999999991</v>
      </c>
      <c r="AI22" s="137" t="e">
        <f t="shared" si="5"/>
        <v>#VALUE!</v>
      </c>
      <c r="AJ22" s="164">
        <v>45987</v>
      </c>
      <c r="AK22" s="171">
        <f t="shared" si="7"/>
        <v>35</v>
      </c>
      <c r="AL22" s="137">
        <v>68390.240000000005</v>
      </c>
      <c r="AM22" s="167" t="s">
        <v>115</v>
      </c>
      <c r="AN22" s="244" t="str">
        <f t="shared" si="6"/>
        <v/>
      </c>
      <c r="AO22" s="164"/>
      <c r="AP22" s="131" t="s">
        <v>140</v>
      </c>
    </row>
    <row r="23" spans="1:42" x14ac:dyDescent="0.35">
      <c r="A23" s="133" cm="1">
        <f t="array" ref="A23">ROW(23:23)-3</f>
        <v>20</v>
      </c>
      <c r="B23" s="133">
        <v>52945532</v>
      </c>
      <c r="C23" s="133">
        <v>0</v>
      </c>
      <c r="D23" s="133" t="str">
        <f t="shared" si="0"/>
        <v>52945532-0</v>
      </c>
      <c r="E23" s="133" t="s">
        <v>455</v>
      </c>
      <c r="F23" s="164">
        <v>45917</v>
      </c>
      <c r="G23" s="134" t="str">
        <f t="shared" si="1"/>
        <v>Yes</v>
      </c>
      <c r="H23" s="135">
        <f>SUMIFS('Order Details'!$R:$R,'Order Details'!$A:$A,'Order Summary'!$B23,'Order Details'!$B:$B,'Order Summary'!$C23,'Order Details'!$E:$E,"Yes")</f>
        <v>12</v>
      </c>
      <c r="I23" s="133" t="s">
        <v>58</v>
      </c>
      <c r="J23" s="133" t="str">
        <f>VLOOKUP($I23,'Master Data'!$L$5:$M$15,2,FALSE)</f>
        <v>Houston</v>
      </c>
      <c r="K23" s="137">
        <f>SUMIFS('Order Details'!$U:$U,'Order Details'!$A:$A,'Order Summary'!$B23,'Order Details'!$B:$B,'Order Summary'!$C23,'Order Details'!$E:$E,"Yes")</f>
        <v>63210.000000000007</v>
      </c>
      <c r="L23" s="138">
        <f>SUMIFS('Order Details'!$P:$P,'Order Details'!$A:$A,'Order Summary'!$B23,'Order Details'!$B:$B,'Order Summary'!$C23,'Order Details'!$E:$E,"Yes")</f>
        <v>8201.5620000000017</v>
      </c>
      <c r="M23" s="133" t="s">
        <v>141</v>
      </c>
      <c r="N23" s="164">
        <v>45924</v>
      </c>
      <c r="O23" s="171">
        <f t="shared" si="2"/>
        <v>7</v>
      </c>
      <c r="P23" s="174">
        <f>ROUND(SUMIFS('Order Details'!$V:$V,'Order Details'!$A:$A,'Order Summary'!$B23,'Order Details'!$B:$B,'Order Summary'!$C23,'Order Details'!$E:$E,"Yes"),2)</f>
        <v>63234.13</v>
      </c>
      <c r="Q23" s="164" t="s">
        <v>65</v>
      </c>
      <c r="R23" s="171" t="s">
        <v>65</v>
      </c>
      <c r="S23" s="137" t="s">
        <v>65</v>
      </c>
      <c r="T23" s="165" t="s">
        <v>65</v>
      </c>
      <c r="U23" s="164">
        <v>46009</v>
      </c>
      <c r="V23" s="133" t="s">
        <v>137</v>
      </c>
      <c r="W23" s="133" t="s">
        <v>61</v>
      </c>
      <c r="X23" s="133" t="s">
        <v>142</v>
      </c>
      <c r="Y23" s="133" t="s">
        <v>63</v>
      </c>
      <c r="Z23" s="309" t="str">
        <f>IF($Y23="","",IF(VLOOKUP($Y23,'Master Data'!$F$12:$I$17,2,FALSE)="","",VLOOKUP($Y23,'Master Data'!$F$12:$I$17,2,FALSE)))</f>
        <v>https://www.maersk.com/tracking/</v>
      </c>
      <c r="AA23" s="164" t="s">
        <v>575</v>
      </c>
      <c r="AB23" s="171" t="str">
        <f t="shared" si="9"/>
        <v/>
      </c>
      <c r="AC23" s="133" t="s">
        <v>143</v>
      </c>
      <c r="AD23" s="164">
        <v>45952</v>
      </c>
      <c r="AE23" s="164"/>
      <c r="AF23" s="137">
        <v>4500</v>
      </c>
      <c r="AG23" s="137">
        <v>1000</v>
      </c>
      <c r="AH23" s="137">
        <f t="shared" si="10"/>
        <v>68734.13</v>
      </c>
      <c r="AI23" s="137" t="e">
        <f t="shared" si="5"/>
        <v>#VALUE!</v>
      </c>
      <c r="AJ23" s="164">
        <v>45987</v>
      </c>
      <c r="AK23" s="171">
        <f t="shared" si="7"/>
        <v>35</v>
      </c>
      <c r="AL23" s="137">
        <v>68734.13</v>
      </c>
      <c r="AM23" s="167" t="s">
        <v>115</v>
      </c>
      <c r="AN23" s="244" t="str">
        <f t="shared" si="6"/>
        <v/>
      </c>
      <c r="AO23" s="164"/>
    </row>
    <row r="24" spans="1:42" x14ac:dyDescent="0.35">
      <c r="A24" s="133" cm="1">
        <f t="array" ref="A24">ROW(24:24)-3</f>
        <v>21</v>
      </c>
      <c r="B24" s="133">
        <v>24034183</v>
      </c>
      <c r="C24" s="133">
        <v>0</v>
      </c>
      <c r="D24" s="133" t="str">
        <f t="shared" si="0"/>
        <v>24034183-0</v>
      </c>
      <c r="E24" s="133" t="s">
        <v>128</v>
      </c>
      <c r="F24" s="164">
        <v>45888</v>
      </c>
      <c r="G24" s="134" t="str">
        <f t="shared" si="1"/>
        <v>Yes</v>
      </c>
      <c r="H24" s="135">
        <f>SUMIFS('Order Details'!$R:$R,'Order Details'!$A:$A,'Order Summary'!$B24,'Order Details'!$B:$B,'Order Summary'!$C24,'Order Details'!$E:$E,"Yes")</f>
        <v>14</v>
      </c>
      <c r="I24" s="133" t="s">
        <v>70</v>
      </c>
      <c r="J24" s="133" t="str">
        <f>VLOOKUP($I24,'Master Data'!$L$5:$M$15,2,FALSE)</f>
        <v>Baltimore</v>
      </c>
      <c r="K24" s="137">
        <f>SUMIFS('Order Details'!$U:$U,'Order Details'!$A:$A,'Order Summary'!$B24,'Order Details'!$B:$B,'Order Summary'!$C24,'Order Details'!$E:$E,"Yes")</f>
        <v>66312.850000000006</v>
      </c>
      <c r="L24" s="138">
        <f>SUMIFS('Order Details'!$P:$P,'Order Details'!$A:$A,'Order Summary'!$B24,'Order Details'!$B:$B,'Order Summary'!$C24,'Order Details'!$E:$E,"Yes")</f>
        <v>8505.84</v>
      </c>
      <c r="M24" s="133" t="s">
        <v>144</v>
      </c>
      <c r="N24" s="164">
        <v>45888</v>
      </c>
      <c r="O24" s="171">
        <f t="shared" si="2"/>
        <v>0</v>
      </c>
      <c r="P24" s="174">
        <f>ROUND(SUMIFS('Order Details'!$V:$V,'Order Details'!$A:$A,'Order Summary'!$B24,'Order Details'!$B:$B,'Order Summary'!$C24,'Order Details'!$E:$E,"Yes"),2)</f>
        <v>66345.55</v>
      </c>
      <c r="Q24" s="164">
        <v>45897</v>
      </c>
      <c r="R24" s="171">
        <f t="shared" si="3"/>
        <v>9</v>
      </c>
      <c r="S24" s="137">
        <v>33172.78</v>
      </c>
      <c r="T24" s="165">
        <f>IF(Q24="","",Q24+_xlfn.MAXIFS('Order Details'!$W:$W,'Order Details'!$A:$A,'Order Summary'!$B24,'Order Details'!$B:$B,'Order Summary'!$C24,'Order Details'!$E:$E,"Yes"))</f>
        <v>45987</v>
      </c>
      <c r="U24" s="164">
        <v>46022</v>
      </c>
      <c r="V24" s="133" t="s">
        <v>145</v>
      </c>
      <c r="W24" s="133" t="s">
        <v>61</v>
      </c>
      <c r="X24" s="133" t="s">
        <v>146</v>
      </c>
      <c r="Y24" s="133" t="s">
        <v>74</v>
      </c>
      <c r="Z24" s="309" t="str">
        <f>IF($Y24="","",IF(VLOOKUP($Y24,'Master Data'!$F$12:$I$17,2,FALSE)="","",VLOOKUP($Y24,'Master Data'!$F$12:$I$17,2,FALSE)))</f>
        <v/>
      </c>
      <c r="AA24" s="164" t="s">
        <v>575</v>
      </c>
      <c r="AB24" s="171" t="str">
        <f t="shared" si="9"/>
        <v/>
      </c>
      <c r="AC24" s="133" t="s">
        <v>147</v>
      </c>
      <c r="AD24" s="164">
        <v>45958</v>
      </c>
      <c r="AE24" s="164"/>
      <c r="AF24" s="137">
        <v>4500</v>
      </c>
      <c r="AG24" s="137">
        <v>1000</v>
      </c>
      <c r="AH24" s="137">
        <f t="shared" si="10"/>
        <v>71845.55</v>
      </c>
      <c r="AI24" s="137">
        <f t="shared" si="5"/>
        <v>38672.770000000004</v>
      </c>
      <c r="AJ24" s="164"/>
      <c r="AK24" s="171" t="str">
        <f t="shared" si="7"/>
        <v/>
      </c>
      <c r="AL24" s="137"/>
      <c r="AM24" s="167" t="s">
        <v>115</v>
      </c>
      <c r="AN24" s="244" t="str">
        <f t="shared" si="6"/>
        <v/>
      </c>
      <c r="AO24" s="164"/>
    </row>
    <row r="25" spans="1:42" x14ac:dyDescent="0.35">
      <c r="A25" s="133" cm="1">
        <f t="array" ref="A25">ROW(25:25)-3</f>
        <v>22</v>
      </c>
      <c r="B25" s="133">
        <v>52950705</v>
      </c>
      <c r="C25" s="133">
        <v>0</v>
      </c>
      <c r="D25" s="133" t="str">
        <f t="shared" si="0"/>
        <v>52950705-0</v>
      </c>
      <c r="E25" s="133" t="s">
        <v>455</v>
      </c>
      <c r="F25" s="164">
        <v>45917</v>
      </c>
      <c r="G25" s="134" t="str">
        <f t="shared" si="1"/>
        <v>Yes</v>
      </c>
      <c r="H25" s="135">
        <f>SUMIFS('Order Details'!$R:$R,'Order Details'!$A:$A,'Order Summary'!$B25,'Order Details'!$B:$B,'Order Summary'!$C25,'Order Details'!$E:$E,"Yes")</f>
        <v>13</v>
      </c>
      <c r="I25" s="133" t="s">
        <v>79</v>
      </c>
      <c r="J25" s="133" t="str">
        <f>VLOOKUP($I25,'Master Data'!$L$5:$M$15,2,FALSE)</f>
        <v>Oakland</v>
      </c>
      <c r="K25" s="137">
        <f>SUMIFS('Order Details'!$U:$U,'Order Details'!$A:$A,'Order Summary'!$B25,'Order Details'!$B:$B,'Order Summary'!$C25,'Order Details'!$E:$E,"Yes")</f>
        <v>63964.7</v>
      </c>
      <c r="L25" s="138">
        <f>SUMIFS('Order Details'!$P:$P,'Order Details'!$A:$A,'Order Summary'!$B25,'Order Details'!$B:$B,'Order Summary'!$C25,'Order Details'!$E:$E,"Yes")</f>
        <v>8314.8570000000018</v>
      </c>
      <c r="M25" s="133" t="s">
        <v>65</v>
      </c>
      <c r="N25" s="164" t="s">
        <v>65</v>
      </c>
      <c r="O25" s="171" t="s">
        <v>65</v>
      </c>
      <c r="P25" s="174">
        <f>ROUND(SUMIFS('Order Details'!$V:$V,'Order Details'!$A:$A,'Order Summary'!$B25,'Order Details'!$B:$B,'Order Summary'!$C25,'Order Details'!$E:$E,"Yes"),2)</f>
        <v>63984.52</v>
      </c>
      <c r="Q25" s="164" t="s">
        <v>65</v>
      </c>
      <c r="R25" s="171" t="s">
        <v>65</v>
      </c>
      <c r="S25" s="137" t="s">
        <v>65</v>
      </c>
      <c r="T25" s="165" t="s">
        <v>65</v>
      </c>
      <c r="U25" s="164">
        <v>46037</v>
      </c>
      <c r="V25" s="133" t="s">
        <v>148</v>
      </c>
      <c r="W25" s="133" t="s">
        <v>61</v>
      </c>
      <c r="X25" s="133" t="s">
        <v>149</v>
      </c>
      <c r="Y25" s="133" t="s">
        <v>63</v>
      </c>
      <c r="Z25" s="309" t="str">
        <f>IF($Y25="","",IF(VLOOKUP($Y25,'Master Data'!$F$12:$I$17,2,FALSE)="","",VLOOKUP($Y25,'Master Data'!$F$12:$I$17,2,FALSE)))</f>
        <v>https://www.maersk.com/tracking/</v>
      </c>
      <c r="AA25" s="164" t="s">
        <v>575</v>
      </c>
      <c r="AB25" s="171" t="str">
        <f t="shared" si="9"/>
        <v/>
      </c>
      <c r="AC25" s="133" t="s">
        <v>150</v>
      </c>
      <c r="AD25" s="164">
        <v>45958</v>
      </c>
      <c r="AE25" s="164"/>
      <c r="AF25" s="137">
        <v>4500</v>
      </c>
      <c r="AG25" s="137">
        <v>1000</v>
      </c>
      <c r="AH25" s="169">
        <f t="shared" si="10"/>
        <v>69484.51999999999</v>
      </c>
      <c r="AI25" s="137" t="e">
        <f t="shared" si="5"/>
        <v>#VALUE!</v>
      </c>
      <c r="AJ25" s="164">
        <v>46000</v>
      </c>
      <c r="AK25" s="171">
        <f t="shared" si="7"/>
        <v>42</v>
      </c>
      <c r="AL25" s="137">
        <v>67011.98</v>
      </c>
      <c r="AM25" s="167"/>
      <c r="AN25" s="244" t="str">
        <f t="shared" si="6"/>
        <v/>
      </c>
      <c r="AO25" s="164">
        <v>46052</v>
      </c>
    </row>
    <row r="26" spans="1:42" x14ac:dyDescent="0.35">
      <c r="A26" s="133" cm="1">
        <f t="array" ref="A26">ROW(26:26)-3</f>
        <v>23</v>
      </c>
      <c r="B26" s="133">
        <v>24045980</v>
      </c>
      <c r="C26" s="133">
        <v>1</v>
      </c>
      <c r="D26" s="133" t="str">
        <f t="shared" si="0"/>
        <v>24045980-1</v>
      </c>
      <c r="E26" s="133" t="s">
        <v>455</v>
      </c>
      <c r="F26" s="164">
        <v>45888</v>
      </c>
      <c r="G26" s="134" t="str">
        <f t="shared" si="1"/>
        <v>Yes</v>
      </c>
      <c r="H26" s="135">
        <f>SUMIFS('Order Details'!$R:$R,'Order Details'!$A:$A,'Order Summary'!$B26,'Order Details'!$B:$B,'Order Summary'!$C26,'Order Details'!$E:$E,"Yes")</f>
        <v>13</v>
      </c>
      <c r="I26" s="133" t="s">
        <v>116</v>
      </c>
      <c r="J26" s="133" t="str">
        <f>VLOOKUP($I26,'Master Data'!$L$5:$M$15,2,FALSE)</f>
        <v>Savannah</v>
      </c>
      <c r="K26" s="137">
        <f>SUMIFS('Order Details'!$U:$U,'Order Details'!$A:$A,'Order Summary'!$B26,'Order Details'!$B:$B,'Order Summary'!$C26,'Order Details'!$E:$E,"Yes")</f>
        <v>64026.9</v>
      </c>
      <c r="L26" s="138">
        <f>SUMIFS('Order Details'!$P:$P,'Order Details'!$A:$A,'Order Summary'!$B26,'Order Details'!$B:$B,'Order Summary'!$C26,'Order Details'!$E:$E,"Yes")</f>
        <v>8505.3420000000006</v>
      </c>
      <c r="M26" s="133" t="s">
        <v>151</v>
      </c>
      <c r="N26" s="164">
        <v>45888</v>
      </c>
      <c r="O26" s="171">
        <f t="shared" ref="O26:O57" si="11">IF(N26="","",$N26-$F26)</f>
        <v>0</v>
      </c>
      <c r="P26" s="174">
        <f>ROUND(SUMIFS('Order Details'!$V:$V,'Order Details'!$A:$A,'Order Summary'!$B26,'Order Details'!$B:$B,'Order Summary'!$C26,'Order Details'!$E:$E,"Yes"),2)</f>
        <v>64045.23</v>
      </c>
      <c r="Q26" s="164">
        <v>45922</v>
      </c>
      <c r="R26" s="171">
        <f t="shared" si="3"/>
        <v>34</v>
      </c>
      <c r="S26" s="137">
        <v>32596.36</v>
      </c>
      <c r="T26" s="165">
        <f>IF(Q26="","",Q26+_xlfn.MAXIFS('Order Details'!$W:$W,'Order Details'!$A:$A,'Order Summary'!$B26,'Order Details'!$B:$B,'Order Summary'!$C26,'Order Details'!$E:$E,"Yes"))</f>
        <v>46012</v>
      </c>
      <c r="U26" s="164">
        <v>46018</v>
      </c>
      <c r="V26" s="133" t="s">
        <v>152</v>
      </c>
      <c r="W26" s="133" t="s">
        <v>61</v>
      </c>
      <c r="X26" s="133" t="s">
        <v>153</v>
      </c>
      <c r="Y26" s="133" t="s">
        <v>63</v>
      </c>
      <c r="Z26" s="309" t="str">
        <f>IF($Y26="","",IF(VLOOKUP($Y26,'Master Data'!$F$12:$I$17,2,FALSE)="","",VLOOKUP($Y26,'Master Data'!$F$12:$I$17,2,FALSE)))</f>
        <v>https://www.maersk.com/tracking/</v>
      </c>
      <c r="AA26" s="164" t="s">
        <v>575</v>
      </c>
      <c r="AB26" s="171" t="str">
        <f t="shared" si="9"/>
        <v/>
      </c>
      <c r="AC26" s="133" t="s">
        <v>154</v>
      </c>
      <c r="AD26" s="164">
        <v>45961</v>
      </c>
      <c r="AE26" s="164"/>
      <c r="AF26" s="137">
        <v>4500</v>
      </c>
      <c r="AG26" s="137">
        <v>1000</v>
      </c>
      <c r="AH26" s="137">
        <f t="shared" si="10"/>
        <v>69545.23000000001</v>
      </c>
      <c r="AI26" s="137">
        <f t="shared" si="5"/>
        <v>36948.87000000001</v>
      </c>
      <c r="AJ26" s="164">
        <v>45985</v>
      </c>
      <c r="AK26" s="171">
        <f t="shared" si="7"/>
        <v>24</v>
      </c>
      <c r="AL26" s="137">
        <v>36948.870000000003</v>
      </c>
      <c r="AM26" s="167"/>
      <c r="AN26" s="244" t="str">
        <f t="shared" si="6"/>
        <v/>
      </c>
      <c r="AO26" s="164">
        <v>46018</v>
      </c>
    </row>
    <row r="27" spans="1:42" ht="18" customHeight="1" x14ac:dyDescent="0.35">
      <c r="A27" s="133" cm="1">
        <f t="array" ref="A27">ROW(27:27)-3</f>
        <v>24</v>
      </c>
      <c r="B27" s="133">
        <v>24045987</v>
      </c>
      <c r="C27" s="133">
        <v>0</v>
      </c>
      <c r="D27" s="133" t="str">
        <f t="shared" si="0"/>
        <v>24045987-0</v>
      </c>
      <c r="E27" s="133" t="s">
        <v>455</v>
      </c>
      <c r="F27" s="164">
        <v>45888</v>
      </c>
      <c r="G27" s="134" t="str">
        <f t="shared" si="1"/>
        <v>Yes</v>
      </c>
      <c r="H27" s="135">
        <f>SUMIFS('Order Details'!$R:$R,'Order Details'!$A:$A,'Order Summary'!$B27,'Order Details'!$B:$B,'Order Summary'!$C27,'Order Details'!$E:$E,"Yes")</f>
        <v>13</v>
      </c>
      <c r="I27" s="133" t="s">
        <v>155</v>
      </c>
      <c r="J27" s="133" t="str">
        <f>VLOOKUP($I27,'Master Data'!$L$5:$M$15,2,FALSE)</f>
        <v>Baltimore</v>
      </c>
      <c r="K27" s="137">
        <f>SUMIFS('Order Details'!$U:$U,'Order Details'!$A:$A,'Order Summary'!$B27,'Order Details'!$B:$B,'Order Summary'!$C27,'Order Details'!$E:$E,"Yes")</f>
        <v>63576.549999999996</v>
      </c>
      <c r="L27" s="138">
        <f>SUMIFS('Order Details'!$P:$P,'Order Details'!$A:$A,'Order Summary'!$B27,'Order Details'!$B:$B,'Order Summary'!$C27,'Order Details'!$E:$E,"Yes")</f>
        <v>8353.9500000000007</v>
      </c>
      <c r="M27" s="133" t="s">
        <v>156</v>
      </c>
      <c r="N27" s="164">
        <v>45888</v>
      </c>
      <c r="O27" s="171">
        <f t="shared" si="11"/>
        <v>0</v>
      </c>
      <c r="P27" s="174">
        <f>ROUND(SUMIFS('Order Details'!$V:$V,'Order Details'!$A:$A,'Order Summary'!$B27,'Order Details'!$B:$B,'Order Summary'!$C27,'Order Details'!$E:$E,"Yes"),2)</f>
        <v>63602.42</v>
      </c>
      <c r="Q27" s="164">
        <v>45922</v>
      </c>
      <c r="R27" s="171">
        <f t="shared" si="3"/>
        <v>34</v>
      </c>
      <c r="S27" s="137">
        <v>31800.89</v>
      </c>
      <c r="T27" s="165">
        <f>IF(Q27="","",Q27+_xlfn.MAXIFS('Order Details'!$W:$W,'Order Details'!$A:$A,'Order Summary'!$B27,'Order Details'!$B:$B,'Order Summary'!$C27,'Order Details'!$E:$E,"Yes"))</f>
        <v>46012</v>
      </c>
      <c r="U27" s="164">
        <v>45671</v>
      </c>
      <c r="V27" s="133" t="s">
        <v>157</v>
      </c>
      <c r="W27" s="133" t="s">
        <v>61</v>
      </c>
      <c r="X27" s="133" t="s">
        <v>158</v>
      </c>
      <c r="Y27" s="133" t="s">
        <v>74</v>
      </c>
      <c r="Z27" s="309" t="str">
        <f>IF($Y27="","",IF(VLOOKUP($Y27,'Master Data'!$F$12:$I$17,2,FALSE)="","",VLOOKUP($Y27,'Master Data'!$F$12:$I$17,2,FALSE)))</f>
        <v/>
      </c>
      <c r="AA27" s="164" t="s">
        <v>575</v>
      </c>
      <c r="AB27" s="171" t="str">
        <f t="shared" si="9"/>
        <v/>
      </c>
      <c r="AC27" s="133" t="s">
        <v>159</v>
      </c>
      <c r="AD27" s="164">
        <v>45961</v>
      </c>
      <c r="AE27" s="164"/>
      <c r="AF27" s="137">
        <v>4500</v>
      </c>
      <c r="AG27" s="137">
        <v>1000</v>
      </c>
      <c r="AH27" s="137">
        <f t="shared" si="10"/>
        <v>69102.42</v>
      </c>
      <c r="AI27" s="137">
        <f t="shared" si="5"/>
        <v>37301.53</v>
      </c>
      <c r="AJ27" s="164">
        <v>46013</v>
      </c>
      <c r="AK27" s="171">
        <f t="shared" si="7"/>
        <v>52</v>
      </c>
      <c r="AL27" s="137">
        <v>37301.53</v>
      </c>
      <c r="AM27" s="167">
        <v>46037</v>
      </c>
      <c r="AN27" s="244">
        <f t="shared" si="6"/>
        <v>24</v>
      </c>
      <c r="AO27" s="164">
        <v>46052</v>
      </c>
    </row>
    <row r="28" spans="1:42" x14ac:dyDescent="0.35">
      <c r="A28" s="133" cm="1">
        <f t="array" ref="A28">ROW(28:28)-3</f>
        <v>25</v>
      </c>
      <c r="B28" s="133">
        <v>52923929</v>
      </c>
      <c r="C28" s="133">
        <v>0</v>
      </c>
      <c r="D28" s="133" t="str">
        <f t="shared" si="0"/>
        <v>52923929-0</v>
      </c>
      <c r="E28" s="133" t="s">
        <v>455</v>
      </c>
      <c r="F28" s="164">
        <v>45888</v>
      </c>
      <c r="G28" s="134" t="str">
        <f t="shared" si="1"/>
        <v>Yes</v>
      </c>
      <c r="H28" s="135">
        <f>SUMIFS('Order Details'!$R:$R,'Order Details'!$A:$A,'Order Summary'!$B28,'Order Details'!$B:$B,'Order Summary'!$C28,'Order Details'!$E:$E,"Yes")</f>
        <v>13</v>
      </c>
      <c r="I28" s="133" t="s">
        <v>160</v>
      </c>
      <c r="J28" s="133" t="str">
        <f>VLOOKUP($I28,'Master Data'!$L$5:$M$15,2,FALSE)</f>
        <v>Houston</v>
      </c>
      <c r="K28" s="137">
        <f>SUMIFS('Order Details'!$U:$U,'Order Details'!$A:$A,'Order Summary'!$B28,'Order Details'!$B:$B,'Order Summary'!$C28,'Order Details'!$E:$E,"Yes")</f>
        <v>64843.35</v>
      </c>
      <c r="L28" s="138">
        <f>SUMIFS('Order Details'!$P:$P,'Order Details'!$A:$A,'Order Summary'!$B28,'Order Details'!$B:$B,'Order Summary'!$C28,'Order Details'!$E:$E,"Yes")</f>
        <v>8429.8950000000004</v>
      </c>
      <c r="M28" s="133" t="s">
        <v>161</v>
      </c>
      <c r="N28" s="164">
        <v>45888</v>
      </c>
      <c r="O28" s="171">
        <f t="shared" si="11"/>
        <v>0</v>
      </c>
      <c r="P28" s="174">
        <f>ROUND(SUMIFS('Order Details'!$V:$V,'Order Details'!$A:$A,'Order Summary'!$B28,'Order Details'!$B:$B,'Order Summary'!$C28,'Order Details'!$E:$E,"Yes"),2)</f>
        <v>64871.46</v>
      </c>
      <c r="Q28" s="164">
        <v>45922</v>
      </c>
      <c r="R28" s="171">
        <f t="shared" si="3"/>
        <v>34</v>
      </c>
      <c r="S28" s="137">
        <v>32435.73</v>
      </c>
      <c r="T28" s="165">
        <f>IF(Q28="","",Q28+_xlfn.MAXIFS('Order Details'!$W:$W,'Order Details'!$A:$A,'Order Summary'!$B28,'Order Details'!$B:$B,'Order Summary'!$C28,'Order Details'!$E:$E,"Yes"))</f>
        <v>46012</v>
      </c>
      <c r="U28" s="164">
        <v>46030</v>
      </c>
      <c r="V28" s="133" t="s">
        <v>162</v>
      </c>
      <c r="W28" s="133" t="s">
        <v>61</v>
      </c>
      <c r="X28" s="133" t="s">
        <v>163</v>
      </c>
      <c r="Y28" s="133" t="s">
        <v>63</v>
      </c>
      <c r="Z28" s="309" t="str">
        <f>IF($Y28="","",IF(VLOOKUP($Y28,'Master Data'!$F$12:$I$17,2,FALSE)="","",VLOOKUP($Y28,'Master Data'!$F$12:$I$17,2,FALSE)))</f>
        <v>https://www.maersk.com/tracking/</v>
      </c>
      <c r="AA28" s="164" t="s">
        <v>575</v>
      </c>
      <c r="AB28" s="171" t="str">
        <f t="shared" si="9"/>
        <v/>
      </c>
      <c r="AC28" s="133" t="s">
        <v>164</v>
      </c>
      <c r="AD28" s="164">
        <v>45961</v>
      </c>
      <c r="AE28" s="164"/>
      <c r="AF28" s="137">
        <v>4500</v>
      </c>
      <c r="AG28" s="137">
        <v>1000</v>
      </c>
      <c r="AH28" s="137">
        <f t="shared" si="10"/>
        <v>70371.459999999992</v>
      </c>
      <c r="AI28" s="137">
        <f t="shared" si="5"/>
        <v>37935.729999999996</v>
      </c>
      <c r="AJ28" s="164">
        <v>46013</v>
      </c>
      <c r="AK28" s="171">
        <f t="shared" si="7"/>
        <v>52</v>
      </c>
      <c r="AL28" s="137">
        <v>37935.730000000003</v>
      </c>
      <c r="AM28" s="167">
        <v>46036</v>
      </c>
      <c r="AN28" s="244">
        <f t="shared" si="6"/>
        <v>23</v>
      </c>
      <c r="AO28" s="164">
        <v>46031</v>
      </c>
    </row>
    <row r="29" spans="1:42" x14ac:dyDescent="0.35">
      <c r="A29" s="133" cm="1">
        <f t="array" ref="A29">ROW(29:29)-3</f>
        <v>26</v>
      </c>
      <c r="B29" s="133">
        <v>52930031</v>
      </c>
      <c r="C29" s="133">
        <v>0</v>
      </c>
      <c r="D29" s="133" t="str">
        <f t="shared" si="0"/>
        <v>52930031-0</v>
      </c>
      <c r="E29" s="133" t="s">
        <v>455</v>
      </c>
      <c r="F29" s="164">
        <v>45888</v>
      </c>
      <c r="G29" s="134" t="str">
        <f t="shared" si="1"/>
        <v>Yes</v>
      </c>
      <c r="H29" s="135">
        <f>SUMIFS('Order Details'!$R:$R,'Order Details'!$A:$A,'Order Summary'!$B29,'Order Details'!$B:$B,'Order Summary'!$C29,'Order Details'!$E:$E,"Yes")</f>
        <v>13</v>
      </c>
      <c r="I29" s="133" t="s">
        <v>79</v>
      </c>
      <c r="J29" s="133" t="str">
        <f>VLOOKUP($I29,'Master Data'!$L$5:$M$15,2,FALSE)</f>
        <v>Oakland</v>
      </c>
      <c r="K29" s="137">
        <f>SUMIFS('Order Details'!$U:$U,'Order Details'!$A:$A,'Order Summary'!$B29,'Order Details'!$B:$B,'Order Summary'!$C29,'Order Details'!$E:$E,"Yes")</f>
        <v>63985.85</v>
      </c>
      <c r="L29" s="138">
        <f>SUMIFS('Order Details'!$P:$P,'Order Details'!$A:$A,'Order Summary'!$B29,'Order Details'!$B:$B,'Order Summary'!$C29,'Order Details'!$E:$E,"Yes")</f>
        <v>8315.6040000000012</v>
      </c>
      <c r="M29" s="133" t="s">
        <v>165</v>
      </c>
      <c r="N29" s="164">
        <v>45888</v>
      </c>
      <c r="O29" s="171">
        <f t="shared" si="11"/>
        <v>0</v>
      </c>
      <c r="P29" s="174">
        <f>ROUND(SUMIFS('Order Details'!$V:$V,'Order Details'!$A:$A,'Order Summary'!$B29,'Order Details'!$B:$B,'Order Summary'!$C29,'Order Details'!$E:$E,"Yes"),2)</f>
        <v>64010.85</v>
      </c>
      <c r="Q29" s="164">
        <v>45922</v>
      </c>
      <c r="R29" s="171">
        <f t="shared" si="3"/>
        <v>34</v>
      </c>
      <c r="S29" s="137">
        <v>32005.43</v>
      </c>
      <c r="T29" s="165">
        <f>IF(Q29="","",Q29+_xlfn.MAXIFS('Order Details'!$W:$W,'Order Details'!$A:$A,'Order Summary'!$B29,'Order Details'!$B:$B,'Order Summary'!$C29,'Order Details'!$E:$E,"Yes"))</f>
        <v>46012</v>
      </c>
      <c r="U29" s="164">
        <v>46037</v>
      </c>
      <c r="V29" s="133" t="s">
        <v>148</v>
      </c>
      <c r="W29" s="133" t="s">
        <v>61</v>
      </c>
      <c r="X29" s="133" t="s">
        <v>166</v>
      </c>
      <c r="Y29" s="133" t="s">
        <v>63</v>
      </c>
      <c r="Z29" s="309" t="str">
        <f>IF($Y29="","",IF(VLOOKUP($Y29,'Master Data'!$F$12:$I$17,2,FALSE)="","",VLOOKUP($Y29,'Master Data'!$F$12:$I$17,2,FALSE)))</f>
        <v>https://www.maersk.com/tracking/</v>
      </c>
      <c r="AA29" s="164" t="s">
        <v>575</v>
      </c>
      <c r="AB29" s="171" t="str">
        <f t="shared" si="9"/>
        <v/>
      </c>
      <c r="AC29" s="133" t="s">
        <v>167</v>
      </c>
      <c r="AD29" s="164">
        <v>45961</v>
      </c>
      <c r="AE29" s="164"/>
      <c r="AF29" s="137">
        <v>4500</v>
      </c>
      <c r="AG29" s="137">
        <v>1000</v>
      </c>
      <c r="AH29" s="137">
        <f t="shared" si="10"/>
        <v>69510.850000000006</v>
      </c>
      <c r="AI29" s="137">
        <f t="shared" si="5"/>
        <v>37505.420000000006</v>
      </c>
      <c r="AJ29" s="164">
        <v>46000</v>
      </c>
      <c r="AK29" s="171">
        <f t="shared" si="7"/>
        <v>39</v>
      </c>
      <c r="AL29" s="137">
        <v>37505.42</v>
      </c>
      <c r="AM29" s="167" t="s">
        <v>168</v>
      </c>
      <c r="AN29" s="244" t="str">
        <f t="shared" si="6"/>
        <v/>
      </c>
      <c r="AO29" s="164">
        <v>46052</v>
      </c>
    </row>
    <row r="30" spans="1:42" ht="18" customHeight="1" x14ac:dyDescent="0.35">
      <c r="A30" s="133" cm="1">
        <f t="array" ref="A30">ROW(30:30)-3</f>
        <v>27</v>
      </c>
      <c r="B30" s="133">
        <v>24034182</v>
      </c>
      <c r="C30" s="133">
        <v>0</v>
      </c>
      <c r="D30" s="133" t="str">
        <f t="shared" si="0"/>
        <v>24034182-0</v>
      </c>
      <c r="E30" s="133" t="s">
        <v>455</v>
      </c>
      <c r="F30" s="164">
        <v>45888</v>
      </c>
      <c r="G30" s="134" t="str">
        <f t="shared" si="1"/>
        <v>Yes</v>
      </c>
      <c r="H30" s="135">
        <f>SUMIFS('Order Details'!$R:$R,'Order Details'!$A:$A,'Order Summary'!$B30,'Order Details'!$B:$B,'Order Summary'!$C30,'Order Details'!$E:$E,"Yes")</f>
        <v>14</v>
      </c>
      <c r="I30" s="133" t="s">
        <v>70</v>
      </c>
      <c r="J30" s="133" t="str">
        <f>VLOOKUP($I30,'Master Data'!$L$5:$M$15,2,FALSE)</f>
        <v>Baltimore</v>
      </c>
      <c r="K30" s="137">
        <f>SUMIFS('Order Details'!$U:$U,'Order Details'!$A:$A,'Order Summary'!$B30,'Order Details'!$B:$B,'Order Summary'!$C30,'Order Details'!$E:$E,"Yes")</f>
        <v>64026.2</v>
      </c>
      <c r="L30" s="138">
        <f>SUMIFS('Order Details'!$P:$P,'Order Details'!$A:$A,'Order Summary'!$B30,'Order Details'!$B:$B,'Order Summary'!$C30,'Order Details'!$E:$E,"Yes")</f>
        <v>8505.84</v>
      </c>
      <c r="M30" s="133" t="s">
        <v>169</v>
      </c>
      <c r="N30" s="164">
        <v>45888</v>
      </c>
      <c r="O30" s="171">
        <f t="shared" si="11"/>
        <v>0</v>
      </c>
      <c r="P30" s="174">
        <f>ROUND(SUMIFS('Order Details'!$V:$V,'Order Details'!$A:$A,'Order Summary'!$B30,'Order Details'!$B:$B,'Order Summary'!$C30,'Order Details'!$E:$E,"Yes"),2)</f>
        <v>64048.98</v>
      </c>
      <c r="Q30" s="164">
        <v>45897</v>
      </c>
      <c r="R30" s="171">
        <f t="shared" si="3"/>
        <v>9</v>
      </c>
      <c r="S30" s="137">
        <v>32024.49</v>
      </c>
      <c r="T30" s="165">
        <f>IF(Q30="","",Q30+_xlfn.MAXIFS('Order Details'!$W:$W,'Order Details'!$A:$A,'Order Summary'!$B30,'Order Details'!$B:$B,'Order Summary'!$C30,'Order Details'!$E:$E,"Yes"))</f>
        <v>45942</v>
      </c>
      <c r="U30" s="164">
        <v>46045</v>
      </c>
      <c r="V30" s="133" t="s">
        <v>170</v>
      </c>
      <c r="W30" s="133" t="s">
        <v>61</v>
      </c>
      <c r="X30" s="133" t="s">
        <v>171</v>
      </c>
      <c r="Y30" s="133" t="s">
        <v>172</v>
      </c>
      <c r="Z30" s="309" t="str">
        <f>IF($Y30="","",IF(VLOOKUP($Y30,'Master Data'!$F$12:$I$17,2,FALSE)="","",VLOOKUP($Y30,'Master Data'!$F$12:$I$17,2,FALSE)))</f>
        <v/>
      </c>
      <c r="AA30" s="164" t="s">
        <v>575</v>
      </c>
      <c r="AB30" s="171" t="str">
        <f t="shared" si="9"/>
        <v/>
      </c>
      <c r="AC30" s="247" t="s">
        <v>173</v>
      </c>
      <c r="AD30" s="164">
        <v>45982</v>
      </c>
      <c r="AE30" s="164"/>
      <c r="AF30" s="137">
        <v>4500</v>
      </c>
      <c r="AG30" s="137">
        <v>1000</v>
      </c>
      <c r="AH30" s="137">
        <f t="shared" si="10"/>
        <v>69548.98000000001</v>
      </c>
      <c r="AI30" s="137">
        <f t="shared" si="5"/>
        <v>37524.490000000005</v>
      </c>
      <c r="AJ30" s="164">
        <v>46000</v>
      </c>
      <c r="AK30" s="171">
        <f t="shared" si="7"/>
        <v>18</v>
      </c>
      <c r="AL30" s="137">
        <v>37524.49</v>
      </c>
      <c r="AM30" s="167"/>
      <c r="AN30" s="244" t="str">
        <f t="shared" si="6"/>
        <v/>
      </c>
      <c r="AO30" s="164">
        <v>46046</v>
      </c>
    </row>
    <row r="31" spans="1:42" x14ac:dyDescent="0.35">
      <c r="A31" s="133" cm="1">
        <f t="array" ref="A31">ROW(31:31)-3</f>
        <v>28</v>
      </c>
      <c r="B31" s="133">
        <v>24045976</v>
      </c>
      <c r="C31" s="133">
        <v>1</v>
      </c>
      <c r="D31" s="133" t="str">
        <f t="shared" si="0"/>
        <v>24045976-1</v>
      </c>
      <c r="E31" s="133" t="s">
        <v>455</v>
      </c>
      <c r="F31" s="164">
        <v>45888</v>
      </c>
      <c r="G31" s="134" t="str">
        <f t="shared" si="1"/>
        <v>Yes</v>
      </c>
      <c r="H31" s="135">
        <f>SUMIFS('Order Details'!$R:$R,'Order Details'!$A:$A,'Order Summary'!$B31,'Order Details'!$B:$B,'Order Summary'!$C31,'Order Details'!$E:$E,"Yes")</f>
        <v>13</v>
      </c>
      <c r="I31" s="133" t="s">
        <v>116</v>
      </c>
      <c r="J31" s="133" t="str">
        <f>VLOOKUP($I31,'Master Data'!$L$5:$M$15,2,FALSE)</f>
        <v>Savannah</v>
      </c>
      <c r="K31" s="137">
        <f>SUMIFS('Order Details'!$U:$U,'Order Details'!$A:$A,'Order Summary'!$B31,'Order Details'!$B:$B,'Order Summary'!$C31,'Order Details'!$E:$E,"Yes")</f>
        <v>64026.9</v>
      </c>
      <c r="L31" s="138">
        <f>SUMIFS('Order Details'!$P:$P,'Order Details'!$A:$A,'Order Summary'!$B31,'Order Details'!$B:$B,'Order Summary'!$C31,'Order Details'!$E:$E,"Yes")</f>
        <v>8505.3420000000006</v>
      </c>
      <c r="M31" s="133" t="s">
        <v>174</v>
      </c>
      <c r="N31" s="164">
        <v>45888</v>
      </c>
      <c r="O31" s="171">
        <f t="shared" si="11"/>
        <v>0</v>
      </c>
      <c r="P31" s="174">
        <f>ROUND(SUMIFS('Order Details'!$V:$V,'Order Details'!$A:$A,'Order Summary'!$B31,'Order Details'!$B:$B,'Order Summary'!$C31,'Order Details'!$E:$E,"Yes"),2)</f>
        <v>64045.23</v>
      </c>
      <c r="Q31" s="164">
        <v>45922</v>
      </c>
      <c r="R31" s="171">
        <f t="shared" si="3"/>
        <v>34</v>
      </c>
      <c r="S31" s="137">
        <v>30594.83</v>
      </c>
      <c r="T31" s="165">
        <f>IF(Q31="","",Q31+_xlfn.MAXIFS('Order Details'!$W:$W,'Order Details'!$A:$A,'Order Summary'!$B31,'Order Details'!$B:$B,'Order Summary'!$C31,'Order Details'!$E:$E,"Yes"))</f>
        <v>45967</v>
      </c>
      <c r="U31" s="164">
        <v>46032</v>
      </c>
      <c r="V31" s="133" t="s">
        <v>175</v>
      </c>
      <c r="W31" s="133" t="s">
        <v>61</v>
      </c>
      <c r="X31" s="133" t="s">
        <v>176</v>
      </c>
      <c r="Y31" s="133" t="s">
        <v>63</v>
      </c>
      <c r="Z31" s="309" t="str">
        <f>IF($Y31="","",IF(VLOOKUP($Y31,'Master Data'!$F$12:$I$17,2,FALSE)="","",VLOOKUP($Y31,'Master Data'!$F$12:$I$17,2,FALSE)))</f>
        <v>https://www.maersk.com/tracking/</v>
      </c>
      <c r="AA31" s="164" t="s">
        <v>575</v>
      </c>
      <c r="AB31" s="171" t="str">
        <f t="shared" si="9"/>
        <v/>
      </c>
      <c r="AC31" s="133" t="s">
        <v>177</v>
      </c>
      <c r="AD31" s="164">
        <v>45982</v>
      </c>
      <c r="AE31" s="164"/>
      <c r="AF31" s="137">
        <v>4500</v>
      </c>
      <c r="AG31" s="137">
        <v>1000</v>
      </c>
      <c r="AH31" s="137">
        <f t="shared" si="10"/>
        <v>69545.23000000001</v>
      </c>
      <c r="AI31" s="137">
        <f t="shared" si="5"/>
        <v>38950.400000000009</v>
      </c>
      <c r="AJ31" s="164">
        <v>46000</v>
      </c>
      <c r="AK31" s="171">
        <f t="shared" si="7"/>
        <v>18</v>
      </c>
      <c r="AL31" s="137">
        <v>38950.400000000001</v>
      </c>
      <c r="AM31" s="167">
        <v>46035</v>
      </c>
      <c r="AN31" s="244">
        <f t="shared" si="6"/>
        <v>35</v>
      </c>
      <c r="AO31" s="164">
        <v>46034</v>
      </c>
    </row>
    <row r="32" spans="1:42" x14ac:dyDescent="0.35">
      <c r="A32" s="133" cm="1">
        <f t="array" ref="A32">ROW(32:32)-3</f>
        <v>29</v>
      </c>
      <c r="B32" s="133">
        <v>52930001</v>
      </c>
      <c r="C32" s="133">
        <v>0</v>
      </c>
      <c r="D32" s="133" t="str">
        <f t="shared" si="0"/>
        <v>52930001-0</v>
      </c>
      <c r="E32" s="133" t="s">
        <v>455</v>
      </c>
      <c r="F32" s="164">
        <v>45888</v>
      </c>
      <c r="G32" s="134" t="str">
        <f t="shared" si="1"/>
        <v>Yes</v>
      </c>
      <c r="H32" s="135">
        <f>SUMIFS('Order Details'!$R:$R,'Order Details'!$A:$A,'Order Summary'!$B32,'Order Details'!$B:$B,'Order Summary'!$C32,'Order Details'!$E:$E,"Yes")</f>
        <v>13</v>
      </c>
      <c r="I32" s="133" t="s">
        <v>79</v>
      </c>
      <c r="J32" s="133" t="str">
        <f>VLOOKUP($I32,'Master Data'!$L$5:$M$15,2,FALSE)</f>
        <v>Oakland</v>
      </c>
      <c r="K32" s="137">
        <f>SUMIFS('Order Details'!$U:$U,'Order Details'!$A:$A,'Order Summary'!$B32,'Order Details'!$B:$B,'Order Summary'!$C32,'Order Details'!$E:$E,"Yes")</f>
        <v>66456</v>
      </c>
      <c r="L32" s="138">
        <f>SUMIFS('Order Details'!$P:$P,'Order Details'!$A:$A,'Order Summary'!$B32,'Order Details'!$B:$B,'Order Summary'!$C32,'Order Details'!$E:$E,"Yes")</f>
        <v>8239.6589999999997</v>
      </c>
      <c r="M32" s="133" t="s">
        <v>178</v>
      </c>
      <c r="N32" s="164">
        <v>45888</v>
      </c>
      <c r="O32" s="171">
        <f t="shared" si="11"/>
        <v>0</v>
      </c>
      <c r="P32" s="174">
        <f>ROUND(SUMIFS('Order Details'!$V:$V,'Order Details'!$A:$A,'Order Summary'!$B32,'Order Details'!$B:$B,'Order Summary'!$C32,'Order Details'!$E:$E,"Yes"),2)</f>
        <v>66494.05</v>
      </c>
      <c r="Q32" s="164">
        <v>45922</v>
      </c>
      <c r="R32" s="171">
        <f t="shared" si="3"/>
        <v>34</v>
      </c>
      <c r="S32" s="137">
        <v>33247.03</v>
      </c>
      <c r="T32" s="165">
        <f>IF(Q32="","",Q32+_xlfn.MAXIFS('Order Details'!$W:$W,'Order Details'!$A:$A,'Order Summary'!$B32,'Order Details'!$B:$B,'Order Summary'!$C32,'Order Details'!$E:$E,"Yes"))</f>
        <v>46012</v>
      </c>
      <c r="U32" s="164">
        <v>46058</v>
      </c>
      <c r="V32" s="133" t="s">
        <v>179</v>
      </c>
      <c r="W32" s="133" t="s">
        <v>61</v>
      </c>
      <c r="X32" s="133" t="s">
        <v>180</v>
      </c>
      <c r="Y32" s="133" t="s">
        <v>74</v>
      </c>
      <c r="Z32" s="309" t="str">
        <f>IF($Y32="","",IF(VLOOKUP($Y32,'Master Data'!$F$12:$I$17,2,FALSE)="","",VLOOKUP($Y32,'Master Data'!$F$12:$I$17,2,FALSE)))</f>
        <v/>
      </c>
      <c r="AA32" s="164" t="s">
        <v>575</v>
      </c>
      <c r="AB32" s="171" t="str">
        <f t="shared" si="9"/>
        <v/>
      </c>
      <c r="AC32" s="133" t="s">
        <v>181</v>
      </c>
      <c r="AD32" s="164">
        <v>45982</v>
      </c>
      <c r="AE32" s="164"/>
      <c r="AF32" s="137">
        <v>4500</v>
      </c>
      <c r="AG32" s="137">
        <v>1000</v>
      </c>
      <c r="AH32" s="137">
        <f t="shared" si="10"/>
        <v>71994.05</v>
      </c>
      <c r="AI32" s="137">
        <f t="shared" si="5"/>
        <v>38747.020000000004</v>
      </c>
      <c r="AJ32" s="164">
        <v>46000</v>
      </c>
      <c r="AK32" s="171">
        <f t="shared" si="7"/>
        <v>18</v>
      </c>
      <c r="AL32" s="137">
        <v>38747.019999999997</v>
      </c>
      <c r="AM32" s="167"/>
      <c r="AN32" s="244" t="str">
        <f t="shared" si="6"/>
        <v/>
      </c>
      <c r="AO32" s="164">
        <v>46045</v>
      </c>
    </row>
    <row r="33" spans="1:41" x14ac:dyDescent="0.35">
      <c r="A33" s="133" cm="1">
        <f t="array" ref="A33">ROW(33:33)-3</f>
        <v>30</v>
      </c>
      <c r="B33" s="133">
        <v>52954707</v>
      </c>
      <c r="C33" s="133">
        <v>0</v>
      </c>
      <c r="D33" s="133" t="str">
        <f t="shared" si="0"/>
        <v>52954707-0</v>
      </c>
      <c r="E33" s="133" t="s">
        <v>455</v>
      </c>
      <c r="F33" s="164">
        <v>45961</v>
      </c>
      <c r="G33" s="134" t="str">
        <f t="shared" si="1"/>
        <v>Yes</v>
      </c>
      <c r="H33" s="135">
        <f>SUMIFS('Order Details'!$R:$R,'Order Details'!$A:$A,'Order Summary'!$B33,'Order Details'!$B:$B,'Order Summary'!$C33,'Order Details'!$E:$E,"Yes")</f>
        <v>13</v>
      </c>
      <c r="I33" s="133" t="s">
        <v>58</v>
      </c>
      <c r="J33" s="133" t="str">
        <f>VLOOKUP($I33,'Master Data'!$L$5:$M$15,2,FALSE)</f>
        <v>Houston</v>
      </c>
      <c r="K33" s="137">
        <f>SUMIFS('Order Details'!$U:$U,'Order Details'!$A:$A,'Order Summary'!$B33,'Order Details'!$B:$B,'Order Summary'!$C33,'Order Details'!$E:$E,"Yes")</f>
        <v>61587.25</v>
      </c>
      <c r="L33" s="138">
        <f>SUMIFS('Order Details'!$P:$P,'Order Details'!$A:$A,'Order Summary'!$B33,'Order Details'!$B:$B,'Order Summary'!$C33,'Order Details'!$E:$E,"Yes")</f>
        <v>8143.6072500000009</v>
      </c>
      <c r="M33" s="133" t="s">
        <v>182</v>
      </c>
      <c r="N33" s="164">
        <v>45965</v>
      </c>
      <c r="O33" s="171">
        <f t="shared" si="11"/>
        <v>4</v>
      </c>
      <c r="P33" s="174">
        <f>ROUND(SUMIFS('Order Details'!$V:$V,'Order Details'!$A:$A,'Order Summary'!$B33,'Order Details'!$B:$B,'Order Summary'!$C33,'Order Details'!$E:$E,"Yes"),2)</f>
        <v>61598.18</v>
      </c>
      <c r="Q33" s="164">
        <v>45975</v>
      </c>
      <c r="R33" s="171">
        <f t="shared" si="3"/>
        <v>10</v>
      </c>
      <c r="S33" s="137">
        <v>30799.09</v>
      </c>
      <c r="T33" s="165">
        <f>IF(Q33="","",Q33+_xlfn.MAXIFS('Order Details'!$W:$W,'Order Details'!$A:$A,'Order Summary'!$B33,'Order Details'!$B:$B,'Order Summary'!$C33,'Order Details'!$E:$E,"Yes"))</f>
        <v>46065</v>
      </c>
      <c r="U33" s="164">
        <v>46072</v>
      </c>
      <c r="V33" s="133" t="s">
        <v>461</v>
      </c>
      <c r="W33" s="133" t="s">
        <v>61</v>
      </c>
      <c r="X33" s="133" t="s">
        <v>462</v>
      </c>
      <c r="Y33" s="133" t="s">
        <v>63</v>
      </c>
      <c r="Z33" s="309" t="str">
        <f>IF($Y33="","",IF(VLOOKUP($Y33,'Master Data'!$F$12:$I$17,2,FALSE)="","",VLOOKUP($Y33,'Master Data'!$F$12:$I$17,2,FALSE)))</f>
        <v>https://www.maersk.com/tracking/</v>
      </c>
      <c r="AA33" s="263">
        <v>46023</v>
      </c>
      <c r="AB33" s="171">
        <f t="shared" si="9"/>
        <v>48</v>
      </c>
      <c r="AC33" s="133" t="s">
        <v>183</v>
      </c>
      <c r="AD33" s="164">
        <v>46017</v>
      </c>
      <c r="AE33" s="164"/>
      <c r="AF33" s="137">
        <v>4500</v>
      </c>
      <c r="AG33" s="137">
        <v>1000</v>
      </c>
      <c r="AH33" s="137">
        <f t="shared" si="10"/>
        <v>67098.179999999993</v>
      </c>
      <c r="AI33" s="137">
        <f t="shared" si="5"/>
        <v>36299.089999999997</v>
      </c>
      <c r="AJ33" s="164">
        <v>46030</v>
      </c>
      <c r="AK33" s="171">
        <f t="shared" si="7"/>
        <v>13</v>
      </c>
      <c r="AL33" s="137">
        <v>36299.089999999997</v>
      </c>
      <c r="AM33" s="167"/>
      <c r="AN33" s="244" t="str">
        <f t="shared" si="6"/>
        <v/>
      </c>
      <c r="AO33" s="164">
        <v>46073</v>
      </c>
    </row>
    <row r="34" spans="1:41" x14ac:dyDescent="0.35">
      <c r="A34" s="133" cm="1">
        <f t="array" ref="A34">ROW(34:34)-3</f>
        <v>31</v>
      </c>
      <c r="B34" s="133">
        <v>24099925</v>
      </c>
      <c r="C34" s="133">
        <v>0</v>
      </c>
      <c r="D34" s="133" t="str">
        <f t="shared" si="0"/>
        <v>24099925-0</v>
      </c>
      <c r="E34" s="133" t="s">
        <v>455</v>
      </c>
      <c r="F34" s="164">
        <v>45964</v>
      </c>
      <c r="G34" s="134" t="str">
        <f t="shared" si="1"/>
        <v>Yes</v>
      </c>
      <c r="H34" s="135">
        <f>SUMIFS('Order Details'!$R:$R,'Order Details'!$A:$A,'Order Summary'!$B34,'Order Details'!$B:$B,'Order Summary'!$C34,'Order Details'!$E:$E,"Yes")</f>
        <v>10</v>
      </c>
      <c r="I34" s="133" t="s">
        <v>70</v>
      </c>
      <c r="J34" s="133" t="str">
        <f>VLOOKUP($I34,'Master Data'!$L$5:$M$15,2,FALSE)</f>
        <v>Baltimore</v>
      </c>
      <c r="K34" s="137">
        <f>SUMIFS('Order Details'!$U:$U,'Order Details'!$A:$A,'Order Summary'!$B34,'Order Details'!$B:$B,'Order Summary'!$C34,'Order Details'!$E:$E,"Yes")</f>
        <v>60882.5</v>
      </c>
      <c r="L34" s="138">
        <f>SUMIFS('Order Details'!$P:$P,'Order Details'!$A:$A,'Order Summary'!$B34,'Order Details'!$B:$B,'Order Summary'!$C34,'Order Details'!$E:$E,"Yes")</f>
        <v>7971.7350000000006</v>
      </c>
      <c r="M34" s="133" t="s">
        <v>184</v>
      </c>
      <c r="N34" s="164">
        <v>45965</v>
      </c>
      <c r="O34" s="171">
        <f t="shared" si="11"/>
        <v>1</v>
      </c>
      <c r="P34" s="174">
        <f>ROUND(SUMIFS('Order Details'!$V:$V,'Order Details'!$A:$A,'Order Summary'!$B34,'Order Details'!$B:$B,'Order Summary'!$C34,'Order Details'!$E:$E,"Yes"),2)</f>
        <v>60888.11</v>
      </c>
      <c r="Q34" s="164">
        <v>45975</v>
      </c>
      <c r="R34" s="171">
        <f t="shared" si="3"/>
        <v>10</v>
      </c>
      <c r="S34" s="137">
        <v>30444.05</v>
      </c>
      <c r="T34" s="165">
        <f>IF(Q34="","",Q34+_xlfn.MAXIFS('Order Details'!$W:$W,'Order Details'!$A:$A,'Order Summary'!$B34,'Order Details'!$B:$B,'Order Summary'!$C34,'Order Details'!$E:$E,"Yes"))</f>
        <v>46065</v>
      </c>
      <c r="U34" s="164">
        <v>46112</v>
      </c>
      <c r="V34" s="133" t="s">
        <v>457</v>
      </c>
      <c r="W34" s="133" t="s">
        <v>61</v>
      </c>
      <c r="X34" s="133" t="s">
        <v>458</v>
      </c>
      <c r="Y34" s="133" t="s">
        <v>74</v>
      </c>
      <c r="Z34" s="309" t="str">
        <f>IF($Y34="","",IF(VLOOKUP($Y34,'Master Data'!$F$12:$I$17,2,FALSE)="","",VLOOKUP($Y34,'Master Data'!$F$12:$I$17,2,FALSE)))</f>
        <v/>
      </c>
      <c r="AA34" s="263">
        <v>46030</v>
      </c>
      <c r="AB34" s="171">
        <f t="shared" si="9"/>
        <v>55</v>
      </c>
      <c r="AC34" s="133" t="s">
        <v>185</v>
      </c>
      <c r="AD34" s="164">
        <v>46017</v>
      </c>
      <c r="AE34" s="164"/>
      <c r="AF34" s="137">
        <v>4500</v>
      </c>
      <c r="AG34" s="137">
        <v>1000</v>
      </c>
      <c r="AH34" s="137">
        <f t="shared" si="10"/>
        <v>66388.11</v>
      </c>
      <c r="AI34" s="137">
        <f t="shared" si="5"/>
        <v>35944.06</v>
      </c>
      <c r="AJ34" s="164">
        <v>46030</v>
      </c>
      <c r="AK34" s="171">
        <f t="shared" si="7"/>
        <v>13</v>
      </c>
      <c r="AL34" s="137">
        <v>35944.06</v>
      </c>
      <c r="AM34" s="167">
        <v>46094</v>
      </c>
      <c r="AN34" s="244">
        <f t="shared" si="6"/>
        <v>64</v>
      </c>
      <c r="AO34" s="164">
        <v>46106</v>
      </c>
    </row>
    <row r="35" spans="1:41" x14ac:dyDescent="0.35">
      <c r="A35" s="133" cm="1">
        <f t="array" ref="A35">ROW(35:35)-3</f>
        <v>32</v>
      </c>
      <c r="B35" s="133">
        <v>24104813</v>
      </c>
      <c r="C35" s="133">
        <v>0</v>
      </c>
      <c r="D35" s="133" t="str">
        <f t="shared" si="0"/>
        <v>24104813-0</v>
      </c>
      <c r="E35" s="133" t="s">
        <v>455</v>
      </c>
      <c r="F35" s="164">
        <v>45964</v>
      </c>
      <c r="G35" s="134" t="str">
        <f t="shared" si="1"/>
        <v>Yes</v>
      </c>
      <c r="H35" s="135">
        <f>SUMIFS('Order Details'!$R:$R,'Order Details'!$A:$A,'Order Summary'!$B35,'Order Details'!$B:$B,'Order Summary'!$C35,'Order Details'!$E:$E,"Yes")</f>
        <v>15</v>
      </c>
      <c r="I35" s="133" t="s">
        <v>70</v>
      </c>
      <c r="J35" s="133" t="str">
        <f>VLOOKUP($I35,'Master Data'!$L$5:$M$15,2,FALSE)</f>
        <v>Baltimore</v>
      </c>
      <c r="K35" s="137">
        <f>SUMIFS('Order Details'!$U:$U,'Order Details'!$A:$A,'Order Summary'!$B35,'Order Details'!$B:$B,'Order Summary'!$C35,'Order Details'!$E:$E,"Yes")</f>
        <v>66209.25</v>
      </c>
      <c r="L35" s="138">
        <f>SUMIFS('Order Details'!$P:$P,'Order Details'!$A:$A,'Order Summary'!$B35,'Order Details'!$B:$B,'Order Summary'!$C35,'Order Details'!$E:$E,"Yes")</f>
        <v>8590.5</v>
      </c>
      <c r="M35" s="133" t="s">
        <v>186</v>
      </c>
      <c r="N35" s="164">
        <v>45965</v>
      </c>
      <c r="O35" s="171">
        <f t="shared" si="11"/>
        <v>1</v>
      </c>
      <c r="P35" s="174">
        <f>ROUND(SUMIFS('Order Details'!$V:$V,'Order Details'!$A:$A,'Order Summary'!$B35,'Order Details'!$B:$B,'Order Summary'!$C35,'Order Details'!$E:$E,"Yes"),2)</f>
        <v>66232.759999999995</v>
      </c>
      <c r="Q35" s="164">
        <v>45975</v>
      </c>
      <c r="R35" s="171">
        <f t="shared" si="3"/>
        <v>10</v>
      </c>
      <c r="S35" s="137">
        <v>33116.379999999997</v>
      </c>
      <c r="T35" s="165">
        <f>IF(Q35="","",Q35+_xlfn.MAXIFS('Order Details'!$W:$W,'Order Details'!$A:$A,'Order Summary'!$B35,'Order Details'!$B:$B,'Order Summary'!$C35,'Order Details'!$E:$E,"Yes"))</f>
        <v>46020</v>
      </c>
      <c r="U35" s="164">
        <v>46085</v>
      </c>
      <c r="V35" s="133" t="s">
        <v>459</v>
      </c>
      <c r="W35" s="133" t="s">
        <v>61</v>
      </c>
      <c r="X35" s="133" t="s">
        <v>460</v>
      </c>
      <c r="Y35" s="133" t="s">
        <v>74</v>
      </c>
      <c r="Z35" s="309" t="str">
        <f>IF($Y35="","",IF(VLOOKUP($Y35,'Master Data'!$F$12:$I$17,2,FALSE)="","",VLOOKUP($Y35,'Master Data'!$F$12:$I$17,2,FALSE)))</f>
        <v/>
      </c>
      <c r="AA35" s="263">
        <v>46032</v>
      </c>
      <c r="AB35" s="171">
        <f t="shared" si="9"/>
        <v>57</v>
      </c>
      <c r="AC35" s="133" t="s">
        <v>187</v>
      </c>
      <c r="AD35" s="164">
        <v>46022</v>
      </c>
      <c r="AE35" s="164"/>
      <c r="AF35" s="137">
        <v>4500</v>
      </c>
      <c r="AG35" s="137">
        <v>1000</v>
      </c>
      <c r="AH35" s="137">
        <f t="shared" si="10"/>
        <v>71732.759999999995</v>
      </c>
      <c r="AI35" s="137">
        <f t="shared" si="5"/>
        <v>38616.379999999997</v>
      </c>
      <c r="AJ35" s="164">
        <v>46037</v>
      </c>
      <c r="AK35" s="171">
        <f t="shared" si="7"/>
        <v>15</v>
      </c>
      <c r="AL35" s="137">
        <v>38616.379999999997</v>
      </c>
      <c r="AM35" s="167">
        <v>46091</v>
      </c>
      <c r="AN35" s="244">
        <f t="shared" si="6"/>
        <v>54</v>
      </c>
      <c r="AO35" s="164">
        <v>46096</v>
      </c>
    </row>
    <row r="36" spans="1:41" x14ac:dyDescent="0.35">
      <c r="A36" s="133" cm="1">
        <f t="array" ref="A36">ROW(36:36)-3</f>
        <v>33</v>
      </c>
      <c r="B36" s="133">
        <v>24104818</v>
      </c>
      <c r="C36" s="133">
        <v>0</v>
      </c>
      <c r="D36" s="133" t="str">
        <f t="shared" ref="D36:D67" si="12">B36&amp;"-"&amp;C36</f>
        <v>24104818-0</v>
      </c>
      <c r="E36" s="133" t="s">
        <v>110</v>
      </c>
      <c r="F36" s="164">
        <v>45964</v>
      </c>
      <c r="G36" s="134" t="str">
        <f t="shared" ref="G36:G59" si="13">IF(OR(E36="PO Revised",E36="PO Cancelled"),"No","Yes")</f>
        <v>Yes</v>
      </c>
      <c r="H36" s="135">
        <f>SUMIFS('Order Details'!$R:$R,'Order Details'!$A:$A,'Order Summary'!$B36,'Order Details'!$B:$B,'Order Summary'!$C36,'Order Details'!$E:$E,"Yes")</f>
        <v>15</v>
      </c>
      <c r="I36" s="133" t="s">
        <v>70</v>
      </c>
      <c r="J36" s="133" t="str">
        <f>VLOOKUP($I36,'Master Data'!$L$5:$M$15,2,FALSE)</f>
        <v>Baltimore</v>
      </c>
      <c r="K36" s="137">
        <f>SUMIFS('Order Details'!$U:$U,'Order Details'!$A:$A,'Order Summary'!$B36,'Order Details'!$B:$B,'Order Summary'!$C36,'Order Details'!$E:$E,"Yes")</f>
        <v>64669.5</v>
      </c>
      <c r="L36" s="138">
        <f>SUMIFS('Order Details'!$P:$P,'Order Details'!$A:$A,'Order Summary'!$B36,'Order Details'!$B:$B,'Order Summary'!$C36,'Order Details'!$E:$E,"Yes")</f>
        <v>8590.5</v>
      </c>
      <c r="M36" s="133" t="s">
        <v>188</v>
      </c>
      <c r="N36" s="164">
        <v>45965</v>
      </c>
      <c r="O36" s="171">
        <f t="shared" si="11"/>
        <v>1</v>
      </c>
      <c r="P36" s="174">
        <f>ROUND(SUMIFS('Order Details'!$V:$V,'Order Details'!$A:$A,'Order Summary'!$B36,'Order Details'!$B:$B,'Order Summary'!$C36,'Order Details'!$E:$E,"Yes"),2)</f>
        <v>64686.47</v>
      </c>
      <c r="Q36" s="164">
        <v>45975</v>
      </c>
      <c r="R36" s="171">
        <f t="shared" ref="R36:R67" si="14">IF(Q36="","",$Q36-$N36)</f>
        <v>10</v>
      </c>
      <c r="S36" s="137">
        <v>32343.24</v>
      </c>
      <c r="T36" s="165">
        <f>IF(Q36="","",Q36+_xlfn.MAXIFS('Order Details'!$W:$W,'Order Details'!$A:$A,'Order Summary'!$B36,'Order Details'!$B:$B,'Order Summary'!$C36,'Order Details'!$E:$E,"Yes"))</f>
        <v>46065</v>
      </c>
      <c r="U36" s="164">
        <v>46092</v>
      </c>
      <c r="V36" s="133" t="s">
        <v>463</v>
      </c>
      <c r="W36" s="133" t="s">
        <v>61</v>
      </c>
      <c r="X36" s="133" t="s">
        <v>464</v>
      </c>
      <c r="Y36" s="133" t="s">
        <v>74</v>
      </c>
      <c r="Z36" s="309" t="str">
        <f>IF($Y36="","",IF(VLOOKUP($Y36,'Master Data'!$F$12:$I$17,2,FALSE)="","",VLOOKUP($Y36,'Master Data'!$F$12:$I$17,2,FALSE)))</f>
        <v/>
      </c>
      <c r="AA36" s="264">
        <v>46039</v>
      </c>
      <c r="AB36" s="171">
        <f t="shared" si="9"/>
        <v>64</v>
      </c>
      <c r="AC36" s="133" t="s">
        <v>189</v>
      </c>
      <c r="AD36" s="164">
        <v>46022</v>
      </c>
      <c r="AE36" s="164"/>
      <c r="AF36" s="137">
        <v>4500</v>
      </c>
      <c r="AG36" s="137">
        <v>1000</v>
      </c>
      <c r="AH36" s="137">
        <f t="shared" si="10"/>
        <v>70186.47</v>
      </c>
      <c r="AI36" s="137">
        <f t="shared" ref="AI36:AI67" si="15">AH36-S36</f>
        <v>37843.229999999996</v>
      </c>
      <c r="AJ36" s="164">
        <v>46037</v>
      </c>
      <c r="AK36" s="171">
        <f t="shared" si="7"/>
        <v>15</v>
      </c>
      <c r="AL36" s="137">
        <v>37843.230000000003</v>
      </c>
      <c r="AM36" s="167"/>
      <c r="AN36" s="244" t="str">
        <f t="shared" ref="AN36:AN67" si="16">IFERROR(IF(OR(AM36="",AJ36=""),"",$AM36-$AJ36),"")</f>
        <v/>
      </c>
      <c r="AO36" s="164">
        <v>46106</v>
      </c>
    </row>
    <row r="37" spans="1:41" x14ac:dyDescent="0.35">
      <c r="A37" s="133" cm="1">
        <f t="array" ref="A37">ROW(37:37)-3</f>
        <v>34</v>
      </c>
      <c r="B37" s="133">
        <v>52954701</v>
      </c>
      <c r="C37" s="133">
        <v>0</v>
      </c>
      <c r="D37" s="133" t="str">
        <f t="shared" si="12"/>
        <v>52954701-0</v>
      </c>
      <c r="E37" s="133" t="s">
        <v>455</v>
      </c>
      <c r="F37" s="164">
        <v>45964</v>
      </c>
      <c r="G37" s="134" t="str">
        <f t="shared" si="13"/>
        <v>Yes</v>
      </c>
      <c r="H37" s="135">
        <f>SUMIFS('Order Details'!$R:$R,'Order Details'!$A:$A,'Order Summary'!$B37,'Order Details'!$B:$B,'Order Summary'!$C37,'Order Details'!$E:$E,"Yes")</f>
        <v>14</v>
      </c>
      <c r="I37" s="133" t="s">
        <v>58</v>
      </c>
      <c r="J37" s="133" t="str">
        <f>VLOOKUP($I37,'Master Data'!$L$5:$M$15,2,FALSE)</f>
        <v>Houston</v>
      </c>
      <c r="K37" s="137">
        <f>SUMIFS('Order Details'!$U:$U,'Order Details'!$A:$A,'Order Summary'!$B37,'Order Details'!$B:$B,'Order Summary'!$C37,'Order Details'!$E:$E,"Yes")</f>
        <v>63381.45</v>
      </c>
      <c r="L37" s="138">
        <f>SUMIFS('Order Details'!$P:$P,'Order Details'!$A:$A,'Order Summary'!$B37,'Order Details'!$B:$B,'Order Summary'!$C37,'Order Details'!$E:$E,"Yes")</f>
        <v>8378.1652500000018</v>
      </c>
      <c r="M37" s="133" t="s">
        <v>190</v>
      </c>
      <c r="N37" s="164">
        <v>45965</v>
      </c>
      <c r="O37" s="171">
        <f t="shared" si="11"/>
        <v>1</v>
      </c>
      <c r="P37" s="174">
        <f>ROUND(SUMIFS('Order Details'!$V:$V,'Order Details'!$A:$A,'Order Summary'!$B37,'Order Details'!$B:$B,'Order Summary'!$C37,'Order Details'!$E:$E,"Yes"),2)</f>
        <v>63396.84</v>
      </c>
      <c r="Q37" s="164">
        <v>45975</v>
      </c>
      <c r="R37" s="171">
        <f t="shared" si="14"/>
        <v>10</v>
      </c>
      <c r="S37" s="137">
        <v>31698.42</v>
      </c>
      <c r="T37" s="165">
        <f>IF(Q37="","",Q37+_xlfn.MAXIFS('Order Details'!$W:$W,'Order Details'!$A:$A,'Order Summary'!$B37,'Order Details'!$B:$B,'Order Summary'!$C37,'Order Details'!$E:$E,"Yes"))</f>
        <v>46065</v>
      </c>
      <c r="U37" s="164">
        <v>46086</v>
      </c>
      <c r="V37" s="133" t="s">
        <v>465</v>
      </c>
      <c r="W37" s="133" t="s">
        <v>61</v>
      </c>
      <c r="X37" s="133" t="s">
        <v>466</v>
      </c>
      <c r="Y37" s="133" t="s">
        <v>63</v>
      </c>
      <c r="Z37" s="309" t="str">
        <f>IF($Y37="","",IF(VLOOKUP($Y37,'Master Data'!$F$12:$I$17,2,FALSE)="","",VLOOKUP($Y37,'Master Data'!$F$12:$I$17,2,FALSE)))</f>
        <v>https://www.maersk.com/tracking/</v>
      </c>
      <c r="AA37" s="264">
        <v>46037</v>
      </c>
      <c r="AB37" s="171">
        <f t="shared" si="9"/>
        <v>62</v>
      </c>
      <c r="AC37" s="133" t="s">
        <v>191</v>
      </c>
      <c r="AD37" s="164">
        <v>46022</v>
      </c>
      <c r="AE37" s="164"/>
      <c r="AF37" s="137">
        <v>4500</v>
      </c>
      <c r="AG37" s="137">
        <v>1000</v>
      </c>
      <c r="AH37" s="137">
        <f t="shared" si="10"/>
        <v>68896.84</v>
      </c>
      <c r="AI37" s="137">
        <f t="shared" si="15"/>
        <v>37198.42</v>
      </c>
      <c r="AJ37" s="164">
        <v>46037</v>
      </c>
      <c r="AK37" s="171">
        <f t="shared" si="7"/>
        <v>15</v>
      </c>
      <c r="AL37" s="137">
        <v>37197.9</v>
      </c>
      <c r="AM37" s="167"/>
      <c r="AN37" s="244" t="str">
        <f t="shared" si="16"/>
        <v/>
      </c>
      <c r="AO37" s="164">
        <v>46092</v>
      </c>
    </row>
    <row r="38" spans="1:41" x14ac:dyDescent="0.35">
      <c r="A38" s="133" cm="1">
        <f t="array" ref="A38">ROW(38:38)-3</f>
        <v>35</v>
      </c>
      <c r="B38" s="133">
        <v>52954705</v>
      </c>
      <c r="C38" s="133">
        <v>1</v>
      </c>
      <c r="D38" s="133" t="str">
        <f t="shared" si="12"/>
        <v>52954705-1</v>
      </c>
      <c r="E38" s="133" t="s">
        <v>455</v>
      </c>
      <c r="F38" s="164">
        <v>45961</v>
      </c>
      <c r="G38" s="134" t="str">
        <f t="shared" si="13"/>
        <v>Yes</v>
      </c>
      <c r="H38" s="135">
        <f>SUMIFS('Order Details'!$R:$R,'Order Details'!$A:$A,'Order Summary'!$B38,'Order Details'!$B:$B,'Order Summary'!$C38,'Order Details'!$E:$E,"Yes")</f>
        <v>10</v>
      </c>
      <c r="I38" s="133" t="s">
        <v>58</v>
      </c>
      <c r="J38" s="133" t="str">
        <f>VLOOKUP($I38,'Master Data'!$L$5:$M$15,2,FALSE)</f>
        <v>Houston</v>
      </c>
      <c r="K38" s="137">
        <f>SUMIFS('Order Details'!$U:$U,'Order Details'!$A:$A,'Order Summary'!$B38,'Order Details'!$B:$B,'Order Summary'!$C38,'Order Details'!$E:$E,"Yes")</f>
        <v>47722.450000000004</v>
      </c>
      <c r="L38" s="138">
        <f>SUMIFS('Order Details'!$P:$P,'Order Details'!$A:$A,'Order Summary'!$B38,'Order Details'!$B:$B,'Order Summary'!$C38,'Order Details'!$E:$E,"Yes")</f>
        <v>6232.719000000001</v>
      </c>
      <c r="M38" s="133" t="s">
        <v>192</v>
      </c>
      <c r="N38" s="164">
        <v>45965</v>
      </c>
      <c r="O38" s="171">
        <f t="shared" si="11"/>
        <v>4</v>
      </c>
      <c r="P38" s="174">
        <f>ROUND(SUMIFS('Order Details'!$V:$V,'Order Details'!$A:$A,'Order Summary'!$B38,'Order Details'!$B:$B,'Order Summary'!$C38,'Order Details'!$E:$E,"Yes"),2)</f>
        <v>47733.49</v>
      </c>
      <c r="Q38" s="164">
        <v>45975</v>
      </c>
      <c r="R38" s="171">
        <f t="shared" si="14"/>
        <v>10</v>
      </c>
      <c r="S38" s="137">
        <v>30072.11</v>
      </c>
      <c r="T38" s="165">
        <f>IF(Q38="","",Q38+_xlfn.MAXIFS('Order Details'!$W:$W,'Order Details'!$A:$A,'Order Summary'!$B38,'Order Details'!$B:$B,'Order Summary'!$C38,'Order Details'!$E:$E,"Yes"))</f>
        <v>46065</v>
      </c>
      <c r="U38" s="164">
        <v>46079</v>
      </c>
      <c r="V38" s="133" t="s">
        <v>467</v>
      </c>
      <c r="W38" s="133" t="s">
        <v>61</v>
      </c>
      <c r="X38" s="133" t="s">
        <v>468</v>
      </c>
      <c r="Y38" s="133" t="s">
        <v>63</v>
      </c>
      <c r="Z38" s="309" t="str">
        <f>IF($Y38="","",IF(VLOOKUP($Y38,'Master Data'!$F$12:$I$17,2,FALSE)="","",VLOOKUP($Y38,'Master Data'!$F$12:$I$17,2,FALSE)))</f>
        <v>https://www.maersk.com/tracking/</v>
      </c>
      <c r="AA38" s="264">
        <v>46029</v>
      </c>
      <c r="AB38" s="171">
        <f t="shared" si="9"/>
        <v>54</v>
      </c>
      <c r="AC38" s="133" t="s">
        <v>193</v>
      </c>
      <c r="AD38" s="164">
        <v>46022</v>
      </c>
      <c r="AE38" s="164"/>
      <c r="AF38" s="137">
        <v>4500</v>
      </c>
      <c r="AG38" s="137">
        <v>1000</v>
      </c>
      <c r="AH38" s="137">
        <f t="shared" si="10"/>
        <v>53233.49</v>
      </c>
      <c r="AI38" s="137">
        <f t="shared" si="15"/>
        <v>23161.379999999997</v>
      </c>
      <c r="AJ38" s="164">
        <v>46030</v>
      </c>
      <c r="AK38" s="171">
        <f t="shared" ref="AK38:AK69" si="17">IF(AJ38="","",$AJ38-$AD38)</f>
        <v>8</v>
      </c>
      <c r="AL38" s="137">
        <v>23161.3</v>
      </c>
      <c r="AM38" s="167">
        <v>46079</v>
      </c>
      <c r="AN38" s="244">
        <f t="shared" si="16"/>
        <v>49</v>
      </c>
      <c r="AO38" s="164">
        <v>46080</v>
      </c>
    </row>
    <row r="39" spans="1:41" x14ac:dyDescent="0.35">
      <c r="A39" s="133" cm="1">
        <f t="array" ref="A39">ROW(39:39)-3</f>
        <v>36</v>
      </c>
      <c r="B39" s="133">
        <v>24116019</v>
      </c>
      <c r="C39" s="133">
        <v>0</v>
      </c>
      <c r="D39" s="133" t="str">
        <f t="shared" si="12"/>
        <v>24116019-0</v>
      </c>
      <c r="E39" s="133" t="s">
        <v>110</v>
      </c>
      <c r="F39" s="164">
        <v>45964</v>
      </c>
      <c r="G39" s="134" t="str">
        <f t="shared" si="13"/>
        <v>Yes</v>
      </c>
      <c r="H39" s="135">
        <f>SUMIFS('Order Details'!$R:$R,'Order Details'!$A:$A,'Order Summary'!$B39,'Order Details'!$B:$B,'Order Summary'!$C39,'Order Details'!$E:$E,"Yes")</f>
        <v>11</v>
      </c>
      <c r="I39" s="133" t="s">
        <v>70</v>
      </c>
      <c r="J39" s="133" t="str">
        <f>VLOOKUP($I39,'Master Data'!$L$5:$M$15,2,FALSE)</f>
        <v>Baltimore</v>
      </c>
      <c r="K39" s="137">
        <f>SUMIFS('Order Details'!$U:$U,'Order Details'!$A:$A,'Order Summary'!$B39,'Order Details'!$B:$B,'Order Summary'!$C39,'Order Details'!$E:$E,"Yes")</f>
        <v>62597.5</v>
      </c>
      <c r="L39" s="138">
        <f>SUMIFS('Order Details'!$P:$P,'Order Details'!$A:$A,'Order Summary'!$B39,'Order Details'!$B:$B,'Order Summary'!$C39,'Order Details'!$E:$E,"Yes")</f>
        <v>8200.0680000000011</v>
      </c>
      <c r="M39" s="133" t="s">
        <v>194</v>
      </c>
      <c r="N39" s="164">
        <v>45965</v>
      </c>
      <c r="O39" s="171">
        <f t="shared" si="11"/>
        <v>1</v>
      </c>
      <c r="P39" s="174">
        <f>ROUND(SUMIFS('Order Details'!$V:$V,'Order Details'!$A:$A,'Order Summary'!$B39,'Order Details'!$B:$B,'Order Summary'!$C39,'Order Details'!$E:$E,"Yes"),2)</f>
        <v>62607.46</v>
      </c>
      <c r="Q39" s="164">
        <v>45975</v>
      </c>
      <c r="R39" s="171">
        <f t="shared" si="14"/>
        <v>10</v>
      </c>
      <c r="S39" s="137">
        <v>31303.73</v>
      </c>
      <c r="T39" s="165">
        <f>IF(Q39="","",Q39+_xlfn.MAXIFS('Order Details'!$W:$W,'Order Details'!$A:$A,'Order Summary'!$B39,'Order Details'!$B:$B,'Order Summary'!$C39,'Order Details'!$E:$E,"Yes"))</f>
        <v>46065</v>
      </c>
      <c r="U39" s="164">
        <v>46092</v>
      </c>
      <c r="V39" s="133" t="s">
        <v>469</v>
      </c>
      <c r="W39" s="133" t="s">
        <v>61</v>
      </c>
      <c r="X39" s="133" t="s">
        <v>470</v>
      </c>
      <c r="Y39" s="133" t="s">
        <v>74</v>
      </c>
      <c r="Z39" s="309" t="str">
        <f>IF($Y39="","",IF(VLOOKUP($Y39,'Master Data'!$F$12:$I$17,2,FALSE)="","",VLOOKUP($Y39,'Master Data'!$F$12:$I$17,2,FALSE)))</f>
        <v/>
      </c>
      <c r="AA39" s="263">
        <v>46039</v>
      </c>
      <c r="AB39" s="171">
        <f t="shared" si="9"/>
        <v>64</v>
      </c>
      <c r="AC39" s="133" t="s">
        <v>195</v>
      </c>
      <c r="AD39" s="164">
        <v>46034</v>
      </c>
      <c r="AE39" s="164"/>
      <c r="AF39" s="137">
        <v>4500</v>
      </c>
      <c r="AG39" s="137">
        <v>1000</v>
      </c>
      <c r="AH39" s="137">
        <f t="shared" si="10"/>
        <v>68107.459999999992</v>
      </c>
      <c r="AI39" s="137">
        <f t="shared" si="15"/>
        <v>36803.729999999996</v>
      </c>
      <c r="AJ39" s="164">
        <v>46051</v>
      </c>
      <c r="AK39" s="171">
        <f t="shared" si="17"/>
        <v>17</v>
      </c>
      <c r="AL39" s="137">
        <v>36803.730000000003</v>
      </c>
      <c r="AM39" s="166"/>
      <c r="AN39" s="244" t="str">
        <f t="shared" si="16"/>
        <v/>
      </c>
      <c r="AO39" s="164">
        <v>46106</v>
      </c>
    </row>
    <row r="40" spans="1:41" x14ac:dyDescent="0.35">
      <c r="A40" s="133">
        <v>36</v>
      </c>
      <c r="B40" s="133">
        <v>24045976</v>
      </c>
      <c r="C40" s="133">
        <v>0</v>
      </c>
      <c r="D40" s="133" t="str">
        <f t="shared" si="12"/>
        <v>24045976-0</v>
      </c>
      <c r="E40" s="133" t="s">
        <v>196</v>
      </c>
      <c r="F40" s="164">
        <v>45888</v>
      </c>
      <c r="G40" s="134" t="str">
        <f t="shared" si="13"/>
        <v>No</v>
      </c>
      <c r="H40" s="135">
        <f>SUMIFS('Order Details'!$R:$R,'Order Details'!$A:$A,'Order Summary'!$B40,'Order Details'!$B:$B,'Order Summary'!$C40,'Order Details'!$E:$E,"Yes")</f>
        <v>0</v>
      </c>
      <c r="I40" s="133" t="s">
        <v>116</v>
      </c>
      <c r="J40" s="133" t="str">
        <f>VLOOKUP($I40,'Master Data'!$L$5:$M$15,2,FALSE)</f>
        <v>Savannah</v>
      </c>
      <c r="K40" s="137">
        <f>SUMIFS('Order Details'!$U:$U,'Order Details'!$A:$A,'Order Summary'!$B40,'Order Details'!$B:$B,'Order Summary'!$C40,'Order Details'!$E:$E,"Yes")</f>
        <v>0</v>
      </c>
      <c r="L40" s="138">
        <f>SUMIFS('Order Details'!$P:$P,'Order Details'!$A:$A,'Order Summary'!$B40,'Order Details'!$B:$B,'Order Summary'!$C40,'Order Details'!$E:$E,"Yes")</f>
        <v>0</v>
      </c>
      <c r="M40" s="133" t="s">
        <v>174</v>
      </c>
      <c r="N40" s="164">
        <v>45888</v>
      </c>
      <c r="O40" s="171">
        <f t="shared" si="11"/>
        <v>0</v>
      </c>
      <c r="P40" s="174">
        <f>ROUND(SUMIFS('Order Details'!$V:$V,'Order Details'!$A:$A,'Order Summary'!$B40,'Order Details'!$B:$B,'Order Summary'!$C40,'Order Details'!$E:$E,"Yes"),2)</f>
        <v>0</v>
      </c>
      <c r="Q40" s="164"/>
      <c r="R40" s="171" t="str">
        <f t="shared" si="14"/>
        <v/>
      </c>
      <c r="S40" s="137"/>
      <c r="T40" s="165" t="str">
        <f>IF(Q40="","",Q40+_xlfn.MAXIFS('Order Details'!$W:$W,'Order Details'!$A:$A,'Order Summary'!$B40,'Order Details'!$B:$B,'Order Summary'!$C40,'Order Details'!$E:$E,"Yes"))</f>
        <v/>
      </c>
      <c r="U40" s="164"/>
      <c r="V40" s="133"/>
      <c r="W40" s="133"/>
      <c r="X40" s="133"/>
      <c r="Y40" s="133"/>
      <c r="Z40" s="309" t="str">
        <f>IF($Y40="","",IF(VLOOKUP($Y40,'Master Data'!$F$12:$I$17,2,FALSE)="","",VLOOKUP($Y40,'Master Data'!$F$12:$I$17,2,FALSE)))</f>
        <v/>
      </c>
      <c r="AA40" s="164"/>
      <c r="AB40" s="171" t="str">
        <f t="shared" si="9"/>
        <v/>
      </c>
      <c r="AC40" s="133" t="s">
        <v>177</v>
      </c>
      <c r="AD40" s="164">
        <v>45982</v>
      </c>
      <c r="AE40" s="164"/>
      <c r="AF40" s="137">
        <v>4500</v>
      </c>
      <c r="AG40" s="137">
        <v>1000</v>
      </c>
      <c r="AH40" s="137">
        <f t="shared" si="10"/>
        <v>5500</v>
      </c>
      <c r="AI40" s="137">
        <f t="shared" si="15"/>
        <v>5500</v>
      </c>
      <c r="AJ40" s="164"/>
      <c r="AK40" s="171" t="str">
        <f t="shared" si="17"/>
        <v/>
      </c>
      <c r="AL40" s="137"/>
      <c r="AM40" s="167">
        <v>46035</v>
      </c>
      <c r="AN40" s="244">
        <v>46034</v>
      </c>
      <c r="AO40" s="164">
        <v>46034</v>
      </c>
    </row>
    <row r="41" spans="1:41" x14ac:dyDescent="0.35">
      <c r="A41" s="133">
        <v>38</v>
      </c>
      <c r="B41" s="133">
        <v>24045978</v>
      </c>
      <c r="C41" s="133">
        <v>0</v>
      </c>
      <c r="D41" s="133" t="str">
        <f t="shared" si="12"/>
        <v>24045978-0</v>
      </c>
      <c r="E41" s="133" t="s">
        <v>196</v>
      </c>
      <c r="F41" s="164">
        <v>45888</v>
      </c>
      <c r="G41" s="134" t="str">
        <f t="shared" si="13"/>
        <v>No</v>
      </c>
      <c r="H41" s="135">
        <f>SUMIFS('Order Details'!$R:$R,'Order Details'!$A:$A,'Order Summary'!$B41,'Order Details'!$B:$B,'Order Summary'!$C41,'Order Details'!$E:$E,"Yes")</f>
        <v>0</v>
      </c>
      <c r="I41" s="133" t="s">
        <v>116</v>
      </c>
      <c r="J41" s="133" t="str">
        <f>VLOOKUP($I41,'Master Data'!$L$5:$M$15,2,FALSE)</f>
        <v>Savannah</v>
      </c>
      <c r="K41" s="137">
        <f>SUMIFS('Order Details'!$U:$U,'Order Details'!$A:$A,'Order Summary'!$B41,'Order Details'!$B:$B,'Order Summary'!$C41,'Order Details'!$E:$E,"Yes")</f>
        <v>0</v>
      </c>
      <c r="L41" s="138">
        <f>SUMIFS('Order Details'!$P:$P,'Order Details'!$A:$A,'Order Summary'!$B41,'Order Details'!$B:$B,'Order Summary'!$C41,'Order Details'!$E:$E,"Yes")</f>
        <v>0</v>
      </c>
      <c r="M41" s="133" t="s">
        <v>117</v>
      </c>
      <c r="N41" s="164">
        <v>45888</v>
      </c>
      <c r="O41" s="171">
        <f t="shared" si="11"/>
        <v>0</v>
      </c>
      <c r="P41" s="174">
        <f>ROUND(SUMIFS('Order Details'!$V:$V,'Order Details'!$A:$A,'Order Summary'!$B41,'Order Details'!$B:$B,'Order Summary'!$C41,'Order Details'!$E:$E,"Yes"),2)</f>
        <v>0</v>
      </c>
      <c r="Q41" s="164"/>
      <c r="R41" s="171" t="str">
        <f t="shared" si="14"/>
        <v/>
      </c>
      <c r="S41" s="137"/>
      <c r="T41" s="165" t="str">
        <f>IF(Q41="","",Q41+_xlfn.MAXIFS('Order Details'!$W:$W,'Order Details'!$A:$A,'Order Summary'!$B41,'Order Details'!$B:$B,'Order Summary'!$C41,'Order Details'!$E:$E,"Yes"))</f>
        <v/>
      </c>
      <c r="U41" s="164" t="str">
        <f>IF(T41="","",T41+VLOOKUP($J41,'Master Data'!$F$6:$G$9,2,FALSE))</f>
        <v/>
      </c>
      <c r="V41" s="133"/>
      <c r="W41" s="133"/>
      <c r="X41" s="133"/>
      <c r="Y41" s="133"/>
      <c r="Z41" s="309" t="str">
        <f>IF($Y41="","",IF(VLOOKUP($Y41,'Master Data'!$F$12:$I$17,2,FALSE)="","",VLOOKUP($Y41,'Master Data'!$F$12:$I$17,2,FALSE)))</f>
        <v/>
      </c>
      <c r="AA41" s="164" t="str">
        <f>U41</f>
        <v/>
      </c>
      <c r="AB41" s="171" t="str">
        <f t="shared" si="9"/>
        <v/>
      </c>
      <c r="AC41" s="133" t="s">
        <v>120</v>
      </c>
      <c r="AD41" s="164">
        <v>45938</v>
      </c>
      <c r="AE41" s="164"/>
      <c r="AF41" s="137">
        <v>4500</v>
      </c>
      <c r="AG41" s="137">
        <v>1000</v>
      </c>
      <c r="AH41" s="137">
        <f t="shared" si="10"/>
        <v>5500</v>
      </c>
      <c r="AI41" s="137">
        <f t="shared" si="15"/>
        <v>5500</v>
      </c>
      <c r="AJ41" s="164"/>
      <c r="AK41" s="171" t="str">
        <f t="shared" si="17"/>
        <v/>
      </c>
      <c r="AL41" s="137"/>
      <c r="AM41" s="166"/>
      <c r="AN41" s="244" t="str">
        <f t="shared" si="16"/>
        <v/>
      </c>
      <c r="AO41" s="164"/>
    </row>
    <row r="42" spans="1:41" x14ac:dyDescent="0.35">
      <c r="A42" s="133">
        <v>40</v>
      </c>
      <c r="B42" s="133">
        <v>24045980</v>
      </c>
      <c r="C42" s="133">
        <v>0</v>
      </c>
      <c r="D42" s="133" t="str">
        <f t="shared" si="12"/>
        <v>24045980-0</v>
      </c>
      <c r="E42" s="133" t="s">
        <v>196</v>
      </c>
      <c r="F42" s="164">
        <v>45888</v>
      </c>
      <c r="G42" s="134" t="str">
        <f t="shared" si="13"/>
        <v>No</v>
      </c>
      <c r="H42" s="135">
        <f>SUMIFS('Order Details'!$R:$R,'Order Details'!$A:$A,'Order Summary'!$B42,'Order Details'!$B:$B,'Order Summary'!$C42,'Order Details'!$E:$E,"Yes")</f>
        <v>0</v>
      </c>
      <c r="I42" s="133" t="s">
        <v>116</v>
      </c>
      <c r="J42" s="133" t="str">
        <f>VLOOKUP($I42,'Master Data'!$L$5:$M$15,2,FALSE)</f>
        <v>Savannah</v>
      </c>
      <c r="K42" s="137">
        <f>SUMIFS('Order Details'!$U:$U,'Order Details'!$A:$A,'Order Summary'!$B42,'Order Details'!$B:$B,'Order Summary'!$C42,'Order Details'!$E:$E,"Yes")</f>
        <v>0</v>
      </c>
      <c r="L42" s="138">
        <f>SUMIFS('Order Details'!$P:$P,'Order Details'!$A:$A,'Order Summary'!$B42,'Order Details'!$B:$B,'Order Summary'!$C42,'Order Details'!$E:$E,"Yes")</f>
        <v>0</v>
      </c>
      <c r="M42" s="133" t="s">
        <v>151</v>
      </c>
      <c r="N42" s="164">
        <v>45888</v>
      </c>
      <c r="O42" s="171">
        <f t="shared" si="11"/>
        <v>0</v>
      </c>
      <c r="P42" s="174">
        <f>ROUND(SUMIFS('Order Details'!$V:$V,'Order Details'!$A:$A,'Order Summary'!$B42,'Order Details'!$B:$B,'Order Summary'!$C42,'Order Details'!$E:$E,"Yes"),2)</f>
        <v>0</v>
      </c>
      <c r="Q42" s="164"/>
      <c r="R42" s="171" t="str">
        <f t="shared" si="14"/>
        <v/>
      </c>
      <c r="S42" s="137"/>
      <c r="T42" s="165" t="str">
        <f>IF(Q42="","",Q42+_xlfn.MAXIFS('Order Details'!$W:$W,'Order Details'!$A:$A,'Order Summary'!$B42,'Order Details'!$B:$B,'Order Summary'!$C42,'Order Details'!$E:$E,"Yes"))</f>
        <v/>
      </c>
      <c r="U42" s="164" t="str">
        <f>IF(T42="","",T42+VLOOKUP($J42,'Master Data'!$F$6:$G$9,2,FALSE))</f>
        <v/>
      </c>
      <c r="V42" s="133"/>
      <c r="W42" s="133"/>
      <c r="X42" s="133"/>
      <c r="Y42" s="133"/>
      <c r="Z42" s="309" t="str">
        <f>IF($Y42="","",IF(VLOOKUP($Y42,'Master Data'!$F$12:$I$17,2,FALSE)="","",VLOOKUP($Y42,'Master Data'!$F$12:$I$17,2,FALSE)))</f>
        <v/>
      </c>
      <c r="AA42" s="164" t="str">
        <f>U42</f>
        <v/>
      </c>
      <c r="AB42" s="171" t="str">
        <f t="shared" si="9"/>
        <v/>
      </c>
      <c r="AC42" s="133"/>
      <c r="AD42" s="164"/>
      <c r="AE42" s="164"/>
      <c r="AF42" s="137">
        <v>4500</v>
      </c>
      <c r="AG42" s="137">
        <v>1000</v>
      </c>
      <c r="AH42" s="137">
        <f t="shared" si="10"/>
        <v>5500</v>
      </c>
      <c r="AI42" s="137">
        <f t="shared" si="15"/>
        <v>5500</v>
      </c>
      <c r="AJ42" s="164"/>
      <c r="AK42" s="171" t="str">
        <f t="shared" si="17"/>
        <v/>
      </c>
      <c r="AL42" s="137"/>
      <c r="AM42" s="167"/>
      <c r="AN42" s="244" t="str">
        <f t="shared" si="16"/>
        <v/>
      </c>
      <c r="AO42" s="164"/>
    </row>
    <row r="43" spans="1:41" x14ac:dyDescent="0.35">
      <c r="A43" s="133">
        <v>42</v>
      </c>
      <c r="B43" s="133">
        <v>24045982</v>
      </c>
      <c r="C43" s="133">
        <v>0</v>
      </c>
      <c r="D43" s="133" t="str">
        <f t="shared" si="12"/>
        <v>24045982-0</v>
      </c>
      <c r="E43" s="133" t="s">
        <v>196</v>
      </c>
      <c r="F43" s="164">
        <v>45888</v>
      </c>
      <c r="G43" s="134" t="str">
        <f t="shared" si="13"/>
        <v>No</v>
      </c>
      <c r="H43" s="135">
        <f>SUMIFS('Order Details'!$R:$R,'Order Details'!$A:$A,'Order Summary'!$B43,'Order Details'!$B:$B,'Order Summary'!$C43,'Order Details'!$E:$E,"Yes")</f>
        <v>0</v>
      </c>
      <c r="I43" s="133" t="s">
        <v>116</v>
      </c>
      <c r="J43" s="133" t="str">
        <f>VLOOKUP($I43,'Master Data'!$L$5:$M$15,2,FALSE)</f>
        <v>Savannah</v>
      </c>
      <c r="K43" s="137">
        <f>SUMIFS('Order Details'!$U:$U,'Order Details'!$A:$A,'Order Summary'!$B43,'Order Details'!$B:$B,'Order Summary'!$C43,'Order Details'!$E:$E,"Yes")</f>
        <v>0</v>
      </c>
      <c r="L43" s="138">
        <f>SUMIFS('Order Details'!$P:$P,'Order Details'!$A:$A,'Order Summary'!$B43,'Order Details'!$B:$B,'Order Summary'!$C43,'Order Details'!$E:$E,"Yes")</f>
        <v>0</v>
      </c>
      <c r="M43" s="133" t="s">
        <v>121</v>
      </c>
      <c r="N43" s="164">
        <v>45888</v>
      </c>
      <c r="O43" s="171">
        <f t="shared" si="11"/>
        <v>0</v>
      </c>
      <c r="P43" s="174">
        <f>ROUND(SUMIFS('Order Details'!$V:$V,'Order Details'!$A:$A,'Order Summary'!$B43,'Order Details'!$B:$B,'Order Summary'!$C43,'Order Details'!$E:$E,"Yes"),2)</f>
        <v>0</v>
      </c>
      <c r="Q43" s="164"/>
      <c r="R43" s="171" t="str">
        <f t="shared" si="14"/>
        <v/>
      </c>
      <c r="S43" s="137"/>
      <c r="T43" s="165" t="str">
        <f>IF(Q43="","",Q43+_xlfn.MAXIFS('Order Details'!$W:$W,'Order Details'!$A:$A,'Order Summary'!$B43,'Order Details'!$B:$B,'Order Summary'!$C43,'Order Details'!$E:$E,"Yes"))</f>
        <v/>
      </c>
      <c r="U43" s="164" t="str">
        <f>IF(T43="","",T43+VLOOKUP($J43,'Master Data'!$F$6:$G$9,2,FALSE))</f>
        <v/>
      </c>
      <c r="V43" s="133"/>
      <c r="W43" s="133"/>
      <c r="X43" s="133"/>
      <c r="Y43" s="133"/>
      <c r="Z43" s="309" t="str">
        <f>IF($Y43="","",IF(VLOOKUP($Y43,'Master Data'!$F$12:$I$17,2,FALSE)="","",VLOOKUP($Y43,'Master Data'!$F$12:$I$17,2,FALSE)))</f>
        <v/>
      </c>
      <c r="AA43" s="164" t="str">
        <f>U43</f>
        <v/>
      </c>
      <c r="AB43" s="171" t="str">
        <f t="shared" si="9"/>
        <v/>
      </c>
      <c r="AC43" s="133"/>
      <c r="AD43" s="164"/>
      <c r="AE43" s="164"/>
      <c r="AF43" s="137">
        <v>4500</v>
      </c>
      <c r="AG43" s="137">
        <v>1000</v>
      </c>
      <c r="AH43" s="137">
        <f t="shared" si="10"/>
        <v>5500</v>
      </c>
      <c r="AI43" s="137">
        <f t="shared" si="15"/>
        <v>5500</v>
      </c>
      <c r="AJ43" s="164"/>
      <c r="AK43" s="171" t="str">
        <f t="shared" si="17"/>
        <v/>
      </c>
      <c r="AL43" s="137"/>
      <c r="AM43" s="166"/>
      <c r="AN43" s="244" t="str">
        <f t="shared" si="16"/>
        <v/>
      </c>
      <c r="AO43" s="164"/>
    </row>
    <row r="44" spans="1:41" x14ac:dyDescent="0.35">
      <c r="A44" s="133">
        <v>4</v>
      </c>
      <c r="B44" s="133">
        <v>52954705</v>
      </c>
      <c r="C44" s="133">
        <v>0</v>
      </c>
      <c r="D44" s="133" t="str">
        <f t="shared" si="12"/>
        <v>52954705-0</v>
      </c>
      <c r="E44" s="133" t="s">
        <v>196</v>
      </c>
      <c r="F44" s="164">
        <v>45961</v>
      </c>
      <c r="G44" s="134" t="str">
        <f t="shared" si="13"/>
        <v>No</v>
      </c>
      <c r="H44" s="135">
        <f>SUMIFS('Order Details'!$R:$R,'Order Details'!$A:$A,'Order Summary'!$B44,'Order Details'!$B:$B,'Order Summary'!$C44,'Order Details'!$E:$E,"Yes")</f>
        <v>0</v>
      </c>
      <c r="I44" s="133" t="s">
        <v>58</v>
      </c>
      <c r="J44" s="133" t="str">
        <f>VLOOKUP($I44,'Master Data'!$L$5:$M$15,2,FALSE)</f>
        <v>Houston</v>
      </c>
      <c r="K44" s="137">
        <f>SUMIFS('Order Details'!$U:$U,'Order Details'!$A:$A,'Order Summary'!$B44,'Order Details'!$B:$B,'Order Summary'!$C44,'Order Details'!$E:$E,"Yes")</f>
        <v>0</v>
      </c>
      <c r="L44" s="138">
        <f>SUMIFS('Order Details'!$P:$P,'Order Details'!$A:$A,'Order Summary'!$B44,'Order Details'!$B:$B,'Order Summary'!$C44,'Order Details'!$E:$E,"Yes")</f>
        <v>0</v>
      </c>
      <c r="M44" s="133" t="s">
        <v>192</v>
      </c>
      <c r="N44" s="164">
        <v>45965</v>
      </c>
      <c r="O44" s="171">
        <f t="shared" si="11"/>
        <v>4</v>
      </c>
      <c r="P44" s="174">
        <f>ROUND(SUMIFS('Order Details'!$V:$V,'Order Details'!$A:$A,'Order Summary'!$B44,'Order Details'!$B:$B,'Order Summary'!$C44,'Order Details'!$E:$E,"Yes"),2)</f>
        <v>0</v>
      </c>
      <c r="Q44" s="164">
        <v>45975</v>
      </c>
      <c r="R44" s="171">
        <f t="shared" si="14"/>
        <v>10</v>
      </c>
      <c r="S44" s="137">
        <v>30072.11</v>
      </c>
      <c r="T44" s="165">
        <f>IF(Q44="","",Q44+_xlfn.MAXIFS('Order Details'!$W:$W,'Order Details'!$A:$A,'Order Summary'!$B44,'Order Details'!$B:$B,'Order Summary'!$C44,'Order Details'!$E:$E,"Yes"))</f>
        <v>45975</v>
      </c>
      <c r="U44" s="164">
        <f>IF(T44="","",T44+VLOOKUP($J44,'Master Data'!$F$6:$G$9,2,FALSE))</f>
        <v>46028</v>
      </c>
      <c r="V44" s="133"/>
      <c r="W44" s="133" t="s">
        <v>197</v>
      </c>
      <c r="X44" s="133"/>
      <c r="Y44" s="133"/>
      <c r="Z44" s="309" t="str">
        <f>IF($Y44="","",IF(VLOOKUP($Y44,'Master Data'!$F$12:$I$17,2,FALSE)="","",VLOOKUP($Y44,'Master Data'!$F$12:$I$17,2,FALSE)))</f>
        <v/>
      </c>
      <c r="AA44" s="164"/>
      <c r="AB44" s="171" t="str">
        <f t="shared" si="9"/>
        <v/>
      </c>
      <c r="AC44" s="133"/>
      <c r="AD44" s="164"/>
      <c r="AE44" s="164"/>
      <c r="AF44" s="137">
        <v>4500</v>
      </c>
      <c r="AG44" s="137">
        <v>1000</v>
      </c>
      <c r="AH44" s="137">
        <f t="shared" si="10"/>
        <v>5500</v>
      </c>
      <c r="AI44" s="137">
        <f t="shared" si="15"/>
        <v>-24572.11</v>
      </c>
      <c r="AJ44" s="164"/>
      <c r="AK44" s="171" t="str">
        <f t="shared" si="17"/>
        <v/>
      </c>
      <c r="AL44" s="137"/>
      <c r="AM44" s="167"/>
      <c r="AN44" s="244" t="str">
        <f t="shared" si="16"/>
        <v/>
      </c>
      <c r="AO44" s="164"/>
    </row>
    <row r="45" spans="1:41" x14ac:dyDescent="0.35">
      <c r="A45" s="133" cm="1">
        <f t="array" ref="A45">ROW(45:45)-3</f>
        <v>42</v>
      </c>
      <c r="B45" s="133">
        <v>24099911</v>
      </c>
      <c r="C45" s="133">
        <v>0</v>
      </c>
      <c r="D45" s="133" t="str">
        <f t="shared" si="12"/>
        <v>24099911-0</v>
      </c>
      <c r="E45" s="133" t="s">
        <v>455</v>
      </c>
      <c r="F45" s="164">
        <v>45964</v>
      </c>
      <c r="G45" s="134" t="str">
        <f t="shared" si="13"/>
        <v>Yes</v>
      </c>
      <c r="H45" s="135">
        <f>SUMIFS('Order Details'!$R:$R,'Order Details'!$A:$A,'Order Summary'!$B45,'Order Details'!$B:$B,'Order Summary'!$C45,'Order Details'!$E:$E,"Yes")</f>
        <v>14</v>
      </c>
      <c r="I45" s="133" t="s">
        <v>70</v>
      </c>
      <c r="J45" s="133" t="str">
        <f>VLOOKUP($I45,'Master Data'!$L$5:$M$15,2,FALSE)</f>
        <v>Baltimore</v>
      </c>
      <c r="K45" s="137">
        <f>SUMIFS('Order Details'!$U:$U,'Order Details'!$A:$A,'Order Summary'!$B45,'Order Details'!$B:$B,'Order Summary'!$C45,'Order Details'!$E:$E,"Yes")</f>
        <v>65660.25</v>
      </c>
      <c r="L45" s="138">
        <f>SUMIFS('Order Details'!$P:$P,'Order Details'!$A:$A,'Order Summary'!$B45,'Order Details'!$B:$B,'Order Summary'!$C45,'Order Details'!$E:$E,"Yes")</f>
        <v>8505.84</v>
      </c>
      <c r="M45" s="133" t="s">
        <v>198</v>
      </c>
      <c r="N45" s="164">
        <v>45964</v>
      </c>
      <c r="O45" s="171">
        <f t="shared" si="11"/>
        <v>0</v>
      </c>
      <c r="P45" s="174">
        <f>ROUND(SUMIFS('Order Details'!$V:$V,'Order Details'!$A:$A,'Order Summary'!$B45,'Order Details'!$B:$B,'Order Summary'!$C45,'Order Details'!$E:$E,"Yes"),2)</f>
        <v>65689.39</v>
      </c>
      <c r="Q45" s="164">
        <v>45975</v>
      </c>
      <c r="R45" s="171">
        <f t="shared" si="14"/>
        <v>11</v>
      </c>
      <c r="S45" s="137">
        <v>32844.699999999997</v>
      </c>
      <c r="T45" s="165">
        <f>IF(Q45="","",Q45+_xlfn.MAXIFS('Order Details'!$W:$W,'Order Details'!$A:$A,'Order Summary'!$B45,'Order Details'!$B:$B,'Order Summary'!$C45,'Order Details'!$E:$E,"Yes"))</f>
        <v>46065</v>
      </c>
      <c r="U45" s="266">
        <v>46114</v>
      </c>
      <c r="V45" s="133" t="s">
        <v>471</v>
      </c>
      <c r="W45" s="133" t="s">
        <v>61</v>
      </c>
      <c r="X45" s="133" t="s">
        <v>472</v>
      </c>
      <c r="Y45" s="133" t="s">
        <v>74</v>
      </c>
      <c r="Z45" s="309" t="str">
        <f>IF($Y45="","",IF(VLOOKUP($Y45,'Master Data'!$F$12:$I$17,2,FALSE)="","",VLOOKUP($Y45,'Master Data'!$F$12:$I$17,2,FALSE)))</f>
        <v/>
      </c>
      <c r="AA45" s="263">
        <v>46046</v>
      </c>
      <c r="AB45" s="171">
        <f t="shared" si="9"/>
        <v>71</v>
      </c>
      <c r="AC45" s="133" t="s">
        <v>199</v>
      </c>
      <c r="AD45" s="164">
        <v>46041</v>
      </c>
      <c r="AE45" s="164"/>
      <c r="AF45" s="137">
        <v>4500</v>
      </c>
      <c r="AG45" s="137">
        <v>1000</v>
      </c>
      <c r="AH45" s="137">
        <f t="shared" si="10"/>
        <v>71189.39</v>
      </c>
      <c r="AI45" s="137">
        <f t="shared" si="15"/>
        <v>38344.69</v>
      </c>
      <c r="AJ45" s="164">
        <v>46063</v>
      </c>
      <c r="AK45" s="171">
        <f t="shared" si="17"/>
        <v>22</v>
      </c>
      <c r="AL45" s="137">
        <v>38508.74</v>
      </c>
      <c r="AM45" s="166">
        <v>46086</v>
      </c>
      <c r="AN45" s="244">
        <f t="shared" si="16"/>
        <v>23</v>
      </c>
      <c r="AO45" s="164">
        <v>46114</v>
      </c>
    </row>
    <row r="46" spans="1:41" x14ac:dyDescent="0.35">
      <c r="A46" s="133" cm="1">
        <f t="array" ref="A46">ROW(46:46)-3</f>
        <v>43</v>
      </c>
      <c r="B46" s="133">
        <v>24099879</v>
      </c>
      <c r="C46" s="133">
        <v>0</v>
      </c>
      <c r="D46" s="133" t="str">
        <f t="shared" si="12"/>
        <v>24099879-0</v>
      </c>
      <c r="E46" s="133" t="s">
        <v>455</v>
      </c>
      <c r="F46" s="164">
        <v>45964</v>
      </c>
      <c r="G46" s="134" t="str">
        <f t="shared" si="13"/>
        <v>Yes</v>
      </c>
      <c r="H46" s="135">
        <f>SUMIFS('Order Details'!$R:$R,'Order Details'!$A:$A,'Order Summary'!$B46,'Order Details'!$B:$B,'Order Summary'!$C46,'Order Details'!$E:$E,"Yes")</f>
        <v>14</v>
      </c>
      <c r="I46" s="133" t="s">
        <v>70</v>
      </c>
      <c r="J46" s="133" t="str">
        <f>VLOOKUP($I46,'Master Data'!$L$5:$M$15,2,FALSE)</f>
        <v>Baltimore</v>
      </c>
      <c r="K46" s="137">
        <f>SUMIFS('Order Details'!$U:$U,'Order Details'!$A:$A,'Order Summary'!$B46,'Order Details'!$B:$B,'Order Summary'!$C46,'Order Details'!$E:$E,"Yes")</f>
        <v>65659.5</v>
      </c>
      <c r="L46" s="261">
        <f>SUMIFS('Order Details'!$P:$P,'Order Details'!$A:$A,'Order Summary'!$B46,'Order Details'!$B:$B,'Order Summary'!$C46,'Order Details'!$E:$E,"Yes")</f>
        <v>8505.84</v>
      </c>
      <c r="M46" s="133" t="s">
        <v>200</v>
      </c>
      <c r="N46" s="164">
        <v>45965</v>
      </c>
      <c r="O46" s="171">
        <f t="shared" si="11"/>
        <v>1</v>
      </c>
      <c r="P46" s="174">
        <f>ROUND(SUMIFS('Order Details'!$V:$V,'Order Details'!$A:$A,'Order Summary'!$B46,'Order Details'!$B:$B,'Order Summary'!$C46,'Order Details'!$E:$E,"Yes"),2)</f>
        <v>65689.39</v>
      </c>
      <c r="Q46" s="164">
        <v>45975</v>
      </c>
      <c r="R46" s="171">
        <f t="shared" si="14"/>
        <v>10</v>
      </c>
      <c r="S46" s="137">
        <v>32680.65</v>
      </c>
      <c r="T46" s="165">
        <f>IF(Q46="","",Q46+_xlfn.MAXIFS('Order Details'!$W:$W,'Order Details'!$A:$A,'Order Summary'!$B46,'Order Details'!$B:$B,'Order Summary'!$C46,'Order Details'!$E:$E,"Yes"))</f>
        <v>46065</v>
      </c>
      <c r="U46" s="266">
        <v>46114</v>
      </c>
      <c r="V46" s="133" t="s">
        <v>471</v>
      </c>
      <c r="W46" s="133" t="s">
        <v>61</v>
      </c>
      <c r="X46" s="133" t="s">
        <v>473</v>
      </c>
      <c r="Y46" s="133" t="s">
        <v>74</v>
      </c>
      <c r="Z46" s="309" t="str">
        <f>IF($Y46="","",IF(VLOOKUP($Y46,'Master Data'!$F$12:$I$17,2,FALSE)="","",VLOOKUP($Y46,'Master Data'!$F$12:$I$17,2,FALSE)))</f>
        <v/>
      </c>
      <c r="AA46" s="263">
        <v>46046</v>
      </c>
      <c r="AB46" s="171">
        <f t="shared" si="9"/>
        <v>71</v>
      </c>
      <c r="AC46" s="133" t="s">
        <v>201</v>
      </c>
      <c r="AD46" s="164">
        <v>46041</v>
      </c>
      <c r="AE46" s="164"/>
      <c r="AF46" s="137">
        <v>4500</v>
      </c>
      <c r="AG46" s="137">
        <v>1000</v>
      </c>
      <c r="AH46" s="137">
        <f t="shared" si="10"/>
        <v>71189.39</v>
      </c>
      <c r="AI46" s="137">
        <f t="shared" si="15"/>
        <v>38508.74</v>
      </c>
      <c r="AJ46" s="164">
        <v>46063</v>
      </c>
      <c r="AK46" s="171">
        <f t="shared" si="17"/>
        <v>22</v>
      </c>
      <c r="AL46" s="137">
        <v>38344.69</v>
      </c>
      <c r="AM46" s="166">
        <v>46086</v>
      </c>
      <c r="AN46" s="244">
        <f t="shared" si="16"/>
        <v>23</v>
      </c>
      <c r="AO46" s="164">
        <v>46114</v>
      </c>
    </row>
    <row r="47" spans="1:41" x14ac:dyDescent="0.35">
      <c r="A47" s="133" cm="1">
        <f t="array" ref="A47">ROW(47:47)-3</f>
        <v>44</v>
      </c>
      <c r="B47" s="133">
        <v>52954697</v>
      </c>
      <c r="C47" s="133">
        <v>0</v>
      </c>
      <c r="D47" s="133" t="str">
        <f t="shared" si="12"/>
        <v>52954697-0</v>
      </c>
      <c r="E47" s="133" t="s">
        <v>455</v>
      </c>
      <c r="F47" s="164">
        <v>45964</v>
      </c>
      <c r="G47" s="134" t="str">
        <f t="shared" si="13"/>
        <v>Yes</v>
      </c>
      <c r="H47" s="135">
        <f>SUMIFS('Order Details'!$R:$R,'Order Details'!$A:$A,'Order Summary'!$B47,'Order Details'!$B:$B,'Order Summary'!$C47,'Order Details'!$E:$E,"Yes")</f>
        <v>14</v>
      </c>
      <c r="I47" s="133" t="s">
        <v>58</v>
      </c>
      <c r="J47" s="133" t="str">
        <f>VLOOKUP($I47,'Master Data'!$L$5:$M$15,2,FALSE)</f>
        <v>Houston</v>
      </c>
      <c r="K47" s="137">
        <f>SUMIFS('Order Details'!$U:$U,'Order Details'!$A:$A,'Order Summary'!$B47,'Order Details'!$B:$B,'Order Summary'!$C47,'Order Details'!$E:$E,"Yes")</f>
        <v>63955.5</v>
      </c>
      <c r="L47" s="138">
        <f>SUMIFS('Order Details'!$P:$P,'Order Details'!$A:$A,'Order Summary'!$B47,'Order Details'!$B:$B,'Order Summary'!$C47,'Order Details'!$E:$E,"Yes")</f>
        <v>8495.1952500000007</v>
      </c>
      <c r="M47" s="133" t="s">
        <v>202</v>
      </c>
      <c r="N47" s="164">
        <v>45965</v>
      </c>
      <c r="O47" s="171">
        <f t="shared" si="11"/>
        <v>1</v>
      </c>
      <c r="P47" s="174">
        <f>ROUND(SUMIFS('Order Details'!$V:$V,'Order Details'!$A:$A,'Order Summary'!$B47,'Order Details'!$B:$B,'Order Summary'!$C47,'Order Details'!$E:$E,"Yes"),2)</f>
        <v>63968.82</v>
      </c>
      <c r="Q47" s="164">
        <v>45975</v>
      </c>
      <c r="R47" s="171">
        <f t="shared" si="14"/>
        <v>10</v>
      </c>
      <c r="S47" s="137">
        <v>31984.41</v>
      </c>
      <c r="T47" s="165">
        <f>IF(Q47="","",Q47+_xlfn.MAXIFS('Order Details'!$W:$W,'Order Details'!$A:$A,'Order Summary'!$B47,'Order Details'!$B:$B,'Order Summary'!$C47,'Order Details'!$E:$E,"Yes"))</f>
        <v>46065</v>
      </c>
      <c r="U47" s="164">
        <v>46093</v>
      </c>
      <c r="V47" s="133" t="s">
        <v>483</v>
      </c>
      <c r="W47" s="133" t="s">
        <v>61</v>
      </c>
      <c r="X47" s="133" t="s">
        <v>474</v>
      </c>
      <c r="Y47" s="133" t="s">
        <v>63</v>
      </c>
      <c r="Z47" s="309" t="str">
        <f>IF($Y47="","",IF(VLOOKUP($Y47,'Master Data'!$F$12:$I$17,2,FALSE)="","",VLOOKUP($Y47,'Master Data'!$F$12:$I$17,2,FALSE)))</f>
        <v>https://www.maersk.com/tracking/</v>
      </c>
      <c r="AA47" s="264">
        <v>46044</v>
      </c>
      <c r="AB47" s="171">
        <f t="shared" si="9"/>
        <v>69</v>
      </c>
      <c r="AC47" s="133" t="s">
        <v>203</v>
      </c>
      <c r="AD47" s="164">
        <v>46038</v>
      </c>
      <c r="AE47" s="164"/>
      <c r="AF47" s="137">
        <v>4500</v>
      </c>
      <c r="AG47" s="137">
        <v>1000</v>
      </c>
      <c r="AH47" s="137">
        <f t="shared" si="10"/>
        <v>69468.820000000007</v>
      </c>
      <c r="AI47" s="137">
        <f t="shared" si="15"/>
        <v>37484.410000000003</v>
      </c>
      <c r="AJ47" s="164">
        <v>46051</v>
      </c>
      <c r="AK47" s="171">
        <f t="shared" si="17"/>
        <v>13</v>
      </c>
      <c r="AL47" s="137">
        <v>37484.410000000003</v>
      </c>
      <c r="AM47" s="167"/>
      <c r="AN47" s="244" t="str">
        <f t="shared" si="16"/>
        <v/>
      </c>
      <c r="AO47" s="164">
        <v>46094</v>
      </c>
    </row>
    <row r="48" spans="1:41" x14ac:dyDescent="0.35">
      <c r="A48" s="133" cm="1">
        <f t="array" ref="A48">ROW(48:48)-3</f>
        <v>45</v>
      </c>
      <c r="B48" s="133">
        <v>52963984</v>
      </c>
      <c r="C48" s="133">
        <v>0</v>
      </c>
      <c r="D48" s="133" t="str">
        <f t="shared" si="12"/>
        <v>52963984-0</v>
      </c>
      <c r="E48" s="133" t="s">
        <v>455</v>
      </c>
      <c r="F48" s="164">
        <v>45965</v>
      </c>
      <c r="G48" s="134" t="str">
        <f t="shared" si="13"/>
        <v>Yes</v>
      </c>
      <c r="H48" s="135">
        <f>SUMIFS('Order Details'!$R:$R,'Order Details'!$A:$A,'Order Summary'!$B48,'Order Details'!$B:$B,'Order Summary'!$C48,'Order Details'!$E:$E,"Yes")</f>
        <v>13</v>
      </c>
      <c r="I48" s="133" t="s">
        <v>58</v>
      </c>
      <c r="J48" s="133" t="str">
        <f>VLOOKUP($I48,'Master Data'!$L$5:$M$15,2,FALSE)</f>
        <v>Houston</v>
      </c>
      <c r="K48" s="137">
        <f>SUMIFS('Order Details'!$U:$U,'Order Details'!$A:$A,'Order Summary'!$B48,'Order Details'!$B:$B,'Order Summary'!$C48,'Order Details'!$E:$E,"Yes")</f>
        <v>64589.4</v>
      </c>
      <c r="L48" s="138">
        <f>SUMIFS('Order Details'!$P:$P,'Order Details'!$A:$A,'Order Summary'!$B48,'Order Details'!$B:$B,'Order Summary'!$C48,'Order Details'!$E:$E,"Yes")</f>
        <v>8494.3860000000004</v>
      </c>
      <c r="M48" s="133" t="s">
        <v>204</v>
      </c>
      <c r="N48" s="164">
        <v>45966</v>
      </c>
      <c r="O48" s="171">
        <f t="shared" si="11"/>
        <v>1</v>
      </c>
      <c r="P48" s="174">
        <f>ROUND(SUMIFS('Order Details'!$V:$V,'Order Details'!$A:$A,'Order Summary'!$B48,'Order Details'!$B:$B,'Order Summary'!$C48,'Order Details'!$E:$E,"Yes"),2)</f>
        <v>64600.07</v>
      </c>
      <c r="Q48" s="164">
        <v>45975</v>
      </c>
      <c r="R48" s="171">
        <f t="shared" si="14"/>
        <v>9</v>
      </c>
      <c r="S48" s="137">
        <v>32004.75</v>
      </c>
      <c r="T48" s="165">
        <f>IF(Q48="","",Q48+_xlfn.MAXIFS('Order Details'!$W:$W,'Order Details'!$A:$A,'Order Summary'!$B48,'Order Details'!$B:$B,'Order Summary'!$C48,'Order Details'!$E:$E,"Yes"))</f>
        <v>46065</v>
      </c>
      <c r="U48" s="164">
        <v>46100</v>
      </c>
      <c r="V48" s="133" t="s">
        <v>475</v>
      </c>
      <c r="W48" s="133" t="s">
        <v>61</v>
      </c>
      <c r="X48" s="133" t="s">
        <v>476</v>
      </c>
      <c r="Y48" s="133" t="s">
        <v>63</v>
      </c>
      <c r="Z48" s="309" t="str">
        <f>IF($Y48="","",IF(VLOOKUP($Y48,'Master Data'!$F$12:$I$17,2,FALSE)="","",VLOOKUP($Y48,'Master Data'!$F$12:$I$17,2,FALSE)))</f>
        <v>https://www.maersk.com/tracking/</v>
      </c>
      <c r="AA48" s="263">
        <v>46051</v>
      </c>
      <c r="AB48" s="171">
        <f t="shared" si="9"/>
        <v>76</v>
      </c>
      <c r="AC48" s="133" t="s">
        <v>205</v>
      </c>
      <c r="AD48" s="164">
        <v>46045</v>
      </c>
      <c r="AE48" s="164"/>
      <c r="AF48" s="137">
        <v>3000</v>
      </c>
      <c r="AG48" s="137">
        <v>1000</v>
      </c>
      <c r="AH48" s="137">
        <f t="shared" ref="AH48:AH79" si="18">P48+AF48+AG48</f>
        <v>68600.070000000007</v>
      </c>
      <c r="AI48" s="137">
        <f t="shared" si="15"/>
        <v>36595.320000000007</v>
      </c>
      <c r="AJ48" s="164">
        <v>46071</v>
      </c>
      <c r="AK48" s="171">
        <f t="shared" si="17"/>
        <v>26</v>
      </c>
      <c r="AL48" s="137">
        <v>36595.31</v>
      </c>
      <c r="AM48" s="167">
        <v>46099</v>
      </c>
      <c r="AN48" s="244">
        <f t="shared" si="16"/>
        <v>28</v>
      </c>
      <c r="AO48" s="164">
        <v>46101</v>
      </c>
    </row>
    <row r="49" spans="1:42" x14ac:dyDescent="0.35">
      <c r="A49" s="133">
        <v>16</v>
      </c>
      <c r="B49" s="133">
        <v>52963980</v>
      </c>
      <c r="C49" s="133">
        <v>0</v>
      </c>
      <c r="D49" s="133" t="str">
        <f t="shared" si="12"/>
        <v>52963980-0</v>
      </c>
      <c r="E49" s="133" t="s">
        <v>196</v>
      </c>
      <c r="F49" s="164">
        <v>45965</v>
      </c>
      <c r="G49" s="134" t="str">
        <f t="shared" si="13"/>
        <v>No</v>
      </c>
      <c r="H49" s="135">
        <f>SUMIFS('Order Details'!$R:$R,'Order Details'!$A:$A,'Order Summary'!$B49,'Order Details'!$B:$B,'Order Summary'!$C49,'Order Details'!$E:$E,"Yes")</f>
        <v>0</v>
      </c>
      <c r="I49" s="133" t="s">
        <v>58</v>
      </c>
      <c r="J49" s="133" t="str">
        <f>VLOOKUP($I49,'Master Data'!$L$5:$M$15,2,FALSE)</f>
        <v>Houston</v>
      </c>
      <c r="K49" s="137">
        <f>SUMIFS('Order Details'!$U:$U,'Order Details'!$A:$A,'Order Summary'!$B49,'Order Details'!$B:$B,'Order Summary'!$C49,'Order Details'!$E:$E,"Yes")</f>
        <v>0</v>
      </c>
      <c r="L49" s="138">
        <f>SUMIFS('Order Details'!$P:$P,'Order Details'!$A:$A,'Order Summary'!$B49,'Order Details'!$B:$B,'Order Summary'!$C49,'Order Details'!$E:$E,"Yes")</f>
        <v>0</v>
      </c>
      <c r="M49" s="133" t="s">
        <v>206</v>
      </c>
      <c r="N49" s="164">
        <v>45966</v>
      </c>
      <c r="O49" s="171">
        <f t="shared" si="11"/>
        <v>1</v>
      </c>
      <c r="P49" s="174">
        <f>ROUND(SUMIFS('Order Details'!$V:$V,'Order Details'!$A:$A,'Order Summary'!$B49,'Order Details'!$B:$B,'Order Summary'!$C49,'Order Details'!$E:$E,"Yes"),2)</f>
        <v>0</v>
      </c>
      <c r="Q49" s="164">
        <v>45975</v>
      </c>
      <c r="R49" s="171">
        <f t="shared" si="14"/>
        <v>9</v>
      </c>
      <c r="S49" s="137">
        <v>30650.9</v>
      </c>
      <c r="T49" s="165">
        <f>IF(Q49="","",Q49+_xlfn.MAXIFS('Order Details'!$W:$W,'Order Details'!$A:$A,'Order Summary'!$B49,'Order Details'!$B:$B,'Order Summary'!$C49,'Order Details'!$E:$E,"Yes"))</f>
        <v>45975</v>
      </c>
      <c r="U49" s="164"/>
      <c r="V49" s="133"/>
      <c r="W49" s="133" t="s">
        <v>197</v>
      </c>
      <c r="X49" s="133"/>
      <c r="Y49" s="133"/>
      <c r="Z49" s="309" t="str">
        <f>IF($Y49="","",IF(VLOOKUP($Y49,'Master Data'!$F$12:$I$17,2,FALSE)="","",VLOOKUP($Y49,'Master Data'!$F$12:$I$17,2,FALSE)))</f>
        <v/>
      </c>
      <c r="AA49" s="164"/>
      <c r="AB49" s="171" t="str">
        <f t="shared" si="9"/>
        <v/>
      </c>
      <c r="AC49" s="133"/>
      <c r="AD49" s="164"/>
      <c r="AE49" s="164"/>
      <c r="AF49" s="137">
        <v>4500</v>
      </c>
      <c r="AG49" s="137">
        <v>1000</v>
      </c>
      <c r="AH49" s="137">
        <f t="shared" si="18"/>
        <v>5500</v>
      </c>
      <c r="AI49" s="137">
        <f t="shared" si="15"/>
        <v>-25150.9</v>
      </c>
      <c r="AJ49" s="164"/>
      <c r="AK49" s="171" t="str">
        <f t="shared" si="17"/>
        <v/>
      </c>
      <c r="AL49" s="137"/>
      <c r="AM49" s="167"/>
      <c r="AN49" s="244" t="str">
        <f t="shared" si="16"/>
        <v/>
      </c>
      <c r="AO49" s="164"/>
    </row>
    <row r="50" spans="1:42" x14ac:dyDescent="0.35">
      <c r="A50" s="133" cm="1">
        <f t="array" ref="A50">ROW(50:50)-3</f>
        <v>47</v>
      </c>
      <c r="B50" s="133">
        <v>52952099</v>
      </c>
      <c r="C50" s="133">
        <v>0</v>
      </c>
      <c r="D50" s="133" t="str">
        <f t="shared" si="12"/>
        <v>52952099-0</v>
      </c>
      <c r="E50" s="133" t="s">
        <v>110</v>
      </c>
      <c r="F50" s="164">
        <v>45970</v>
      </c>
      <c r="G50" s="134" t="str">
        <f t="shared" si="13"/>
        <v>Yes</v>
      </c>
      <c r="H50" s="135">
        <f>SUMIFS('Order Details'!$R:$R,'Order Details'!$A:$A,'Order Summary'!$B50,'Order Details'!$B:$B,'Order Summary'!$C50,'Order Details'!$E:$E,"Yes")</f>
        <v>13</v>
      </c>
      <c r="I50" s="133" t="s">
        <v>160</v>
      </c>
      <c r="J50" s="133" t="str">
        <f>VLOOKUP($I50,'Master Data'!$L$5:$M$15,2,FALSE)</f>
        <v>Houston</v>
      </c>
      <c r="K50" s="137">
        <f>SUMIFS('Order Details'!$U:$U,'Order Details'!$A:$A,'Order Summary'!$B50,'Order Details'!$B:$B,'Order Summary'!$C50,'Order Details'!$E:$E,"Yes")</f>
        <v>64843.35</v>
      </c>
      <c r="L50" s="138">
        <f>SUMIFS('Order Details'!$P:$P,'Order Details'!$A:$A,'Order Summary'!$B50,'Order Details'!$B:$B,'Order Summary'!$C50,'Order Details'!$E:$E,"Yes")</f>
        <v>8429.8950000000004</v>
      </c>
      <c r="M50" s="133" t="s">
        <v>207</v>
      </c>
      <c r="N50" s="164">
        <v>45971</v>
      </c>
      <c r="O50" s="171">
        <f t="shared" si="11"/>
        <v>1</v>
      </c>
      <c r="P50" s="174">
        <f>ROUND(SUMIFS('Order Details'!$V:$V,'Order Details'!$A:$A,'Order Summary'!$B50,'Order Details'!$B:$B,'Order Summary'!$C50,'Order Details'!$E:$E,"Yes"),2)</f>
        <v>64871.46</v>
      </c>
      <c r="Q50" s="164">
        <v>45985</v>
      </c>
      <c r="R50" s="171">
        <f t="shared" si="14"/>
        <v>14</v>
      </c>
      <c r="S50" s="137">
        <v>32435.73</v>
      </c>
      <c r="T50" s="165">
        <f>IF(Q50="","",Q50+_xlfn.MAXIFS('Order Details'!$W:$W,'Order Details'!$A:$A,'Order Summary'!$B50,'Order Details'!$B:$B,'Order Summary'!$C50,'Order Details'!$E:$E,"Yes"))</f>
        <v>46075</v>
      </c>
      <c r="U50" s="164">
        <v>46107</v>
      </c>
      <c r="V50" s="133" t="s">
        <v>479</v>
      </c>
      <c r="W50" s="133" t="s">
        <v>61</v>
      </c>
      <c r="X50" s="133" t="s">
        <v>480</v>
      </c>
      <c r="Y50" s="133" t="s">
        <v>63</v>
      </c>
      <c r="Z50" s="309" t="str">
        <f>IF($Y50="","",IF(VLOOKUP($Y50,'Master Data'!$F$12:$I$17,2,FALSE)="","",VLOOKUP($Y50,'Master Data'!$F$12:$I$17,2,FALSE)))</f>
        <v>https://www.maersk.com/tracking/</v>
      </c>
      <c r="AA50" s="263">
        <v>46057</v>
      </c>
      <c r="AB50" s="171">
        <f t="shared" si="9"/>
        <v>72</v>
      </c>
      <c r="AC50" s="133" t="s">
        <v>208</v>
      </c>
      <c r="AD50" s="164">
        <v>46053</v>
      </c>
      <c r="AE50" s="164"/>
      <c r="AF50" s="137">
        <v>3000</v>
      </c>
      <c r="AG50" s="137">
        <v>1000</v>
      </c>
      <c r="AH50" s="137">
        <f t="shared" si="18"/>
        <v>68871.459999999992</v>
      </c>
      <c r="AI50" s="137">
        <f t="shared" si="15"/>
        <v>36435.729999999996</v>
      </c>
      <c r="AJ50" s="164">
        <v>46073</v>
      </c>
      <c r="AK50" s="171">
        <f t="shared" si="17"/>
        <v>20</v>
      </c>
      <c r="AL50" s="137">
        <v>36435.74</v>
      </c>
      <c r="AM50" s="167"/>
      <c r="AN50" s="244" t="str">
        <f t="shared" si="16"/>
        <v/>
      </c>
      <c r="AO50" s="164">
        <v>46116</v>
      </c>
      <c r="AP50" s="131" t="s">
        <v>548</v>
      </c>
    </row>
    <row r="51" spans="1:42" x14ac:dyDescent="0.35">
      <c r="A51" s="133" cm="1">
        <f t="array" ref="A51">ROW(51:51)-3</f>
        <v>48</v>
      </c>
      <c r="B51" s="133">
        <v>24092839</v>
      </c>
      <c r="C51" s="133">
        <v>0</v>
      </c>
      <c r="D51" s="133" t="str">
        <f t="shared" si="12"/>
        <v>24092839-0</v>
      </c>
      <c r="E51" s="133" t="s">
        <v>110</v>
      </c>
      <c r="F51" s="164">
        <v>45970</v>
      </c>
      <c r="G51" s="134" t="str">
        <f t="shared" si="13"/>
        <v>Yes</v>
      </c>
      <c r="H51" s="135">
        <f>SUMIFS('Order Details'!$R:$R,'Order Details'!$A:$A,'Order Summary'!$B51,'Order Details'!$B:$B,'Order Summary'!$C51,'Order Details'!$E:$E,"Yes")</f>
        <v>14</v>
      </c>
      <c r="I51" s="133" t="s">
        <v>70</v>
      </c>
      <c r="J51" s="133" t="str">
        <f>VLOOKUP($I51,'Master Data'!$L$5:$M$15,2,FALSE)</f>
        <v>Baltimore</v>
      </c>
      <c r="K51" s="137">
        <f>SUMIFS('Order Details'!$U:$U,'Order Details'!$A:$A,'Order Summary'!$B51,'Order Details'!$B:$B,'Order Summary'!$C51,'Order Details'!$E:$E,"Yes")</f>
        <v>64680.250000000007</v>
      </c>
      <c r="L51" s="138">
        <f>SUMIFS('Order Details'!$P:$P,'Order Details'!$A:$A,'Order Summary'!$B51,'Order Details'!$B:$B,'Order Summary'!$C51,'Order Details'!$E:$E,"Yes")</f>
        <v>8505.84</v>
      </c>
      <c r="M51" s="133" t="s">
        <v>209</v>
      </c>
      <c r="N51" s="164">
        <v>45971</v>
      </c>
      <c r="O51" s="171">
        <f t="shared" si="11"/>
        <v>1</v>
      </c>
      <c r="P51" s="174">
        <f>ROUND(SUMIFS('Order Details'!$V:$V,'Order Details'!$A:$A,'Order Summary'!$B51,'Order Details'!$B:$B,'Order Summary'!$C51,'Order Details'!$E:$E,"Yes"),2)</f>
        <v>64705.14</v>
      </c>
      <c r="Q51" s="164">
        <v>45985</v>
      </c>
      <c r="R51" s="171">
        <f t="shared" si="14"/>
        <v>14</v>
      </c>
      <c r="S51" s="137">
        <v>32352.57</v>
      </c>
      <c r="T51" s="165">
        <f>IF(Q51="","",Q51+_xlfn.MAXIFS('Order Details'!$W:$W,'Order Details'!$A:$A,'Order Summary'!$B51,'Order Details'!$B:$B,'Order Summary'!$C51,'Order Details'!$E:$E,"Yes"))</f>
        <v>46075</v>
      </c>
      <c r="U51" s="164"/>
      <c r="V51" s="133" t="s">
        <v>494</v>
      </c>
      <c r="W51" s="133" t="s">
        <v>61</v>
      </c>
      <c r="X51" s="133" t="s">
        <v>478</v>
      </c>
      <c r="Y51" s="133" t="s">
        <v>74</v>
      </c>
      <c r="Z51" s="309" t="str">
        <f>IF($Y51="","",IF(VLOOKUP($Y51,'Master Data'!$F$12:$I$17,2,FALSE)="","",VLOOKUP($Y51,'Master Data'!$F$12:$I$17,2,FALSE)))</f>
        <v/>
      </c>
      <c r="AA51" s="263">
        <v>46053</v>
      </c>
      <c r="AB51" s="171">
        <f t="shared" si="9"/>
        <v>68</v>
      </c>
      <c r="AC51" s="133" t="s">
        <v>210</v>
      </c>
      <c r="AD51" s="164">
        <v>46049</v>
      </c>
      <c r="AE51" s="164"/>
      <c r="AF51" s="137">
        <v>3700</v>
      </c>
      <c r="AG51" s="137">
        <v>1000</v>
      </c>
      <c r="AH51" s="137">
        <f t="shared" si="18"/>
        <v>69405.14</v>
      </c>
      <c r="AI51" s="137">
        <f t="shared" si="15"/>
        <v>37052.57</v>
      </c>
      <c r="AJ51" s="164">
        <v>46071</v>
      </c>
      <c r="AK51" s="171">
        <f t="shared" si="17"/>
        <v>22</v>
      </c>
      <c r="AL51" s="137">
        <v>37052.57</v>
      </c>
      <c r="AM51" s="167"/>
      <c r="AN51" s="244" t="str">
        <f t="shared" si="16"/>
        <v/>
      </c>
      <c r="AO51" s="164">
        <v>46106</v>
      </c>
    </row>
    <row r="52" spans="1:42" x14ac:dyDescent="0.35">
      <c r="A52" s="133" cm="1">
        <f t="array" ref="A52">ROW(52:52)-3</f>
        <v>49</v>
      </c>
      <c r="B52" s="265">
        <v>24092848</v>
      </c>
      <c r="C52" s="133">
        <v>0</v>
      </c>
      <c r="D52" s="133" t="str">
        <f t="shared" si="12"/>
        <v>24092848-0</v>
      </c>
      <c r="E52" s="133" t="s">
        <v>455</v>
      </c>
      <c r="F52" s="164">
        <v>45970</v>
      </c>
      <c r="G52" s="134" t="str">
        <f t="shared" si="13"/>
        <v>Yes</v>
      </c>
      <c r="H52" s="135">
        <f>SUMIFS('Order Details'!$R:$R,'Order Details'!$A:$A,'Order Summary'!$B52,'Order Details'!$B:$B,'Order Summary'!$C52,'Order Details'!$E:$E,"Yes")</f>
        <v>10</v>
      </c>
      <c r="I52" s="133" t="s">
        <v>70</v>
      </c>
      <c r="J52" s="133" t="str">
        <f>VLOOKUP($I52,'Master Data'!$L$5:$M$15,2,FALSE)</f>
        <v>Baltimore</v>
      </c>
      <c r="K52" s="137">
        <f>SUMIFS('Order Details'!$U:$U,'Order Details'!$A:$A,'Order Summary'!$B52,'Order Details'!$B:$B,'Order Summary'!$C52,'Order Details'!$E:$E,"Yes")</f>
        <v>46713.8</v>
      </c>
      <c r="L52" s="138">
        <f>SUMIFS('Order Details'!$P:$P,'Order Details'!$A:$A,'Order Summary'!$B52,'Order Details'!$B:$B,'Order Summary'!$C52,'Order Details'!$E:$E,"Yes")</f>
        <v>6075.6</v>
      </c>
      <c r="M52" s="133" t="s">
        <v>211</v>
      </c>
      <c r="N52" s="164">
        <v>45971</v>
      </c>
      <c r="O52" s="171">
        <f t="shared" si="11"/>
        <v>1</v>
      </c>
      <c r="P52" s="174">
        <f>ROUND(SUMIFS('Order Details'!$V:$V,'Order Details'!$A:$A,'Order Summary'!$B52,'Order Details'!$B:$B,'Order Summary'!$C52,'Order Details'!$E:$E,"Yes"),2)</f>
        <v>46733.52</v>
      </c>
      <c r="Q52" s="164">
        <v>45985</v>
      </c>
      <c r="R52" s="171">
        <f t="shared" si="14"/>
        <v>14</v>
      </c>
      <c r="S52" s="137">
        <v>32844.699999999997</v>
      </c>
      <c r="T52" s="165">
        <f>IF(Q52="","",Q52+_xlfn.MAXIFS('Order Details'!$W:$W,'Order Details'!$A:$A,'Order Summary'!$B52,'Order Details'!$B:$B,'Order Summary'!$C52,'Order Details'!$E:$E,"Yes"))</f>
        <v>46075</v>
      </c>
      <c r="U52" s="164">
        <v>46134</v>
      </c>
      <c r="V52" s="133" t="s">
        <v>212</v>
      </c>
      <c r="W52" s="133" t="s">
        <v>61</v>
      </c>
      <c r="X52" s="133" t="s">
        <v>213</v>
      </c>
      <c r="Y52" s="133" t="s">
        <v>74</v>
      </c>
      <c r="Z52" s="309" t="str">
        <f>IF($Y52="","",IF(VLOOKUP($Y52,'Master Data'!$F$12:$I$17,2,FALSE)="","",VLOOKUP($Y52,'Master Data'!$F$12:$I$17,2,FALSE)))</f>
        <v/>
      </c>
      <c r="AA52" s="164">
        <v>46072</v>
      </c>
      <c r="AB52" s="171">
        <f t="shared" si="9"/>
        <v>87</v>
      </c>
      <c r="AC52" s="265" t="s">
        <v>214</v>
      </c>
      <c r="AD52" s="164">
        <v>46065</v>
      </c>
      <c r="AE52" s="164"/>
      <c r="AF52" s="137">
        <v>3700</v>
      </c>
      <c r="AG52" s="137">
        <v>1000</v>
      </c>
      <c r="AH52" s="137">
        <f>P52+AF52+AG52</f>
        <v>51433.52</v>
      </c>
      <c r="AI52" s="137">
        <f t="shared" si="15"/>
        <v>18588.82</v>
      </c>
      <c r="AJ52" s="164">
        <v>46080</v>
      </c>
      <c r="AK52" s="171">
        <f t="shared" si="17"/>
        <v>15</v>
      </c>
      <c r="AL52" s="169">
        <v>18588.810000000001</v>
      </c>
      <c r="AM52" s="167">
        <v>46136</v>
      </c>
      <c r="AN52" s="244">
        <f t="shared" si="16"/>
        <v>56</v>
      </c>
      <c r="AO52" s="164"/>
    </row>
    <row r="53" spans="1:42" ht="18" customHeight="1" x14ac:dyDescent="0.35">
      <c r="A53" s="133" cm="1">
        <f t="array" ref="A53">ROW(53:53)-3</f>
        <v>50</v>
      </c>
      <c r="B53" s="133">
        <v>52970942</v>
      </c>
      <c r="C53" s="133">
        <v>0</v>
      </c>
      <c r="D53" s="133" t="str">
        <f t="shared" si="12"/>
        <v>52970942-0</v>
      </c>
      <c r="E53" s="133" t="s">
        <v>110</v>
      </c>
      <c r="F53" s="164">
        <v>45985</v>
      </c>
      <c r="G53" s="134" t="str">
        <f t="shared" si="13"/>
        <v>Yes</v>
      </c>
      <c r="H53" s="135">
        <f>SUMIFS('Order Details'!$R:$R,'Order Details'!$A:$A,'Order Summary'!$B53,'Order Details'!$B:$B,'Order Summary'!$C53,'Order Details'!$E:$E,"Yes")</f>
        <v>13</v>
      </c>
      <c r="I53" s="133" t="s">
        <v>79</v>
      </c>
      <c r="J53" s="133" t="str">
        <f>VLOOKUP($I53,'Master Data'!$L$5:$M$15,2,FALSE)</f>
        <v>Oakland</v>
      </c>
      <c r="K53" s="137">
        <f>SUMIFS('Order Details'!$U:$U,'Order Details'!$A:$A,'Order Summary'!$B53,'Order Details'!$B:$B,'Order Summary'!$C53,'Order Details'!$E:$E,"Yes")</f>
        <v>58762.2</v>
      </c>
      <c r="L53" s="138">
        <f>SUMIFS('Order Details'!$P:$P,'Order Details'!$A:$A,'Order Summary'!$B53,'Order Details'!$B:$B,'Order Summary'!$C53,'Order Details'!$E:$E,"Yes")</f>
        <v>7806.1500000000005</v>
      </c>
      <c r="M53" s="133" t="s">
        <v>216</v>
      </c>
      <c r="N53" s="164">
        <v>45985</v>
      </c>
      <c r="O53" s="171">
        <f t="shared" si="11"/>
        <v>0</v>
      </c>
      <c r="P53" s="174">
        <f>ROUND(SUMIFS('Order Details'!$V:$V,'Order Details'!$A:$A,'Order Summary'!$B53,'Order Details'!$B:$B,'Order Summary'!$C53,'Order Details'!$E:$E,"Yes"),2)</f>
        <v>58780.31</v>
      </c>
      <c r="Q53" s="164">
        <v>46000</v>
      </c>
      <c r="R53" s="171">
        <f t="shared" si="14"/>
        <v>15</v>
      </c>
      <c r="S53" s="137">
        <v>29390.15</v>
      </c>
      <c r="T53" s="165">
        <f>IF(Q53="","",Q53+_xlfn.MAXIFS('Order Details'!$W:$W,'Order Details'!$A:$A,'Order Summary'!$B53,'Order Details'!$B:$B,'Order Summary'!$C53,'Order Details'!$E:$E,"Yes"))</f>
        <v>46045</v>
      </c>
      <c r="U53" s="164">
        <v>46142</v>
      </c>
      <c r="V53" s="133" t="s">
        <v>452</v>
      </c>
      <c r="W53" s="133" t="s">
        <v>197</v>
      </c>
      <c r="X53" s="133" t="s">
        <v>542</v>
      </c>
      <c r="Y53" s="133" t="s">
        <v>63</v>
      </c>
      <c r="Z53" s="309" t="str">
        <f>IF($Y53="","",IF(VLOOKUP($Y53,'Master Data'!$F$12:$I$17,2,FALSE)="","",VLOOKUP($Y53,'Master Data'!$F$12:$I$17,2,FALSE)))</f>
        <v>https://www.maersk.com/tracking/</v>
      </c>
      <c r="AA53" s="263">
        <v>46083</v>
      </c>
      <c r="AB53" s="171">
        <f t="shared" si="9"/>
        <v>83</v>
      </c>
      <c r="AC53" s="133" t="s">
        <v>217</v>
      </c>
      <c r="AD53" s="164">
        <v>46080</v>
      </c>
      <c r="AE53" s="164" t="s">
        <v>61</v>
      </c>
      <c r="AF53" s="137">
        <v>3200</v>
      </c>
      <c r="AG53" s="137">
        <v>1000</v>
      </c>
      <c r="AH53" s="137">
        <f t="shared" si="18"/>
        <v>62980.31</v>
      </c>
      <c r="AI53" s="137">
        <f t="shared" si="15"/>
        <v>33590.159999999996</v>
      </c>
      <c r="AJ53" s="164">
        <v>46094</v>
      </c>
      <c r="AK53" s="171">
        <f t="shared" si="17"/>
        <v>14</v>
      </c>
      <c r="AL53" s="137">
        <v>33590.17</v>
      </c>
      <c r="AM53" s="167"/>
      <c r="AN53" s="244" t="str">
        <f t="shared" si="16"/>
        <v/>
      </c>
      <c r="AO53" s="164"/>
    </row>
    <row r="54" spans="1:42" x14ac:dyDescent="0.35">
      <c r="A54" s="133" cm="1">
        <f t="array" ref="A54">ROW(54:54)-3</f>
        <v>51</v>
      </c>
      <c r="B54" s="133">
        <v>52970945</v>
      </c>
      <c r="C54" s="133">
        <v>0</v>
      </c>
      <c r="D54" s="133" t="str">
        <f t="shared" si="12"/>
        <v>52970945-0</v>
      </c>
      <c r="E54" s="133" t="s">
        <v>455</v>
      </c>
      <c r="F54" s="164">
        <v>45985</v>
      </c>
      <c r="G54" s="134" t="str">
        <f t="shared" si="13"/>
        <v>Yes</v>
      </c>
      <c r="H54" s="135">
        <f>SUMIFS('Order Details'!$R:$R,'Order Details'!$A:$A,'Order Summary'!$B54,'Order Details'!$B:$B,'Order Summary'!$C54,'Order Details'!$E:$E,"Yes")</f>
        <v>13</v>
      </c>
      <c r="I54" s="133" t="s">
        <v>79</v>
      </c>
      <c r="J54" s="133" t="str">
        <f>VLOOKUP($I54,'Master Data'!$L$5:$M$15,2,FALSE)</f>
        <v>Oakland</v>
      </c>
      <c r="K54" s="137">
        <f>SUMIFS('Order Details'!$U:$U,'Order Details'!$A:$A,'Order Summary'!$B54,'Order Details'!$B:$B,'Order Summary'!$C54,'Order Details'!$E:$E,"Yes")</f>
        <v>62144.6</v>
      </c>
      <c r="L54" s="138">
        <f>SUMIFS('Order Details'!$P:$P,'Order Details'!$A:$A,'Order Summary'!$B54,'Order Details'!$B:$B,'Order Summary'!$C54,'Order Details'!$E:$E,"Yes")</f>
        <v>8255.0969999999998</v>
      </c>
      <c r="M54" s="133" t="s">
        <v>218</v>
      </c>
      <c r="N54" s="164">
        <v>45985</v>
      </c>
      <c r="O54" s="171">
        <f t="shared" si="11"/>
        <v>0</v>
      </c>
      <c r="P54" s="174">
        <f>ROUND(SUMIFS('Order Details'!$V:$V,'Order Details'!$A:$A,'Order Summary'!$B54,'Order Details'!$B:$B,'Order Summary'!$C54,'Order Details'!$E:$E,"Yes"),2)</f>
        <v>62160.88</v>
      </c>
      <c r="Q54" s="164">
        <v>46000</v>
      </c>
      <c r="R54" s="171">
        <f t="shared" si="14"/>
        <v>15</v>
      </c>
      <c r="S54" s="137">
        <v>31080.44</v>
      </c>
      <c r="T54" s="165">
        <f>IF(Q54="","",Q54+_xlfn.MAXIFS('Order Details'!$W:$W,'Order Details'!$A:$A,'Order Summary'!$B54,'Order Details'!$B:$B,'Order Summary'!$C54,'Order Details'!$E:$E,"Yes"))</f>
        <v>46090</v>
      </c>
      <c r="U54" s="164">
        <v>46128</v>
      </c>
      <c r="V54" s="133" t="s">
        <v>481</v>
      </c>
      <c r="W54" s="133" t="s">
        <v>61</v>
      </c>
      <c r="X54" s="133" t="s">
        <v>219</v>
      </c>
      <c r="Y54" s="133" t="s">
        <v>63</v>
      </c>
      <c r="Z54" s="309" t="str">
        <f>IF($Y54="","",IF(VLOOKUP($Y54,'Master Data'!$F$12:$I$17,2,FALSE)="","",VLOOKUP($Y54,'Master Data'!$F$12:$I$17,2,FALSE)))</f>
        <v>https://www.maersk.com/tracking/</v>
      </c>
      <c r="AA54" s="164">
        <v>46069</v>
      </c>
      <c r="AB54" s="171">
        <f t="shared" si="9"/>
        <v>69</v>
      </c>
      <c r="AC54" s="133" t="s">
        <v>220</v>
      </c>
      <c r="AD54" s="164">
        <v>46065</v>
      </c>
      <c r="AE54" s="164"/>
      <c r="AF54" s="137">
        <v>3200</v>
      </c>
      <c r="AG54" s="137">
        <v>1000</v>
      </c>
      <c r="AH54" s="137">
        <f t="shared" si="18"/>
        <v>66360.88</v>
      </c>
      <c r="AI54" s="137">
        <f t="shared" si="15"/>
        <v>35280.44</v>
      </c>
      <c r="AJ54" s="164">
        <v>46080</v>
      </c>
      <c r="AK54" s="171">
        <f t="shared" si="17"/>
        <v>15</v>
      </c>
      <c r="AL54" s="137">
        <v>35280.449999999997</v>
      </c>
      <c r="AM54" s="167">
        <v>46136</v>
      </c>
      <c r="AN54" s="244">
        <f t="shared" si="16"/>
        <v>56</v>
      </c>
      <c r="AO54" s="164"/>
    </row>
    <row r="55" spans="1:42" ht="18.600000000000001" customHeight="1" x14ac:dyDescent="0.35">
      <c r="A55" s="133" cm="1">
        <f t="array" ref="A55">ROW(55:55)-3</f>
        <v>52</v>
      </c>
      <c r="B55" s="133">
        <v>52970947</v>
      </c>
      <c r="C55" s="133">
        <v>0</v>
      </c>
      <c r="D55" s="133" t="str">
        <f t="shared" si="12"/>
        <v>52970947-0</v>
      </c>
      <c r="E55" s="133" t="s">
        <v>110</v>
      </c>
      <c r="F55" s="164">
        <v>45985</v>
      </c>
      <c r="G55" s="134" t="str">
        <f t="shared" si="13"/>
        <v>Yes</v>
      </c>
      <c r="H55" s="135">
        <f>SUMIFS('Order Details'!$R:$R,'Order Details'!$A:$A,'Order Summary'!$B55,'Order Details'!$B:$B,'Order Summary'!$C55,'Order Details'!$E:$E,"Yes")</f>
        <v>13</v>
      </c>
      <c r="I55" s="133" t="s">
        <v>79</v>
      </c>
      <c r="J55" s="133" t="str">
        <f>VLOOKUP($I55,'Master Data'!$L$5:$M$15,2,FALSE)</f>
        <v>Oakland</v>
      </c>
      <c r="K55" s="137">
        <f>SUMIFS('Order Details'!$U:$U,'Order Details'!$A:$A,'Order Summary'!$B55,'Order Details'!$B:$B,'Order Summary'!$C55,'Order Details'!$E:$E,"Yes")</f>
        <v>59643.5</v>
      </c>
      <c r="L55" s="138">
        <f>SUMIFS('Order Details'!$P:$P,'Order Details'!$A:$A,'Order Summary'!$B55,'Order Details'!$B:$B,'Order Summary'!$C55,'Order Details'!$E:$E,"Yes")</f>
        <v>7923.1800000000012</v>
      </c>
      <c r="M55" s="133" t="s">
        <v>221</v>
      </c>
      <c r="N55" s="164">
        <v>45985</v>
      </c>
      <c r="O55" s="171">
        <f t="shared" si="11"/>
        <v>0</v>
      </c>
      <c r="P55" s="174">
        <f>ROUND(SUMIFS('Order Details'!$V:$V,'Order Details'!$A:$A,'Order Summary'!$B55,'Order Details'!$B:$B,'Order Summary'!$C55,'Order Details'!$E:$E,"Yes"),2)</f>
        <v>59661.55</v>
      </c>
      <c r="Q55" s="164">
        <v>46000</v>
      </c>
      <c r="R55" s="171">
        <f t="shared" si="14"/>
        <v>15</v>
      </c>
      <c r="S55" s="137">
        <v>29830.77</v>
      </c>
      <c r="T55" s="165">
        <f>IF(Q55="","",Q55+_xlfn.MAXIFS('Order Details'!$W:$W,'Order Details'!$A:$A,'Order Summary'!$B55,'Order Details'!$B:$B,'Order Summary'!$C55,'Order Details'!$E:$E,"Yes"))</f>
        <v>46045</v>
      </c>
      <c r="U55" s="164">
        <v>46142</v>
      </c>
      <c r="V55" s="133" t="s">
        <v>452</v>
      </c>
      <c r="W55" s="133" t="s">
        <v>197</v>
      </c>
      <c r="X55" s="133" t="s">
        <v>453</v>
      </c>
      <c r="Y55" s="133" t="s">
        <v>63</v>
      </c>
      <c r="Z55" s="309" t="str">
        <f>IF($Y55="","",IF(VLOOKUP($Y55,'Master Data'!$F$12:$I$17,2,FALSE)="","",VLOOKUP($Y55,'Master Data'!$F$12:$I$17,2,FALSE)))</f>
        <v>https://www.maersk.com/tracking/</v>
      </c>
      <c r="AA55" s="263">
        <v>46083</v>
      </c>
      <c r="AB55" s="171">
        <f t="shared" si="9"/>
        <v>83</v>
      </c>
      <c r="AC55" s="133" t="s">
        <v>222</v>
      </c>
      <c r="AD55" s="164">
        <v>46080</v>
      </c>
      <c r="AE55" s="164" t="s">
        <v>61</v>
      </c>
      <c r="AF55" s="137">
        <v>3200</v>
      </c>
      <c r="AG55" s="137">
        <v>1000</v>
      </c>
      <c r="AH55" s="137">
        <f t="shared" si="18"/>
        <v>63861.55</v>
      </c>
      <c r="AI55" s="137">
        <f t="shared" si="15"/>
        <v>34030.78</v>
      </c>
      <c r="AJ55" s="164">
        <v>46094</v>
      </c>
      <c r="AK55" s="171">
        <f t="shared" si="17"/>
        <v>14</v>
      </c>
      <c r="AL55" s="137">
        <v>34030.78</v>
      </c>
      <c r="AM55" s="167"/>
      <c r="AN55" s="244" t="str">
        <f t="shared" si="16"/>
        <v/>
      </c>
      <c r="AO55" s="164"/>
    </row>
    <row r="56" spans="1:42" ht="18" customHeight="1" x14ac:dyDescent="0.35">
      <c r="A56" s="133" cm="1">
        <f t="array" ref="A56">ROW(56:56)-3</f>
        <v>53</v>
      </c>
      <c r="B56" s="133">
        <v>52970948</v>
      </c>
      <c r="C56" s="133">
        <v>0</v>
      </c>
      <c r="D56" s="133" t="str">
        <f t="shared" si="12"/>
        <v>52970948-0</v>
      </c>
      <c r="E56" s="133" t="s">
        <v>455</v>
      </c>
      <c r="F56" s="164">
        <v>45985</v>
      </c>
      <c r="G56" s="134" t="str">
        <f t="shared" si="13"/>
        <v>Yes</v>
      </c>
      <c r="H56" s="135">
        <f>SUMIFS('Order Details'!$R:$R,'Order Details'!$A:$A,'Order Summary'!$B56,'Order Details'!$B:$B,'Order Summary'!$C56,'Order Details'!$E:$E,"Yes")</f>
        <v>13</v>
      </c>
      <c r="I56" s="133" t="s">
        <v>79</v>
      </c>
      <c r="J56" s="133" t="str">
        <f>VLOOKUP($I56,'Master Data'!$L$5:$M$15,2,FALSE)</f>
        <v>Oakland</v>
      </c>
      <c r="K56" s="137">
        <f>SUMIFS('Order Details'!$U:$U,'Order Details'!$A:$A,'Order Summary'!$B56,'Order Details'!$B:$B,'Order Summary'!$C56,'Order Details'!$E:$E,"Yes")</f>
        <v>66634.5</v>
      </c>
      <c r="L56" s="138">
        <f>SUMIFS('Order Details'!$P:$P,'Order Details'!$A:$A,'Order Summary'!$B56,'Order Details'!$B:$B,'Order Summary'!$C56,'Order Details'!$E:$E,"Yes")</f>
        <v>8260.8240000000005</v>
      </c>
      <c r="M56" s="133" t="s">
        <v>223</v>
      </c>
      <c r="N56" s="164">
        <v>45985</v>
      </c>
      <c r="O56" s="171">
        <f t="shared" si="11"/>
        <v>0</v>
      </c>
      <c r="P56" s="174">
        <f>ROUND(SUMIFS('Order Details'!$V:$V,'Order Details'!$A:$A,'Order Summary'!$B56,'Order Details'!$B:$B,'Order Summary'!$C56,'Order Details'!$E:$E,"Yes"),2)</f>
        <v>66664.850000000006</v>
      </c>
      <c r="Q56" s="164">
        <v>46000</v>
      </c>
      <c r="R56" s="171">
        <f t="shared" si="14"/>
        <v>15</v>
      </c>
      <c r="S56" s="137">
        <v>33332.42</v>
      </c>
      <c r="T56" s="165">
        <f>IF(Q56="","",Q56+_xlfn.MAXIFS('Order Details'!$W:$W,'Order Details'!$A:$A,'Order Summary'!$B56,'Order Details'!$B:$B,'Order Summary'!$C56,'Order Details'!$E:$E,"Yes"))</f>
        <v>46045</v>
      </c>
      <c r="U56" s="164">
        <v>46128</v>
      </c>
      <c r="V56" s="133" t="s">
        <v>484</v>
      </c>
      <c r="W56" s="133" t="s">
        <v>61</v>
      </c>
      <c r="X56" s="133" t="s">
        <v>485</v>
      </c>
      <c r="Y56" s="133" t="s">
        <v>63</v>
      </c>
      <c r="Z56" s="309" t="str">
        <f>IF($Y56="","",IF(VLOOKUP($Y56,'Master Data'!$F$12:$I$17,2,FALSE)="","",VLOOKUP($Y56,'Master Data'!$F$12:$I$17,2,FALSE)))</f>
        <v>https://www.maersk.com/tracking/</v>
      </c>
      <c r="AA56" s="164">
        <v>46069</v>
      </c>
      <c r="AB56" s="171">
        <f t="shared" si="9"/>
        <v>69</v>
      </c>
      <c r="AC56" s="133" t="s">
        <v>224</v>
      </c>
      <c r="AD56" s="164">
        <v>46062</v>
      </c>
      <c r="AE56" s="164"/>
      <c r="AF56" s="137">
        <v>3200</v>
      </c>
      <c r="AG56" s="137">
        <v>1000</v>
      </c>
      <c r="AH56" s="137">
        <f t="shared" si="18"/>
        <v>70864.850000000006</v>
      </c>
      <c r="AI56" s="137">
        <f t="shared" si="15"/>
        <v>37532.430000000008</v>
      </c>
      <c r="AJ56" s="164">
        <v>46080</v>
      </c>
      <c r="AK56" s="171">
        <f t="shared" si="17"/>
        <v>18</v>
      </c>
      <c r="AL56" s="137">
        <v>37532.43</v>
      </c>
      <c r="AM56" s="167">
        <v>46136</v>
      </c>
      <c r="AN56" s="244">
        <f t="shared" si="16"/>
        <v>56</v>
      </c>
      <c r="AO56" s="164"/>
    </row>
    <row r="57" spans="1:42" ht="18.600000000000001" customHeight="1" x14ac:dyDescent="0.35">
      <c r="A57" s="133" cm="1">
        <f t="array" ref="A57">ROW(57:57)-3</f>
        <v>54</v>
      </c>
      <c r="B57" s="133">
        <v>52970952</v>
      </c>
      <c r="C57" s="133">
        <v>0</v>
      </c>
      <c r="D57" s="133" t="str">
        <f t="shared" si="12"/>
        <v>52970952-0</v>
      </c>
      <c r="E57" s="133" t="s">
        <v>215</v>
      </c>
      <c r="F57" s="164">
        <v>45985</v>
      </c>
      <c r="G57" s="134" t="str">
        <f t="shared" si="13"/>
        <v>Yes</v>
      </c>
      <c r="H57" s="135">
        <f>SUMIFS('Order Details'!$R:$R,'Order Details'!$A:$A,'Order Summary'!$B57,'Order Details'!$B:$B,'Order Summary'!$C57,'Order Details'!$E:$E,"Yes")</f>
        <v>12</v>
      </c>
      <c r="I57" s="133" t="s">
        <v>79</v>
      </c>
      <c r="J57" s="133" t="str">
        <f>VLOOKUP($I57,'Master Data'!$L$5:$M$15,2,FALSE)</f>
        <v>Oakland</v>
      </c>
      <c r="K57" s="137">
        <f>SUMIFS('Order Details'!$U:$U,'Order Details'!$A:$A,'Order Summary'!$B57,'Order Details'!$B:$B,'Order Summary'!$C57,'Order Details'!$E:$E,"Yes")</f>
        <v>62155.35</v>
      </c>
      <c r="L57" s="138">
        <f>SUMIFS('Order Details'!$P:$P,'Order Details'!$A:$A,'Order Summary'!$B57,'Order Details'!$B:$B,'Order Summary'!$C57,'Order Details'!$E:$E,"Yes")</f>
        <v>8055.3990000000013</v>
      </c>
      <c r="M57" s="133" t="s">
        <v>225</v>
      </c>
      <c r="N57" s="164">
        <v>45985</v>
      </c>
      <c r="O57" s="171">
        <f t="shared" si="11"/>
        <v>0</v>
      </c>
      <c r="P57" s="174">
        <f>ROUND(SUMIFS('Order Details'!$V:$V,'Order Details'!$A:$A,'Order Summary'!$B57,'Order Details'!$B:$B,'Order Summary'!$C57,'Order Details'!$E:$E,"Yes"),2)</f>
        <v>62174.27</v>
      </c>
      <c r="Q57" s="164">
        <v>46000</v>
      </c>
      <c r="R57" s="171">
        <f t="shared" si="14"/>
        <v>15</v>
      </c>
      <c r="S57" s="137">
        <v>31087.13</v>
      </c>
      <c r="T57" s="165">
        <f>IF(Q57="","",Q57+_xlfn.MAXIFS('Order Details'!$W:$W,'Order Details'!$A:$A,'Order Summary'!$B57,'Order Details'!$B:$B,'Order Summary'!$C57,'Order Details'!$E:$E,"Yes"))</f>
        <v>46090</v>
      </c>
      <c r="U57" s="164">
        <f>IF(T57="","",T57+VLOOKUP($J57,'Master Data'!$F$6:$G$9,2,FALSE))</f>
        <v>46156</v>
      </c>
      <c r="V57" s="133"/>
      <c r="W57" s="133" t="s">
        <v>197</v>
      </c>
      <c r="X57" s="133"/>
      <c r="Y57" s="133"/>
      <c r="Z57" s="309" t="str">
        <f>IF($Y57="","",IF(VLOOKUP($Y57,'Master Data'!$F$12:$I$17,2,FALSE)="","",VLOOKUP($Y57,'Master Data'!$F$12:$I$17,2,FALSE)))</f>
        <v/>
      </c>
      <c r="AA57" s="164"/>
      <c r="AB57" s="171" t="str">
        <f t="shared" si="9"/>
        <v/>
      </c>
      <c r="AC57" s="133"/>
      <c r="AD57" s="164"/>
      <c r="AE57" s="164"/>
      <c r="AF57" s="137"/>
      <c r="AG57" s="137"/>
      <c r="AH57" s="137">
        <f t="shared" si="18"/>
        <v>62174.27</v>
      </c>
      <c r="AI57" s="137">
        <f t="shared" si="15"/>
        <v>31087.139999999996</v>
      </c>
      <c r="AJ57" s="164"/>
      <c r="AK57" s="171" t="str">
        <f t="shared" si="17"/>
        <v/>
      </c>
      <c r="AL57" s="137"/>
      <c r="AM57" s="167"/>
      <c r="AN57" s="244" t="str">
        <f t="shared" si="16"/>
        <v/>
      </c>
      <c r="AO57" s="164"/>
    </row>
    <row r="58" spans="1:42" x14ac:dyDescent="0.35">
      <c r="A58" s="133" cm="1">
        <f t="array" ref="A58">ROW(58:58)-3</f>
        <v>55</v>
      </c>
      <c r="B58" s="133">
        <v>52971845</v>
      </c>
      <c r="C58" s="133">
        <v>0</v>
      </c>
      <c r="D58" s="133" t="str">
        <f t="shared" si="12"/>
        <v>52971845-0</v>
      </c>
      <c r="E58" s="133" t="s">
        <v>455</v>
      </c>
      <c r="F58" s="164">
        <v>45985</v>
      </c>
      <c r="G58" s="134" t="str">
        <f t="shared" si="13"/>
        <v>Yes</v>
      </c>
      <c r="H58" s="135">
        <f>SUMIFS('Order Details'!$R:$R,'Order Details'!$A:$A,'Order Summary'!$B58,'Order Details'!$B:$B,'Order Summary'!$C58,'Order Details'!$E:$E,"Yes")</f>
        <v>12</v>
      </c>
      <c r="I58" s="133" t="s">
        <v>160</v>
      </c>
      <c r="J58" s="133" t="str">
        <f>VLOOKUP($I58,'Master Data'!$L$5:$M$15,2,FALSE)</f>
        <v>Houston</v>
      </c>
      <c r="K58" s="137">
        <f>SUMIFS('Order Details'!$U:$U,'Order Details'!$A:$A,'Order Summary'!$B58,'Order Details'!$B:$B,'Order Summary'!$C58,'Order Details'!$E:$E,"Yes")</f>
        <v>62475</v>
      </c>
      <c r="L58" s="138">
        <f>SUMIFS('Order Details'!$P:$P,'Order Details'!$A:$A,'Order Summary'!$B58,'Order Details'!$B:$B,'Order Summary'!$C58,'Order Details'!$E:$E,"Yes")</f>
        <v>8202.0600000000013</v>
      </c>
      <c r="M58" s="133" t="s">
        <v>226</v>
      </c>
      <c r="N58" s="164">
        <v>45986</v>
      </c>
      <c r="O58" s="171">
        <f t="shared" ref="O58:O89" si="19">IF(N58="","",$N58-$F58)</f>
        <v>1</v>
      </c>
      <c r="P58" s="174">
        <f>ROUND(SUMIFS('Order Details'!$V:$V,'Order Details'!$A:$A,'Order Summary'!$B58,'Order Details'!$B:$B,'Order Summary'!$C58,'Order Details'!$E:$E,"Yes"),2)</f>
        <v>62499.7</v>
      </c>
      <c r="Q58" s="164">
        <v>46009</v>
      </c>
      <c r="R58" s="171">
        <f t="shared" si="14"/>
        <v>23</v>
      </c>
      <c r="S58" s="137">
        <v>31249.85</v>
      </c>
      <c r="T58" s="165">
        <f>IF(Q58="","",Q58+_xlfn.MAXIFS('Order Details'!$W:$W,'Order Details'!$A:$A,'Order Summary'!$B58,'Order Details'!$B:$B,'Order Summary'!$C58,'Order Details'!$E:$E,"Yes"))</f>
        <v>46099</v>
      </c>
      <c r="U58" s="164">
        <v>46114</v>
      </c>
      <c r="V58" s="133" t="s">
        <v>482</v>
      </c>
      <c r="W58" s="133" t="s">
        <v>61</v>
      </c>
      <c r="X58" s="133" t="s">
        <v>227</v>
      </c>
      <c r="Y58" s="133" t="s">
        <v>63</v>
      </c>
      <c r="Z58" s="309" t="str">
        <f>IF($Y58="","",IF(VLOOKUP($Y58,'Master Data'!$F$12:$I$17,2,FALSE)="","",VLOOKUP($Y58,'Master Data'!$F$12:$I$17,2,FALSE)))</f>
        <v>https://www.maersk.com/tracking/</v>
      </c>
      <c r="AA58" s="164">
        <v>46072</v>
      </c>
      <c r="AB58" s="171">
        <f t="shared" si="9"/>
        <v>63</v>
      </c>
      <c r="AC58" s="133" t="s">
        <v>228</v>
      </c>
      <c r="AD58" s="164">
        <v>46066</v>
      </c>
      <c r="AE58" s="164"/>
      <c r="AF58" s="137">
        <v>3000</v>
      </c>
      <c r="AG58" s="137">
        <v>1000</v>
      </c>
      <c r="AH58" s="137">
        <f t="shared" si="18"/>
        <v>66499.7</v>
      </c>
      <c r="AI58" s="137">
        <f t="shared" si="15"/>
        <v>35249.85</v>
      </c>
      <c r="AJ58" s="164">
        <v>46080</v>
      </c>
      <c r="AK58" s="171">
        <f t="shared" si="17"/>
        <v>14</v>
      </c>
      <c r="AL58" s="137">
        <v>35249.85</v>
      </c>
      <c r="AM58" s="167">
        <v>46119</v>
      </c>
      <c r="AN58" s="244">
        <f t="shared" si="16"/>
        <v>39</v>
      </c>
      <c r="AO58" s="164">
        <v>46120</v>
      </c>
    </row>
    <row r="59" spans="1:42" ht="18" customHeight="1" x14ac:dyDescent="0.35">
      <c r="A59" s="133" cm="1">
        <f t="array" ref="A59">ROW(59:59)-3</f>
        <v>56</v>
      </c>
      <c r="B59" s="133">
        <v>24143625</v>
      </c>
      <c r="C59" s="133">
        <v>0</v>
      </c>
      <c r="D59" s="133" t="str">
        <f t="shared" si="12"/>
        <v>24143625-0</v>
      </c>
      <c r="E59" s="133" t="s">
        <v>215</v>
      </c>
      <c r="F59" s="164">
        <v>45994</v>
      </c>
      <c r="G59" s="134" t="str">
        <f t="shared" si="13"/>
        <v>Yes</v>
      </c>
      <c r="H59" s="135">
        <f>SUMIFS('Order Details'!$R:$R,'Order Details'!$A:$A,'Order Summary'!$B59,'Order Details'!$B:$B,'Order Summary'!$C59,'Order Details'!$E:$E,"Yes")</f>
        <v>12</v>
      </c>
      <c r="I59" s="133" t="s">
        <v>70</v>
      </c>
      <c r="J59" s="133" t="str">
        <f>VLOOKUP($I59,'Master Data'!$L$5:$M$15,2,FALSE)</f>
        <v>Baltimore</v>
      </c>
      <c r="K59" s="137">
        <f>SUMIFS('Order Details'!$U:$U,'Order Details'!$A:$A,'Order Summary'!$B59,'Order Details'!$B:$B,'Order Summary'!$C59,'Order Details'!$E:$E,"Yes")</f>
        <v>63210</v>
      </c>
      <c r="L59" s="138">
        <f>SUMIFS('Order Details'!$P:$P,'Order Details'!$A:$A,'Order Summary'!$B59,'Order Details'!$B:$B,'Order Summary'!$C59,'Order Details'!$E:$E,"Yes")</f>
        <v>8202.0600000000013</v>
      </c>
      <c r="M59" s="133" t="s">
        <v>229</v>
      </c>
      <c r="N59" s="164">
        <v>45995</v>
      </c>
      <c r="O59" s="171">
        <f t="shared" si="19"/>
        <v>1</v>
      </c>
      <c r="P59" s="174">
        <f>ROUND(SUMIFS('Order Details'!$V:$V,'Order Details'!$A:$A,'Order Summary'!$B59,'Order Details'!$B:$B,'Order Summary'!$C59,'Order Details'!$E:$E,"Yes"),2)</f>
        <v>63237.88</v>
      </c>
      <c r="Q59" s="164">
        <v>46009</v>
      </c>
      <c r="R59" s="171">
        <f t="shared" si="14"/>
        <v>14</v>
      </c>
      <c r="S59" s="137">
        <v>31618.94</v>
      </c>
      <c r="T59" s="165">
        <f>IF(Q59="","",Q59+_xlfn.MAXIFS('Order Details'!$W:$W,'Order Details'!$A:$A,'Order Summary'!$B59,'Order Details'!$B:$B,'Order Summary'!$C59,'Order Details'!$E:$E,"Yes"))</f>
        <v>46054</v>
      </c>
      <c r="U59" s="164">
        <f>IF(T59="","",T59+VLOOKUP($J59,'Master Data'!$F$6:$G$9,2,FALSE))</f>
        <v>46112</v>
      </c>
      <c r="V59" s="133"/>
      <c r="W59" s="133" t="s">
        <v>197</v>
      </c>
      <c r="X59" s="133"/>
      <c r="Y59" s="133"/>
      <c r="Z59" s="309" t="str">
        <f>IF($Y59="","",IF(VLOOKUP($Y59,'Master Data'!$F$12:$I$17,2,FALSE)="","",VLOOKUP($Y59,'Master Data'!$F$12:$I$17,2,FALSE)))</f>
        <v/>
      </c>
      <c r="AA59" s="164"/>
      <c r="AB59" s="171" t="str">
        <f t="shared" si="9"/>
        <v/>
      </c>
      <c r="AC59" s="133"/>
      <c r="AD59" s="164"/>
      <c r="AE59" s="164"/>
      <c r="AF59" s="137"/>
      <c r="AG59" s="137"/>
      <c r="AH59" s="137">
        <f t="shared" si="18"/>
        <v>63237.88</v>
      </c>
      <c r="AI59" s="137">
        <f t="shared" si="15"/>
        <v>31618.94</v>
      </c>
      <c r="AJ59" s="164"/>
      <c r="AK59" s="171" t="str">
        <f t="shared" si="17"/>
        <v/>
      </c>
      <c r="AL59" s="137"/>
      <c r="AM59" s="167"/>
      <c r="AN59" s="244" t="str">
        <f t="shared" si="16"/>
        <v/>
      </c>
      <c r="AO59" s="164"/>
    </row>
    <row r="60" spans="1:42" ht="18" customHeight="1" x14ac:dyDescent="0.35">
      <c r="A60" s="133" cm="1">
        <f t="array" ref="A60">ROW(60:60)-3</f>
        <v>57</v>
      </c>
      <c r="B60" s="307">
        <v>24160651</v>
      </c>
      <c r="C60" s="133">
        <v>0</v>
      </c>
      <c r="D60" s="133" t="str">
        <f t="shared" si="12"/>
        <v>24160651-0</v>
      </c>
      <c r="E60" s="133" t="s">
        <v>110</v>
      </c>
      <c r="F60" s="164">
        <v>46022</v>
      </c>
      <c r="G60" s="134" t="s">
        <v>61</v>
      </c>
      <c r="H60" s="135">
        <f>SUMIFS('Order Details'!$R:$R,'Order Details'!$A:$A,'Order Summary'!$B60,'Order Details'!$B:$B,'Order Summary'!$C60,'Order Details'!$E:$E,"Yes")</f>
        <v>14</v>
      </c>
      <c r="I60" s="133" t="s">
        <v>230</v>
      </c>
      <c r="J60" s="133" t="str">
        <f>VLOOKUP($I60,'Master Data'!$L$5:$M$15,2,FALSE)</f>
        <v>Savannah</v>
      </c>
      <c r="K60" s="137">
        <f>SUMIFS('Order Details'!$U:$U,'Order Details'!$A:$A,'Order Summary'!$B60,'Order Details'!$B:$B,'Order Summary'!$C60,'Order Details'!$E:$E,"Yes")</f>
        <v>68600.25</v>
      </c>
      <c r="L60" s="138">
        <f>SUMIFS('Order Details'!$P:$P,'Order Details'!$A:$A,'Order Summary'!$B60,'Order Details'!$B:$B,'Order Summary'!$C60,'Order Details'!$E:$E,"Yes")</f>
        <v>8505.84</v>
      </c>
      <c r="M60" s="133" t="s">
        <v>231</v>
      </c>
      <c r="N60" s="164">
        <v>46027</v>
      </c>
      <c r="O60" s="171">
        <f t="shared" si="19"/>
        <v>5</v>
      </c>
      <c r="P60" s="174">
        <f>ROUND(SUMIFS('Order Details'!$V:$V,'Order Details'!$A:$A,'Order Summary'!$B60,'Order Details'!$B:$B,'Order Summary'!$C60,'Order Details'!$E:$E,"Yes"),2)</f>
        <v>68642.13</v>
      </c>
      <c r="Q60" s="164">
        <v>46050</v>
      </c>
      <c r="R60" s="171">
        <f t="shared" si="14"/>
        <v>23</v>
      </c>
      <c r="S60" s="137">
        <v>34321.06</v>
      </c>
      <c r="T60" s="165">
        <f>IF(Q60="","",Q60+_xlfn.MAXIFS('Order Details'!$W:$W,'Order Details'!$A:$A,'Order Summary'!$B60,'Order Details'!$B:$B,'Order Summary'!$C60,'Order Details'!$E:$E,"Yes"))</f>
        <v>46095</v>
      </c>
      <c r="U60" s="164">
        <f>IF(T60="","",T60+VLOOKUP($J60,'Master Data'!$F$6:$G$9,2,FALSE))</f>
        <v>46141</v>
      </c>
      <c r="V60" s="133" t="s">
        <v>515</v>
      </c>
      <c r="W60" s="133" t="s">
        <v>61</v>
      </c>
      <c r="X60" s="133" t="s">
        <v>517</v>
      </c>
      <c r="Y60" s="133" t="s">
        <v>63</v>
      </c>
      <c r="Z60" s="309" t="str">
        <f>IF($Y60="","",IF(VLOOKUP($Y60,'Master Data'!$F$12:$I$17,2,FALSE)="","",VLOOKUP($Y60,'Master Data'!$F$12:$I$17,2,FALSE)))</f>
        <v>https://www.maersk.com/tracking/</v>
      </c>
      <c r="AA60" s="164">
        <v>46102</v>
      </c>
      <c r="AB60" s="171">
        <f t="shared" si="9"/>
        <v>52</v>
      </c>
      <c r="AC60" s="133" t="s">
        <v>490</v>
      </c>
      <c r="AD60" s="164">
        <v>46087</v>
      </c>
      <c r="AE60" s="164" t="s">
        <v>61</v>
      </c>
      <c r="AF60" s="308">
        <f>2800+5000</f>
        <v>7800</v>
      </c>
      <c r="AG60" s="308">
        <v>1000</v>
      </c>
      <c r="AH60" s="137">
        <f t="shared" si="18"/>
        <v>77442.13</v>
      </c>
      <c r="AI60" s="137">
        <f t="shared" si="15"/>
        <v>43121.070000000007</v>
      </c>
      <c r="AJ60" s="164">
        <v>46087</v>
      </c>
      <c r="AK60" s="171">
        <f t="shared" si="17"/>
        <v>0</v>
      </c>
      <c r="AL60" s="137">
        <v>43121.07</v>
      </c>
      <c r="AM60" s="167"/>
      <c r="AN60" s="244" t="str">
        <f t="shared" si="16"/>
        <v/>
      </c>
      <c r="AO60" s="164"/>
    </row>
    <row r="61" spans="1:42" ht="18.600000000000001" customHeight="1" x14ac:dyDescent="0.35">
      <c r="A61" s="133" cm="1">
        <f t="array" ref="A61">ROW(61:61)-3</f>
        <v>58</v>
      </c>
      <c r="B61" s="307">
        <v>24160660</v>
      </c>
      <c r="C61" s="133">
        <v>0</v>
      </c>
      <c r="D61" s="133" t="str">
        <f t="shared" si="12"/>
        <v>24160660-0</v>
      </c>
      <c r="E61" s="133" t="s">
        <v>455</v>
      </c>
      <c r="F61" s="164">
        <v>46022</v>
      </c>
      <c r="G61" s="134" t="str">
        <f t="shared" ref="G61:G92" si="20">IF(OR(E61="PO Revised",E61="PO Cancelled"),"No","Yes")</f>
        <v>Yes</v>
      </c>
      <c r="H61" s="135">
        <f>SUMIFS('Order Details'!$R:$R,'Order Details'!$A:$A,'Order Summary'!$B61,'Order Details'!$B:$B,'Order Summary'!$C61,'Order Details'!$E:$E,"Yes")</f>
        <v>14</v>
      </c>
      <c r="I61" s="133" t="s">
        <v>230</v>
      </c>
      <c r="J61" s="133" t="str">
        <f>VLOOKUP($I61,'Master Data'!$L$5:$M$15,2,FALSE)</f>
        <v>Savannah</v>
      </c>
      <c r="K61" s="137">
        <f>SUMIFS('Order Details'!$U:$U,'Order Details'!$A:$A,'Order Summary'!$B61,'Order Details'!$B:$B,'Order Summary'!$C61,'Order Details'!$E:$E,"Yes")</f>
        <v>64026.9</v>
      </c>
      <c r="L61" s="138">
        <f>SUMIFS('Order Details'!$P:$P,'Order Details'!$A:$A,'Order Summary'!$B61,'Order Details'!$B:$B,'Order Summary'!$C61,'Order Details'!$E:$E,"Yes")</f>
        <v>8505.84</v>
      </c>
      <c r="M61" s="133" t="s">
        <v>232</v>
      </c>
      <c r="N61" s="164">
        <v>46027</v>
      </c>
      <c r="O61" s="171">
        <f t="shared" si="19"/>
        <v>5</v>
      </c>
      <c r="P61" s="174">
        <f>ROUND(SUMIFS('Order Details'!$V:$V,'Order Details'!$A:$A,'Order Summary'!$B61,'Order Details'!$B:$B,'Order Summary'!$C61,'Order Details'!$E:$E,"Yes"),2)</f>
        <v>64048.98</v>
      </c>
      <c r="Q61" s="164">
        <v>46050</v>
      </c>
      <c r="R61" s="171">
        <f t="shared" si="14"/>
        <v>23</v>
      </c>
      <c r="S61" s="137">
        <v>32024.49</v>
      </c>
      <c r="T61" s="165">
        <f>IF(Q61="","",Q61+_xlfn.MAXIFS('Order Details'!$W:$W,'Order Details'!$A:$A,'Order Summary'!$B61,'Order Details'!$B:$B,'Order Summary'!$C61,'Order Details'!$E:$E,"Yes"))</f>
        <v>46140</v>
      </c>
      <c r="U61" s="164">
        <v>46141</v>
      </c>
      <c r="V61" s="133" t="s">
        <v>521</v>
      </c>
      <c r="W61" s="133" t="s">
        <v>61</v>
      </c>
      <c r="X61" s="133" t="s">
        <v>523</v>
      </c>
      <c r="Y61" s="133" t="s">
        <v>63</v>
      </c>
      <c r="Z61" s="309" t="str">
        <f>IF($Y61="","",IF(VLOOKUP($Y61,'Master Data'!$F$12:$I$17,2,FALSE)="","",VLOOKUP($Y61,'Master Data'!$F$12:$I$17,2,FALSE)))</f>
        <v>https://www.maersk.com/tracking/</v>
      </c>
      <c r="AA61" s="164">
        <v>46112</v>
      </c>
      <c r="AB61" s="171">
        <f t="shared" si="9"/>
        <v>62</v>
      </c>
      <c r="AC61" s="133" t="s">
        <v>496</v>
      </c>
      <c r="AD61" s="164">
        <v>46095</v>
      </c>
      <c r="AE61" s="164" t="s">
        <v>61</v>
      </c>
      <c r="AF61" s="308">
        <v>7800</v>
      </c>
      <c r="AG61" s="308">
        <v>1000</v>
      </c>
      <c r="AH61" s="137">
        <f t="shared" si="18"/>
        <v>72848.98000000001</v>
      </c>
      <c r="AI61" s="137">
        <f t="shared" si="15"/>
        <v>40824.490000000005</v>
      </c>
      <c r="AJ61" s="164">
        <v>46143</v>
      </c>
      <c r="AK61" s="171">
        <f t="shared" si="17"/>
        <v>48</v>
      </c>
      <c r="AL61" s="137">
        <v>40824.49</v>
      </c>
      <c r="AM61" s="167">
        <v>46154</v>
      </c>
      <c r="AN61" s="244">
        <f t="shared" si="16"/>
        <v>11</v>
      </c>
      <c r="AO61" s="164">
        <v>46148</v>
      </c>
    </row>
    <row r="62" spans="1:42" x14ac:dyDescent="0.35">
      <c r="A62" s="133" cm="1">
        <f t="array" ref="A62">ROW(62:62)-3</f>
        <v>59</v>
      </c>
      <c r="B62" s="307">
        <v>24160667</v>
      </c>
      <c r="C62" s="133">
        <v>0</v>
      </c>
      <c r="D62" s="133" t="str">
        <f t="shared" si="12"/>
        <v>24160667-0</v>
      </c>
      <c r="E62" s="133" t="s">
        <v>455</v>
      </c>
      <c r="F62" s="164">
        <v>46022</v>
      </c>
      <c r="G62" s="134" t="str">
        <f t="shared" si="20"/>
        <v>Yes</v>
      </c>
      <c r="H62" s="135">
        <f>SUMIFS('Order Details'!$R:$R,'Order Details'!$A:$A,'Order Summary'!$B62,'Order Details'!$B:$B,'Order Summary'!$C62,'Order Details'!$E:$E,"Yes")</f>
        <v>12</v>
      </c>
      <c r="I62" s="133" t="s">
        <v>230</v>
      </c>
      <c r="J62" s="133" t="str">
        <f>VLOOKUP($I62,'Master Data'!$L$5:$M$15,2,FALSE)</f>
        <v>Savannah</v>
      </c>
      <c r="K62" s="137">
        <f>SUMIFS('Order Details'!$U:$U,'Order Details'!$A:$A,'Order Summary'!$B62,'Order Details'!$B:$B,'Order Summary'!$C62,'Order Details'!$E:$E,"Yes")</f>
        <v>61740</v>
      </c>
      <c r="L62" s="138">
        <f>SUMIFS('Order Details'!$P:$P,'Order Details'!$A:$A,'Order Summary'!$B62,'Order Details'!$B:$B,'Order Summary'!$C62,'Order Details'!$E:$E,"Yes")</f>
        <v>8202.0600000000013</v>
      </c>
      <c r="M62" s="133" t="s">
        <v>233</v>
      </c>
      <c r="N62" s="164">
        <v>46027</v>
      </c>
      <c r="O62" s="171">
        <f t="shared" si="19"/>
        <v>5</v>
      </c>
      <c r="P62" s="174">
        <f>ROUND(SUMIFS('Order Details'!$V:$V,'Order Details'!$A:$A,'Order Summary'!$B62,'Order Details'!$B:$B,'Order Summary'!$C62,'Order Details'!$E:$E,"Yes"),2)</f>
        <v>61761.51</v>
      </c>
      <c r="Q62" s="164">
        <v>46050</v>
      </c>
      <c r="R62" s="171">
        <f t="shared" si="14"/>
        <v>23</v>
      </c>
      <c r="S62" s="137">
        <v>30880.75</v>
      </c>
      <c r="T62" s="165">
        <f>IF(Q62="","",Q62+_xlfn.MAXIFS('Order Details'!$W:$W,'Order Details'!$A:$A,'Order Summary'!$B62,'Order Details'!$B:$B,'Order Summary'!$C62,'Order Details'!$E:$E,"Yes"))</f>
        <v>46095</v>
      </c>
      <c r="U62" s="164">
        <f>IF(T62="","",T62+VLOOKUP($J62,'Master Data'!$F$6:$G$9,2,FALSE))</f>
        <v>46141</v>
      </c>
      <c r="V62" s="133" t="s">
        <v>521</v>
      </c>
      <c r="W62" s="133" t="s">
        <v>61</v>
      </c>
      <c r="X62" s="133" t="s">
        <v>522</v>
      </c>
      <c r="Y62" s="133" t="s">
        <v>63</v>
      </c>
      <c r="Z62" s="309" t="str">
        <f>IF($Y62="","",IF(VLOOKUP($Y62,'Master Data'!$F$12:$I$17,2,FALSE)="","",VLOOKUP($Y62,'Master Data'!$F$12:$I$17,2,FALSE)))</f>
        <v>https://www.maersk.com/tracking/</v>
      </c>
      <c r="AA62" s="164">
        <v>46112</v>
      </c>
      <c r="AB62" s="171">
        <f t="shared" si="9"/>
        <v>62</v>
      </c>
      <c r="AC62" s="134" t="s">
        <v>495</v>
      </c>
      <c r="AD62" s="164">
        <v>46095</v>
      </c>
      <c r="AE62" s="164" t="s">
        <v>61</v>
      </c>
      <c r="AF62" s="308">
        <v>7800</v>
      </c>
      <c r="AG62" s="308">
        <v>1000</v>
      </c>
      <c r="AH62" s="137">
        <f t="shared" si="18"/>
        <v>70561.510000000009</v>
      </c>
      <c r="AI62" s="137">
        <f t="shared" si="15"/>
        <v>39680.760000000009</v>
      </c>
      <c r="AJ62" s="164">
        <v>46143</v>
      </c>
      <c r="AK62" s="171">
        <f t="shared" si="17"/>
        <v>48</v>
      </c>
      <c r="AL62" s="137">
        <v>39680.76</v>
      </c>
      <c r="AM62" s="167">
        <v>46154</v>
      </c>
      <c r="AN62" s="244">
        <f t="shared" si="16"/>
        <v>11</v>
      </c>
      <c r="AO62" s="164">
        <v>46148</v>
      </c>
    </row>
    <row r="63" spans="1:42" x14ac:dyDescent="0.35">
      <c r="A63" s="133" cm="1">
        <f t="array" ref="A63">ROW(63:63)-3</f>
        <v>60</v>
      </c>
      <c r="B63" s="307">
        <v>24160671</v>
      </c>
      <c r="C63" s="133">
        <v>0</v>
      </c>
      <c r="D63" s="133" t="str">
        <f t="shared" si="12"/>
        <v>24160671-0</v>
      </c>
      <c r="E63" s="133" t="s">
        <v>110</v>
      </c>
      <c r="F63" s="164">
        <v>46022</v>
      </c>
      <c r="G63" s="134" t="str">
        <f t="shared" si="20"/>
        <v>Yes</v>
      </c>
      <c r="H63" s="135">
        <f>SUMIFS('Order Details'!$R:$R,'Order Details'!$A:$A,'Order Summary'!$B63,'Order Details'!$B:$B,'Order Summary'!$C63,'Order Details'!$E:$E,"Yes")</f>
        <v>12</v>
      </c>
      <c r="I63" s="133" t="s">
        <v>230</v>
      </c>
      <c r="J63" s="133" t="str">
        <f>VLOOKUP($I63,'Master Data'!$L$5:$M$15,2,FALSE)</f>
        <v>Savannah</v>
      </c>
      <c r="K63" s="137">
        <f>SUMIFS('Order Details'!$U:$U,'Order Details'!$A:$A,'Order Summary'!$B63,'Order Details'!$B:$B,'Order Summary'!$C63,'Order Details'!$E:$E,"Yes")</f>
        <v>66150</v>
      </c>
      <c r="L63" s="138">
        <f>SUMIFS('Order Details'!$P:$P,'Order Details'!$A:$A,'Order Summary'!$B63,'Order Details'!$B:$B,'Order Summary'!$C63,'Order Details'!$E:$E,"Yes")</f>
        <v>8202.0600000000013</v>
      </c>
      <c r="M63" s="133" t="s">
        <v>234</v>
      </c>
      <c r="N63" s="164">
        <v>46027</v>
      </c>
      <c r="O63" s="171">
        <f t="shared" si="19"/>
        <v>5</v>
      </c>
      <c r="P63" s="174">
        <f>ROUND(SUMIFS('Order Details'!$V:$V,'Order Details'!$A:$A,'Order Summary'!$B63,'Order Details'!$B:$B,'Order Summary'!$C63,'Order Details'!$E:$E,"Yes"),2)</f>
        <v>66190.62</v>
      </c>
      <c r="Q63" s="164">
        <v>46050</v>
      </c>
      <c r="R63" s="171">
        <f t="shared" si="14"/>
        <v>23</v>
      </c>
      <c r="S63" s="137">
        <v>33095.31</v>
      </c>
      <c r="T63" s="165">
        <f>IF(Q63="","",Q63+_xlfn.MAXIFS('Order Details'!$W:$W,'Order Details'!$A:$A,'Order Summary'!$B63,'Order Details'!$B:$B,'Order Summary'!$C63,'Order Details'!$E:$E,"Yes"))</f>
        <v>46095</v>
      </c>
      <c r="U63" s="164">
        <f>IF(T63="","",T63+VLOOKUP($J63,'Master Data'!$F$6:$G$9,2,FALSE))</f>
        <v>46141</v>
      </c>
      <c r="V63" s="133" t="s">
        <v>520</v>
      </c>
      <c r="W63" s="133" t="s">
        <v>61</v>
      </c>
      <c r="X63" s="133" t="s">
        <v>519</v>
      </c>
      <c r="Y63" s="133" t="s">
        <v>63</v>
      </c>
      <c r="Z63" s="309" t="str">
        <f>IF($Y63="","",IF(VLOOKUP($Y63,'Master Data'!$F$12:$I$17,2,FALSE)="","",VLOOKUP($Y63,'Master Data'!$F$12:$I$17,2,FALSE)))</f>
        <v>https://www.maersk.com/tracking/</v>
      </c>
      <c r="AA63" s="164">
        <v>46102</v>
      </c>
      <c r="AB63" s="171">
        <f t="shared" si="9"/>
        <v>52</v>
      </c>
      <c r="AC63" s="133" t="s">
        <v>491</v>
      </c>
      <c r="AD63" s="164">
        <v>46088</v>
      </c>
      <c r="AE63" s="164" t="s">
        <v>61</v>
      </c>
      <c r="AF63" s="308">
        <f>2800+5000</f>
        <v>7800</v>
      </c>
      <c r="AG63" s="308">
        <v>1000</v>
      </c>
      <c r="AH63" s="137">
        <f t="shared" si="18"/>
        <v>74990.62</v>
      </c>
      <c r="AI63" s="137">
        <f t="shared" si="15"/>
        <v>41895.31</v>
      </c>
      <c r="AJ63" s="164">
        <v>46088</v>
      </c>
      <c r="AK63" s="171">
        <f t="shared" si="17"/>
        <v>0</v>
      </c>
      <c r="AL63" s="137">
        <v>41895.31</v>
      </c>
      <c r="AM63" s="167"/>
      <c r="AN63" s="244" t="str">
        <f t="shared" si="16"/>
        <v/>
      </c>
      <c r="AO63" s="164"/>
    </row>
    <row r="64" spans="1:42" x14ac:dyDescent="0.35">
      <c r="A64" s="133" cm="1">
        <f t="array" ref="A64">ROW(64:64)-3</f>
        <v>61</v>
      </c>
      <c r="B64" s="307">
        <v>24160657</v>
      </c>
      <c r="C64" s="133">
        <v>0</v>
      </c>
      <c r="D64" s="133" t="str">
        <f t="shared" si="12"/>
        <v>24160657-0</v>
      </c>
      <c r="E64" s="133" t="s">
        <v>110</v>
      </c>
      <c r="F64" s="164">
        <v>46022</v>
      </c>
      <c r="G64" s="134" t="str">
        <f t="shared" si="20"/>
        <v>Yes</v>
      </c>
      <c r="H64" s="135">
        <f>SUMIFS('Order Details'!$R:$R,'Order Details'!$A:$A,'Order Summary'!$B64,'Order Details'!$B:$B,'Order Summary'!$C64,'Order Details'!$E:$E,"Yes")</f>
        <v>14</v>
      </c>
      <c r="I64" s="133" t="s">
        <v>230</v>
      </c>
      <c r="J64" s="133" t="str">
        <f>VLOOKUP($I64,'Master Data'!$L$5:$M$15,2,FALSE)</f>
        <v>Savannah</v>
      </c>
      <c r="K64" s="137">
        <f>SUMIFS('Order Details'!$U:$U,'Order Details'!$A:$A,'Order Summary'!$B64,'Order Details'!$B:$B,'Order Summary'!$C64,'Order Details'!$E:$E,"Yes")</f>
        <v>64026.9</v>
      </c>
      <c r="L64" s="138">
        <f>SUMIFS('Order Details'!$P:$P,'Order Details'!$A:$A,'Order Summary'!$B64,'Order Details'!$B:$B,'Order Summary'!$C64,'Order Details'!$E:$E,"Yes")</f>
        <v>8505.84</v>
      </c>
      <c r="M64" s="133" t="s">
        <v>235</v>
      </c>
      <c r="N64" s="164">
        <v>46027</v>
      </c>
      <c r="O64" s="171">
        <f t="shared" si="19"/>
        <v>5</v>
      </c>
      <c r="P64" s="174">
        <f>ROUND(SUMIFS('Order Details'!$V:$V,'Order Details'!$A:$A,'Order Summary'!$B64,'Order Details'!$B:$B,'Order Summary'!$C64,'Order Details'!$E:$E,"Yes"),2)</f>
        <v>64048.98</v>
      </c>
      <c r="Q64" s="164">
        <v>46052</v>
      </c>
      <c r="R64" s="171">
        <f t="shared" si="14"/>
        <v>25</v>
      </c>
      <c r="S64" s="137">
        <v>32024.49</v>
      </c>
      <c r="T64" s="165">
        <f>IF(Q64="","",Q64+_xlfn.MAXIFS('Order Details'!$W:$W,'Order Details'!$A:$A,'Order Summary'!$B64,'Order Details'!$B:$B,'Order Summary'!$C64,'Order Details'!$E:$E,"Yes"))</f>
        <v>46097</v>
      </c>
      <c r="U64" s="164">
        <v>46141</v>
      </c>
      <c r="V64" s="133" t="s">
        <v>520</v>
      </c>
      <c r="W64" s="133" t="s">
        <v>61</v>
      </c>
      <c r="X64" s="133" t="s">
        <v>518</v>
      </c>
      <c r="Y64" s="133" t="s">
        <v>63</v>
      </c>
      <c r="Z64" s="309" t="str">
        <f>IF($Y64="","",IF(VLOOKUP($Y64,'Master Data'!$F$12:$I$17,2,FALSE)="","",VLOOKUP($Y64,'Master Data'!$F$12:$I$17,2,FALSE)))</f>
        <v>https://www.maersk.com/tracking/</v>
      </c>
      <c r="AA64" s="164">
        <v>46102</v>
      </c>
      <c r="AB64" s="171">
        <f t="shared" si="9"/>
        <v>50</v>
      </c>
      <c r="AC64" s="133" t="s">
        <v>492</v>
      </c>
      <c r="AD64" s="164">
        <v>46088</v>
      </c>
      <c r="AE64" s="164" t="s">
        <v>61</v>
      </c>
      <c r="AF64" s="308">
        <f>2800+5000</f>
        <v>7800</v>
      </c>
      <c r="AG64" s="308">
        <v>1000</v>
      </c>
      <c r="AH64" s="137">
        <f t="shared" si="18"/>
        <v>72848.98000000001</v>
      </c>
      <c r="AI64" s="137">
        <f t="shared" si="15"/>
        <v>40824.490000000005</v>
      </c>
      <c r="AJ64" s="164">
        <v>46088</v>
      </c>
      <c r="AK64" s="171">
        <f t="shared" si="17"/>
        <v>0</v>
      </c>
      <c r="AL64" s="137">
        <v>40824.49</v>
      </c>
      <c r="AM64" s="167"/>
      <c r="AN64" s="244" t="str">
        <f t="shared" si="16"/>
        <v/>
      </c>
      <c r="AO64" s="164"/>
    </row>
    <row r="65" spans="1:41" x14ac:dyDescent="0.35">
      <c r="A65" s="133" cm="1">
        <f t="array" ref="A65">ROW(65:65)-3</f>
        <v>62</v>
      </c>
      <c r="B65" s="133">
        <v>24160655</v>
      </c>
      <c r="C65" s="133">
        <v>0</v>
      </c>
      <c r="D65" s="133" t="str">
        <f t="shared" si="12"/>
        <v>24160655-0</v>
      </c>
      <c r="E65" s="133" t="s">
        <v>410</v>
      </c>
      <c r="F65" s="164">
        <v>46022</v>
      </c>
      <c r="G65" s="134" t="str">
        <f t="shared" si="20"/>
        <v>Yes</v>
      </c>
      <c r="H65" s="135">
        <f>SUMIFS('Order Details'!$R:$R,'Order Details'!$A:$A,'Order Summary'!$B65,'Order Details'!$B:$B,'Order Summary'!$C65,'Order Details'!$E:$E,"Yes")</f>
        <v>14</v>
      </c>
      <c r="I65" s="133" t="s">
        <v>230</v>
      </c>
      <c r="J65" s="133" t="str">
        <f>VLOOKUP($I65,'Master Data'!$L$5:$M$15,2,FALSE)</f>
        <v>Savannah</v>
      </c>
      <c r="K65" s="137">
        <f>SUMIFS('Order Details'!$U:$U,'Order Details'!$A:$A,'Order Summary'!$B65,'Order Details'!$B:$B,'Order Summary'!$C65,'Order Details'!$E:$E,"Yes")</f>
        <v>64026.9</v>
      </c>
      <c r="L65" s="138">
        <f>SUMIFS('Order Details'!$P:$P,'Order Details'!$A:$A,'Order Summary'!$B65,'Order Details'!$B:$B,'Order Summary'!$C65,'Order Details'!$E:$E,"Yes")</f>
        <v>8505.84</v>
      </c>
      <c r="M65" s="133" t="s">
        <v>236</v>
      </c>
      <c r="N65" s="164">
        <v>46027</v>
      </c>
      <c r="O65" s="171">
        <f t="shared" si="19"/>
        <v>5</v>
      </c>
      <c r="P65" s="174">
        <f>ROUND(SUMIFS('Order Details'!$V:$V,'Order Details'!$A:$A,'Order Summary'!$B65,'Order Details'!$B:$B,'Order Summary'!$C65,'Order Details'!$E:$E,"Yes"),2)</f>
        <v>64048.98</v>
      </c>
      <c r="Q65" s="164">
        <v>46052</v>
      </c>
      <c r="R65" s="171">
        <f t="shared" si="14"/>
        <v>25</v>
      </c>
      <c r="S65" s="137">
        <v>32024.49</v>
      </c>
      <c r="T65" s="165">
        <f>IF(Q65="","",Q65+_xlfn.MAXIFS('Order Details'!$W:$W,'Order Details'!$A:$A,'Order Summary'!$B65,'Order Details'!$B:$B,'Order Summary'!$C65,'Order Details'!$E:$E,"Yes"))</f>
        <v>46097</v>
      </c>
      <c r="U65" s="164">
        <f>IF(T65="","",T65+VLOOKUP($J65,'Master Data'!$F$6:$G$9,2,FALSE))</f>
        <v>46143</v>
      </c>
      <c r="V65" s="133"/>
      <c r="W65" s="133"/>
      <c r="X65" s="133"/>
      <c r="Y65" s="133"/>
      <c r="Z65" s="309" t="str">
        <f>IF($Y65="","",IF(VLOOKUP($Y65,'Master Data'!$F$12:$I$17,2,FALSE)="","",VLOOKUP($Y65,'Master Data'!$F$12:$I$17,2,FALSE)))</f>
        <v/>
      </c>
      <c r="AA65" s="164"/>
      <c r="AB65" s="171" t="str">
        <f t="shared" si="9"/>
        <v/>
      </c>
      <c r="AC65" s="133" t="s">
        <v>590</v>
      </c>
      <c r="AD65" s="164">
        <v>46161</v>
      </c>
      <c r="AE65" s="164"/>
      <c r="AF65" s="137">
        <v>7800</v>
      </c>
      <c r="AG65" s="137">
        <v>1000</v>
      </c>
      <c r="AH65" s="137">
        <f t="shared" si="18"/>
        <v>72848.98000000001</v>
      </c>
      <c r="AI65" s="137">
        <f t="shared" si="15"/>
        <v>40824.490000000005</v>
      </c>
      <c r="AJ65" s="164"/>
      <c r="AK65" s="171" t="str">
        <f t="shared" si="17"/>
        <v/>
      </c>
      <c r="AL65" s="137"/>
      <c r="AM65" s="167"/>
      <c r="AN65" s="244" t="str">
        <f t="shared" si="16"/>
        <v/>
      </c>
      <c r="AO65" s="164"/>
    </row>
    <row r="66" spans="1:41" x14ac:dyDescent="0.35">
      <c r="A66" s="133" cm="1">
        <f t="array" ref="A66">ROW(66:66)-3</f>
        <v>63</v>
      </c>
      <c r="B66" s="133">
        <v>24160670</v>
      </c>
      <c r="C66" s="133">
        <v>0</v>
      </c>
      <c r="D66" s="133" t="str">
        <f t="shared" si="12"/>
        <v>24160670-0</v>
      </c>
      <c r="E66" s="133" t="s">
        <v>110</v>
      </c>
      <c r="F66" s="164">
        <v>46022</v>
      </c>
      <c r="G66" s="134" t="str">
        <f t="shared" si="20"/>
        <v>Yes</v>
      </c>
      <c r="H66" s="135">
        <f>SUMIFS('Order Details'!$R:$R,'Order Details'!$A:$A,'Order Summary'!$B66,'Order Details'!$B:$B,'Order Summary'!$C66,'Order Details'!$E:$E,"Yes")</f>
        <v>12</v>
      </c>
      <c r="I66" s="133" t="s">
        <v>230</v>
      </c>
      <c r="J66" s="133" t="str">
        <f>VLOOKUP($I66,'Master Data'!$L$5:$M$15,2,FALSE)</f>
        <v>Savannah</v>
      </c>
      <c r="K66" s="137">
        <f>SUMIFS('Order Details'!$U:$U,'Order Details'!$A:$A,'Order Summary'!$B66,'Order Details'!$B:$B,'Order Summary'!$C66,'Order Details'!$E:$E,"Yes")</f>
        <v>61740</v>
      </c>
      <c r="L66" s="138">
        <f>SUMIFS('Order Details'!$P:$P,'Order Details'!$A:$A,'Order Summary'!$B66,'Order Details'!$B:$B,'Order Summary'!$C66,'Order Details'!$E:$E,"Yes")</f>
        <v>8202.0600000000013</v>
      </c>
      <c r="M66" s="133" t="s">
        <v>237</v>
      </c>
      <c r="N66" s="164">
        <v>46027</v>
      </c>
      <c r="O66" s="171">
        <f t="shared" si="19"/>
        <v>5</v>
      </c>
      <c r="P66" s="174">
        <f>ROUND(SUMIFS('Order Details'!$V:$V,'Order Details'!$A:$A,'Order Summary'!$B66,'Order Details'!$B:$B,'Order Summary'!$C66,'Order Details'!$E:$E,"Yes"),2)</f>
        <v>61761.51</v>
      </c>
      <c r="Q66" s="164">
        <v>46052</v>
      </c>
      <c r="R66" s="171">
        <f t="shared" si="14"/>
        <v>25</v>
      </c>
      <c r="S66" s="137">
        <v>30880.75</v>
      </c>
      <c r="T66" s="165">
        <f>IF(Q66="","",Q66+_xlfn.MAXIFS('Order Details'!$W:$W,'Order Details'!$A:$A,'Order Summary'!$B66,'Order Details'!$B:$B,'Order Summary'!$C66,'Order Details'!$E:$E,"Yes"))</f>
        <v>46142</v>
      </c>
      <c r="U66" s="164">
        <v>46179</v>
      </c>
      <c r="V66" s="133" t="s">
        <v>566</v>
      </c>
      <c r="W66" s="133" t="s">
        <v>61</v>
      </c>
      <c r="X66" s="133" t="s">
        <v>567</v>
      </c>
      <c r="Y66" s="133" t="s">
        <v>63</v>
      </c>
      <c r="Z66" s="309" t="str">
        <f>IF($Y66="","",IF(VLOOKUP($Y66,'Master Data'!$F$12:$I$17,2,FALSE)="","",VLOOKUP($Y66,'Master Data'!$F$12:$I$17,2,FALSE)))</f>
        <v>https://www.maersk.com/tracking/</v>
      </c>
      <c r="AA66" s="164">
        <v>46135</v>
      </c>
      <c r="AB66" s="171">
        <f t="shared" si="9"/>
        <v>83</v>
      </c>
      <c r="AC66" s="133" t="s">
        <v>560</v>
      </c>
      <c r="AD66" s="164">
        <v>46126</v>
      </c>
      <c r="AE66" s="164"/>
      <c r="AF66" s="137">
        <v>7800</v>
      </c>
      <c r="AG66" s="137">
        <v>1000</v>
      </c>
      <c r="AH66" s="137">
        <f t="shared" si="18"/>
        <v>70561.510000000009</v>
      </c>
      <c r="AI66" s="137">
        <f t="shared" si="15"/>
        <v>39680.760000000009</v>
      </c>
      <c r="AJ66" s="164">
        <v>46143</v>
      </c>
      <c r="AK66" s="171">
        <f t="shared" si="17"/>
        <v>17</v>
      </c>
      <c r="AL66" s="137">
        <v>39680.76</v>
      </c>
      <c r="AM66" s="167"/>
      <c r="AN66" s="244" t="str">
        <f t="shared" si="16"/>
        <v/>
      </c>
      <c r="AO66" s="164"/>
    </row>
    <row r="67" spans="1:41" x14ac:dyDescent="0.35">
      <c r="A67" s="133" cm="1">
        <f t="array" ref="A67">ROW(67:67)-3</f>
        <v>64</v>
      </c>
      <c r="B67" s="133">
        <v>24160661</v>
      </c>
      <c r="C67" s="133">
        <v>0</v>
      </c>
      <c r="D67" s="133" t="str">
        <f t="shared" si="12"/>
        <v>24160661-0</v>
      </c>
      <c r="E67" s="133" t="s">
        <v>128</v>
      </c>
      <c r="F67" s="164">
        <v>46022</v>
      </c>
      <c r="G67" s="134" t="str">
        <f t="shared" si="20"/>
        <v>Yes</v>
      </c>
      <c r="H67" s="135">
        <f>SUMIFS('Order Details'!$R:$R,'Order Details'!$A:$A,'Order Summary'!$B67,'Order Details'!$B:$B,'Order Summary'!$C67,'Order Details'!$E:$E,"Yes")</f>
        <v>14</v>
      </c>
      <c r="I67" s="133" t="s">
        <v>230</v>
      </c>
      <c r="J67" s="133" t="str">
        <f>VLOOKUP($I67,'Master Data'!$L$5:$M$15,2,FALSE)</f>
        <v>Savannah</v>
      </c>
      <c r="K67" s="137">
        <f>SUMIFS('Order Details'!$U:$U,'Order Details'!$A:$A,'Order Summary'!$B67,'Order Details'!$B:$B,'Order Summary'!$C67,'Order Details'!$E:$E,"Yes")</f>
        <v>68600.25</v>
      </c>
      <c r="L67" s="138">
        <f>SUMIFS('Order Details'!$P:$P,'Order Details'!$A:$A,'Order Summary'!$B67,'Order Details'!$B:$B,'Order Summary'!$C67,'Order Details'!$E:$E,"Yes")</f>
        <v>8505.84</v>
      </c>
      <c r="M67" s="133" t="s">
        <v>238</v>
      </c>
      <c r="N67" s="164">
        <v>46027</v>
      </c>
      <c r="O67" s="171">
        <f t="shared" si="19"/>
        <v>5</v>
      </c>
      <c r="P67" s="174">
        <f>ROUND(SUMIFS('Order Details'!$V:$V,'Order Details'!$A:$A,'Order Summary'!$B67,'Order Details'!$B:$B,'Order Summary'!$C67,'Order Details'!$E:$E,"Yes"),2)</f>
        <v>68642.13</v>
      </c>
      <c r="Q67" s="164">
        <v>46052</v>
      </c>
      <c r="R67" s="171">
        <f t="shared" si="14"/>
        <v>25</v>
      </c>
      <c r="S67" s="137">
        <v>34321.06</v>
      </c>
      <c r="T67" s="165">
        <f>IF(Q67="","",Q67+_xlfn.MAXIFS('Order Details'!$W:$W,'Order Details'!$A:$A,'Order Summary'!$B67,'Order Details'!$B:$B,'Order Summary'!$C67,'Order Details'!$E:$E,"Yes"))</f>
        <v>46097</v>
      </c>
      <c r="U67" s="164">
        <v>46193</v>
      </c>
      <c r="V67" s="133" t="s">
        <v>586</v>
      </c>
      <c r="W67" s="133" t="s">
        <v>61</v>
      </c>
      <c r="X67" s="133" t="s">
        <v>584</v>
      </c>
      <c r="Y67" s="133" t="s">
        <v>63</v>
      </c>
      <c r="Z67" s="309" t="str">
        <f>IF($Y67="","",IF(VLOOKUP($Y67,'Master Data'!$F$12:$I$17,2,FALSE)="","",VLOOKUP($Y67,'Master Data'!$F$12:$I$17,2,FALSE)))</f>
        <v>https://www.maersk.com/tracking/</v>
      </c>
      <c r="AA67" s="164">
        <v>46157</v>
      </c>
      <c r="AB67" s="171">
        <f t="shared" si="9"/>
        <v>105</v>
      </c>
      <c r="AC67" s="133" t="s">
        <v>579</v>
      </c>
      <c r="AD67" s="310">
        <v>46139</v>
      </c>
      <c r="AE67" s="164"/>
      <c r="AF67" s="137">
        <v>7800</v>
      </c>
      <c r="AG67" s="137">
        <v>1000</v>
      </c>
      <c r="AH67" s="137">
        <f t="shared" si="18"/>
        <v>77442.13</v>
      </c>
      <c r="AI67" s="137">
        <f t="shared" si="15"/>
        <v>43121.070000000007</v>
      </c>
      <c r="AJ67" s="164"/>
      <c r="AK67" s="171" t="str">
        <f t="shared" si="17"/>
        <v/>
      </c>
      <c r="AL67" s="137"/>
      <c r="AM67" s="167"/>
      <c r="AN67" s="244" t="str">
        <f t="shared" si="16"/>
        <v/>
      </c>
      <c r="AO67" s="164"/>
    </row>
    <row r="68" spans="1:41" x14ac:dyDescent="0.35">
      <c r="A68" s="133" cm="1">
        <f t="array" ref="A68">ROW(68:68)-3</f>
        <v>65</v>
      </c>
      <c r="B68" s="133">
        <v>24160669</v>
      </c>
      <c r="C68" s="133">
        <v>0</v>
      </c>
      <c r="D68" s="133" t="str">
        <f t="shared" ref="D68:D99" si="21">B68&amp;"-"&amp;C68</f>
        <v>24160669-0</v>
      </c>
      <c r="E68" s="133" t="s">
        <v>128</v>
      </c>
      <c r="F68" s="164">
        <v>46022</v>
      </c>
      <c r="G68" s="134" t="str">
        <f t="shared" si="20"/>
        <v>Yes</v>
      </c>
      <c r="H68" s="135">
        <f>SUMIFS('Order Details'!$R:$R,'Order Details'!$A:$A,'Order Summary'!$B68,'Order Details'!$B:$B,'Order Summary'!$C68,'Order Details'!$E:$E,"Yes")</f>
        <v>12</v>
      </c>
      <c r="I68" s="133" t="s">
        <v>230</v>
      </c>
      <c r="J68" s="133" t="str">
        <f>VLOOKUP($I68,'Master Data'!$L$5:$M$15,2,FALSE)</f>
        <v>Savannah</v>
      </c>
      <c r="K68" s="137">
        <f>SUMIFS('Order Details'!$U:$U,'Order Details'!$A:$A,'Order Summary'!$B68,'Order Details'!$B:$B,'Order Summary'!$C68,'Order Details'!$E:$E,"Yes")</f>
        <v>61740</v>
      </c>
      <c r="L68" s="138">
        <f>SUMIFS('Order Details'!$P:$P,'Order Details'!$A:$A,'Order Summary'!$B68,'Order Details'!$B:$B,'Order Summary'!$C68,'Order Details'!$E:$E,"Yes")</f>
        <v>8202.0600000000013</v>
      </c>
      <c r="M68" s="133" t="s">
        <v>239</v>
      </c>
      <c r="N68" s="164">
        <v>46027</v>
      </c>
      <c r="O68" s="171">
        <f t="shared" si="19"/>
        <v>5</v>
      </c>
      <c r="P68" s="174">
        <f>ROUND(SUMIFS('Order Details'!$V:$V,'Order Details'!$A:$A,'Order Summary'!$B68,'Order Details'!$B:$B,'Order Summary'!$C68,'Order Details'!$E:$E,"Yes"),2)</f>
        <v>61761.51</v>
      </c>
      <c r="Q68" s="164">
        <v>46052</v>
      </c>
      <c r="R68" s="171">
        <f t="shared" ref="R68:R99" si="22">IF(Q68="","",$Q68-$N68)</f>
        <v>25</v>
      </c>
      <c r="S68" s="137">
        <v>30880.75</v>
      </c>
      <c r="T68" s="165">
        <f>IF(Q68="","",Q68+_xlfn.MAXIFS('Order Details'!$W:$W,'Order Details'!$A:$A,'Order Summary'!$B68,'Order Details'!$B:$B,'Order Summary'!$C68,'Order Details'!$E:$E,"Yes"))</f>
        <v>46097</v>
      </c>
      <c r="U68" s="164">
        <v>46193</v>
      </c>
      <c r="V68" s="133" t="s">
        <v>586</v>
      </c>
      <c r="W68" s="133" t="s">
        <v>61</v>
      </c>
      <c r="X68" s="133" t="s">
        <v>585</v>
      </c>
      <c r="Y68" s="133" t="s">
        <v>63</v>
      </c>
      <c r="Z68" s="309" t="str">
        <f>IF($Y68="","",IF(VLOOKUP($Y68,'Master Data'!$F$12:$I$17,2,FALSE)="","",VLOOKUP($Y68,'Master Data'!$F$12:$I$17,2,FALSE)))</f>
        <v>https://www.maersk.com/tracking/</v>
      </c>
      <c r="AA68" s="164">
        <v>46157</v>
      </c>
      <c r="AB68" s="171">
        <f t="shared" si="9"/>
        <v>105</v>
      </c>
      <c r="AC68" s="133" t="s">
        <v>580</v>
      </c>
      <c r="AD68" s="164">
        <v>46142</v>
      </c>
      <c r="AE68" s="164"/>
      <c r="AF68" s="137">
        <v>7800</v>
      </c>
      <c r="AG68" s="137">
        <v>1000</v>
      </c>
      <c r="AH68" s="137">
        <f t="shared" si="18"/>
        <v>70561.510000000009</v>
      </c>
      <c r="AI68" s="137">
        <f t="shared" ref="AI68:AI99" si="23">AH68-S68</f>
        <v>39680.760000000009</v>
      </c>
      <c r="AJ68" s="164"/>
      <c r="AK68" s="171" t="str">
        <f t="shared" si="17"/>
        <v/>
      </c>
      <c r="AL68" s="137"/>
      <c r="AM68" s="167"/>
      <c r="AN68" s="244" t="str">
        <f t="shared" ref="AN68:AN99" si="24">IFERROR(IF(OR(AM68="",AJ68=""),"",$AM68-$AJ68),"")</f>
        <v/>
      </c>
      <c r="AO68" s="164"/>
    </row>
    <row r="69" spans="1:41" x14ac:dyDescent="0.35">
      <c r="A69" s="133" cm="1">
        <f t="array" ref="A69">ROW(69:69)-3</f>
        <v>66</v>
      </c>
      <c r="B69" s="133">
        <v>24160658</v>
      </c>
      <c r="C69" s="133">
        <v>0</v>
      </c>
      <c r="D69" s="133" t="str">
        <f t="shared" si="21"/>
        <v>24160658-0</v>
      </c>
      <c r="E69" s="133" t="s">
        <v>245</v>
      </c>
      <c r="F69" s="164">
        <v>46022</v>
      </c>
      <c r="G69" s="134" t="str">
        <f t="shared" si="20"/>
        <v>Yes</v>
      </c>
      <c r="H69" s="135">
        <f>SUMIFS('Order Details'!$R:$R,'Order Details'!$A:$A,'Order Summary'!$B69,'Order Details'!$B:$B,'Order Summary'!$C69,'Order Details'!$E:$E,"Yes")</f>
        <v>14</v>
      </c>
      <c r="I69" s="133" t="s">
        <v>230</v>
      </c>
      <c r="J69" s="133" t="str">
        <f>VLOOKUP($I69,'Master Data'!$L$5:$M$15,2,FALSE)</f>
        <v>Savannah</v>
      </c>
      <c r="K69" s="137">
        <f>SUMIFS('Order Details'!$U:$U,'Order Details'!$A:$A,'Order Summary'!$B69,'Order Details'!$B:$B,'Order Summary'!$C69,'Order Details'!$E:$E,"Yes")</f>
        <v>64026.9</v>
      </c>
      <c r="L69" s="138">
        <f>SUMIFS('Order Details'!$P:$P,'Order Details'!$A:$A,'Order Summary'!$B69,'Order Details'!$B:$B,'Order Summary'!$C69,'Order Details'!$E:$E,"Yes")</f>
        <v>8505.84</v>
      </c>
      <c r="M69" s="133" t="s">
        <v>240</v>
      </c>
      <c r="N69" s="164">
        <v>46027</v>
      </c>
      <c r="O69" s="171">
        <f t="shared" si="19"/>
        <v>5</v>
      </c>
      <c r="P69" s="174">
        <f>ROUND(SUMIFS('Order Details'!$V:$V,'Order Details'!$A:$A,'Order Summary'!$B69,'Order Details'!$B:$B,'Order Summary'!$C69,'Order Details'!$E:$E,"Yes"),2)</f>
        <v>64048.98</v>
      </c>
      <c r="Q69" s="164">
        <v>46052</v>
      </c>
      <c r="R69" s="171">
        <f t="shared" si="22"/>
        <v>25</v>
      </c>
      <c r="S69" s="137">
        <v>32024.49</v>
      </c>
      <c r="T69" s="165">
        <f>IF(Q69="","",Q69+_xlfn.MAXIFS('Order Details'!$W:$W,'Order Details'!$A:$A,'Order Summary'!$B69,'Order Details'!$B:$B,'Order Summary'!$C69,'Order Details'!$E:$E,"Yes"))</f>
        <v>46097</v>
      </c>
      <c r="U69" s="164">
        <f>IF(T69="","",T69+VLOOKUP($J69,'Master Data'!$F$6:$G$9,2,FALSE))</f>
        <v>46143</v>
      </c>
      <c r="V69" s="133"/>
      <c r="W69" s="133"/>
      <c r="X69" s="133"/>
      <c r="Y69" s="133"/>
      <c r="Z69" s="309" t="str">
        <f>IF($Y69="","",IF(VLOOKUP($Y69,'Master Data'!$F$12:$I$17,2,FALSE)="","",VLOOKUP($Y69,'Master Data'!$F$12:$I$17,2,FALSE)))</f>
        <v/>
      </c>
      <c r="AA69" s="164"/>
      <c r="AB69" s="171" t="str">
        <f t="shared" si="9"/>
        <v/>
      </c>
      <c r="AC69" s="133"/>
      <c r="AD69" s="164"/>
      <c r="AE69" s="164"/>
      <c r="AF69" s="137"/>
      <c r="AG69" s="137"/>
      <c r="AH69" s="137">
        <f t="shared" si="18"/>
        <v>64048.98</v>
      </c>
      <c r="AI69" s="137">
        <f t="shared" si="23"/>
        <v>32024.49</v>
      </c>
      <c r="AJ69" s="164"/>
      <c r="AK69" s="171" t="str">
        <f t="shared" si="17"/>
        <v/>
      </c>
      <c r="AL69" s="137"/>
      <c r="AM69" s="167"/>
      <c r="AN69" s="244" t="str">
        <f t="shared" si="24"/>
        <v/>
      </c>
      <c r="AO69" s="164"/>
    </row>
    <row r="70" spans="1:41" x14ac:dyDescent="0.35">
      <c r="A70" s="133" cm="1">
        <f t="array" ref="A70">ROW(70:70)-3</f>
        <v>67</v>
      </c>
      <c r="B70" s="133">
        <v>24160659</v>
      </c>
      <c r="C70" s="133">
        <v>0</v>
      </c>
      <c r="D70" s="133" t="str">
        <f t="shared" si="21"/>
        <v>24160659-0</v>
      </c>
      <c r="E70" s="133" t="s">
        <v>128</v>
      </c>
      <c r="F70" s="164">
        <v>46022</v>
      </c>
      <c r="G70" s="134" t="str">
        <f t="shared" si="20"/>
        <v>Yes</v>
      </c>
      <c r="H70" s="135">
        <f>SUMIFS('Order Details'!$R:$R,'Order Details'!$A:$A,'Order Summary'!$B70,'Order Details'!$B:$B,'Order Summary'!$C70,'Order Details'!$E:$E,"Yes")</f>
        <v>14</v>
      </c>
      <c r="I70" s="133" t="s">
        <v>230</v>
      </c>
      <c r="J70" s="133" t="str">
        <f>VLOOKUP($I70,'Master Data'!$L$5:$M$15,2,FALSE)</f>
        <v>Savannah</v>
      </c>
      <c r="K70" s="137">
        <f>SUMIFS('Order Details'!$U:$U,'Order Details'!$A:$A,'Order Summary'!$B70,'Order Details'!$B:$B,'Order Summary'!$C70,'Order Details'!$E:$E,"Yes")</f>
        <v>64026.9</v>
      </c>
      <c r="L70" s="138">
        <f>SUMIFS('Order Details'!$P:$P,'Order Details'!$A:$A,'Order Summary'!$B70,'Order Details'!$B:$B,'Order Summary'!$C70,'Order Details'!$E:$E,"Yes")</f>
        <v>8505.84</v>
      </c>
      <c r="M70" s="133" t="s">
        <v>241</v>
      </c>
      <c r="N70" s="164">
        <v>46027</v>
      </c>
      <c r="O70" s="171">
        <f t="shared" si="19"/>
        <v>5</v>
      </c>
      <c r="P70" s="174">
        <f>ROUND(SUMIFS('Order Details'!$V:$V,'Order Details'!$A:$A,'Order Summary'!$B70,'Order Details'!$B:$B,'Order Summary'!$C70,'Order Details'!$E:$E,"Yes"),2)</f>
        <v>64048.98</v>
      </c>
      <c r="Q70" s="164">
        <v>46052</v>
      </c>
      <c r="R70" s="171">
        <f t="shared" si="22"/>
        <v>25</v>
      </c>
      <c r="S70" s="137">
        <v>32024.49</v>
      </c>
      <c r="T70" s="165">
        <f>IF(Q70="","",Q70+_xlfn.MAXIFS('Order Details'!$W:$W,'Order Details'!$A:$A,'Order Summary'!$B70,'Order Details'!$B:$B,'Order Summary'!$C70,'Order Details'!$E:$E,"Yes"))</f>
        <v>46142</v>
      </c>
      <c r="U70" s="164">
        <v>46193</v>
      </c>
      <c r="V70" s="133" t="s">
        <v>586</v>
      </c>
      <c r="W70" s="133" t="s">
        <v>61</v>
      </c>
      <c r="X70" s="133" t="s">
        <v>582</v>
      </c>
      <c r="Y70" s="133" t="s">
        <v>63</v>
      </c>
      <c r="Z70" s="309" t="str">
        <f>IF($Y70="","",IF(VLOOKUP($Y70,'Master Data'!$F$12:$I$17,2,FALSE)="","",VLOOKUP($Y70,'Master Data'!$F$12:$I$17,2,FALSE)))</f>
        <v>https://www.maersk.com/tracking/</v>
      </c>
      <c r="AA70" s="164">
        <v>46157</v>
      </c>
      <c r="AB70" s="171">
        <f t="shared" si="9"/>
        <v>105</v>
      </c>
      <c r="AC70" s="133" t="s">
        <v>578</v>
      </c>
      <c r="AD70" s="310">
        <v>46139</v>
      </c>
      <c r="AE70" s="164"/>
      <c r="AF70" s="137">
        <v>7800</v>
      </c>
      <c r="AG70" s="137">
        <v>1000</v>
      </c>
      <c r="AH70" s="137">
        <f t="shared" si="18"/>
        <v>72848.98000000001</v>
      </c>
      <c r="AI70" s="137">
        <f t="shared" si="23"/>
        <v>40824.490000000005</v>
      </c>
      <c r="AJ70" s="164"/>
      <c r="AK70" s="171" t="str">
        <f t="shared" ref="AK70:AK101" si="25">IF(AJ70="","",$AJ70-$AD70)</f>
        <v/>
      </c>
      <c r="AL70" s="137"/>
      <c r="AM70" s="167"/>
      <c r="AN70" s="244" t="str">
        <f t="shared" si="24"/>
        <v/>
      </c>
      <c r="AO70" s="164"/>
    </row>
    <row r="71" spans="1:41" x14ac:dyDescent="0.35">
      <c r="A71" s="133" cm="1">
        <f t="array" ref="A71">ROW(71:71)-3</f>
        <v>68</v>
      </c>
      <c r="B71" s="133">
        <v>24160674</v>
      </c>
      <c r="C71" s="133">
        <v>0</v>
      </c>
      <c r="D71" s="133" t="str">
        <f t="shared" si="21"/>
        <v>24160674-0</v>
      </c>
      <c r="E71" s="133" t="s">
        <v>128</v>
      </c>
      <c r="F71" s="164">
        <v>46022</v>
      </c>
      <c r="G71" s="134" t="str">
        <f t="shared" si="20"/>
        <v>Yes</v>
      </c>
      <c r="H71" s="135">
        <f>SUMIFS('Order Details'!$R:$R,'Order Details'!$A:$A,'Order Summary'!$B71,'Order Details'!$B:$B,'Order Summary'!$C71,'Order Details'!$E:$E,"Yes")</f>
        <v>9</v>
      </c>
      <c r="I71" s="133" t="s">
        <v>230</v>
      </c>
      <c r="J71" s="133" t="str">
        <f>VLOOKUP($I71,'Master Data'!$L$5:$M$15,2,FALSE)</f>
        <v>Savannah</v>
      </c>
      <c r="K71" s="137">
        <f>SUMIFS('Order Details'!$U:$U,'Order Details'!$A:$A,'Order Summary'!$B71,'Order Details'!$B:$B,'Order Summary'!$C71,'Order Details'!$E:$E,"Yes")</f>
        <v>61740</v>
      </c>
      <c r="L71" s="138">
        <f>SUMIFS('Order Details'!$P:$P,'Order Details'!$A:$A,'Order Summary'!$B71,'Order Details'!$B:$B,'Order Summary'!$C71,'Order Details'!$E:$E,"Yes")</f>
        <v>8197.5780000000013</v>
      </c>
      <c r="M71" s="133" t="s">
        <v>242</v>
      </c>
      <c r="N71" s="164">
        <v>46027</v>
      </c>
      <c r="O71" s="171">
        <f t="shared" si="19"/>
        <v>5</v>
      </c>
      <c r="P71" s="174">
        <f>ROUND(SUMIFS('Order Details'!$V:$V,'Order Details'!$A:$A,'Order Summary'!$B71,'Order Details'!$B:$B,'Order Summary'!$C71,'Order Details'!$E:$E,"Yes"),2)</f>
        <v>61727.76</v>
      </c>
      <c r="Q71" s="164">
        <v>46052</v>
      </c>
      <c r="R71" s="171">
        <f t="shared" si="22"/>
        <v>25</v>
      </c>
      <c r="S71" s="137">
        <v>30863.88</v>
      </c>
      <c r="T71" s="165">
        <f>IF(Q71="","",Q71+_xlfn.MAXIFS('Order Details'!$W:$W,'Order Details'!$A:$A,'Order Summary'!$B71,'Order Details'!$B:$B,'Order Summary'!$C71,'Order Details'!$E:$E,"Yes"))</f>
        <v>46097</v>
      </c>
      <c r="U71" s="164">
        <f>IF(T71="","",T71+VLOOKUP($J71,'Master Data'!$F$6:$G$9,2,FALSE))</f>
        <v>46143</v>
      </c>
      <c r="V71" s="133"/>
      <c r="W71" s="133"/>
      <c r="X71" s="133"/>
      <c r="Y71" s="133"/>
      <c r="Z71" s="309" t="str">
        <f>IF($Y71="","",IF(VLOOKUP($Y71,'Master Data'!$F$12:$I$17,2,FALSE)="","",VLOOKUP($Y71,'Master Data'!$F$12:$I$17,2,FALSE)))</f>
        <v/>
      </c>
      <c r="AA71" s="164"/>
      <c r="AB71" s="171" t="str">
        <f t="shared" si="9"/>
        <v/>
      </c>
      <c r="AC71" s="133" t="s">
        <v>599</v>
      </c>
      <c r="AD71" s="164">
        <v>46164</v>
      </c>
      <c r="AE71" s="164"/>
      <c r="AF71" s="137">
        <v>7800</v>
      </c>
      <c r="AG71" s="137">
        <v>1000</v>
      </c>
      <c r="AH71" s="137">
        <f t="shared" si="18"/>
        <v>70527.760000000009</v>
      </c>
      <c r="AI71" s="137">
        <f t="shared" si="23"/>
        <v>39663.880000000005</v>
      </c>
      <c r="AJ71" s="164"/>
      <c r="AK71" s="171" t="str">
        <f t="shared" si="25"/>
        <v/>
      </c>
      <c r="AL71" s="137"/>
      <c r="AM71" s="167"/>
      <c r="AN71" s="244" t="str">
        <f t="shared" si="24"/>
        <v/>
      </c>
      <c r="AO71" s="164"/>
    </row>
    <row r="72" spans="1:41" x14ac:dyDescent="0.35">
      <c r="A72" s="133" cm="1">
        <f t="array" ref="A72">ROW(72:72)-3</f>
        <v>69</v>
      </c>
      <c r="B72" s="133">
        <v>24160677</v>
      </c>
      <c r="C72" s="133">
        <v>0</v>
      </c>
      <c r="D72" s="133" t="str">
        <f t="shared" si="21"/>
        <v>24160677-0</v>
      </c>
      <c r="E72" s="133" t="s">
        <v>410</v>
      </c>
      <c r="F72" s="164">
        <v>46022</v>
      </c>
      <c r="G72" s="134" t="str">
        <f t="shared" si="20"/>
        <v>Yes</v>
      </c>
      <c r="H72" s="135">
        <f>SUMIFS('Order Details'!$R:$R,'Order Details'!$A:$A,'Order Summary'!$B72,'Order Details'!$B:$B,'Order Summary'!$C72,'Order Details'!$E:$E,"Yes")</f>
        <v>9</v>
      </c>
      <c r="I72" s="133" t="s">
        <v>230</v>
      </c>
      <c r="J72" s="133" t="str">
        <f>VLOOKUP($I72,'Master Data'!$L$5:$M$15,2,FALSE)</f>
        <v>Savannah</v>
      </c>
      <c r="K72" s="137">
        <f>SUMIFS('Order Details'!$U:$U,'Order Details'!$A:$A,'Order Summary'!$B72,'Order Details'!$B:$B,'Order Summary'!$C72,'Order Details'!$E:$E,"Yes")</f>
        <v>63700.000000000015</v>
      </c>
      <c r="L72" s="138">
        <f>SUMIFS('Order Details'!$P:$P,'Order Details'!$A:$A,'Order Summary'!$B72,'Order Details'!$B:$B,'Order Summary'!$C72,'Order Details'!$E:$E,"Yes")</f>
        <v>8197.5780000000013</v>
      </c>
      <c r="M72" s="133" t="s">
        <v>243</v>
      </c>
      <c r="N72" s="164">
        <v>46027</v>
      </c>
      <c r="O72" s="171">
        <f t="shared" si="19"/>
        <v>5</v>
      </c>
      <c r="P72" s="174">
        <f>ROUND(SUMIFS('Order Details'!$V:$V,'Order Details'!$A:$A,'Order Summary'!$B72,'Order Details'!$B:$B,'Order Summary'!$C72,'Order Details'!$E:$E,"Yes"),2)</f>
        <v>63695.18</v>
      </c>
      <c r="Q72" s="164">
        <v>46050</v>
      </c>
      <c r="R72" s="171">
        <f t="shared" si="22"/>
        <v>23</v>
      </c>
      <c r="S72" s="137">
        <v>31847.59</v>
      </c>
      <c r="T72" s="165">
        <f>IF(Q72="","",Q72+_xlfn.MAXIFS('Order Details'!$W:$W,'Order Details'!$A:$A,'Order Summary'!$B72,'Order Details'!$B:$B,'Order Summary'!$C72,'Order Details'!$E:$E,"Yes"))</f>
        <v>46140</v>
      </c>
      <c r="U72" s="164">
        <f>IF(T72="","",T72+VLOOKUP($J72,'Master Data'!$F$6:$G$9,2,FALSE))</f>
        <v>46186</v>
      </c>
      <c r="V72" s="133"/>
      <c r="W72" s="133"/>
      <c r="X72" s="133"/>
      <c r="Y72" s="133"/>
      <c r="Z72" s="309" t="str">
        <f>IF($Y72="","",IF(VLOOKUP($Y72,'Master Data'!$F$12:$I$17,2,FALSE)="","",VLOOKUP($Y72,'Master Data'!$F$12:$I$17,2,FALSE)))</f>
        <v/>
      </c>
      <c r="AA72" s="164"/>
      <c r="AB72" s="171" t="str">
        <f t="shared" ref="AB72:AB135" si="26">IF(OR(AA72="",AA72="COMPLETE"),"",IF($AA72-$Q72&lt;0,"",$AA72-$Q72))</f>
        <v/>
      </c>
      <c r="AC72" s="133" t="s">
        <v>592</v>
      </c>
      <c r="AD72" s="164">
        <v>46161</v>
      </c>
      <c r="AE72" s="164"/>
      <c r="AF72" s="137">
        <v>7800</v>
      </c>
      <c r="AG72" s="137">
        <v>1000</v>
      </c>
      <c r="AH72" s="137">
        <f t="shared" si="18"/>
        <v>72495.179999999993</v>
      </c>
      <c r="AI72" s="137">
        <f t="shared" si="23"/>
        <v>40647.589999999997</v>
      </c>
      <c r="AJ72" s="164"/>
      <c r="AK72" s="171" t="str">
        <f t="shared" si="25"/>
        <v/>
      </c>
      <c r="AL72" s="137"/>
      <c r="AM72" s="167"/>
      <c r="AN72" s="244" t="str">
        <f t="shared" si="24"/>
        <v/>
      </c>
      <c r="AO72" s="164"/>
    </row>
    <row r="73" spans="1:41" x14ac:dyDescent="0.35">
      <c r="A73" s="133" cm="1">
        <f t="array" ref="A73">ROW(73:73)-3</f>
        <v>70</v>
      </c>
      <c r="B73" s="133">
        <v>24160656</v>
      </c>
      <c r="C73" s="133">
        <v>0</v>
      </c>
      <c r="D73" s="133" t="str">
        <f t="shared" si="21"/>
        <v>24160656-0</v>
      </c>
      <c r="E73" s="133" t="s">
        <v>245</v>
      </c>
      <c r="F73" s="164">
        <v>46022</v>
      </c>
      <c r="G73" s="134" t="str">
        <f t="shared" si="20"/>
        <v>Yes</v>
      </c>
      <c r="H73" s="135">
        <f>SUMIFS('Order Details'!$R:$R,'Order Details'!$A:$A,'Order Summary'!$B73,'Order Details'!$B:$B,'Order Summary'!$C73,'Order Details'!$E:$E,"Yes")</f>
        <v>14</v>
      </c>
      <c r="I73" s="133" t="s">
        <v>230</v>
      </c>
      <c r="J73" s="133" t="str">
        <f>VLOOKUP($I73,'Master Data'!$L$5:$M$15,2,FALSE)</f>
        <v>Savannah</v>
      </c>
      <c r="K73" s="137">
        <f>SUMIFS('Order Details'!$U:$U,'Order Details'!$A:$A,'Order Summary'!$B73,'Order Details'!$B:$B,'Order Summary'!$C73,'Order Details'!$E:$E,"Yes")</f>
        <v>64026.9</v>
      </c>
      <c r="L73" s="138">
        <f>SUMIFS('Order Details'!$P:$P,'Order Details'!$A:$A,'Order Summary'!$B73,'Order Details'!$B:$B,'Order Summary'!$C73,'Order Details'!$E:$E,"Yes")</f>
        <v>8505.84</v>
      </c>
      <c r="M73" s="133" t="s">
        <v>244</v>
      </c>
      <c r="N73" s="164">
        <v>46027</v>
      </c>
      <c r="O73" s="171">
        <f t="shared" si="19"/>
        <v>5</v>
      </c>
      <c r="P73" s="174">
        <f>ROUND(SUMIFS('Order Details'!$V:$V,'Order Details'!$A:$A,'Order Summary'!$B73,'Order Details'!$B:$B,'Order Summary'!$C73,'Order Details'!$E:$E,"Yes"),2)</f>
        <v>64048.98</v>
      </c>
      <c r="Q73" s="164">
        <v>46050</v>
      </c>
      <c r="R73" s="171">
        <f t="shared" si="22"/>
        <v>23</v>
      </c>
      <c r="S73" s="137">
        <v>32024.49</v>
      </c>
      <c r="T73" s="165">
        <f>IF(Q73="","",Q73+_xlfn.MAXIFS('Order Details'!$W:$W,'Order Details'!$A:$A,'Order Summary'!$B73,'Order Details'!$B:$B,'Order Summary'!$C73,'Order Details'!$E:$E,"Yes"))</f>
        <v>46095</v>
      </c>
      <c r="U73" s="164">
        <f>IF(T73="","",T73+VLOOKUP($J73,'Master Data'!$F$6:$G$9,2,FALSE))</f>
        <v>46141</v>
      </c>
      <c r="V73" s="133"/>
      <c r="W73" s="133"/>
      <c r="X73" s="133"/>
      <c r="Y73" s="133"/>
      <c r="Z73" s="309" t="str">
        <f>IF($Y73="","",IF(VLOOKUP($Y73,'Master Data'!$F$12:$I$17,2,FALSE)="","",VLOOKUP($Y73,'Master Data'!$F$12:$I$17,2,FALSE)))</f>
        <v/>
      </c>
      <c r="AA73" s="164"/>
      <c r="AB73" s="171" t="str">
        <f t="shared" si="26"/>
        <v/>
      </c>
      <c r="AC73" s="133"/>
      <c r="AD73" s="164"/>
      <c r="AE73" s="164"/>
      <c r="AF73" s="137"/>
      <c r="AG73" s="137"/>
      <c r="AH73" s="137">
        <f t="shared" si="18"/>
        <v>64048.98</v>
      </c>
      <c r="AI73" s="137">
        <f t="shared" si="23"/>
        <v>32024.49</v>
      </c>
      <c r="AJ73" s="164"/>
      <c r="AK73" s="171" t="str">
        <f t="shared" si="25"/>
        <v/>
      </c>
      <c r="AL73" s="137"/>
      <c r="AM73" s="167"/>
      <c r="AN73" s="244" t="str">
        <f t="shared" si="24"/>
        <v/>
      </c>
      <c r="AO73" s="164"/>
    </row>
    <row r="74" spans="1:41" x14ac:dyDescent="0.35">
      <c r="A74" s="133" cm="1">
        <f t="array" ref="A74">ROW(74:74)-3</f>
        <v>71</v>
      </c>
      <c r="B74" s="307">
        <v>24160596</v>
      </c>
      <c r="C74" s="133">
        <v>0</v>
      </c>
      <c r="D74" s="133" t="str">
        <f t="shared" si="21"/>
        <v>24160596-0</v>
      </c>
      <c r="E74" s="133" t="s">
        <v>110</v>
      </c>
      <c r="F74" s="164">
        <v>46022</v>
      </c>
      <c r="G74" s="134" t="str">
        <f t="shared" si="20"/>
        <v>Yes</v>
      </c>
      <c r="H74" s="135">
        <f>SUMIFS('Order Details'!$R:$R,'Order Details'!$A:$A,'Order Summary'!$B74,'Order Details'!$B:$B,'Order Summary'!$C74,'Order Details'!$E:$E,"Yes")</f>
        <v>13</v>
      </c>
      <c r="I74" s="133" t="s">
        <v>116</v>
      </c>
      <c r="J74" s="133" t="str">
        <f>VLOOKUP($I74,'Master Data'!$L$5:$M$15,2,FALSE)</f>
        <v>Savannah</v>
      </c>
      <c r="K74" s="137">
        <f>SUMIFS('Order Details'!$U:$U,'Order Details'!$A:$A,'Order Summary'!$B74,'Order Details'!$B:$B,'Order Summary'!$C74,'Order Details'!$E:$E,"Yes")</f>
        <v>56165.899999999994</v>
      </c>
      <c r="L74" s="138">
        <f>SUMIFS('Order Details'!$P:$P,'Order Details'!$A:$A,'Order Summary'!$B74,'Order Details'!$B:$B,'Order Summary'!$C74,'Order Details'!$E:$E,"Yes")</f>
        <v>7461.2850000000008</v>
      </c>
      <c r="M74" s="133" t="s">
        <v>246</v>
      </c>
      <c r="N74" s="164">
        <v>46027</v>
      </c>
      <c r="O74" s="171">
        <f t="shared" si="19"/>
        <v>5</v>
      </c>
      <c r="P74" s="174">
        <f>ROUND(SUMIFS('Order Details'!$V:$V,'Order Details'!$A:$A,'Order Summary'!$B74,'Order Details'!$B:$B,'Order Summary'!$C74,'Order Details'!$E:$E,"Yes"),2)</f>
        <v>56183.48</v>
      </c>
      <c r="Q74" s="164">
        <v>46050</v>
      </c>
      <c r="R74" s="171">
        <f t="shared" si="22"/>
        <v>23</v>
      </c>
      <c r="S74" s="137">
        <v>28091.74</v>
      </c>
      <c r="T74" s="165">
        <f>IF(Q74="","",Q74+_xlfn.MAXIFS('Order Details'!$W:$W,'Order Details'!$A:$A,'Order Summary'!$B74,'Order Details'!$B:$B,'Order Summary'!$C74,'Order Details'!$E:$E,"Yes"))</f>
        <v>46140</v>
      </c>
      <c r="U74" s="164">
        <v>46141</v>
      </c>
      <c r="V74" s="133" t="s">
        <v>513</v>
      </c>
      <c r="W74" s="133" t="s">
        <v>61</v>
      </c>
      <c r="X74" s="133" t="s">
        <v>514</v>
      </c>
      <c r="Y74" s="133" t="s">
        <v>63</v>
      </c>
      <c r="Z74" s="309" t="str">
        <f>IF($Y74="","",IF(VLOOKUP($Y74,'Master Data'!$F$12:$I$17,2,FALSE)="","",VLOOKUP($Y74,'Master Data'!$F$12:$I$17,2,FALSE)))</f>
        <v>https://www.maersk.com/tracking/</v>
      </c>
      <c r="AA74" s="164">
        <v>46102</v>
      </c>
      <c r="AB74" s="171">
        <f t="shared" si="26"/>
        <v>52</v>
      </c>
      <c r="AC74" s="133" t="s">
        <v>486</v>
      </c>
      <c r="AD74" s="164">
        <v>46086</v>
      </c>
      <c r="AE74" s="164" t="s">
        <v>61</v>
      </c>
      <c r="AF74" s="308">
        <f>2800+5000</f>
        <v>7800</v>
      </c>
      <c r="AG74" s="308">
        <v>1000</v>
      </c>
      <c r="AH74" s="137">
        <f t="shared" si="18"/>
        <v>64983.48</v>
      </c>
      <c r="AI74" s="137">
        <f t="shared" si="23"/>
        <v>36891.740000000005</v>
      </c>
      <c r="AJ74" s="164">
        <v>46086</v>
      </c>
      <c r="AK74" s="171">
        <f t="shared" si="25"/>
        <v>0</v>
      </c>
      <c r="AL74" s="137">
        <v>36891.74</v>
      </c>
      <c r="AM74" s="167"/>
      <c r="AN74" s="244" t="str">
        <f t="shared" si="24"/>
        <v/>
      </c>
      <c r="AO74" s="164"/>
    </row>
    <row r="75" spans="1:41" x14ac:dyDescent="0.35">
      <c r="A75" s="133" cm="1">
        <f t="array" ref="A75">ROW(75:75)-3</f>
        <v>72</v>
      </c>
      <c r="B75" s="307">
        <v>24160605</v>
      </c>
      <c r="C75" s="133">
        <v>0</v>
      </c>
      <c r="D75" s="133" t="str">
        <f t="shared" si="21"/>
        <v>24160605-0</v>
      </c>
      <c r="E75" s="133" t="s">
        <v>110</v>
      </c>
      <c r="F75" s="164">
        <v>46022</v>
      </c>
      <c r="G75" s="134" t="str">
        <f t="shared" si="20"/>
        <v>Yes</v>
      </c>
      <c r="H75" s="135">
        <f>SUMIFS('Order Details'!$R:$R,'Order Details'!$A:$A,'Order Summary'!$B75,'Order Details'!$B:$B,'Order Summary'!$C75,'Order Details'!$E:$E,"Yes")</f>
        <v>13</v>
      </c>
      <c r="I75" s="133" t="s">
        <v>116</v>
      </c>
      <c r="J75" s="133" t="str">
        <f>VLOOKUP($I75,'Master Data'!$L$5:$M$15,2,FALSE)</f>
        <v>Savannah</v>
      </c>
      <c r="K75" s="137">
        <f>SUMIFS('Order Details'!$U:$U,'Order Details'!$A:$A,'Order Summary'!$B75,'Order Details'!$B:$B,'Order Summary'!$C75,'Order Details'!$E:$E,"Yes")</f>
        <v>56492.549999999996</v>
      </c>
      <c r="L75" s="138">
        <f>SUMIFS('Order Details'!$P:$P,'Order Details'!$A:$A,'Order Summary'!$B75,'Order Details'!$B:$B,'Order Summary'!$C75,'Order Details'!$E:$E,"Yes")</f>
        <v>7461.2850000000008</v>
      </c>
      <c r="M75" s="133" t="s">
        <v>247</v>
      </c>
      <c r="N75" s="164">
        <v>46027</v>
      </c>
      <c r="O75" s="171">
        <f t="shared" si="19"/>
        <v>5</v>
      </c>
      <c r="P75" s="174">
        <f>ROUND(SUMIFS('Order Details'!$V:$V,'Order Details'!$A:$A,'Order Summary'!$B75,'Order Details'!$B:$B,'Order Summary'!$C75,'Order Details'!$E:$E,"Yes"),2)</f>
        <v>56511.56</v>
      </c>
      <c r="Q75" s="164">
        <v>46050</v>
      </c>
      <c r="R75" s="171">
        <f t="shared" si="22"/>
        <v>23</v>
      </c>
      <c r="S75" s="137">
        <v>28255.78</v>
      </c>
      <c r="T75" s="165">
        <f>IF(Q75="","",Q75+_xlfn.MAXIFS('Order Details'!$W:$W,'Order Details'!$A:$A,'Order Summary'!$B75,'Order Details'!$B:$B,'Order Summary'!$C75,'Order Details'!$E:$E,"Yes"))</f>
        <v>46095</v>
      </c>
      <c r="U75" s="164">
        <f>IF(T75="","",T75+VLOOKUP($J75,'Master Data'!$F$6:$G$9,2,FALSE))</f>
        <v>46141</v>
      </c>
      <c r="V75" s="133" t="s">
        <v>511</v>
      </c>
      <c r="W75" s="133" t="s">
        <v>61</v>
      </c>
      <c r="X75" s="133" t="s">
        <v>512</v>
      </c>
      <c r="Y75" s="133" t="s">
        <v>63</v>
      </c>
      <c r="Z75" s="309" t="str">
        <f>IF($Y75="","",IF(VLOOKUP($Y75,'Master Data'!$F$12:$I$17,2,FALSE)="","",VLOOKUP($Y75,'Master Data'!$F$12:$I$17,2,FALSE)))</f>
        <v>https://www.maersk.com/tracking/</v>
      </c>
      <c r="AA75" s="164">
        <v>46102</v>
      </c>
      <c r="AB75" s="171">
        <f t="shared" si="26"/>
        <v>52</v>
      </c>
      <c r="AC75" s="133" t="s">
        <v>488</v>
      </c>
      <c r="AD75" s="164">
        <v>46086</v>
      </c>
      <c r="AE75" s="164" t="s">
        <v>61</v>
      </c>
      <c r="AF75" s="308">
        <f>2800+5000</f>
        <v>7800</v>
      </c>
      <c r="AG75" s="308">
        <v>1000</v>
      </c>
      <c r="AH75" s="137">
        <f t="shared" si="18"/>
        <v>65311.56</v>
      </c>
      <c r="AI75" s="137">
        <f t="shared" si="23"/>
        <v>37055.78</v>
      </c>
      <c r="AJ75" s="164">
        <v>46086</v>
      </c>
      <c r="AK75" s="171">
        <f t="shared" si="25"/>
        <v>0</v>
      </c>
      <c r="AL75" s="137">
        <v>37055.78</v>
      </c>
      <c r="AM75" s="167"/>
      <c r="AN75" s="244" t="str">
        <f t="shared" si="24"/>
        <v/>
      </c>
      <c r="AO75" s="164"/>
    </row>
    <row r="76" spans="1:41" x14ac:dyDescent="0.35">
      <c r="A76" s="133" cm="1">
        <f t="array" ref="A76">ROW(76:76)-3</f>
        <v>73</v>
      </c>
      <c r="B76" s="307">
        <v>24160553</v>
      </c>
      <c r="C76" s="133">
        <v>0</v>
      </c>
      <c r="D76" s="133" t="str">
        <f t="shared" si="21"/>
        <v>24160553-0</v>
      </c>
      <c r="E76" s="133" t="s">
        <v>110</v>
      </c>
      <c r="F76" s="164">
        <v>46022</v>
      </c>
      <c r="G76" s="134" t="str">
        <f t="shared" si="20"/>
        <v>Yes</v>
      </c>
      <c r="H76" s="135">
        <f>SUMIFS('Order Details'!$R:$R,'Order Details'!$A:$A,'Order Summary'!$B76,'Order Details'!$B:$B,'Order Summary'!$C76,'Order Details'!$E:$E,"Yes")</f>
        <v>13</v>
      </c>
      <c r="I76" s="133" t="s">
        <v>116</v>
      </c>
      <c r="J76" s="133" t="str">
        <f>VLOOKUP($I76,'Master Data'!$L$5:$M$15,2,FALSE)</f>
        <v>Savannah</v>
      </c>
      <c r="K76" s="137">
        <f>SUMIFS('Order Details'!$U:$U,'Order Details'!$A:$A,'Order Summary'!$B76,'Order Details'!$B:$B,'Order Summary'!$C76,'Order Details'!$E:$E,"Yes")</f>
        <v>56492.549999999996</v>
      </c>
      <c r="L76" s="138">
        <f>SUMIFS('Order Details'!$P:$P,'Order Details'!$A:$A,'Order Summary'!$B76,'Order Details'!$B:$B,'Order Summary'!$C76,'Order Details'!$E:$E,"Yes")</f>
        <v>7461.2850000000008</v>
      </c>
      <c r="M76" s="133" t="s">
        <v>248</v>
      </c>
      <c r="N76" s="164">
        <v>46027</v>
      </c>
      <c r="O76" s="171">
        <f t="shared" si="19"/>
        <v>5</v>
      </c>
      <c r="P76" s="174">
        <f>ROUND(SUMIFS('Order Details'!$V:$V,'Order Details'!$A:$A,'Order Summary'!$B76,'Order Details'!$B:$B,'Order Summary'!$C76,'Order Details'!$E:$E,"Yes"),2)</f>
        <v>56511.56</v>
      </c>
      <c r="Q76" s="164">
        <v>46050</v>
      </c>
      <c r="R76" s="171">
        <f t="shared" si="22"/>
        <v>23</v>
      </c>
      <c r="S76" s="137">
        <v>28255.78</v>
      </c>
      <c r="T76" s="165">
        <f>IF(Q76="","",Q76+_xlfn.MAXIFS('Order Details'!$W:$W,'Order Details'!$A:$A,'Order Summary'!$B76,'Order Details'!$B:$B,'Order Summary'!$C76,'Order Details'!$E:$E,"Yes"))</f>
        <v>46095</v>
      </c>
      <c r="U76" s="164">
        <f>IF(T76="","",T76+VLOOKUP($J76,'Master Data'!$F$6:$G$9,2,FALSE))</f>
        <v>46141</v>
      </c>
      <c r="V76" s="133" t="s">
        <v>513</v>
      </c>
      <c r="W76" s="133" t="s">
        <v>61</v>
      </c>
      <c r="X76" s="133" t="s">
        <v>541</v>
      </c>
      <c r="Y76" s="133" t="s">
        <v>63</v>
      </c>
      <c r="Z76" s="309" t="str">
        <f>IF($Y76="","",IF(VLOOKUP($Y76,'Master Data'!$F$12:$I$17,2,FALSE)="","",VLOOKUP($Y76,'Master Data'!$F$12:$I$17,2,FALSE)))</f>
        <v>https://www.maersk.com/tracking/</v>
      </c>
      <c r="AA76" s="164">
        <v>46102</v>
      </c>
      <c r="AB76" s="171">
        <f t="shared" si="26"/>
        <v>52</v>
      </c>
      <c r="AC76" s="133" t="s">
        <v>487</v>
      </c>
      <c r="AD76" s="164">
        <v>46086</v>
      </c>
      <c r="AE76" s="164" t="s">
        <v>61</v>
      </c>
      <c r="AF76" s="308">
        <f>2800+5000</f>
        <v>7800</v>
      </c>
      <c r="AG76" s="308">
        <v>1000</v>
      </c>
      <c r="AH76" s="137">
        <f t="shared" si="18"/>
        <v>65311.56</v>
      </c>
      <c r="AI76" s="137">
        <f t="shared" si="23"/>
        <v>37055.78</v>
      </c>
      <c r="AJ76" s="164">
        <v>46086</v>
      </c>
      <c r="AK76" s="171">
        <f t="shared" si="25"/>
        <v>0</v>
      </c>
      <c r="AL76" s="137">
        <v>37055.78</v>
      </c>
      <c r="AM76" s="167"/>
      <c r="AN76" s="244" t="str">
        <f t="shared" si="24"/>
        <v/>
      </c>
      <c r="AO76" s="164"/>
    </row>
    <row r="77" spans="1:41" x14ac:dyDescent="0.35">
      <c r="A77" s="133" cm="1">
        <f t="array" ref="A77">ROW(77:77)-3</f>
        <v>74</v>
      </c>
      <c r="B77" s="307">
        <v>24160610</v>
      </c>
      <c r="C77" s="133">
        <v>0</v>
      </c>
      <c r="D77" s="133" t="str">
        <f t="shared" si="21"/>
        <v>24160610-0</v>
      </c>
      <c r="E77" s="133" t="s">
        <v>110</v>
      </c>
      <c r="F77" s="164">
        <v>46022</v>
      </c>
      <c r="G77" s="134" t="str">
        <f t="shared" si="20"/>
        <v>Yes</v>
      </c>
      <c r="H77" s="135">
        <f>SUMIFS('Order Details'!$R:$R,'Order Details'!$A:$A,'Order Summary'!$B77,'Order Details'!$B:$B,'Order Summary'!$C77,'Order Details'!$E:$E,"Yes")</f>
        <v>13</v>
      </c>
      <c r="I77" s="133" t="s">
        <v>116</v>
      </c>
      <c r="J77" s="133" t="str">
        <f>VLOOKUP($I77,'Master Data'!$L$5:$M$15,2,FALSE)</f>
        <v>Savannah</v>
      </c>
      <c r="K77" s="137">
        <f>SUMIFS('Order Details'!$U:$U,'Order Details'!$A:$A,'Order Summary'!$B77,'Order Details'!$B:$B,'Order Summary'!$C77,'Order Details'!$E:$E,"Yes")</f>
        <v>56165.899999999994</v>
      </c>
      <c r="L77" s="138">
        <f>SUMIFS('Order Details'!$P:$P,'Order Details'!$A:$A,'Order Summary'!$B77,'Order Details'!$B:$B,'Order Summary'!$C77,'Order Details'!$E:$E,"Yes")</f>
        <v>7461.2850000000008</v>
      </c>
      <c r="M77" s="133" t="s">
        <v>249</v>
      </c>
      <c r="N77" s="164">
        <v>46027</v>
      </c>
      <c r="O77" s="171">
        <f t="shared" si="19"/>
        <v>5</v>
      </c>
      <c r="P77" s="174">
        <f>ROUND(SUMIFS('Order Details'!$V:$V,'Order Details'!$A:$A,'Order Summary'!$B77,'Order Details'!$B:$B,'Order Summary'!$C77,'Order Details'!$E:$E,"Yes"),2)</f>
        <v>56183.48</v>
      </c>
      <c r="Q77" s="164">
        <v>46050</v>
      </c>
      <c r="R77" s="171">
        <f t="shared" si="22"/>
        <v>23</v>
      </c>
      <c r="S77" s="137">
        <v>28091.74</v>
      </c>
      <c r="T77" s="165">
        <f>IF(Q77="","",Q77+_xlfn.MAXIFS('Order Details'!$W:$W,'Order Details'!$A:$A,'Order Summary'!$B77,'Order Details'!$B:$B,'Order Summary'!$C77,'Order Details'!$E:$E,"Yes"))</f>
        <v>46140</v>
      </c>
      <c r="U77" s="164">
        <v>46141</v>
      </c>
      <c r="V77" s="133" t="s">
        <v>515</v>
      </c>
      <c r="W77" s="133" t="s">
        <v>61</v>
      </c>
      <c r="X77" s="133" t="s">
        <v>516</v>
      </c>
      <c r="Y77" s="133" t="s">
        <v>63</v>
      </c>
      <c r="Z77" s="309" t="str">
        <f>IF($Y77="","",IF(VLOOKUP($Y77,'Master Data'!$F$12:$I$17,2,FALSE)="","",VLOOKUP($Y77,'Master Data'!$F$12:$I$17,2,FALSE)))</f>
        <v>https://www.maersk.com/tracking/</v>
      </c>
      <c r="AA77" s="164">
        <v>46102</v>
      </c>
      <c r="AB77" s="171">
        <f t="shared" si="26"/>
        <v>52</v>
      </c>
      <c r="AC77" s="133" t="s">
        <v>489</v>
      </c>
      <c r="AD77" s="164">
        <v>46087</v>
      </c>
      <c r="AE77" s="164" t="s">
        <v>61</v>
      </c>
      <c r="AF77" s="308">
        <f>2800+5000</f>
        <v>7800</v>
      </c>
      <c r="AG77" s="308">
        <v>1000</v>
      </c>
      <c r="AH77" s="137">
        <f t="shared" si="18"/>
        <v>64983.48</v>
      </c>
      <c r="AI77" s="137">
        <f t="shared" si="23"/>
        <v>36891.740000000005</v>
      </c>
      <c r="AJ77" s="164">
        <v>46084</v>
      </c>
      <c r="AK77" s="171">
        <f t="shared" si="25"/>
        <v>-3</v>
      </c>
      <c r="AL77" s="137">
        <v>36891.74</v>
      </c>
      <c r="AM77" s="167"/>
      <c r="AN77" s="244" t="str">
        <f t="shared" si="24"/>
        <v/>
      </c>
      <c r="AO77" s="164"/>
    </row>
    <row r="78" spans="1:41" x14ac:dyDescent="0.35">
      <c r="A78" s="133" cm="1">
        <f t="array" ref="A78">ROW(78:78)-3</f>
        <v>75</v>
      </c>
      <c r="B78" s="133">
        <v>24160612</v>
      </c>
      <c r="C78" s="133">
        <v>0</v>
      </c>
      <c r="D78" s="133" t="str">
        <f t="shared" si="21"/>
        <v>24160612-0</v>
      </c>
      <c r="E78" s="133" t="s">
        <v>455</v>
      </c>
      <c r="F78" s="164">
        <v>46022</v>
      </c>
      <c r="G78" s="134" t="str">
        <f t="shared" si="20"/>
        <v>Yes</v>
      </c>
      <c r="H78" s="135">
        <f>SUMIFS('Order Details'!$R:$R,'Order Details'!$A:$A,'Order Summary'!$B78,'Order Details'!$B:$B,'Order Summary'!$C78,'Order Details'!$E:$E,"Yes")</f>
        <v>13</v>
      </c>
      <c r="I78" s="133" t="s">
        <v>116</v>
      </c>
      <c r="J78" s="133" t="str">
        <f>VLOOKUP($I78,'Master Data'!$L$5:$M$15,2,FALSE)</f>
        <v>Savannah</v>
      </c>
      <c r="K78" s="137">
        <f>SUMIFS('Order Details'!$U:$U,'Order Details'!$A:$A,'Order Summary'!$B78,'Order Details'!$B:$B,'Order Summary'!$C78,'Order Details'!$E:$E,"Yes")</f>
        <v>57461.599999999999</v>
      </c>
      <c r="L78" s="138">
        <f>SUMIFS('Order Details'!$P:$P,'Order Details'!$A:$A,'Order Summary'!$B78,'Order Details'!$B:$B,'Order Summary'!$C78,'Order Details'!$E:$E,"Yes")</f>
        <v>7350.4800000000005</v>
      </c>
      <c r="M78" s="133" t="s">
        <v>250</v>
      </c>
      <c r="N78" s="164">
        <v>46027</v>
      </c>
      <c r="O78" s="171">
        <f t="shared" si="19"/>
        <v>5</v>
      </c>
      <c r="P78" s="174">
        <f>ROUND(SUMIFS('Order Details'!$V:$V,'Order Details'!$A:$A,'Order Summary'!$B78,'Order Details'!$B:$B,'Order Summary'!$C78,'Order Details'!$E:$E,"Yes"),2)</f>
        <v>57488.37</v>
      </c>
      <c r="Q78" s="164">
        <v>46050</v>
      </c>
      <c r="R78" s="171">
        <f t="shared" si="22"/>
        <v>23</v>
      </c>
      <c r="S78" s="137">
        <v>28744.18</v>
      </c>
      <c r="T78" s="165">
        <f>IF(Q78="","",Q78+_xlfn.MAXIFS('Order Details'!$W:$W,'Order Details'!$A:$A,'Order Summary'!$B78,'Order Details'!$B:$B,'Order Summary'!$C78,'Order Details'!$E:$E,"Yes"))</f>
        <v>46140</v>
      </c>
      <c r="U78" s="164">
        <v>46109</v>
      </c>
      <c r="V78" s="133" t="s">
        <v>251</v>
      </c>
      <c r="W78" s="133" t="s">
        <v>61</v>
      </c>
      <c r="X78" s="133" t="s">
        <v>252</v>
      </c>
      <c r="Y78" s="133" t="s">
        <v>63</v>
      </c>
      <c r="Z78" s="309" t="str">
        <f>IF($Y78="","",IF(VLOOKUP($Y78,'Master Data'!$F$12:$I$17,2,FALSE)="","",VLOOKUP($Y78,'Master Data'!$F$12:$I$17,2,FALSE)))</f>
        <v>https://www.maersk.com/tracking/</v>
      </c>
      <c r="AA78" s="164">
        <v>46072</v>
      </c>
      <c r="AB78" s="171">
        <f t="shared" si="26"/>
        <v>22</v>
      </c>
      <c r="AC78" s="133" t="s">
        <v>253</v>
      </c>
      <c r="AD78" s="164">
        <v>46066</v>
      </c>
      <c r="AE78" s="164" t="s">
        <v>61</v>
      </c>
      <c r="AF78" s="137">
        <v>2800</v>
      </c>
      <c r="AG78" s="137">
        <v>1000</v>
      </c>
      <c r="AH78" s="137">
        <f t="shared" si="18"/>
        <v>61288.37</v>
      </c>
      <c r="AI78" s="137">
        <f t="shared" si="23"/>
        <v>32544.190000000002</v>
      </c>
      <c r="AJ78" s="164">
        <v>46085</v>
      </c>
      <c r="AK78" s="171">
        <f t="shared" si="25"/>
        <v>19</v>
      </c>
      <c r="AL78" s="137">
        <v>32544.2</v>
      </c>
      <c r="AM78" s="167">
        <v>46118</v>
      </c>
      <c r="AN78" s="244">
        <f t="shared" si="24"/>
        <v>33</v>
      </c>
      <c r="AO78" s="164">
        <v>46115</v>
      </c>
    </row>
    <row r="79" spans="1:41" x14ac:dyDescent="0.35">
      <c r="A79" s="133" cm="1">
        <f t="array" ref="A79">ROW(79:79)-3</f>
        <v>76</v>
      </c>
      <c r="B79" s="133">
        <v>24160600</v>
      </c>
      <c r="C79" s="133">
        <v>0</v>
      </c>
      <c r="D79" s="133" t="str">
        <f t="shared" si="21"/>
        <v>24160600-0</v>
      </c>
      <c r="E79" s="133" t="s">
        <v>455</v>
      </c>
      <c r="F79" s="164">
        <v>46022</v>
      </c>
      <c r="G79" s="134" t="str">
        <f t="shared" si="20"/>
        <v>Yes</v>
      </c>
      <c r="H79" s="135">
        <f>SUMIFS('Order Details'!$R:$R,'Order Details'!$A:$A,'Order Summary'!$B79,'Order Details'!$B:$B,'Order Summary'!$C79,'Order Details'!$E:$E,"Yes")</f>
        <v>13</v>
      </c>
      <c r="I79" s="133" t="s">
        <v>116</v>
      </c>
      <c r="J79" s="133" t="str">
        <f>VLOOKUP($I79,'Master Data'!$L$5:$M$15,2,FALSE)</f>
        <v>Savannah</v>
      </c>
      <c r="K79" s="137">
        <f>SUMIFS('Order Details'!$U:$U,'Order Details'!$A:$A,'Order Summary'!$B79,'Order Details'!$B:$B,'Order Summary'!$C79,'Order Details'!$E:$E,"Yes")</f>
        <v>57461.599999999999</v>
      </c>
      <c r="L79" s="138">
        <f>SUMIFS('Order Details'!$P:$P,'Order Details'!$A:$A,'Order Summary'!$B79,'Order Details'!$B:$B,'Order Summary'!$C79,'Order Details'!$E:$E,"Yes")</f>
        <v>7350.4800000000005</v>
      </c>
      <c r="M79" s="133" t="s">
        <v>254</v>
      </c>
      <c r="N79" s="164">
        <v>46027</v>
      </c>
      <c r="O79" s="171">
        <f t="shared" si="19"/>
        <v>5</v>
      </c>
      <c r="P79" s="174">
        <f>ROUND(SUMIFS('Order Details'!$V:$V,'Order Details'!$A:$A,'Order Summary'!$B79,'Order Details'!$B:$B,'Order Summary'!$C79,'Order Details'!$E:$E,"Yes"),2)</f>
        <v>57488.37</v>
      </c>
      <c r="Q79" s="164">
        <v>46050</v>
      </c>
      <c r="R79" s="171">
        <f t="shared" si="22"/>
        <v>23</v>
      </c>
      <c r="S79" s="137">
        <v>28744.18</v>
      </c>
      <c r="T79" s="165">
        <f>IF(Q79="","",Q79+_xlfn.MAXIFS('Order Details'!$W:$W,'Order Details'!$A:$A,'Order Summary'!$B79,'Order Details'!$B:$B,'Order Summary'!$C79,'Order Details'!$E:$E,"Yes"))</f>
        <v>46140</v>
      </c>
      <c r="U79" s="164">
        <v>46109</v>
      </c>
      <c r="V79" s="133" t="s">
        <v>251</v>
      </c>
      <c r="W79" s="133" t="s">
        <v>61</v>
      </c>
      <c r="X79" s="133" t="s">
        <v>255</v>
      </c>
      <c r="Y79" s="133" t="s">
        <v>63</v>
      </c>
      <c r="Z79" s="309" t="str">
        <f>IF($Y79="","",IF(VLOOKUP($Y79,'Master Data'!$F$12:$I$17,2,FALSE)="","",VLOOKUP($Y79,'Master Data'!$F$12:$I$17,2,FALSE)))</f>
        <v>https://www.maersk.com/tracking/</v>
      </c>
      <c r="AA79" s="164">
        <v>46072</v>
      </c>
      <c r="AB79" s="171">
        <f t="shared" si="26"/>
        <v>22</v>
      </c>
      <c r="AC79" s="133" t="s">
        <v>256</v>
      </c>
      <c r="AD79" s="164">
        <v>46066</v>
      </c>
      <c r="AE79" s="164" t="s">
        <v>61</v>
      </c>
      <c r="AF79" s="137">
        <v>2800</v>
      </c>
      <c r="AG79" s="137">
        <v>1000</v>
      </c>
      <c r="AH79" s="137">
        <f t="shared" si="18"/>
        <v>61288.37</v>
      </c>
      <c r="AI79" s="137">
        <f t="shared" si="23"/>
        <v>32544.190000000002</v>
      </c>
      <c r="AJ79" s="164">
        <v>46085</v>
      </c>
      <c r="AK79" s="171">
        <f t="shared" si="25"/>
        <v>19</v>
      </c>
      <c r="AL79" s="137">
        <v>31383.31</v>
      </c>
      <c r="AM79" s="167">
        <v>46118</v>
      </c>
      <c r="AN79" s="244">
        <f t="shared" si="24"/>
        <v>33</v>
      </c>
      <c r="AO79" s="164">
        <v>46115</v>
      </c>
    </row>
    <row r="80" spans="1:41" x14ac:dyDescent="0.35">
      <c r="A80" s="133" cm="1">
        <f t="array" ref="A80">ROW(80:80)-3</f>
        <v>77</v>
      </c>
      <c r="B80" s="133">
        <v>52963980</v>
      </c>
      <c r="C80" s="133">
        <v>1</v>
      </c>
      <c r="D80" s="133" t="str">
        <f t="shared" si="21"/>
        <v>52963980-1</v>
      </c>
      <c r="E80" s="133" t="s">
        <v>455</v>
      </c>
      <c r="F80" s="164">
        <v>45965</v>
      </c>
      <c r="G80" s="134" t="str">
        <f t="shared" si="20"/>
        <v>Yes</v>
      </c>
      <c r="H80" s="135">
        <f>SUMIFS('Order Details'!$R:$R,'Order Details'!$A:$A,'Order Summary'!$B80,'Order Details'!$B:$B,'Order Summary'!$C80,'Order Details'!$E:$E,"Yes")</f>
        <v>16</v>
      </c>
      <c r="I80" s="133" t="s">
        <v>58</v>
      </c>
      <c r="J80" s="133" t="str">
        <f>VLOOKUP($I80,'Master Data'!$L$5:$M$15,2,FALSE)</f>
        <v>Houston</v>
      </c>
      <c r="K80" s="137">
        <f>SUMIFS('Order Details'!$U:$U,'Order Details'!$A:$A,'Order Summary'!$B80,'Order Details'!$B:$B,'Order Summary'!$C80,'Order Details'!$E:$E,"Yes")</f>
        <v>69374.25</v>
      </c>
      <c r="L80" s="138">
        <f>SUMIFS('Order Details'!$P:$P,'Order Details'!$A:$A,'Order Summary'!$B80,'Order Details'!$B:$B,'Order Summary'!$C80,'Order Details'!$E:$E,"Yes")</f>
        <v>8982.9862499999999</v>
      </c>
      <c r="M80" s="133" t="s">
        <v>206</v>
      </c>
      <c r="N80" s="164">
        <v>45966</v>
      </c>
      <c r="O80" s="171">
        <f t="shared" si="19"/>
        <v>1</v>
      </c>
      <c r="P80" s="174">
        <f>ROUND(SUMIFS('Order Details'!$V:$V,'Order Details'!$A:$A,'Order Summary'!$B80,'Order Details'!$B:$B,'Order Summary'!$C80,'Order Details'!$E:$E,"Yes"),2)</f>
        <v>69400.12</v>
      </c>
      <c r="Q80" s="164">
        <v>45975</v>
      </c>
      <c r="R80" s="171">
        <f t="shared" si="22"/>
        <v>9</v>
      </c>
      <c r="S80" s="137">
        <v>30650.9</v>
      </c>
      <c r="T80" s="165">
        <f>IF(Q80="","",Q80+_xlfn.MAXIFS('Order Details'!$W:$W,'Order Details'!$A:$A,'Order Summary'!$B80,'Order Details'!$B:$B,'Order Summary'!$C80,'Order Details'!$E:$E,"Yes"))</f>
        <v>46065</v>
      </c>
      <c r="U80" s="164">
        <v>46100</v>
      </c>
      <c r="V80" s="133" t="s">
        <v>475</v>
      </c>
      <c r="W80" s="133" t="s">
        <v>61</v>
      </c>
      <c r="X80" s="133" t="s">
        <v>477</v>
      </c>
      <c r="Y80" s="133" t="s">
        <v>63</v>
      </c>
      <c r="Z80" s="309" t="str">
        <f>IF($Y80="","",IF(VLOOKUP($Y80,'Master Data'!$F$12:$I$17,2,FALSE)="","",VLOOKUP($Y80,'Master Data'!$F$12:$I$17,2,FALSE)))</f>
        <v>https://www.maersk.com/tracking/</v>
      </c>
      <c r="AA80" s="263">
        <v>46051</v>
      </c>
      <c r="AB80" s="171">
        <f t="shared" si="26"/>
        <v>76</v>
      </c>
      <c r="AC80" s="133" t="s">
        <v>257</v>
      </c>
      <c r="AD80" s="164">
        <v>46045</v>
      </c>
      <c r="AE80" s="164"/>
      <c r="AF80" s="137">
        <v>3000</v>
      </c>
      <c r="AG80" s="137">
        <v>1000</v>
      </c>
      <c r="AH80" s="137">
        <f t="shared" ref="AH80:AH111" si="27">P80+AF80+AG80</f>
        <v>73400.12</v>
      </c>
      <c r="AI80" s="137">
        <f t="shared" si="23"/>
        <v>42749.219999999994</v>
      </c>
      <c r="AJ80" s="164">
        <v>46071</v>
      </c>
      <c r="AK80" s="171">
        <f t="shared" si="25"/>
        <v>26</v>
      </c>
      <c r="AL80" s="137">
        <v>42749.21</v>
      </c>
      <c r="AM80" s="167">
        <v>46099</v>
      </c>
      <c r="AN80" s="244">
        <f t="shared" si="24"/>
        <v>28</v>
      </c>
      <c r="AO80" s="164">
        <v>46101</v>
      </c>
    </row>
    <row r="81" spans="1:41" x14ac:dyDescent="0.35">
      <c r="A81" s="133" cm="1">
        <f t="array" ref="A81">ROW(81:81)-3</f>
        <v>78</v>
      </c>
      <c r="B81" s="133">
        <v>24169131</v>
      </c>
      <c r="C81" s="133">
        <v>0</v>
      </c>
      <c r="D81" s="133" t="str">
        <f t="shared" si="21"/>
        <v>24169131-0</v>
      </c>
      <c r="E81" s="133" t="s">
        <v>196</v>
      </c>
      <c r="F81" s="164">
        <v>46032</v>
      </c>
      <c r="G81" s="134" t="str">
        <f t="shared" si="20"/>
        <v>No</v>
      </c>
      <c r="H81" s="135">
        <f>SUMIFS('Order Details'!$R:$R,'Order Details'!$A:$A,'Order Summary'!$B81,'Order Details'!$B:$B,'Order Summary'!$C81,'Order Details'!$E:$E,"Yes")</f>
        <v>0</v>
      </c>
      <c r="I81" s="133" t="s">
        <v>70</v>
      </c>
      <c r="J81" s="133" t="str">
        <f>VLOOKUP($I81,'Master Data'!$L$5:$M$15,2,FALSE)</f>
        <v>Baltimore</v>
      </c>
      <c r="K81" s="137">
        <f>SUMIFS('Order Details'!$U:$U,'Order Details'!$A:$A,'Order Summary'!$B81,'Order Details'!$B:$B,'Order Summary'!$C81,'Order Details'!$E:$E,"Yes")</f>
        <v>0</v>
      </c>
      <c r="L81" s="138">
        <f>SUMIFS('Order Details'!$P:$P,'Order Details'!$A:$A,'Order Summary'!$B81,'Order Details'!$B:$B,'Order Summary'!$C81,'Order Details'!$E:$E,"Yes")</f>
        <v>0</v>
      </c>
      <c r="M81" s="133" t="s">
        <v>258</v>
      </c>
      <c r="N81" s="164">
        <v>46034</v>
      </c>
      <c r="O81" s="171">
        <f t="shared" si="19"/>
        <v>2</v>
      </c>
      <c r="P81" s="174">
        <f>ROUND(SUMIFS('Order Details'!$V:$V,'Order Details'!$A:$A,'Order Summary'!$B81,'Order Details'!$B:$B,'Order Summary'!$C81,'Order Details'!$E:$E,"Yes"),2)</f>
        <v>0</v>
      </c>
      <c r="Q81" s="164">
        <v>46037</v>
      </c>
      <c r="R81" s="171">
        <f t="shared" si="22"/>
        <v>3</v>
      </c>
      <c r="S81" s="137">
        <v>31618.94</v>
      </c>
      <c r="T81" s="165">
        <f>IF(Q81="","",Q81+_xlfn.MAXIFS('Order Details'!$W:$W,'Order Details'!$A:$A,'Order Summary'!$B81,'Order Details'!$B:$B,'Order Summary'!$C81,'Order Details'!$E:$E,"Yes"))</f>
        <v>46037</v>
      </c>
      <c r="U81" s="164"/>
      <c r="V81" s="133"/>
      <c r="W81" s="133"/>
      <c r="X81" s="133"/>
      <c r="Y81" s="133"/>
      <c r="Z81" s="309" t="str">
        <f>IF($Y81="","",IF(VLOOKUP($Y81,'Master Data'!$F$12:$I$17,2,FALSE)="","",VLOOKUP($Y81,'Master Data'!$F$12:$I$17,2,FALSE)))</f>
        <v/>
      </c>
      <c r="AA81" s="164"/>
      <c r="AB81" s="171" t="str">
        <f t="shared" si="26"/>
        <v/>
      </c>
      <c r="AC81" s="133"/>
      <c r="AD81" s="164"/>
      <c r="AE81" s="164"/>
      <c r="AF81" s="137"/>
      <c r="AG81" s="137"/>
      <c r="AH81" s="137">
        <f t="shared" si="27"/>
        <v>0</v>
      </c>
      <c r="AI81" s="137">
        <f t="shared" si="23"/>
        <v>-31618.94</v>
      </c>
      <c r="AJ81" s="164"/>
      <c r="AK81" s="171" t="str">
        <f t="shared" si="25"/>
        <v/>
      </c>
      <c r="AL81" s="137"/>
      <c r="AM81" s="167"/>
      <c r="AN81" s="244" t="str">
        <f t="shared" si="24"/>
        <v/>
      </c>
      <c r="AO81" s="164"/>
    </row>
    <row r="82" spans="1:41" x14ac:dyDescent="0.35">
      <c r="A82" s="133" cm="1">
        <f t="array" ref="A82">ROW(82:82)-3</f>
        <v>79</v>
      </c>
      <c r="B82" s="133">
        <v>24169135</v>
      </c>
      <c r="C82" s="133">
        <v>0</v>
      </c>
      <c r="D82" s="133" t="str">
        <f t="shared" si="21"/>
        <v>24169135-0</v>
      </c>
      <c r="E82" s="133" t="s">
        <v>215</v>
      </c>
      <c r="F82" s="164">
        <v>46032</v>
      </c>
      <c r="G82" s="134" t="str">
        <f t="shared" si="20"/>
        <v>Yes</v>
      </c>
      <c r="H82" s="135">
        <f>SUMIFS('Order Details'!$R:$R,'Order Details'!$A:$A,'Order Summary'!$B82,'Order Details'!$B:$B,'Order Summary'!$C82,'Order Details'!$E:$E,"Yes")</f>
        <v>13</v>
      </c>
      <c r="I82" s="133" t="s">
        <v>70</v>
      </c>
      <c r="J82" s="133" t="str">
        <f>VLOOKUP($I82,'Master Data'!$L$5:$M$15,2,FALSE)</f>
        <v>Baltimore</v>
      </c>
      <c r="K82" s="137">
        <f>SUMIFS('Order Details'!$U:$U,'Order Details'!$A:$A,'Order Summary'!$B82,'Order Details'!$B:$B,'Order Summary'!$C82,'Order Details'!$E:$E,"Yes")</f>
        <v>64435</v>
      </c>
      <c r="L82" s="138">
        <f>SUMIFS('Order Details'!$P:$P,'Order Details'!$A:$A,'Order Summary'!$B82,'Order Details'!$B:$B,'Order Summary'!$C82,'Order Details'!$E:$E,"Yes")</f>
        <v>8202.0600000000013</v>
      </c>
      <c r="M82" s="133" t="s">
        <v>259</v>
      </c>
      <c r="N82" s="164">
        <v>46034</v>
      </c>
      <c r="O82" s="171">
        <f t="shared" si="19"/>
        <v>2</v>
      </c>
      <c r="P82" s="174">
        <f>ROUND(SUMIFS('Order Details'!$V:$V,'Order Details'!$A:$A,'Order Summary'!$B82,'Order Details'!$B:$B,'Order Summary'!$C82,'Order Details'!$E:$E,"Yes"),2)</f>
        <v>64468.19</v>
      </c>
      <c r="Q82" s="164">
        <v>46037</v>
      </c>
      <c r="R82" s="171">
        <f t="shared" si="22"/>
        <v>3</v>
      </c>
      <c r="S82" s="137">
        <v>32234.09</v>
      </c>
      <c r="T82" s="165">
        <f>IF(Q82="","",Q82+_xlfn.MAXIFS('Order Details'!$W:$W,'Order Details'!$A:$A,'Order Summary'!$B82,'Order Details'!$B:$B,'Order Summary'!$C82,'Order Details'!$E:$E,"Yes"))</f>
        <v>46082</v>
      </c>
      <c r="U82" s="164">
        <f>IF(T82="","",T82+VLOOKUP($J82,'Master Data'!$F$6:$G$9,2,FALSE))</f>
        <v>46140</v>
      </c>
      <c r="V82" s="133"/>
      <c r="W82" s="133"/>
      <c r="X82" s="133"/>
      <c r="Y82" s="133"/>
      <c r="Z82" s="309" t="str">
        <f>IF($Y82="","",IF(VLOOKUP($Y82,'Master Data'!$F$12:$I$17,2,FALSE)="","",VLOOKUP($Y82,'Master Data'!$F$12:$I$17,2,FALSE)))</f>
        <v/>
      </c>
      <c r="AA82" s="164"/>
      <c r="AB82" s="171" t="str">
        <f t="shared" si="26"/>
        <v/>
      </c>
      <c r="AC82" s="133"/>
      <c r="AD82" s="164"/>
      <c r="AE82" s="164"/>
      <c r="AF82" s="137"/>
      <c r="AG82" s="137"/>
      <c r="AH82" s="137">
        <f t="shared" si="27"/>
        <v>64468.19</v>
      </c>
      <c r="AI82" s="137">
        <f t="shared" si="23"/>
        <v>32234.100000000002</v>
      </c>
      <c r="AJ82" s="164"/>
      <c r="AK82" s="171" t="str">
        <f t="shared" si="25"/>
        <v/>
      </c>
      <c r="AL82" s="137"/>
      <c r="AM82" s="167"/>
      <c r="AN82" s="244" t="str">
        <f t="shared" si="24"/>
        <v/>
      </c>
      <c r="AO82" s="164"/>
    </row>
    <row r="83" spans="1:41" x14ac:dyDescent="0.35">
      <c r="A83" s="133" cm="1">
        <f t="array" ref="A83">ROW(83:83)-3</f>
        <v>80</v>
      </c>
      <c r="B83" s="307">
        <v>24174768</v>
      </c>
      <c r="C83" s="133">
        <v>0</v>
      </c>
      <c r="D83" s="133" t="str">
        <f t="shared" si="21"/>
        <v>24174768-0</v>
      </c>
      <c r="E83" s="133" t="s">
        <v>110</v>
      </c>
      <c r="F83" s="164">
        <v>46042</v>
      </c>
      <c r="G83" s="134" t="str">
        <f t="shared" si="20"/>
        <v>Yes</v>
      </c>
      <c r="H83" s="135">
        <f>SUMIFS('Order Details'!$R:$R,'Order Details'!$A:$A,'Order Summary'!$B83,'Order Details'!$B:$B,'Order Summary'!$C83,'Order Details'!$E:$E,"Yes")</f>
        <v>14</v>
      </c>
      <c r="I83" s="133" t="s">
        <v>261</v>
      </c>
      <c r="J83" s="133" t="str">
        <f>VLOOKUP($I83,'Master Data'!$L$5:$M$15,2,FALSE)</f>
        <v>Houston</v>
      </c>
      <c r="K83" s="137">
        <f>SUMIFS('Order Details'!$U:$U,'Order Details'!$A:$A,'Order Summary'!$B83,'Order Details'!$B:$B,'Order Summary'!$C83,'Order Details'!$E:$E,"Yes")</f>
        <v>68600.25</v>
      </c>
      <c r="L83" s="138">
        <f>SUMIFS('Order Details'!$P:$P,'Order Details'!$A:$A,'Order Summary'!$B83,'Order Details'!$B:$B,'Order Summary'!$C83,'Order Details'!$E:$E,"Yes")</f>
        <v>8505.84</v>
      </c>
      <c r="M83" s="133" t="s">
        <v>262</v>
      </c>
      <c r="N83" s="164">
        <v>46048</v>
      </c>
      <c r="O83" s="171">
        <f t="shared" si="19"/>
        <v>6</v>
      </c>
      <c r="P83" s="174">
        <f>ROUND(SUMIFS('Order Details'!$V:$V,'Order Details'!$A:$A,'Order Summary'!$B83,'Order Details'!$B:$B,'Order Summary'!$C83,'Order Details'!$E:$E,"Yes"),2)</f>
        <v>68642.13</v>
      </c>
      <c r="Q83" s="164">
        <v>46073</v>
      </c>
      <c r="R83" s="171">
        <f t="shared" si="22"/>
        <v>25</v>
      </c>
      <c r="S83" s="137">
        <v>34321.06</v>
      </c>
      <c r="T83" s="165">
        <f>IF(Q83="","",Q83+_xlfn.MAXIFS('Order Details'!$W:$W,'Order Details'!$A:$A,'Order Summary'!$B83,'Order Details'!$B:$B,'Order Summary'!$C83,'Order Details'!$E:$E,"Yes"))</f>
        <v>46118</v>
      </c>
      <c r="U83" s="164">
        <v>46191</v>
      </c>
      <c r="V83" s="133" t="s">
        <v>587</v>
      </c>
      <c r="W83" s="133" t="s">
        <v>61</v>
      </c>
      <c r="X83" s="133" t="s">
        <v>555</v>
      </c>
      <c r="Y83" s="133" t="s">
        <v>63</v>
      </c>
      <c r="Z83" s="309" t="str">
        <f>IF($Y83="","",IF(VLOOKUP($Y83,'Master Data'!$F$12:$I$17,2,FALSE)="","",VLOOKUP($Y83,'Master Data'!$F$12:$I$17,2,FALSE)))</f>
        <v>https://www.maersk.com/tracking/</v>
      </c>
      <c r="AA83" s="164">
        <v>46149</v>
      </c>
      <c r="AB83" s="171">
        <f t="shared" si="26"/>
        <v>76</v>
      </c>
      <c r="AC83" s="133" t="s">
        <v>546</v>
      </c>
      <c r="AD83" s="164">
        <v>46112</v>
      </c>
      <c r="AE83" s="164" t="s">
        <v>61</v>
      </c>
      <c r="AF83" s="308">
        <v>8000</v>
      </c>
      <c r="AG83" s="308">
        <v>1000</v>
      </c>
      <c r="AH83" s="137">
        <f t="shared" si="27"/>
        <v>77642.13</v>
      </c>
      <c r="AI83" s="137">
        <f t="shared" si="23"/>
        <v>43321.070000000007</v>
      </c>
      <c r="AJ83" s="164">
        <v>46143</v>
      </c>
      <c r="AK83" s="171">
        <f t="shared" si="25"/>
        <v>31</v>
      </c>
      <c r="AL83" s="137">
        <v>43321.07</v>
      </c>
      <c r="AM83" s="167"/>
      <c r="AN83" s="244" t="str">
        <f t="shared" si="24"/>
        <v/>
      </c>
      <c r="AO83" s="164"/>
    </row>
    <row r="84" spans="1:41" x14ac:dyDescent="0.35">
      <c r="A84" s="133" cm="1">
        <f t="array" ref="A84">ROW(84:84)-3</f>
        <v>81</v>
      </c>
      <c r="B84" s="133">
        <v>24174773</v>
      </c>
      <c r="C84" s="133">
        <v>0</v>
      </c>
      <c r="D84" s="133" t="str">
        <f t="shared" si="21"/>
        <v>24174773-0</v>
      </c>
      <c r="E84" s="133" t="s">
        <v>110</v>
      </c>
      <c r="F84" s="164">
        <v>46042</v>
      </c>
      <c r="G84" s="134" t="str">
        <f t="shared" si="20"/>
        <v>Yes</v>
      </c>
      <c r="H84" s="135">
        <f>SUMIFS('Order Details'!$R:$R,'Order Details'!$A:$A,'Order Summary'!$B84,'Order Details'!$B:$B,'Order Summary'!$C84,'Order Details'!$E:$E,"Yes")</f>
        <v>14</v>
      </c>
      <c r="I84" s="133" t="s">
        <v>261</v>
      </c>
      <c r="J84" s="133" t="str">
        <f>VLOOKUP($I84,'Master Data'!$L$5:$M$15,2,FALSE)</f>
        <v>Houston</v>
      </c>
      <c r="K84" s="137">
        <f>SUMIFS('Order Details'!$U:$U,'Order Details'!$A:$A,'Order Summary'!$B84,'Order Details'!$B:$B,'Order Summary'!$C84,'Order Details'!$E:$E,"Yes")</f>
        <v>64026.9</v>
      </c>
      <c r="L84" s="138">
        <f>SUMIFS('Order Details'!$P:$P,'Order Details'!$A:$A,'Order Summary'!$B84,'Order Details'!$B:$B,'Order Summary'!$C84,'Order Details'!$E:$E,"Yes")</f>
        <v>8505.84</v>
      </c>
      <c r="M84" s="133" t="s">
        <v>263</v>
      </c>
      <c r="N84" s="164">
        <v>46048</v>
      </c>
      <c r="O84" s="171">
        <f t="shared" si="19"/>
        <v>6</v>
      </c>
      <c r="P84" s="174">
        <f>ROUND(SUMIFS('Order Details'!$V:$V,'Order Details'!$A:$A,'Order Summary'!$B84,'Order Details'!$B:$B,'Order Summary'!$C84,'Order Details'!$E:$E,"Yes"),2)</f>
        <v>64048.98</v>
      </c>
      <c r="Q84" s="164">
        <v>46073</v>
      </c>
      <c r="R84" s="171">
        <f t="shared" si="22"/>
        <v>25</v>
      </c>
      <c r="S84" s="137">
        <v>32024.49</v>
      </c>
      <c r="T84" s="165">
        <f>IF(Q84="","",Q84+_xlfn.MAXIFS('Order Details'!$W:$W,'Order Details'!$A:$A,'Order Summary'!$B84,'Order Details'!$B:$B,'Order Summary'!$C84,'Order Details'!$E:$E,"Yes"))</f>
        <v>46118</v>
      </c>
      <c r="U84" s="164">
        <v>46184</v>
      </c>
      <c r="V84" s="133" t="s">
        <v>565</v>
      </c>
      <c r="W84" s="133" t="s">
        <v>61</v>
      </c>
      <c r="X84" s="133" t="s">
        <v>563</v>
      </c>
      <c r="Y84" s="133" t="s">
        <v>63</v>
      </c>
      <c r="Z84" s="309" t="str">
        <f>IF($Y84="","",IF(VLOOKUP($Y84,'Master Data'!$F$12:$I$17,2,FALSE)="","",VLOOKUP($Y84,'Master Data'!$F$12:$I$17,2,FALSE)))</f>
        <v>https://www.maersk.com/tracking/</v>
      </c>
      <c r="AA84" s="164">
        <v>46135</v>
      </c>
      <c r="AB84" s="171">
        <f t="shared" si="26"/>
        <v>62</v>
      </c>
      <c r="AC84" s="133" t="s">
        <v>558</v>
      </c>
      <c r="AD84" s="164">
        <v>46126</v>
      </c>
      <c r="AE84" s="164" t="s">
        <v>61</v>
      </c>
      <c r="AF84" s="137">
        <v>8000</v>
      </c>
      <c r="AG84" s="137">
        <v>1000</v>
      </c>
      <c r="AH84" s="137">
        <f t="shared" si="27"/>
        <v>73048.98000000001</v>
      </c>
      <c r="AI84" s="137">
        <f t="shared" si="23"/>
        <v>41024.490000000005</v>
      </c>
      <c r="AJ84" s="164">
        <v>46143</v>
      </c>
      <c r="AK84" s="171">
        <f t="shared" si="25"/>
        <v>17</v>
      </c>
      <c r="AL84" s="137">
        <v>41024.49</v>
      </c>
      <c r="AM84" s="167"/>
      <c r="AN84" s="244" t="str">
        <f t="shared" si="24"/>
        <v/>
      </c>
      <c r="AO84" s="164"/>
    </row>
    <row r="85" spans="1:41" x14ac:dyDescent="0.35">
      <c r="A85" s="133" cm="1">
        <f t="array" ref="A85">ROW(85:85)-3</f>
        <v>82</v>
      </c>
      <c r="B85" s="133">
        <v>24174777</v>
      </c>
      <c r="C85" s="133">
        <v>0</v>
      </c>
      <c r="D85" s="133" t="str">
        <f t="shared" si="21"/>
        <v>24174777-0</v>
      </c>
      <c r="E85" s="133" t="s">
        <v>128</v>
      </c>
      <c r="F85" s="164">
        <v>46042</v>
      </c>
      <c r="G85" s="134" t="str">
        <f t="shared" si="20"/>
        <v>Yes</v>
      </c>
      <c r="H85" s="135">
        <f>SUMIFS('Order Details'!$R:$R,'Order Details'!$A:$A,'Order Summary'!$B85,'Order Details'!$B:$B,'Order Summary'!$C85,'Order Details'!$E:$E,"Yes")</f>
        <v>14</v>
      </c>
      <c r="I85" s="133" t="s">
        <v>261</v>
      </c>
      <c r="J85" s="133" t="str">
        <f>VLOOKUP($I85,'Master Data'!$L$5:$M$15,2,FALSE)</f>
        <v>Houston</v>
      </c>
      <c r="K85" s="137">
        <f>SUMIFS('Order Details'!$U:$U,'Order Details'!$A:$A,'Order Summary'!$B85,'Order Details'!$B:$B,'Order Summary'!$C85,'Order Details'!$E:$E,"Yes")</f>
        <v>64026.9</v>
      </c>
      <c r="L85" s="138">
        <f>SUMIFS('Order Details'!$P:$P,'Order Details'!$A:$A,'Order Summary'!$B85,'Order Details'!$B:$B,'Order Summary'!$C85,'Order Details'!$E:$E,"Yes")</f>
        <v>8505.84</v>
      </c>
      <c r="M85" s="133" t="s">
        <v>264</v>
      </c>
      <c r="N85" s="164">
        <v>46048</v>
      </c>
      <c r="O85" s="171">
        <f t="shared" si="19"/>
        <v>6</v>
      </c>
      <c r="P85" s="174">
        <f>ROUND(SUMIFS('Order Details'!$V:$V,'Order Details'!$A:$A,'Order Summary'!$B85,'Order Details'!$B:$B,'Order Summary'!$C85,'Order Details'!$E:$E,"Yes"),2)</f>
        <v>64048.98</v>
      </c>
      <c r="Q85" s="164">
        <v>46073</v>
      </c>
      <c r="R85" s="171">
        <f t="shared" si="22"/>
        <v>25</v>
      </c>
      <c r="S85" s="137">
        <v>32024.49</v>
      </c>
      <c r="T85" s="165">
        <f>IF(Q85="","",Q85+_xlfn.MAXIFS('Order Details'!$W:$W,'Order Details'!$A:$A,'Order Summary'!$B85,'Order Details'!$B:$B,'Order Summary'!$C85,'Order Details'!$E:$E,"Yes"))</f>
        <v>46118</v>
      </c>
      <c r="U85" s="164">
        <v>46198</v>
      </c>
      <c r="V85" s="133" t="s">
        <v>583</v>
      </c>
      <c r="W85" s="133" t="s">
        <v>61</v>
      </c>
      <c r="X85" s="133" t="s">
        <v>582</v>
      </c>
      <c r="Y85" s="133" t="s">
        <v>63</v>
      </c>
      <c r="Z85" s="309" t="str">
        <f>IF($Y85="","",IF(VLOOKUP($Y85,'Master Data'!$F$12:$I$17,2,FALSE)="","",VLOOKUP($Y85,'Master Data'!$F$12:$I$17,2,FALSE)))</f>
        <v>https://www.maersk.com/tracking/</v>
      </c>
      <c r="AA85" s="164">
        <v>46157</v>
      </c>
      <c r="AB85" s="171">
        <f t="shared" si="26"/>
        <v>84</v>
      </c>
      <c r="AC85" s="133" t="s">
        <v>576</v>
      </c>
      <c r="AD85" s="164">
        <v>46139</v>
      </c>
      <c r="AE85" s="164"/>
      <c r="AF85" s="137">
        <v>8000</v>
      </c>
      <c r="AG85" s="137">
        <v>1000</v>
      </c>
      <c r="AH85" s="137">
        <f t="shared" si="27"/>
        <v>73048.98000000001</v>
      </c>
      <c r="AI85" s="137">
        <f t="shared" si="23"/>
        <v>41024.490000000005</v>
      </c>
      <c r="AJ85" s="164"/>
      <c r="AK85" s="171" t="str">
        <f t="shared" si="25"/>
        <v/>
      </c>
      <c r="AL85" s="137"/>
      <c r="AM85" s="167"/>
      <c r="AN85" s="244" t="str">
        <f t="shared" si="24"/>
        <v/>
      </c>
      <c r="AO85" s="164"/>
    </row>
    <row r="86" spans="1:41" x14ac:dyDescent="0.35">
      <c r="A86" s="133" cm="1">
        <f t="array" ref="A86">ROW(86:86)-3</f>
        <v>83</v>
      </c>
      <c r="B86" s="133">
        <v>24174780</v>
      </c>
      <c r="C86" s="133">
        <v>0</v>
      </c>
      <c r="D86" s="133" t="str">
        <f t="shared" si="21"/>
        <v>24174780-0</v>
      </c>
      <c r="E86" s="133" t="s">
        <v>128</v>
      </c>
      <c r="F86" s="164">
        <v>46042</v>
      </c>
      <c r="G86" s="134" t="str">
        <f t="shared" si="20"/>
        <v>Yes</v>
      </c>
      <c r="H86" s="135">
        <f>SUMIFS('Order Details'!$R:$R,'Order Details'!$A:$A,'Order Summary'!$B86,'Order Details'!$B:$B,'Order Summary'!$C86,'Order Details'!$E:$E,"Yes")</f>
        <v>14</v>
      </c>
      <c r="I86" s="133" t="s">
        <v>261</v>
      </c>
      <c r="J86" s="133" t="str">
        <f>VLOOKUP($I86,'Master Data'!$L$5:$M$15,2,FALSE)</f>
        <v>Houston</v>
      </c>
      <c r="K86" s="137">
        <f>SUMIFS('Order Details'!$U:$U,'Order Details'!$A:$A,'Order Summary'!$B86,'Order Details'!$B:$B,'Order Summary'!$C86,'Order Details'!$E:$E,"Yes")</f>
        <v>64026.9</v>
      </c>
      <c r="L86" s="138">
        <f>SUMIFS('Order Details'!$P:$P,'Order Details'!$A:$A,'Order Summary'!$B86,'Order Details'!$B:$B,'Order Summary'!$C86,'Order Details'!$E:$E,"Yes")</f>
        <v>8505.84</v>
      </c>
      <c r="M86" s="133" t="s">
        <v>265</v>
      </c>
      <c r="N86" s="164">
        <v>46048</v>
      </c>
      <c r="O86" s="171">
        <f t="shared" si="19"/>
        <v>6</v>
      </c>
      <c r="P86" s="174">
        <f>ROUND(SUMIFS('Order Details'!$V:$V,'Order Details'!$A:$A,'Order Summary'!$B86,'Order Details'!$B:$B,'Order Summary'!$C86,'Order Details'!$E:$E,"Yes"),2)</f>
        <v>64048.98</v>
      </c>
      <c r="Q86" s="164">
        <v>46073</v>
      </c>
      <c r="R86" s="171">
        <f t="shared" si="22"/>
        <v>25</v>
      </c>
      <c r="S86" s="137">
        <v>32024.49</v>
      </c>
      <c r="T86" s="165">
        <f>IF(Q86="","",Q86+_xlfn.MAXIFS('Order Details'!$W:$W,'Order Details'!$A:$A,'Order Summary'!$B86,'Order Details'!$B:$B,'Order Summary'!$C86,'Order Details'!$E:$E,"Yes"))</f>
        <v>46118</v>
      </c>
      <c r="U86" s="164">
        <v>46199</v>
      </c>
      <c r="V86" s="133" t="s">
        <v>583</v>
      </c>
      <c r="W86" s="133" t="s">
        <v>61</v>
      </c>
      <c r="X86" s="133" t="s">
        <v>585</v>
      </c>
      <c r="Y86" s="133" t="s">
        <v>63</v>
      </c>
      <c r="Z86" s="309" t="str">
        <f>IF($Y86="","",IF(VLOOKUP($Y86,'Master Data'!$F$12:$I$17,2,FALSE)="","",VLOOKUP($Y86,'Master Data'!$F$12:$I$17,2,FALSE)))</f>
        <v>https://www.maersk.com/tracking/</v>
      </c>
      <c r="AA86" s="164">
        <v>46157</v>
      </c>
      <c r="AB86" s="171">
        <f t="shared" si="26"/>
        <v>84</v>
      </c>
      <c r="AC86" s="133" t="s">
        <v>581</v>
      </c>
      <c r="AD86" s="164">
        <v>46142</v>
      </c>
      <c r="AE86" s="164"/>
      <c r="AF86" s="137">
        <v>8000</v>
      </c>
      <c r="AG86" s="137">
        <v>1000</v>
      </c>
      <c r="AH86" s="137">
        <f t="shared" si="27"/>
        <v>73048.98000000001</v>
      </c>
      <c r="AI86" s="137">
        <f t="shared" si="23"/>
        <v>41024.490000000005</v>
      </c>
      <c r="AJ86" s="164"/>
      <c r="AK86" s="171" t="str">
        <f t="shared" si="25"/>
        <v/>
      </c>
      <c r="AL86" s="137"/>
      <c r="AM86" s="167"/>
      <c r="AN86" s="244" t="str">
        <f t="shared" si="24"/>
        <v/>
      </c>
      <c r="AO86" s="164"/>
    </row>
    <row r="87" spans="1:41" x14ac:dyDescent="0.35">
      <c r="A87" s="133" cm="1">
        <f t="array" ref="A87">ROW(87:87)-3</f>
        <v>84</v>
      </c>
      <c r="B87" s="133">
        <v>24174781</v>
      </c>
      <c r="C87" s="133">
        <v>0</v>
      </c>
      <c r="D87" s="133" t="str">
        <f t="shared" si="21"/>
        <v>24174781-0</v>
      </c>
      <c r="E87" s="133" t="s">
        <v>110</v>
      </c>
      <c r="F87" s="164">
        <v>46042</v>
      </c>
      <c r="G87" s="134" t="str">
        <f t="shared" si="20"/>
        <v>Yes</v>
      </c>
      <c r="H87" s="135">
        <f>SUMIFS('Order Details'!$R:$R,'Order Details'!$A:$A,'Order Summary'!$B87,'Order Details'!$B:$B,'Order Summary'!$C87,'Order Details'!$E:$E,"Yes")</f>
        <v>14</v>
      </c>
      <c r="I87" s="133" t="s">
        <v>261</v>
      </c>
      <c r="J87" s="133" t="str">
        <f>VLOOKUP($I87,'Master Data'!$L$5:$M$15,2,FALSE)</f>
        <v>Houston</v>
      </c>
      <c r="K87" s="137">
        <f>SUMIFS('Order Details'!$U:$U,'Order Details'!$A:$A,'Order Summary'!$B87,'Order Details'!$B:$B,'Order Summary'!$C87,'Order Details'!$E:$E,"Yes")</f>
        <v>64026.9</v>
      </c>
      <c r="L87" s="138">
        <f>SUMIFS('Order Details'!$P:$P,'Order Details'!$A:$A,'Order Summary'!$B87,'Order Details'!$B:$B,'Order Summary'!$C87,'Order Details'!$E:$E,"Yes")</f>
        <v>8505.84</v>
      </c>
      <c r="M87" s="133" t="s">
        <v>266</v>
      </c>
      <c r="N87" s="164">
        <v>46048</v>
      </c>
      <c r="O87" s="171">
        <f t="shared" si="19"/>
        <v>6</v>
      </c>
      <c r="P87" s="174">
        <f>ROUND(SUMIFS('Order Details'!$V:$V,'Order Details'!$A:$A,'Order Summary'!$B87,'Order Details'!$B:$B,'Order Summary'!$C87,'Order Details'!$E:$E,"Yes"),2)</f>
        <v>64048.98</v>
      </c>
      <c r="Q87" s="164">
        <v>46073</v>
      </c>
      <c r="R87" s="171">
        <f t="shared" si="22"/>
        <v>25</v>
      </c>
      <c r="S87" s="137">
        <v>32024.49</v>
      </c>
      <c r="T87" s="165">
        <f>IF(Q87="","",Q87+_xlfn.MAXIFS('Order Details'!$W:$W,'Order Details'!$A:$A,'Order Summary'!$B87,'Order Details'!$B:$B,'Order Summary'!$C87,'Order Details'!$E:$E,"Yes"))</f>
        <v>46118</v>
      </c>
      <c r="U87" s="164">
        <v>46184</v>
      </c>
      <c r="V87" s="133" t="s">
        <v>565</v>
      </c>
      <c r="W87" s="133" t="s">
        <v>61</v>
      </c>
      <c r="X87" s="133" t="s">
        <v>564</v>
      </c>
      <c r="Y87" s="133" t="s">
        <v>63</v>
      </c>
      <c r="Z87" s="309" t="str">
        <f>IF($Y87="","",IF(VLOOKUP($Y87,'Master Data'!$F$12:$I$17,2,FALSE)="","",VLOOKUP($Y87,'Master Data'!$F$12:$I$17,2,FALSE)))</f>
        <v>https://www.maersk.com/tracking/</v>
      </c>
      <c r="AA87" s="164">
        <v>46135</v>
      </c>
      <c r="AB87" s="171">
        <f t="shared" si="26"/>
        <v>62</v>
      </c>
      <c r="AC87" s="133" t="s">
        <v>559</v>
      </c>
      <c r="AD87" s="164">
        <v>46126</v>
      </c>
      <c r="AE87" s="164" t="s">
        <v>61</v>
      </c>
      <c r="AF87" s="137">
        <v>8000</v>
      </c>
      <c r="AG87" s="137">
        <v>1000</v>
      </c>
      <c r="AH87" s="137">
        <f t="shared" si="27"/>
        <v>73048.98000000001</v>
      </c>
      <c r="AI87" s="137">
        <f t="shared" si="23"/>
        <v>41024.490000000005</v>
      </c>
      <c r="AJ87" s="164">
        <v>46143</v>
      </c>
      <c r="AK87" s="171">
        <f t="shared" si="25"/>
        <v>17</v>
      </c>
      <c r="AL87" s="137">
        <v>41024.49</v>
      </c>
      <c r="AM87" s="167"/>
      <c r="AN87" s="244" t="str">
        <f t="shared" si="24"/>
        <v/>
      </c>
      <c r="AO87" s="164"/>
    </row>
    <row r="88" spans="1:41" x14ac:dyDescent="0.35">
      <c r="A88" s="133" cm="1">
        <f t="array" ref="A88">ROW(88:88)-3</f>
        <v>85</v>
      </c>
      <c r="B88" s="307">
        <v>24174783</v>
      </c>
      <c r="C88" s="133">
        <v>0</v>
      </c>
      <c r="D88" s="133" t="str">
        <f t="shared" si="21"/>
        <v>24174783-0</v>
      </c>
      <c r="E88" s="133" t="s">
        <v>110</v>
      </c>
      <c r="F88" s="164">
        <v>46042</v>
      </c>
      <c r="G88" s="134" t="str">
        <f t="shared" si="20"/>
        <v>Yes</v>
      </c>
      <c r="H88" s="135">
        <f>SUMIFS('Order Details'!$R:$R,'Order Details'!$A:$A,'Order Summary'!$B88,'Order Details'!$B:$B,'Order Summary'!$C88,'Order Details'!$E:$E,"Yes")</f>
        <v>14</v>
      </c>
      <c r="I88" s="133" t="s">
        <v>261</v>
      </c>
      <c r="J88" s="133" t="str">
        <f>VLOOKUP($I88,'Master Data'!$L$5:$M$15,2,FALSE)</f>
        <v>Houston</v>
      </c>
      <c r="K88" s="137">
        <f>SUMIFS('Order Details'!$U:$U,'Order Details'!$A:$A,'Order Summary'!$B88,'Order Details'!$B:$B,'Order Summary'!$C88,'Order Details'!$E:$E,"Yes")</f>
        <v>64026.9</v>
      </c>
      <c r="L88" s="138">
        <f>SUMIFS('Order Details'!$P:$P,'Order Details'!$A:$A,'Order Summary'!$B88,'Order Details'!$B:$B,'Order Summary'!$C88,'Order Details'!$E:$E,"Yes")</f>
        <v>8505.84</v>
      </c>
      <c r="M88" s="133" t="s">
        <v>267</v>
      </c>
      <c r="N88" s="164">
        <v>46048</v>
      </c>
      <c r="O88" s="171">
        <f t="shared" si="19"/>
        <v>6</v>
      </c>
      <c r="P88" s="174">
        <f>ROUND(SUMIFS('Order Details'!$V:$V,'Order Details'!$A:$A,'Order Summary'!$B88,'Order Details'!$B:$B,'Order Summary'!$C88,'Order Details'!$E:$E,"Yes"),2)</f>
        <v>64048.98</v>
      </c>
      <c r="Q88" s="164">
        <v>46073</v>
      </c>
      <c r="R88" s="171">
        <f t="shared" si="22"/>
        <v>25</v>
      </c>
      <c r="S88" s="137">
        <v>32024.49</v>
      </c>
      <c r="T88" s="165">
        <f>IF(Q88="","",Q88+_xlfn.MAXIFS('Order Details'!$W:$W,'Order Details'!$A:$A,'Order Summary'!$B88,'Order Details'!$B:$B,'Order Summary'!$C88,'Order Details'!$E:$E,"Yes"))</f>
        <v>46163</v>
      </c>
      <c r="U88" s="164">
        <v>46191</v>
      </c>
      <c r="V88" s="133" t="s">
        <v>587</v>
      </c>
      <c r="W88" s="133" t="s">
        <v>61</v>
      </c>
      <c r="X88" s="133" t="s">
        <v>552</v>
      </c>
      <c r="Y88" s="133" t="s">
        <v>63</v>
      </c>
      <c r="Z88" s="309" t="str">
        <f>IF($Y88="","",IF(VLOOKUP($Y88,'Master Data'!$F$12:$I$17,2,FALSE)="","",VLOOKUP($Y88,'Master Data'!$F$12:$I$17,2,FALSE)))</f>
        <v>https://www.maersk.com/tracking/</v>
      </c>
      <c r="AA88" s="164">
        <v>46149</v>
      </c>
      <c r="AB88" s="171">
        <f t="shared" si="26"/>
        <v>76</v>
      </c>
      <c r="AC88" s="133" t="s">
        <v>543</v>
      </c>
      <c r="AD88" s="164">
        <v>46112</v>
      </c>
      <c r="AE88" s="164" t="s">
        <v>61</v>
      </c>
      <c r="AF88" s="308">
        <v>8000</v>
      </c>
      <c r="AG88" s="308">
        <v>1000</v>
      </c>
      <c r="AH88" s="137">
        <f t="shared" si="27"/>
        <v>73048.98000000001</v>
      </c>
      <c r="AI88" s="137">
        <f t="shared" si="23"/>
        <v>41024.490000000005</v>
      </c>
      <c r="AJ88" s="164">
        <v>46143</v>
      </c>
      <c r="AK88" s="171">
        <f t="shared" si="25"/>
        <v>31</v>
      </c>
      <c r="AL88" s="137">
        <v>41024.49</v>
      </c>
      <c r="AM88" s="167"/>
      <c r="AN88" s="244" t="str">
        <f t="shared" si="24"/>
        <v/>
      </c>
      <c r="AO88" s="164"/>
    </row>
    <row r="89" spans="1:41" x14ac:dyDescent="0.35">
      <c r="A89" s="133" cm="1">
        <f t="array" ref="A89">ROW(89:89)-3</f>
        <v>86</v>
      </c>
      <c r="B89" s="133">
        <v>24174787</v>
      </c>
      <c r="C89" s="133">
        <v>0</v>
      </c>
      <c r="D89" s="133" t="str">
        <f t="shared" si="21"/>
        <v>24174787-0</v>
      </c>
      <c r="E89" s="133" t="s">
        <v>110</v>
      </c>
      <c r="F89" s="164">
        <v>46042</v>
      </c>
      <c r="G89" s="134" t="str">
        <f t="shared" si="20"/>
        <v>Yes</v>
      </c>
      <c r="H89" s="135">
        <f>SUMIFS('Order Details'!$R:$R,'Order Details'!$A:$A,'Order Summary'!$B89,'Order Details'!$B:$B,'Order Summary'!$C89,'Order Details'!$E:$E,"Yes")</f>
        <v>14</v>
      </c>
      <c r="I89" s="133" t="s">
        <v>261</v>
      </c>
      <c r="J89" s="133" t="str">
        <f>VLOOKUP($I89,'Master Data'!$L$5:$M$15,2,FALSE)</f>
        <v>Houston</v>
      </c>
      <c r="K89" s="137">
        <f>SUMIFS('Order Details'!$U:$U,'Order Details'!$A:$A,'Order Summary'!$B89,'Order Details'!$B:$B,'Order Summary'!$C89,'Order Details'!$E:$E,"Yes")</f>
        <v>64026.9</v>
      </c>
      <c r="L89" s="138">
        <f>SUMIFS('Order Details'!$P:$P,'Order Details'!$A:$A,'Order Summary'!$B89,'Order Details'!$B:$B,'Order Summary'!$C89,'Order Details'!$E:$E,"Yes")</f>
        <v>8505.84</v>
      </c>
      <c r="M89" s="133" t="s">
        <v>268</v>
      </c>
      <c r="N89" s="164">
        <v>46048</v>
      </c>
      <c r="O89" s="171">
        <f t="shared" si="19"/>
        <v>6</v>
      </c>
      <c r="P89" s="174">
        <f>ROUND(SUMIFS('Order Details'!$V:$V,'Order Details'!$A:$A,'Order Summary'!$B89,'Order Details'!$B:$B,'Order Summary'!$C89,'Order Details'!$E:$E,"Yes"),2)</f>
        <v>64048.98</v>
      </c>
      <c r="Q89" s="164">
        <v>46073</v>
      </c>
      <c r="R89" s="171">
        <f t="shared" si="22"/>
        <v>25</v>
      </c>
      <c r="S89" s="137">
        <v>32024.49</v>
      </c>
      <c r="T89" s="165">
        <f>IF(Q89="","",Q89+_xlfn.MAXIFS('Order Details'!$W:$W,'Order Details'!$A:$A,'Order Summary'!$B89,'Order Details'!$B:$B,'Order Summary'!$C89,'Order Details'!$E:$E,"Yes"))</f>
        <v>46163</v>
      </c>
      <c r="U89" s="164">
        <v>46184</v>
      </c>
      <c r="V89" s="133" t="s">
        <v>565</v>
      </c>
      <c r="W89" s="133" t="s">
        <v>61</v>
      </c>
      <c r="X89" s="133" t="s">
        <v>562</v>
      </c>
      <c r="Y89" s="133" t="s">
        <v>63</v>
      </c>
      <c r="Z89" s="309" t="str">
        <f>IF($Y89="","",IF(VLOOKUP($Y89,'Master Data'!$F$12:$I$17,2,FALSE)="","",VLOOKUP($Y89,'Master Data'!$F$12:$I$17,2,FALSE)))</f>
        <v>https://www.maersk.com/tracking/</v>
      </c>
      <c r="AA89" s="164">
        <v>46135</v>
      </c>
      <c r="AB89" s="171">
        <f t="shared" si="26"/>
        <v>62</v>
      </c>
      <c r="AC89" s="133" t="s">
        <v>557</v>
      </c>
      <c r="AD89" s="164">
        <v>46126</v>
      </c>
      <c r="AE89" s="164" t="s">
        <v>61</v>
      </c>
      <c r="AF89" s="137">
        <v>8000</v>
      </c>
      <c r="AG89" s="137">
        <v>1000</v>
      </c>
      <c r="AH89" s="137">
        <f t="shared" si="27"/>
        <v>73048.98000000001</v>
      </c>
      <c r="AI89" s="137">
        <f t="shared" si="23"/>
        <v>41024.490000000005</v>
      </c>
      <c r="AJ89" s="164">
        <v>46143</v>
      </c>
      <c r="AK89" s="171">
        <f t="shared" si="25"/>
        <v>17</v>
      </c>
      <c r="AL89" s="137">
        <v>41024.49</v>
      </c>
      <c r="AM89" s="167"/>
      <c r="AN89" s="244" t="str">
        <f t="shared" si="24"/>
        <v/>
      </c>
      <c r="AO89" s="164"/>
    </row>
    <row r="90" spans="1:41" x14ac:dyDescent="0.35">
      <c r="A90" s="133" cm="1">
        <f t="array" ref="A90">ROW(90:90)-3</f>
        <v>87</v>
      </c>
      <c r="B90" s="307">
        <v>24174788</v>
      </c>
      <c r="C90" s="133">
        <v>0</v>
      </c>
      <c r="D90" s="133" t="str">
        <f t="shared" si="21"/>
        <v>24174788-0</v>
      </c>
      <c r="E90" s="133" t="s">
        <v>110</v>
      </c>
      <c r="F90" s="164">
        <v>46042</v>
      </c>
      <c r="G90" s="134" t="str">
        <f t="shared" si="20"/>
        <v>Yes</v>
      </c>
      <c r="H90" s="135">
        <f>SUMIFS('Order Details'!$R:$R,'Order Details'!$A:$A,'Order Summary'!$B90,'Order Details'!$B:$B,'Order Summary'!$C90,'Order Details'!$E:$E,"Yes")</f>
        <v>14</v>
      </c>
      <c r="I90" s="133" t="s">
        <v>261</v>
      </c>
      <c r="J90" s="133" t="str">
        <f>VLOOKUP($I90,'Master Data'!$L$5:$M$15,2,FALSE)</f>
        <v>Houston</v>
      </c>
      <c r="K90" s="137">
        <f>SUMIFS('Order Details'!$U:$U,'Order Details'!$A:$A,'Order Summary'!$B90,'Order Details'!$B:$B,'Order Summary'!$C90,'Order Details'!$E:$E,"Yes")</f>
        <v>68600.25</v>
      </c>
      <c r="L90" s="138">
        <f>SUMIFS('Order Details'!$P:$P,'Order Details'!$A:$A,'Order Summary'!$B90,'Order Details'!$B:$B,'Order Summary'!$C90,'Order Details'!$E:$E,"Yes")</f>
        <v>8505.84</v>
      </c>
      <c r="M90" s="133" t="s">
        <v>269</v>
      </c>
      <c r="N90" s="164">
        <v>46048</v>
      </c>
      <c r="O90" s="171">
        <f t="shared" ref="O90:O121" si="28">IF(N90="","",$N90-$F90)</f>
        <v>6</v>
      </c>
      <c r="P90" s="174">
        <f>ROUND(SUMIFS('Order Details'!$V:$V,'Order Details'!$A:$A,'Order Summary'!$B90,'Order Details'!$B:$B,'Order Summary'!$C90,'Order Details'!$E:$E,"Yes"),2)</f>
        <v>68642.13</v>
      </c>
      <c r="Q90" s="164">
        <v>46073</v>
      </c>
      <c r="R90" s="171">
        <f t="shared" si="22"/>
        <v>25</v>
      </c>
      <c r="S90" s="137">
        <v>34321.06</v>
      </c>
      <c r="T90" s="165">
        <f>IF(Q90="","",Q90+_xlfn.MAXIFS('Order Details'!$W:$W,'Order Details'!$A:$A,'Order Summary'!$B90,'Order Details'!$B:$B,'Order Summary'!$C90,'Order Details'!$E:$E,"Yes"))</f>
        <v>46118</v>
      </c>
      <c r="U90" s="164">
        <v>46184</v>
      </c>
      <c r="V90" s="133" t="s">
        <v>551</v>
      </c>
      <c r="W90" s="133" t="s">
        <v>61</v>
      </c>
      <c r="X90" s="133" t="s">
        <v>556</v>
      </c>
      <c r="Y90" s="133" t="s">
        <v>63</v>
      </c>
      <c r="Z90" s="309" t="str">
        <f>IF($Y90="","",IF(VLOOKUP($Y90,'Master Data'!$F$12:$I$17,2,FALSE)="","",VLOOKUP($Y90,'Master Data'!$F$12:$I$17,2,FALSE)))</f>
        <v>https://www.maersk.com/tracking/</v>
      </c>
      <c r="AA90" s="164">
        <v>46136</v>
      </c>
      <c r="AB90" s="171">
        <f t="shared" si="26"/>
        <v>63</v>
      </c>
      <c r="AC90" s="133" t="s">
        <v>547</v>
      </c>
      <c r="AD90" s="164">
        <v>46112</v>
      </c>
      <c r="AE90" s="164" t="s">
        <v>61</v>
      </c>
      <c r="AF90" s="308">
        <v>8000</v>
      </c>
      <c r="AG90" s="308">
        <v>1000</v>
      </c>
      <c r="AH90" s="137">
        <f t="shared" si="27"/>
        <v>77642.13</v>
      </c>
      <c r="AI90" s="137">
        <f t="shared" si="23"/>
        <v>43321.070000000007</v>
      </c>
      <c r="AJ90" s="164">
        <v>46143</v>
      </c>
      <c r="AK90" s="171">
        <f t="shared" si="25"/>
        <v>31</v>
      </c>
      <c r="AL90" s="137">
        <v>43321.07</v>
      </c>
      <c r="AM90" s="167"/>
      <c r="AN90" s="244" t="str">
        <f t="shared" si="24"/>
        <v/>
      </c>
      <c r="AO90" s="164"/>
    </row>
    <row r="91" spans="1:41" x14ac:dyDescent="0.35">
      <c r="A91" s="133" cm="1">
        <f t="array" ref="A91">ROW(91:91)-3</f>
        <v>88</v>
      </c>
      <c r="B91" s="133">
        <v>24174791</v>
      </c>
      <c r="C91" s="133">
        <v>0</v>
      </c>
      <c r="D91" s="133" t="str">
        <f t="shared" si="21"/>
        <v>24174791-0</v>
      </c>
      <c r="E91" s="133" t="s">
        <v>128</v>
      </c>
      <c r="F91" s="164">
        <v>46042</v>
      </c>
      <c r="G91" s="134" t="str">
        <f t="shared" si="20"/>
        <v>Yes</v>
      </c>
      <c r="H91" s="135">
        <f>SUMIFS('Order Details'!$R:$R,'Order Details'!$A:$A,'Order Summary'!$B91,'Order Details'!$B:$B,'Order Summary'!$C91,'Order Details'!$E:$E,"Yes")</f>
        <v>12</v>
      </c>
      <c r="I91" s="133" t="s">
        <v>261</v>
      </c>
      <c r="J91" s="133" t="str">
        <f>VLOOKUP($I91,'Master Data'!$L$5:$M$15,2,FALSE)</f>
        <v>Houston</v>
      </c>
      <c r="K91" s="137">
        <f>SUMIFS('Order Details'!$U:$U,'Order Details'!$A:$A,'Order Summary'!$B91,'Order Details'!$B:$B,'Order Summary'!$C91,'Order Details'!$E:$E,"Yes")</f>
        <v>61740</v>
      </c>
      <c r="L91" s="138">
        <f>SUMIFS('Order Details'!$P:$P,'Order Details'!$A:$A,'Order Summary'!$B91,'Order Details'!$B:$B,'Order Summary'!$C91,'Order Details'!$E:$E,"Yes")</f>
        <v>8202.0600000000013</v>
      </c>
      <c r="M91" s="133" t="s">
        <v>270</v>
      </c>
      <c r="N91" s="164">
        <v>46048</v>
      </c>
      <c r="O91" s="171">
        <f t="shared" si="28"/>
        <v>6</v>
      </c>
      <c r="P91" s="174">
        <f>ROUND(SUMIFS('Order Details'!$V:$V,'Order Details'!$A:$A,'Order Summary'!$B91,'Order Details'!$B:$B,'Order Summary'!$C91,'Order Details'!$E:$E,"Yes"),2)</f>
        <v>61761.51</v>
      </c>
      <c r="Q91" s="164">
        <v>46073</v>
      </c>
      <c r="R91" s="171">
        <f t="shared" si="22"/>
        <v>25</v>
      </c>
      <c r="S91" s="137">
        <v>30880.75</v>
      </c>
      <c r="T91" s="165">
        <f>IF(Q91="","",Q91+_xlfn.MAXIFS('Order Details'!$W:$W,'Order Details'!$A:$A,'Order Summary'!$B91,'Order Details'!$B:$B,'Order Summary'!$C91,'Order Details'!$E:$E,"Yes"))</f>
        <v>46118</v>
      </c>
      <c r="U91" s="164">
        <f>IF(T91="","",T91+VLOOKUP($J91,'Master Data'!$F$6:$G$9,2,FALSE))</f>
        <v>46171</v>
      </c>
      <c r="V91" s="133"/>
      <c r="W91" s="133"/>
      <c r="X91" s="133"/>
      <c r="Y91" s="133"/>
      <c r="Z91" s="309" t="str">
        <f>IF($Y91="","",IF(VLOOKUP($Y91,'Master Data'!$F$12:$I$17,2,FALSE)="","",VLOOKUP($Y91,'Master Data'!$F$12:$I$17,2,FALSE)))</f>
        <v/>
      </c>
      <c r="AA91" s="164"/>
      <c r="AB91" s="171" t="str">
        <f t="shared" si="26"/>
        <v/>
      </c>
      <c r="AC91" s="133" t="s">
        <v>597</v>
      </c>
      <c r="AD91" s="164">
        <v>46164</v>
      </c>
      <c r="AE91" s="164"/>
      <c r="AF91" s="137">
        <v>8000</v>
      </c>
      <c r="AG91" s="137">
        <v>1000</v>
      </c>
      <c r="AH91" s="137">
        <f t="shared" si="27"/>
        <v>70761.510000000009</v>
      </c>
      <c r="AI91" s="137">
        <f t="shared" si="23"/>
        <v>39880.760000000009</v>
      </c>
      <c r="AJ91" s="164"/>
      <c r="AK91" s="171" t="str">
        <f t="shared" si="25"/>
        <v/>
      </c>
      <c r="AL91" s="137"/>
      <c r="AM91" s="167"/>
      <c r="AN91" s="244" t="str">
        <f t="shared" si="24"/>
        <v/>
      </c>
      <c r="AO91" s="164"/>
    </row>
    <row r="92" spans="1:41" x14ac:dyDescent="0.35">
      <c r="A92" s="133" cm="1">
        <f t="array" ref="A92">ROW(92:92)-3</f>
        <v>89</v>
      </c>
      <c r="B92" s="133">
        <v>24174793</v>
      </c>
      <c r="C92" s="133">
        <v>0</v>
      </c>
      <c r="D92" s="133" t="str">
        <f t="shared" si="21"/>
        <v>24174793-0</v>
      </c>
      <c r="E92" s="133" t="s">
        <v>128</v>
      </c>
      <c r="F92" s="164">
        <v>46042</v>
      </c>
      <c r="G92" s="134" t="str">
        <f t="shared" si="20"/>
        <v>Yes</v>
      </c>
      <c r="H92" s="135">
        <f>SUMIFS('Order Details'!$R:$R,'Order Details'!$A:$A,'Order Summary'!$B92,'Order Details'!$B:$B,'Order Summary'!$C92,'Order Details'!$E:$E,"Yes")</f>
        <v>12</v>
      </c>
      <c r="I92" s="133" t="s">
        <v>261</v>
      </c>
      <c r="J92" s="133" t="str">
        <f>VLOOKUP($I92,'Master Data'!$L$5:$M$15,2,FALSE)</f>
        <v>Houston</v>
      </c>
      <c r="K92" s="137">
        <f>SUMIFS('Order Details'!$U:$U,'Order Details'!$A:$A,'Order Summary'!$B92,'Order Details'!$B:$B,'Order Summary'!$C92,'Order Details'!$E:$E,"Yes")</f>
        <v>61740</v>
      </c>
      <c r="L92" s="138">
        <f>SUMIFS('Order Details'!$P:$P,'Order Details'!$A:$A,'Order Summary'!$B92,'Order Details'!$B:$B,'Order Summary'!$C92,'Order Details'!$E:$E,"Yes")</f>
        <v>8202.0600000000013</v>
      </c>
      <c r="M92" s="133" t="s">
        <v>271</v>
      </c>
      <c r="N92" s="164">
        <v>46048</v>
      </c>
      <c r="O92" s="171">
        <f t="shared" si="28"/>
        <v>6</v>
      </c>
      <c r="P92" s="174">
        <f>ROUND(SUMIFS('Order Details'!$V:$V,'Order Details'!$A:$A,'Order Summary'!$B92,'Order Details'!$B:$B,'Order Summary'!$C92,'Order Details'!$E:$E,"Yes"),2)</f>
        <v>61761.51</v>
      </c>
      <c r="Q92" s="164">
        <v>46073</v>
      </c>
      <c r="R92" s="171">
        <f t="shared" si="22"/>
        <v>25</v>
      </c>
      <c r="S92" s="137">
        <v>30880.75</v>
      </c>
      <c r="T92" s="165">
        <f>IF(Q92="","",Q92+_xlfn.MAXIFS('Order Details'!$W:$W,'Order Details'!$A:$A,'Order Summary'!$B92,'Order Details'!$B:$B,'Order Summary'!$C92,'Order Details'!$E:$E,"Yes"))</f>
        <v>46118</v>
      </c>
      <c r="U92" s="164">
        <v>46198</v>
      </c>
      <c r="V92" s="133" t="s">
        <v>583</v>
      </c>
      <c r="W92" s="133" t="s">
        <v>61</v>
      </c>
      <c r="X92" s="133" t="s">
        <v>584</v>
      </c>
      <c r="Y92" s="133" t="s">
        <v>63</v>
      </c>
      <c r="Z92" s="309" t="str">
        <f>IF($Y92="","",IF(VLOOKUP($Y92,'Master Data'!$F$12:$I$17,2,FALSE)="","",VLOOKUP($Y92,'Master Data'!$F$12:$I$17,2,FALSE)))</f>
        <v>https://www.maersk.com/tracking/</v>
      </c>
      <c r="AA92" s="164">
        <v>46157</v>
      </c>
      <c r="AB92" s="171">
        <f t="shared" si="26"/>
        <v>84</v>
      </c>
      <c r="AC92" s="133" t="s">
        <v>577</v>
      </c>
      <c r="AD92" s="164">
        <v>46139</v>
      </c>
      <c r="AE92" s="164"/>
      <c r="AF92" s="137">
        <v>8000</v>
      </c>
      <c r="AG92" s="137">
        <v>1000</v>
      </c>
      <c r="AH92" s="137">
        <f t="shared" si="27"/>
        <v>70761.510000000009</v>
      </c>
      <c r="AI92" s="137">
        <f t="shared" si="23"/>
        <v>39880.760000000009</v>
      </c>
      <c r="AJ92" s="164"/>
      <c r="AK92" s="171" t="str">
        <f t="shared" si="25"/>
        <v/>
      </c>
      <c r="AL92" s="137"/>
      <c r="AM92" s="167"/>
      <c r="AN92" s="244" t="str">
        <f t="shared" si="24"/>
        <v/>
      </c>
      <c r="AO92" s="164"/>
    </row>
    <row r="93" spans="1:41" x14ac:dyDescent="0.35">
      <c r="A93" s="133" cm="1">
        <f t="array" ref="A93">ROW(93:93)-3</f>
        <v>90</v>
      </c>
      <c r="B93" s="307">
        <v>24174794</v>
      </c>
      <c r="C93" s="133">
        <v>0</v>
      </c>
      <c r="D93" s="133" t="str">
        <f t="shared" si="21"/>
        <v>24174794-0</v>
      </c>
      <c r="E93" s="133" t="s">
        <v>110</v>
      </c>
      <c r="F93" s="164">
        <v>46042</v>
      </c>
      <c r="G93" s="134" t="str">
        <f t="shared" ref="G93:G124" si="29">IF(OR(E93="PO Revised",E93="PO Cancelled"),"No","Yes")</f>
        <v>Yes</v>
      </c>
      <c r="H93" s="135">
        <f>SUMIFS('Order Details'!$R:$R,'Order Details'!$A:$A,'Order Summary'!$B93,'Order Details'!$B:$B,'Order Summary'!$C93,'Order Details'!$E:$E,"Yes")</f>
        <v>12</v>
      </c>
      <c r="I93" s="133" t="s">
        <v>261</v>
      </c>
      <c r="J93" s="133" t="str">
        <f>VLOOKUP($I93,'Master Data'!$L$5:$M$15,2,FALSE)</f>
        <v>Houston</v>
      </c>
      <c r="K93" s="137">
        <f>SUMIFS('Order Details'!$U:$U,'Order Details'!$A:$A,'Order Summary'!$B93,'Order Details'!$B:$B,'Order Summary'!$C93,'Order Details'!$E:$E,"Yes")</f>
        <v>61740</v>
      </c>
      <c r="L93" s="138">
        <f>SUMIFS('Order Details'!$P:$P,'Order Details'!$A:$A,'Order Summary'!$B93,'Order Details'!$B:$B,'Order Summary'!$C93,'Order Details'!$E:$E,"Yes")</f>
        <v>8202.0600000000013</v>
      </c>
      <c r="M93" s="133" t="s">
        <v>272</v>
      </c>
      <c r="N93" s="164">
        <v>46048</v>
      </c>
      <c r="O93" s="171">
        <f t="shared" si="28"/>
        <v>6</v>
      </c>
      <c r="P93" s="174">
        <f>ROUND(SUMIFS('Order Details'!$V:$V,'Order Details'!$A:$A,'Order Summary'!$B93,'Order Details'!$B:$B,'Order Summary'!$C93,'Order Details'!$E:$E,"Yes"),2)</f>
        <v>61761.51</v>
      </c>
      <c r="Q93" s="164">
        <v>46073</v>
      </c>
      <c r="R93" s="171">
        <f t="shared" si="22"/>
        <v>25</v>
      </c>
      <c r="S93" s="137">
        <v>30880.75</v>
      </c>
      <c r="T93" s="165">
        <f>IF(Q93="","",Q93+_xlfn.MAXIFS('Order Details'!$W:$W,'Order Details'!$A:$A,'Order Summary'!$B93,'Order Details'!$B:$B,'Order Summary'!$C93,'Order Details'!$E:$E,"Yes"))</f>
        <v>46163</v>
      </c>
      <c r="U93" s="164">
        <v>46191</v>
      </c>
      <c r="V93" s="133" t="s">
        <v>587</v>
      </c>
      <c r="W93" s="133" t="s">
        <v>61</v>
      </c>
      <c r="X93" s="133" t="s">
        <v>553</v>
      </c>
      <c r="Y93" s="133" t="s">
        <v>63</v>
      </c>
      <c r="Z93" s="309" t="str">
        <f>IF($Y93="","",IF(VLOOKUP($Y93,'Master Data'!$F$12:$I$17,2,FALSE)="","",VLOOKUP($Y93,'Master Data'!$F$12:$I$17,2,FALSE)))</f>
        <v>https://www.maersk.com/tracking/</v>
      </c>
      <c r="AA93" s="164">
        <v>46149</v>
      </c>
      <c r="AB93" s="171">
        <f t="shared" si="26"/>
        <v>76</v>
      </c>
      <c r="AC93" s="133" t="s">
        <v>545</v>
      </c>
      <c r="AD93" s="164">
        <v>46112</v>
      </c>
      <c r="AE93" s="164" t="s">
        <v>61</v>
      </c>
      <c r="AF93" s="308">
        <v>8000</v>
      </c>
      <c r="AG93" s="308">
        <v>1000</v>
      </c>
      <c r="AH93" s="137">
        <f t="shared" si="27"/>
        <v>70761.510000000009</v>
      </c>
      <c r="AI93" s="137">
        <f t="shared" si="23"/>
        <v>39880.760000000009</v>
      </c>
      <c r="AJ93" s="164">
        <v>46143</v>
      </c>
      <c r="AK93" s="171">
        <f t="shared" si="25"/>
        <v>31</v>
      </c>
      <c r="AL93" s="137">
        <v>39880.76</v>
      </c>
      <c r="AM93" s="167"/>
      <c r="AN93" s="244" t="str">
        <f t="shared" si="24"/>
        <v/>
      </c>
      <c r="AO93" s="164"/>
    </row>
    <row r="94" spans="1:41" x14ac:dyDescent="0.35">
      <c r="A94" s="133" cm="1">
        <f t="array" ref="A94">ROW(94:94)-3</f>
        <v>91</v>
      </c>
      <c r="B94" s="307">
        <v>24174796</v>
      </c>
      <c r="C94" s="133">
        <v>0</v>
      </c>
      <c r="D94" s="133" t="str">
        <f t="shared" si="21"/>
        <v>24174796-0</v>
      </c>
      <c r="E94" s="133" t="s">
        <v>110</v>
      </c>
      <c r="F94" s="164">
        <v>46042</v>
      </c>
      <c r="G94" s="134" t="str">
        <f t="shared" si="29"/>
        <v>Yes</v>
      </c>
      <c r="H94" s="135">
        <f>SUMIFS('Order Details'!$R:$R,'Order Details'!$A:$A,'Order Summary'!$B94,'Order Details'!$B:$B,'Order Summary'!$C94,'Order Details'!$E:$E,"Yes")</f>
        <v>12</v>
      </c>
      <c r="I94" s="133" t="s">
        <v>261</v>
      </c>
      <c r="J94" s="133" t="str">
        <f>VLOOKUP($I94,'Master Data'!$L$5:$M$15,2,FALSE)</f>
        <v>Houston</v>
      </c>
      <c r="K94" s="137">
        <f>SUMIFS('Order Details'!$U:$U,'Order Details'!$A:$A,'Order Summary'!$B94,'Order Details'!$B:$B,'Order Summary'!$C94,'Order Details'!$E:$E,"Yes")</f>
        <v>66150</v>
      </c>
      <c r="L94" s="138">
        <f>SUMIFS('Order Details'!$P:$P,'Order Details'!$A:$A,'Order Summary'!$B94,'Order Details'!$B:$B,'Order Summary'!$C94,'Order Details'!$E:$E,"Yes")</f>
        <v>8202.0600000000013</v>
      </c>
      <c r="M94" s="133" t="s">
        <v>273</v>
      </c>
      <c r="N94" s="164">
        <v>46048</v>
      </c>
      <c r="O94" s="171">
        <f t="shared" si="28"/>
        <v>6</v>
      </c>
      <c r="P94" s="174">
        <f>ROUND(SUMIFS('Order Details'!$V:$V,'Order Details'!$A:$A,'Order Summary'!$B94,'Order Details'!$B:$B,'Order Summary'!$C94,'Order Details'!$E:$E,"Yes"),2)</f>
        <v>66190.62</v>
      </c>
      <c r="Q94" s="164">
        <v>46073</v>
      </c>
      <c r="R94" s="171">
        <f t="shared" si="22"/>
        <v>25</v>
      </c>
      <c r="S94" s="137">
        <v>33095.31</v>
      </c>
      <c r="T94" s="165">
        <f>IF(Q94="","",Q94+_xlfn.MAXIFS('Order Details'!$W:$W,'Order Details'!$A:$A,'Order Summary'!$B94,'Order Details'!$B:$B,'Order Summary'!$C94,'Order Details'!$E:$E,"Yes"))</f>
        <v>46118</v>
      </c>
      <c r="U94" s="164">
        <v>46191</v>
      </c>
      <c r="V94" s="133" t="s">
        <v>587</v>
      </c>
      <c r="W94" s="133" t="s">
        <v>61</v>
      </c>
      <c r="X94" s="133" t="s">
        <v>554</v>
      </c>
      <c r="Y94" s="133" t="s">
        <v>63</v>
      </c>
      <c r="Z94" s="309" t="str">
        <f>IF($Y94="","",IF(VLOOKUP($Y94,'Master Data'!$F$12:$I$17,2,FALSE)="","",VLOOKUP($Y94,'Master Data'!$F$12:$I$17,2,FALSE)))</f>
        <v>https://www.maersk.com/tracking/</v>
      </c>
      <c r="AA94" s="164">
        <v>46149</v>
      </c>
      <c r="AB94" s="171">
        <f t="shared" si="26"/>
        <v>76</v>
      </c>
      <c r="AC94" s="133" t="s">
        <v>544</v>
      </c>
      <c r="AD94" s="164">
        <v>46112</v>
      </c>
      <c r="AE94" s="164" t="s">
        <v>61</v>
      </c>
      <c r="AF94" s="308">
        <v>8000</v>
      </c>
      <c r="AG94" s="308">
        <v>1000</v>
      </c>
      <c r="AH94" s="137">
        <f t="shared" si="27"/>
        <v>75190.62</v>
      </c>
      <c r="AI94" s="137">
        <f t="shared" si="23"/>
        <v>42095.31</v>
      </c>
      <c r="AJ94" s="164">
        <v>46143</v>
      </c>
      <c r="AK94" s="171">
        <f t="shared" si="25"/>
        <v>31</v>
      </c>
      <c r="AL94" s="137">
        <v>42095.31</v>
      </c>
      <c r="AM94" s="167"/>
      <c r="AN94" s="244" t="str">
        <f t="shared" si="24"/>
        <v/>
      </c>
      <c r="AO94" s="164"/>
    </row>
    <row r="95" spans="1:41" x14ac:dyDescent="0.35">
      <c r="A95" s="133" cm="1">
        <f t="array" ref="A95">ROW(95:95)-3</f>
        <v>92</v>
      </c>
      <c r="B95" s="133">
        <v>24174797</v>
      </c>
      <c r="C95" s="133">
        <v>0</v>
      </c>
      <c r="D95" s="133" t="str">
        <f t="shared" si="21"/>
        <v>24174797-0</v>
      </c>
      <c r="E95" s="133" t="s">
        <v>128</v>
      </c>
      <c r="F95" s="164">
        <v>46042</v>
      </c>
      <c r="G95" s="134" t="str">
        <f t="shared" si="29"/>
        <v>Yes</v>
      </c>
      <c r="H95" s="135">
        <f>SUMIFS('Order Details'!$R:$R,'Order Details'!$A:$A,'Order Summary'!$B95,'Order Details'!$B:$B,'Order Summary'!$C95,'Order Details'!$E:$E,"Yes")</f>
        <v>9</v>
      </c>
      <c r="I95" s="133" t="s">
        <v>261</v>
      </c>
      <c r="J95" s="133" t="str">
        <f>VLOOKUP($I95,'Master Data'!$L$5:$M$15,2,FALSE)</f>
        <v>Houston</v>
      </c>
      <c r="K95" s="137">
        <f>SUMIFS('Order Details'!$U:$U,'Order Details'!$A:$A,'Order Summary'!$B95,'Order Details'!$B:$B,'Order Summary'!$C95,'Order Details'!$E:$E,"Yes")</f>
        <v>61740</v>
      </c>
      <c r="L95" s="138">
        <f>SUMIFS('Order Details'!$P:$P,'Order Details'!$A:$A,'Order Summary'!$B95,'Order Details'!$B:$B,'Order Summary'!$C95,'Order Details'!$E:$E,"Yes")</f>
        <v>8197.5780000000013</v>
      </c>
      <c r="M95" s="133" t="s">
        <v>274</v>
      </c>
      <c r="N95" s="164">
        <v>46048</v>
      </c>
      <c r="O95" s="171">
        <f t="shared" si="28"/>
        <v>6</v>
      </c>
      <c r="P95" s="174">
        <f>ROUND(SUMIFS('Order Details'!$V:$V,'Order Details'!$A:$A,'Order Summary'!$B95,'Order Details'!$B:$B,'Order Summary'!$C95,'Order Details'!$E:$E,"Yes"),2)</f>
        <v>61727.76</v>
      </c>
      <c r="Q95" s="164">
        <v>46073</v>
      </c>
      <c r="R95" s="171">
        <f t="shared" si="22"/>
        <v>25</v>
      </c>
      <c r="S95" s="137">
        <v>30863.88</v>
      </c>
      <c r="T95" s="165">
        <f>IF(Q95="","",Q95+_xlfn.MAXIFS('Order Details'!$W:$W,'Order Details'!$A:$A,'Order Summary'!$B95,'Order Details'!$B:$B,'Order Summary'!$C95,'Order Details'!$E:$E,"Yes"))</f>
        <v>46118</v>
      </c>
      <c r="U95" s="164">
        <f>IF(T95="","",T95+VLOOKUP($J95,'Master Data'!$F$6:$G$9,2,FALSE))</f>
        <v>46171</v>
      </c>
      <c r="V95" s="133"/>
      <c r="W95" s="133"/>
      <c r="X95" s="133"/>
      <c r="Y95" s="133"/>
      <c r="Z95" s="309" t="str">
        <f>IF($Y95="","",IF(VLOOKUP($Y95,'Master Data'!$F$12:$I$17,2,FALSE)="","",VLOOKUP($Y95,'Master Data'!$F$12:$I$17,2,FALSE)))</f>
        <v/>
      </c>
      <c r="AA95" s="164"/>
      <c r="AB95" s="171" t="str">
        <f t="shared" si="26"/>
        <v/>
      </c>
      <c r="AC95" s="133" t="s">
        <v>598</v>
      </c>
      <c r="AD95" s="164">
        <v>46164</v>
      </c>
      <c r="AE95" s="164"/>
      <c r="AF95" s="137"/>
      <c r="AG95" s="137"/>
      <c r="AH95" s="137">
        <f t="shared" si="27"/>
        <v>61727.76</v>
      </c>
      <c r="AI95" s="137">
        <f t="shared" si="23"/>
        <v>30863.88</v>
      </c>
      <c r="AJ95" s="164"/>
      <c r="AK95" s="171" t="str">
        <f t="shared" si="25"/>
        <v/>
      </c>
      <c r="AL95" s="137"/>
      <c r="AM95" s="167"/>
      <c r="AN95" s="244" t="str">
        <f t="shared" si="24"/>
        <v/>
      </c>
      <c r="AO95" s="164"/>
    </row>
    <row r="96" spans="1:41" x14ac:dyDescent="0.35">
      <c r="A96" s="133" cm="1">
        <f t="array" ref="A96">ROW(96:96)-3</f>
        <v>93</v>
      </c>
      <c r="B96" s="133">
        <v>24174799</v>
      </c>
      <c r="C96" s="133">
        <v>0</v>
      </c>
      <c r="D96" s="133" t="str">
        <f t="shared" si="21"/>
        <v>24174799-0</v>
      </c>
      <c r="E96" s="133" t="s">
        <v>410</v>
      </c>
      <c r="F96" s="164">
        <v>46042</v>
      </c>
      <c r="G96" s="134" t="str">
        <f t="shared" si="29"/>
        <v>Yes</v>
      </c>
      <c r="H96" s="135">
        <f>SUMIFS('Order Details'!$R:$R,'Order Details'!$A:$A,'Order Summary'!$B96,'Order Details'!$B:$B,'Order Summary'!$C96,'Order Details'!$E:$E,"Yes")</f>
        <v>9</v>
      </c>
      <c r="I96" s="133" t="s">
        <v>261</v>
      </c>
      <c r="J96" s="133" t="str">
        <f>VLOOKUP($I96,'Master Data'!$L$5:$M$15,2,FALSE)</f>
        <v>Houston</v>
      </c>
      <c r="K96" s="137">
        <f>SUMIFS('Order Details'!$U:$U,'Order Details'!$A:$A,'Order Summary'!$B96,'Order Details'!$B:$B,'Order Summary'!$C96,'Order Details'!$E:$E,"Yes")</f>
        <v>63700.000000000015</v>
      </c>
      <c r="L96" s="138">
        <f>SUMIFS('Order Details'!$P:$P,'Order Details'!$A:$A,'Order Summary'!$B96,'Order Details'!$B:$B,'Order Summary'!$C96,'Order Details'!$E:$E,"Yes")</f>
        <v>8197.5780000000013</v>
      </c>
      <c r="M96" s="133" t="s">
        <v>275</v>
      </c>
      <c r="N96" s="164">
        <v>46048</v>
      </c>
      <c r="O96" s="171">
        <f t="shared" si="28"/>
        <v>6</v>
      </c>
      <c r="P96" s="174">
        <f>ROUND(SUMIFS('Order Details'!$V:$V,'Order Details'!$A:$A,'Order Summary'!$B96,'Order Details'!$B:$B,'Order Summary'!$C96,'Order Details'!$E:$E,"Yes"),2)</f>
        <v>63695.18</v>
      </c>
      <c r="Q96" s="164">
        <v>46073</v>
      </c>
      <c r="R96" s="171">
        <f t="shared" si="22"/>
        <v>25</v>
      </c>
      <c r="S96" s="137">
        <v>31847.59</v>
      </c>
      <c r="T96" s="165">
        <f>IF(Q96="","",Q96+_xlfn.MAXIFS('Order Details'!$W:$W,'Order Details'!$A:$A,'Order Summary'!$B96,'Order Details'!$B:$B,'Order Summary'!$C96,'Order Details'!$E:$E,"Yes"))</f>
        <v>46163</v>
      </c>
      <c r="U96" s="164">
        <f>IF(T96="","",T96+VLOOKUP($J96,'Master Data'!$F$6:$G$9,2,FALSE))</f>
        <v>46216</v>
      </c>
      <c r="V96" s="133"/>
      <c r="W96" s="133"/>
      <c r="X96" s="133"/>
      <c r="Y96" s="133"/>
      <c r="Z96" s="309" t="str">
        <f>IF($Y96="","",IF(VLOOKUP($Y96,'Master Data'!$F$12:$I$17,2,FALSE)="","",VLOOKUP($Y96,'Master Data'!$F$12:$I$17,2,FALSE)))</f>
        <v/>
      </c>
      <c r="AA96" s="164"/>
      <c r="AB96" s="171" t="str">
        <f t="shared" si="26"/>
        <v/>
      </c>
      <c r="AC96" s="133" t="s">
        <v>589</v>
      </c>
      <c r="AD96" s="164">
        <v>46160</v>
      </c>
      <c r="AE96" s="164"/>
      <c r="AF96" s="137">
        <v>8000</v>
      </c>
      <c r="AG96" s="137">
        <v>1000</v>
      </c>
      <c r="AH96" s="137">
        <f t="shared" si="27"/>
        <v>72695.179999999993</v>
      </c>
      <c r="AI96" s="137">
        <f t="shared" si="23"/>
        <v>40847.589999999997</v>
      </c>
      <c r="AJ96" s="164"/>
      <c r="AK96" s="171" t="str">
        <f t="shared" si="25"/>
        <v/>
      </c>
      <c r="AL96" s="137"/>
      <c r="AM96" s="167"/>
      <c r="AN96" s="244" t="str">
        <f t="shared" si="24"/>
        <v/>
      </c>
      <c r="AO96" s="164"/>
    </row>
    <row r="97" spans="1:41" x14ac:dyDescent="0.35">
      <c r="A97" s="133" cm="1">
        <f t="array" ref="A97">ROW(97:97)-3</f>
        <v>94</v>
      </c>
      <c r="B97" s="133">
        <v>52990927</v>
      </c>
      <c r="C97" s="133">
        <v>0</v>
      </c>
      <c r="D97" s="133" t="str">
        <f t="shared" si="21"/>
        <v>52990927-0</v>
      </c>
      <c r="E97" s="133" t="s">
        <v>215</v>
      </c>
      <c r="F97" s="164">
        <v>46050</v>
      </c>
      <c r="G97" s="134" t="str">
        <f t="shared" si="29"/>
        <v>Yes</v>
      </c>
      <c r="H97" s="135">
        <f>SUMIFS('Order Details'!$R:$R,'Order Details'!$A:$A,'Order Summary'!$B97,'Order Details'!$B:$B,'Order Summary'!$C97,'Order Details'!$E:$E,"Yes")</f>
        <v>13</v>
      </c>
      <c r="I97" s="133" t="s">
        <v>58</v>
      </c>
      <c r="J97" s="133" t="str">
        <f>VLOOKUP($I97,'Master Data'!$L$5:$M$15,2,FALSE)</f>
        <v>Houston</v>
      </c>
      <c r="K97" s="137">
        <f>SUMIFS('Order Details'!$U:$U,'Order Details'!$A:$A,'Order Summary'!$B97,'Order Details'!$B:$B,'Order Summary'!$C97,'Order Details'!$E:$E,"Yes")</f>
        <v>58635.97</v>
      </c>
      <c r="L97" s="138">
        <f>SUMIFS('Order Details'!$P:$P,'Order Details'!$A:$A,'Order Summary'!$B97,'Order Details'!$B:$B,'Order Summary'!$C97,'Order Details'!$E:$E,"Yes")</f>
        <v>7537.0432500000015</v>
      </c>
      <c r="M97" s="133" t="s">
        <v>276</v>
      </c>
      <c r="N97" s="164">
        <v>46055</v>
      </c>
      <c r="O97" s="171">
        <f t="shared" si="28"/>
        <v>5</v>
      </c>
      <c r="P97" s="174">
        <f>ROUND(SUMIFS('Order Details'!$V:$V,'Order Details'!$A:$A,'Order Summary'!$B97,'Order Details'!$B:$B,'Order Summary'!$C97,'Order Details'!$E:$E,"Yes"),2)</f>
        <v>58538.16</v>
      </c>
      <c r="Q97" s="164">
        <v>46063</v>
      </c>
      <c r="R97" s="171">
        <f t="shared" si="22"/>
        <v>8</v>
      </c>
      <c r="S97" s="137">
        <v>28515.38</v>
      </c>
      <c r="T97" s="165">
        <f>IF(Q97="","",Q97+_xlfn.MAXIFS('Order Details'!$W:$W,'Order Details'!$A:$A,'Order Summary'!$B97,'Order Details'!$B:$B,'Order Summary'!$C97,'Order Details'!$E:$E,"Yes"))</f>
        <v>46153</v>
      </c>
      <c r="U97" s="164">
        <f>IF(T97="","",T97+VLOOKUP($J97,'Master Data'!$F$6:$G$9,2,FALSE))</f>
        <v>46206</v>
      </c>
      <c r="V97" s="133"/>
      <c r="W97" s="133"/>
      <c r="X97" s="133"/>
      <c r="Y97" s="133"/>
      <c r="Z97" s="309" t="str">
        <f>IF($Y97="","",IF(VLOOKUP($Y97,'Master Data'!$F$12:$I$17,2,FALSE)="","",VLOOKUP($Y97,'Master Data'!$F$12:$I$17,2,FALSE)))</f>
        <v/>
      </c>
      <c r="AA97" s="164"/>
      <c r="AB97" s="171" t="str">
        <f t="shared" si="26"/>
        <v/>
      </c>
      <c r="AC97" s="133"/>
      <c r="AD97" s="164"/>
      <c r="AE97" s="164"/>
      <c r="AF97" s="137"/>
      <c r="AG97" s="137"/>
      <c r="AH97" s="137">
        <f t="shared" si="27"/>
        <v>58538.16</v>
      </c>
      <c r="AI97" s="137">
        <f t="shared" si="23"/>
        <v>30022.780000000002</v>
      </c>
      <c r="AJ97" s="164"/>
      <c r="AK97" s="171" t="str">
        <f t="shared" si="25"/>
        <v/>
      </c>
      <c r="AL97" s="137"/>
      <c r="AM97" s="164"/>
      <c r="AN97" s="244" t="str">
        <f t="shared" si="24"/>
        <v/>
      </c>
      <c r="AO97" s="164"/>
    </row>
    <row r="98" spans="1:41" x14ac:dyDescent="0.35">
      <c r="A98" s="133" cm="1">
        <f t="array" ref="A98">ROW(98:98)-3</f>
        <v>95</v>
      </c>
      <c r="B98" s="133">
        <v>52996151</v>
      </c>
      <c r="C98" s="133">
        <v>0</v>
      </c>
      <c r="D98" s="133" t="str">
        <f t="shared" si="21"/>
        <v>52996151-0</v>
      </c>
      <c r="E98" s="133" t="s">
        <v>196</v>
      </c>
      <c r="F98" s="164">
        <v>46056</v>
      </c>
      <c r="G98" s="134" t="str">
        <f t="shared" si="29"/>
        <v>No</v>
      </c>
      <c r="H98" s="135">
        <f>SUMIFS('Order Details'!$R:$R,'Order Details'!$A:$A,'Order Summary'!$B98,'Order Details'!$B:$B,'Order Summary'!$C98,'Order Details'!$E:$E,"Yes")</f>
        <v>0</v>
      </c>
      <c r="I98" s="133" t="s">
        <v>79</v>
      </c>
      <c r="J98" s="133" t="str">
        <f>VLOOKUP($I98,'Master Data'!$L$5:$M$15,2,FALSE)</f>
        <v>Oakland</v>
      </c>
      <c r="K98" s="137">
        <f>SUMIFS('Order Details'!$U:$U,'Order Details'!$A:$A,'Order Summary'!$B98,'Order Details'!$B:$B,'Order Summary'!$C98,'Order Details'!$E:$E,"Yes")</f>
        <v>0</v>
      </c>
      <c r="L98" s="138">
        <f>SUMIFS('Order Details'!$P:$P,'Order Details'!$A:$A,'Order Summary'!$B98,'Order Details'!$B:$B,'Order Summary'!$C98,'Order Details'!$E:$E,"Yes")</f>
        <v>0</v>
      </c>
      <c r="M98" s="133" t="s">
        <v>277</v>
      </c>
      <c r="N98" s="164">
        <v>46057</v>
      </c>
      <c r="O98" s="171">
        <f t="shared" si="28"/>
        <v>1</v>
      </c>
      <c r="P98" s="174">
        <f>ROUND(SUMIFS('Order Details'!$V:$V,'Order Details'!$A:$A,'Order Summary'!$B98,'Order Details'!$B:$B,'Order Summary'!$C98,'Order Details'!$E:$E,"Yes"),2)</f>
        <v>0</v>
      </c>
      <c r="Q98" s="164">
        <v>46071</v>
      </c>
      <c r="R98" s="171">
        <f t="shared" si="22"/>
        <v>14</v>
      </c>
      <c r="S98" s="137">
        <v>30224.51</v>
      </c>
      <c r="T98" s="165">
        <f>IF(Q98="","",Q98+_xlfn.MAXIFS('Order Details'!$W:$W,'Order Details'!$A:$A,'Order Summary'!$B98,'Order Details'!$B:$B,'Order Summary'!$C98,'Order Details'!$E:$E,"Yes"))</f>
        <v>46071</v>
      </c>
      <c r="U98" s="164">
        <f>IF(T98="","",T98+VLOOKUP($J98,'Master Data'!$F$6:$G$9,2,FALSE))</f>
        <v>46137</v>
      </c>
      <c r="V98" s="133"/>
      <c r="W98" s="133"/>
      <c r="X98" s="133"/>
      <c r="Y98" s="133"/>
      <c r="Z98" s="309" t="str">
        <f>IF($Y98="","",IF(VLOOKUP($Y98,'Master Data'!$F$12:$I$17,2,FALSE)="","",VLOOKUP($Y98,'Master Data'!$F$12:$I$17,2,FALSE)))</f>
        <v/>
      </c>
      <c r="AA98" s="164"/>
      <c r="AB98" s="171" t="str">
        <f t="shared" si="26"/>
        <v/>
      </c>
      <c r="AC98" s="133"/>
      <c r="AD98" s="164"/>
      <c r="AE98" s="164"/>
      <c r="AF98" s="137"/>
      <c r="AG98" s="137"/>
      <c r="AH98" s="137">
        <f t="shared" si="27"/>
        <v>0</v>
      </c>
      <c r="AI98" s="137">
        <f t="shared" si="23"/>
        <v>-30224.51</v>
      </c>
      <c r="AJ98" s="164"/>
      <c r="AK98" s="171" t="str">
        <f t="shared" si="25"/>
        <v/>
      </c>
      <c r="AL98" s="137"/>
      <c r="AM98" s="164"/>
      <c r="AN98" s="244" t="str">
        <f t="shared" si="24"/>
        <v/>
      </c>
      <c r="AO98" s="164"/>
    </row>
    <row r="99" spans="1:41" x14ac:dyDescent="0.35">
      <c r="A99" s="133" cm="1">
        <f t="array" ref="A99">ROW(99:99)-3</f>
        <v>96</v>
      </c>
      <c r="B99" s="133">
        <v>52996157</v>
      </c>
      <c r="C99" s="133">
        <v>0</v>
      </c>
      <c r="D99" s="133" t="str">
        <f t="shared" si="21"/>
        <v>52996157-0</v>
      </c>
      <c r="E99" s="133" t="s">
        <v>128</v>
      </c>
      <c r="F99" s="164">
        <v>46056</v>
      </c>
      <c r="G99" s="134" t="str">
        <f t="shared" si="29"/>
        <v>Yes</v>
      </c>
      <c r="H99" s="135">
        <f>SUMIFS('Order Details'!$R:$R,'Order Details'!$A:$A,'Order Summary'!$B99,'Order Details'!$B:$B,'Order Summary'!$C99,'Order Details'!$E:$E,"Yes")</f>
        <v>13</v>
      </c>
      <c r="I99" s="133" t="s">
        <v>79</v>
      </c>
      <c r="J99" s="133" t="str">
        <f>VLOOKUP($I99,'Master Data'!$L$5:$M$15,2,FALSE)</f>
        <v>Oakland</v>
      </c>
      <c r="K99" s="137">
        <f>SUMIFS('Order Details'!$U:$U,'Order Details'!$A:$A,'Order Summary'!$B99,'Order Details'!$B:$B,'Order Summary'!$C99,'Order Details'!$E:$E,"Yes")</f>
        <v>65386.149999999994</v>
      </c>
      <c r="L99" s="138">
        <f>SUMIFS('Order Details'!$P:$P,'Order Details'!$A:$A,'Order Summary'!$B99,'Order Details'!$B:$B,'Order Summary'!$C99,'Order Details'!$E:$E,"Yes")</f>
        <v>8138.5650000000005</v>
      </c>
      <c r="M99" s="133" t="s">
        <v>278</v>
      </c>
      <c r="N99" s="164">
        <v>46057</v>
      </c>
      <c r="O99" s="171">
        <f t="shared" si="28"/>
        <v>1</v>
      </c>
      <c r="P99" s="174">
        <f>ROUND(SUMIFS('Order Details'!$V:$V,'Order Details'!$A:$A,'Order Summary'!$B99,'Order Details'!$B:$B,'Order Summary'!$C99,'Order Details'!$E:$E,"Yes"),2)</f>
        <v>65293.07</v>
      </c>
      <c r="Q99" s="164">
        <v>46071</v>
      </c>
      <c r="R99" s="171">
        <f t="shared" si="22"/>
        <v>14</v>
      </c>
      <c r="S99" s="137">
        <v>31832.67</v>
      </c>
      <c r="T99" s="165">
        <f>IF(Q99="","",Q99+_xlfn.MAXIFS('Order Details'!$W:$W,'Order Details'!$A:$A,'Order Summary'!$B99,'Order Details'!$B:$B,'Order Summary'!$C99,'Order Details'!$E:$E,"Yes"))</f>
        <v>46161</v>
      </c>
      <c r="U99" s="164">
        <f>IF(T99="","",T99+VLOOKUP($J99,'Master Data'!$F$6:$G$9,2,FALSE))</f>
        <v>46227</v>
      </c>
      <c r="V99" s="133"/>
      <c r="W99" s="133"/>
      <c r="X99" s="133"/>
      <c r="Y99" s="133"/>
      <c r="Z99" s="309" t="str">
        <f>IF($Y99="","",IF(VLOOKUP($Y99,'Master Data'!$F$12:$I$17,2,FALSE)="","",VLOOKUP($Y99,'Master Data'!$F$12:$I$17,2,FALSE)))</f>
        <v/>
      </c>
      <c r="AA99" s="164"/>
      <c r="AB99" s="171" t="str">
        <f t="shared" si="26"/>
        <v/>
      </c>
      <c r="AC99" s="133" t="s">
        <v>588</v>
      </c>
      <c r="AD99" s="164">
        <v>46160</v>
      </c>
      <c r="AE99" s="164"/>
      <c r="AF99" s="137">
        <v>8200</v>
      </c>
      <c r="AG99" s="137">
        <v>1000</v>
      </c>
      <c r="AH99" s="137">
        <f t="shared" si="27"/>
        <v>74493.070000000007</v>
      </c>
      <c r="AI99" s="137">
        <f t="shared" si="23"/>
        <v>42660.400000000009</v>
      </c>
      <c r="AJ99" s="164"/>
      <c r="AK99" s="171" t="str">
        <f t="shared" si="25"/>
        <v/>
      </c>
      <c r="AL99" s="137"/>
      <c r="AM99" s="164"/>
      <c r="AN99" s="244" t="str">
        <f t="shared" si="24"/>
        <v/>
      </c>
      <c r="AO99" s="164"/>
    </row>
    <row r="100" spans="1:41" x14ac:dyDescent="0.35">
      <c r="A100" s="133" cm="1">
        <f t="array" ref="A100">ROW(100:100)-3</f>
        <v>97</v>
      </c>
      <c r="B100" s="133">
        <v>52996236</v>
      </c>
      <c r="C100" s="133">
        <v>0</v>
      </c>
      <c r="D100" s="133" t="str">
        <f t="shared" ref="D100:D131" si="30">B100&amp;"-"&amp;C100</f>
        <v>52996236-0</v>
      </c>
      <c r="E100" s="133" t="s">
        <v>215</v>
      </c>
      <c r="F100" s="164">
        <v>46056</v>
      </c>
      <c r="G100" s="134" t="str">
        <f t="shared" si="29"/>
        <v>Yes</v>
      </c>
      <c r="H100" s="135">
        <f>SUMIFS('Order Details'!$R:$R,'Order Details'!$A:$A,'Order Summary'!$B100,'Order Details'!$B:$B,'Order Summary'!$C100,'Order Details'!$E:$E,"Yes")</f>
        <v>13</v>
      </c>
      <c r="I100" s="133" t="s">
        <v>79</v>
      </c>
      <c r="J100" s="133" t="str">
        <f>VLOOKUP($I100,'Master Data'!$L$5:$M$15,2,FALSE)</f>
        <v>Oakland</v>
      </c>
      <c r="K100" s="137">
        <f>SUMIFS('Order Details'!$U:$U,'Order Details'!$A:$A,'Order Summary'!$B100,'Order Details'!$B:$B,'Order Summary'!$C100,'Order Details'!$E:$E,"Yes")</f>
        <v>64022.06</v>
      </c>
      <c r="L100" s="138">
        <f>SUMIFS('Order Details'!$P:$P,'Order Details'!$A:$A,'Order Summary'!$B100,'Order Details'!$B:$B,'Order Summary'!$C100,'Order Details'!$E:$E,"Yes")</f>
        <v>8062.6200000000008</v>
      </c>
      <c r="M100" s="133" t="s">
        <v>279</v>
      </c>
      <c r="N100" s="164">
        <v>46057</v>
      </c>
      <c r="O100" s="171">
        <f t="shared" si="28"/>
        <v>1</v>
      </c>
      <c r="P100" s="174">
        <f>ROUND(SUMIFS('Order Details'!$V:$V,'Order Details'!$A:$A,'Order Summary'!$B100,'Order Details'!$B:$B,'Order Summary'!$C100,'Order Details'!$E:$E,"Yes"),2)</f>
        <v>63926.82</v>
      </c>
      <c r="Q100" s="164">
        <v>46071</v>
      </c>
      <c r="R100" s="171">
        <f t="shared" ref="R100:R131" si="31">IF(Q100="","",$Q100-$N100)</f>
        <v>14</v>
      </c>
      <c r="S100" s="137">
        <v>31271.68</v>
      </c>
      <c r="T100" s="165">
        <f>IF(Q100="","",Q100+_xlfn.MAXIFS('Order Details'!$W:$W,'Order Details'!$A:$A,'Order Summary'!$B100,'Order Details'!$B:$B,'Order Summary'!$C100,'Order Details'!$E:$E,"Yes"))</f>
        <v>46116</v>
      </c>
      <c r="U100" s="164">
        <f>IF(T100="","",T100+VLOOKUP($J100,'Master Data'!$F$6:$G$9,2,FALSE))</f>
        <v>46182</v>
      </c>
      <c r="V100" s="133"/>
      <c r="W100" s="133"/>
      <c r="X100" s="133"/>
      <c r="Y100" s="133"/>
      <c r="Z100" s="309" t="str">
        <f>IF($Y100="","",IF(VLOOKUP($Y100,'Master Data'!$F$12:$I$17,2,FALSE)="","",VLOOKUP($Y100,'Master Data'!$F$12:$I$17,2,FALSE)))</f>
        <v/>
      </c>
      <c r="AA100" s="164"/>
      <c r="AB100" s="171" t="str">
        <f t="shared" si="26"/>
        <v/>
      </c>
      <c r="AC100" s="133"/>
      <c r="AD100" s="164"/>
      <c r="AE100" s="164"/>
      <c r="AF100" s="137"/>
      <c r="AG100" s="137"/>
      <c r="AH100" s="137">
        <f t="shared" si="27"/>
        <v>63926.82</v>
      </c>
      <c r="AI100" s="137">
        <f t="shared" ref="AI100:AI131" si="32">AH100-S100</f>
        <v>32655.14</v>
      </c>
      <c r="AJ100" s="164"/>
      <c r="AK100" s="171" t="str">
        <f t="shared" si="25"/>
        <v/>
      </c>
      <c r="AL100" s="137"/>
      <c r="AM100" s="164"/>
      <c r="AN100" s="244" t="str">
        <f t="shared" ref="AN100:AN131" si="33">IFERROR(IF(OR(AM100="",AJ100=""),"",$AM100-$AJ100),"")</f>
        <v/>
      </c>
      <c r="AO100" s="164"/>
    </row>
    <row r="101" spans="1:41" x14ac:dyDescent="0.35">
      <c r="A101" s="133" cm="1">
        <f t="array" ref="A101">ROW(101:101)-3</f>
        <v>98</v>
      </c>
      <c r="B101" s="133">
        <v>53000257</v>
      </c>
      <c r="C101" s="133">
        <v>0</v>
      </c>
      <c r="D101" s="133" t="str">
        <f t="shared" si="30"/>
        <v>53000257-0</v>
      </c>
      <c r="E101" s="133" t="s">
        <v>245</v>
      </c>
      <c r="F101" s="164">
        <v>46063</v>
      </c>
      <c r="G101" s="134" t="str">
        <f t="shared" si="29"/>
        <v>Yes</v>
      </c>
      <c r="H101" s="135">
        <f>SUMIFS('Order Details'!$R:$R,'Order Details'!$A:$A,'Order Summary'!$B101,'Order Details'!$B:$B,'Order Summary'!$C101,'Order Details'!$E:$E,"Yes")</f>
        <v>14</v>
      </c>
      <c r="I101" s="133" t="s">
        <v>280</v>
      </c>
      <c r="J101" s="133" t="str">
        <f>VLOOKUP($I101,'Master Data'!$L$5:$M$15,2,FALSE)</f>
        <v>Oakland</v>
      </c>
      <c r="K101" s="137">
        <f>SUMIFS('Order Details'!$U:$U,'Order Details'!$A:$A,'Order Summary'!$B101,'Order Details'!$B:$B,'Order Summary'!$C101,'Order Details'!$E:$E,"Yes")</f>
        <v>65856.240000000005</v>
      </c>
      <c r="L101" s="138">
        <f>SUMIFS('Order Details'!$P:$P,'Order Details'!$A:$A,'Order Summary'!$B101,'Order Details'!$B:$B,'Order Summary'!$C101,'Order Details'!$E:$E,"Yes")</f>
        <v>8505.84</v>
      </c>
      <c r="M101" s="133" t="s">
        <v>281</v>
      </c>
      <c r="N101" s="164">
        <v>46066</v>
      </c>
      <c r="O101" s="171">
        <f t="shared" si="28"/>
        <v>3</v>
      </c>
      <c r="P101" s="174">
        <f>ROUND(SUMIFS('Order Details'!$V:$V,'Order Details'!$A:$A,'Order Summary'!$B101,'Order Details'!$B:$B,'Order Summary'!$C101,'Order Details'!$E:$E,"Yes"),2)</f>
        <v>65750.14</v>
      </c>
      <c r="Q101" s="164">
        <v>46078</v>
      </c>
      <c r="R101" s="171">
        <f t="shared" si="31"/>
        <v>12</v>
      </c>
      <c r="S101" s="137">
        <v>32024.49</v>
      </c>
      <c r="T101" s="165">
        <f>IF(Q101="","",Q101+_xlfn.MAXIFS('Order Details'!$W:$W,'Order Details'!$A:$A,'Order Summary'!$B101,'Order Details'!$B:$B,'Order Summary'!$C101,'Order Details'!$E:$E,"Yes"))</f>
        <v>46123</v>
      </c>
      <c r="U101" s="164">
        <f>IF(T101="","",T101+VLOOKUP($J101,'Master Data'!$F$6:$G$9,2,FALSE))</f>
        <v>46189</v>
      </c>
      <c r="V101" s="133"/>
      <c r="W101" s="133"/>
      <c r="X101" s="133"/>
      <c r="Y101" s="133"/>
      <c r="Z101" s="309" t="str">
        <f>IF($Y101="","",IF(VLOOKUP($Y101,'Master Data'!$F$12:$I$17,2,FALSE)="","",VLOOKUP($Y101,'Master Data'!$F$12:$I$17,2,FALSE)))</f>
        <v/>
      </c>
      <c r="AA101" s="164"/>
      <c r="AB101" s="171" t="str">
        <f t="shared" si="26"/>
        <v/>
      </c>
      <c r="AC101" s="133"/>
      <c r="AD101" s="164"/>
      <c r="AE101" s="164"/>
      <c r="AF101" s="137"/>
      <c r="AG101" s="137"/>
      <c r="AH101" s="137">
        <f t="shared" si="27"/>
        <v>65750.14</v>
      </c>
      <c r="AI101" s="137">
        <f t="shared" si="32"/>
        <v>33725.649999999994</v>
      </c>
      <c r="AJ101" s="164"/>
      <c r="AK101" s="171" t="str">
        <f t="shared" si="25"/>
        <v/>
      </c>
      <c r="AL101" s="137"/>
      <c r="AM101" s="164"/>
      <c r="AN101" s="244" t="str">
        <f t="shared" si="33"/>
        <v/>
      </c>
      <c r="AO101" s="164"/>
    </row>
    <row r="102" spans="1:41" x14ac:dyDescent="0.35">
      <c r="A102" s="133" cm="1">
        <f t="array" ref="A102">ROW(102:102)-3</f>
        <v>99</v>
      </c>
      <c r="B102" s="133">
        <v>53000258</v>
      </c>
      <c r="C102" s="133">
        <v>0</v>
      </c>
      <c r="D102" s="133" t="str">
        <f t="shared" si="30"/>
        <v>53000258-0</v>
      </c>
      <c r="E102" s="133" t="s">
        <v>245</v>
      </c>
      <c r="F102" s="164">
        <v>46063</v>
      </c>
      <c r="G102" s="134" t="str">
        <f t="shared" si="29"/>
        <v>Yes</v>
      </c>
      <c r="H102" s="135">
        <f>SUMIFS('Order Details'!$R:$R,'Order Details'!$A:$A,'Order Summary'!$B102,'Order Details'!$B:$B,'Order Summary'!$C102,'Order Details'!$E:$E,"Yes")</f>
        <v>12</v>
      </c>
      <c r="I102" s="133" t="s">
        <v>280</v>
      </c>
      <c r="J102" s="133" t="str">
        <f>VLOOKUP($I102,'Master Data'!$L$5:$M$15,2,FALSE)</f>
        <v>Oakland</v>
      </c>
      <c r="K102" s="137">
        <f>SUMIFS('Order Details'!$U:$U,'Order Details'!$A:$A,'Order Summary'!$B102,'Order Details'!$B:$B,'Order Summary'!$C102,'Order Details'!$E:$E,"Yes")</f>
        <v>63504</v>
      </c>
      <c r="L102" s="138">
        <f>SUMIFS('Order Details'!$P:$P,'Order Details'!$A:$A,'Order Summary'!$B102,'Order Details'!$B:$B,'Order Summary'!$C102,'Order Details'!$E:$E,"Yes")</f>
        <v>8202.0600000000013</v>
      </c>
      <c r="M102" s="133" t="s">
        <v>282</v>
      </c>
      <c r="N102" s="164">
        <v>46066</v>
      </c>
      <c r="O102" s="171">
        <f t="shared" si="28"/>
        <v>3</v>
      </c>
      <c r="P102" s="174">
        <f>ROUND(SUMIFS('Order Details'!$V:$V,'Order Details'!$A:$A,'Order Summary'!$B102,'Order Details'!$B:$B,'Order Summary'!$C102,'Order Details'!$E:$E,"Yes"),2)</f>
        <v>63401.919999999998</v>
      </c>
      <c r="Q102" s="164">
        <v>46078</v>
      </c>
      <c r="R102" s="171">
        <f t="shared" si="31"/>
        <v>12</v>
      </c>
      <c r="S102" s="137">
        <v>30880.75</v>
      </c>
      <c r="T102" s="165">
        <f>IF(Q102="","",Q102+_xlfn.MAXIFS('Order Details'!$W:$W,'Order Details'!$A:$A,'Order Summary'!$B102,'Order Details'!$B:$B,'Order Summary'!$C102,'Order Details'!$E:$E,"Yes"))</f>
        <v>46123</v>
      </c>
      <c r="U102" s="164">
        <f>IF(T102="","",T102+VLOOKUP($J102,'Master Data'!$F$6:$G$9,2,FALSE))</f>
        <v>46189</v>
      </c>
      <c r="V102" s="133"/>
      <c r="W102" s="133"/>
      <c r="X102" s="133"/>
      <c r="Y102" s="133"/>
      <c r="Z102" s="309" t="str">
        <f>IF($Y102="","",IF(VLOOKUP($Y102,'Master Data'!$F$12:$I$17,2,FALSE)="","",VLOOKUP($Y102,'Master Data'!$F$12:$I$17,2,FALSE)))</f>
        <v/>
      </c>
      <c r="AA102" s="164"/>
      <c r="AB102" s="171" t="str">
        <f t="shared" si="26"/>
        <v/>
      </c>
      <c r="AC102" s="133"/>
      <c r="AD102" s="164"/>
      <c r="AE102" s="164"/>
      <c r="AF102" s="137"/>
      <c r="AG102" s="137"/>
      <c r="AH102" s="137">
        <f t="shared" si="27"/>
        <v>63401.919999999998</v>
      </c>
      <c r="AI102" s="137">
        <f t="shared" si="32"/>
        <v>32521.17</v>
      </c>
      <c r="AJ102" s="164"/>
      <c r="AK102" s="171" t="str">
        <f t="shared" ref="AK102:AK133" si="34">IF(AJ102="","",$AJ102-$AD102)</f>
        <v/>
      </c>
      <c r="AL102" s="137"/>
      <c r="AM102" s="164"/>
      <c r="AN102" s="244" t="str">
        <f t="shared" si="33"/>
        <v/>
      </c>
      <c r="AO102" s="164"/>
    </row>
    <row r="103" spans="1:41" x14ac:dyDescent="0.35">
      <c r="A103" s="133" cm="1">
        <f t="array" ref="A103">ROW(103:103)-3</f>
        <v>100</v>
      </c>
      <c r="B103" s="133">
        <v>53000259</v>
      </c>
      <c r="C103" s="133">
        <v>0</v>
      </c>
      <c r="D103" s="133" t="str">
        <f t="shared" si="30"/>
        <v>53000259-0</v>
      </c>
      <c r="E103" s="133" t="s">
        <v>245</v>
      </c>
      <c r="F103" s="164">
        <v>46063</v>
      </c>
      <c r="G103" s="134" t="str">
        <f t="shared" si="29"/>
        <v>Yes</v>
      </c>
      <c r="H103" s="135">
        <f>SUMIFS('Order Details'!$R:$R,'Order Details'!$A:$A,'Order Summary'!$B103,'Order Details'!$B:$B,'Order Summary'!$C103,'Order Details'!$E:$E,"Yes")</f>
        <v>14</v>
      </c>
      <c r="I103" s="133" t="s">
        <v>280</v>
      </c>
      <c r="J103" s="133" t="str">
        <f>VLOOKUP($I103,'Master Data'!$L$5:$M$15,2,FALSE)</f>
        <v>Oakland</v>
      </c>
      <c r="K103" s="137">
        <f>SUMIFS('Order Details'!$U:$U,'Order Details'!$A:$A,'Order Summary'!$B103,'Order Details'!$B:$B,'Order Summary'!$C103,'Order Details'!$E:$E,"Yes")</f>
        <v>62082.720000000001</v>
      </c>
      <c r="L103" s="138">
        <f>SUMIFS('Order Details'!$P:$P,'Order Details'!$A:$A,'Order Summary'!$B103,'Order Details'!$B:$B,'Order Summary'!$C103,'Order Details'!$E:$E,"Yes")</f>
        <v>8017.8</v>
      </c>
      <c r="M103" s="133" t="s">
        <v>283</v>
      </c>
      <c r="N103" s="164">
        <v>46066</v>
      </c>
      <c r="O103" s="171">
        <f t="shared" si="28"/>
        <v>3</v>
      </c>
      <c r="P103" s="174">
        <f>ROUND(SUMIFS('Order Details'!$V:$V,'Order Details'!$A:$A,'Order Summary'!$B103,'Order Details'!$B:$B,'Order Summary'!$C103,'Order Details'!$E:$E,"Yes"),2)</f>
        <v>61977.59</v>
      </c>
      <c r="Q103" s="164">
        <v>46078</v>
      </c>
      <c r="R103" s="171">
        <f t="shared" si="31"/>
        <v>12</v>
      </c>
      <c r="S103" s="137">
        <v>30187.01</v>
      </c>
      <c r="T103" s="165">
        <f>IF(Q103="","",Q103+_xlfn.MAXIFS('Order Details'!$W:$W,'Order Details'!$A:$A,'Order Summary'!$B103,'Order Details'!$B:$B,'Order Summary'!$C103,'Order Details'!$E:$E,"Yes"))</f>
        <v>46123</v>
      </c>
      <c r="U103" s="164">
        <f>IF(T103="","",T103+VLOOKUP($J103,'Master Data'!$F$6:$G$9,2,FALSE))</f>
        <v>46189</v>
      </c>
      <c r="V103" s="133"/>
      <c r="W103" s="133"/>
      <c r="X103" s="133"/>
      <c r="Y103" s="133"/>
      <c r="Z103" s="309" t="str">
        <f>IF($Y103="","",IF(VLOOKUP($Y103,'Master Data'!$F$12:$I$17,2,FALSE)="","",VLOOKUP($Y103,'Master Data'!$F$12:$I$17,2,FALSE)))</f>
        <v/>
      </c>
      <c r="AA103" s="164"/>
      <c r="AB103" s="171" t="str">
        <f t="shared" si="26"/>
        <v/>
      </c>
      <c r="AC103" s="133"/>
      <c r="AD103" s="164"/>
      <c r="AE103" s="164"/>
      <c r="AF103" s="137"/>
      <c r="AG103" s="137"/>
      <c r="AH103" s="137">
        <f t="shared" si="27"/>
        <v>61977.59</v>
      </c>
      <c r="AI103" s="137">
        <f t="shared" si="32"/>
        <v>31790.579999999998</v>
      </c>
      <c r="AJ103" s="164"/>
      <c r="AK103" s="171" t="str">
        <f t="shared" si="34"/>
        <v/>
      </c>
      <c r="AL103" s="137"/>
      <c r="AM103" s="164"/>
      <c r="AN103" s="244" t="str">
        <f t="shared" si="33"/>
        <v/>
      </c>
      <c r="AO103" s="164"/>
    </row>
    <row r="104" spans="1:41" x14ac:dyDescent="0.35">
      <c r="A104" s="133" cm="1">
        <f t="array" ref="A104">ROW(104:104)-3</f>
        <v>101</v>
      </c>
      <c r="B104" s="133">
        <v>53000260</v>
      </c>
      <c r="C104" s="133">
        <v>0</v>
      </c>
      <c r="D104" s="133" t="str">
        <f t="shared" si="30"/>
        <v>53000260-0</v>
      </c>
      <c r="E104" s="133" t="s">
        <v>245</v>
      </c>
      <c r="F104" s="164">
        <v>46063</v>
      </c>
      <c r="G104" s="134" t="str">
        <f t="shared" si="29"/>
        <v>Yes</v>
      </c>
      <c r="H104" s="135">
        <f>SUMIFS('Order Details'!$R:$R,'Order Details'!$A:$A,'Order Summary'!$B104,'Order Details'!$B:$B,'Order Summary'!$C104,'Order Details'!$E:$E,"Yes")</f>
        <v>13</v>
      </c>
      <c r="I104" s="133" t="s">
        <v>280</v>
      </c>
      <c r="J104" s="133" t="str">
        <f>VLOOKUP($I104,'Master Data'!$L$5:$M$15,2,FALSE)</f>
        <v>Oakland</v>
      </c>
      <c r="K104" s="137">
        <f>SUMIFS('Order Details'!$U:$U,'Order Details'!$A:$A,'Order Summary'!$B104,'Order Details'!$B:$B,'Order Summary'!$C104,'Order Details'!$E:$E,"Yes")</f>
        <v>61249.679999999993</v>
      </c>
      <c r="L104" s="138">
        <f>SUMIFS('Order Details'!$P:$P,'Order Details'!$A:$A,'Order Summary'!$B104,'Order Details'!$B:$B,'Order Summary'!$C104,'Order Details'!$E:$E,"Yes")</f>
        <v>7910.7300000000005</v>
      </c>
      <c r="M104" s="133" t="s">
        <v>284</v>
      </c>
      <c r="N104" s="164">
        <v>46066</v>
      </c>
      <c r="O104" s="171">
        <f t="shared" si="28"/>
        <v>3</v>
      </c>
      <c r="P104" s="174">
        <f>ROUND(SUMIFS('Order Details'!$V:$V,'Order Details'!$A:$A,'Order Summary'!$B104,'Order Details'!$B:$B,'Order Summary'!$C104,'Order Details'!$E:$E,"Yes"),2)</f>
        <v>61149.94</v>
      </c>
      <c r="Q104" s="164">
        <v>46078</v>
      </c>
      <c r="R104" s="171">
        <f t="shared" si="31"/>
        <v>12</v>
      </c>
      <c r="S104" s="137">
        <v>29783.9</v>
      </c>
      <c r="T104" s="165">
        <f>IF(Q104="","",Q104+_xlfn.MAXIFS('Order Details'!$W:$W,'Order Details'!$A:$A,'Order Summary'!$B104,'Order Details'!$B:$B,'Order Summary'!$C104,'Order Details'!$E:$E,"Yes"))</f>
        <v>46168</v>
      </c>
      <c r="U104" s="164">
        <f>IF(T104="","",T104+VLOOKUP($J104,'Master Data'!$F$6:$G$9,2,FALSE))</f>
        <v>46234</v>
      </c>
      <c r="V104" s="133"/>
      <c r="W104" s="133"/>
      <c r="X104" s="133"/>
      <c r="Y104" s="133"/>
      <c r="Z104" s="309" t="str">
        <f>IF($Y104="","",IF(VLOOKUP($Y104,'Master Data'!$F$12:$I$17,2,FALSE)="","",VLOOKUP($Y104,'Master Data'!$F$12:$I$17,2,FALSE)))</f>
        <v/>
      </c>
      <c r="AA104" s="164"/>
      <c r="AB104" s="171" t="str">
        <f t="shared" si="26"/>
        <v/>
      </c>
      <c r="AC104" s="133"/>
      <c r="AD104" s="164"/>
      <c r="AE104" s="164"/>
      <c r="AF104" s="137"/>
      <c r="AG104" s="137"/>
      <c r="AH104" s="137">
        <f t="shared" si="27"/>
        <v>61149.94</v>
      </c>
      <c r="AI104" s="137">
        <f t="shared" si="32"/>
        <v>31366.04</v>
      </c>
      <c r="AJ104" s="164"/>
      <c r="AK104" s="171" t="str">
        <f t="shared" si="34"/>
        <v/>
      </c>
      <c r="AL104" s="137"/>
      <c r="AM104" s="164"/>
      <c r="AN104" s="244" t="str">
        <f t="shared" si="33"/>
        <v/>
      </c>
      <c r="AO104" s="164"/>
    </row>
    <row r="105" spans="1:41" x14ac:dyDescent="0.35">
      <c r="A105" s="133" cm="1">
        <f t="array" ref="A105">ROW(105:105)-3</f>
        <v>102</v>
      </c>
      <c r="B105" s="133">
        <v>53000261</v>
      </c>
      <c r="C105" s="133">
        <v>0</v>
      </c>
      <c r="D105" s="133" t="str">
        <f t="shared" si="30"/>
        <v>53000261-0</v>
      </c>
      <c r="E105" s="133" t="s">
        <v>128</v>
      </c>
      <c r="F105" s="164">
        <v>46063</v>
      </c>
      <c r="G105" s="134" t="str">
        <f t="shared" si="29"/>
        <v>Yes</v>
      </c>
      <c r="H105" s="135">
        <f>SUMIFS('Order Details'!$R:$R,'Order Details'!$A:$A,'Order Summary'!$B105,'Order Details'!$B:$B,'Order Summary'!$C105,'Order Details'!$E:$E,"Yes")</f>
        <v>13</v>
      </c>
      <c r="I105" s="133" t="s">
        <v>280</v>
      </c>
      <c r="J105" s="133" t="str">
        <f>VLOOKUP($I105,'Master Data'!$L$5:$M$15,2,FALSE)</f>
        <v>Oakland</v>
      </c>
      <c r="K105" s="137">
        <f>SUMIFS('Order Details'!$U:$U,'Order Details'!$A:$A,'Order Summary'!$B105,'Order Details'!$B:$B,'Order Summary'!$C105,'Order Details'!$E:$E,"Yes")</f>
        <v>65503.13</v>
      </c>
      <c r="L105" s="138">
        <f>SUMIFS('Order Details'!$P:$P,'Order Details'!$A:$A,'Order Summary'!$B105,'Order Details'!$B:$B,'Order Summary'!$C105,'Order Details'!$E:$E,"Yes")</f>
        <v>7910.7300000000005</v>
      </c>
      <c r="M105" s="133" t="s">
        <v>285</v>
      </c>
      <c r="N105" s="164">
        <v>46066</v>
      </c>
      <c r="O105" s="171">
        <f t="shared" si="28"/>
        <v>3</v>
      </c>
      <c r="P105" s="174">
        <f>ROUND(SUMIFS('Order Details'!$V:$V,'Order Details'!$A:$A,'Order Summary'!$B105,'Order Details'!$B:$B,'Order Summary'!$C105,'Order Details'!$E:$E,"Yes"),2)</f>
        <v>65421.74</v>
      </c>
      <c r="Q105" s="164">
        <v>46078</v>
      </c>
      <c r="R105" s="171">
        <f t="shared" si="31"/>
        <v>12</v>
      </c>
      <c r="S105" s="137">
        <v>31919.8</v>
      </c>
      <c r="T105" s="165">
        <f>IF(Q105="","",Q105+_xlfn.MAXIFS('Order Details'!$W:$W,'Order Details'!$A:$A,'Order Summary'!$B105,'Order Details'!$B:$B,'Order Summary'!$C105,'Order Details'!$E:$E,"Yes"))</f>
        <v>46123</v>
      </c>
      <c r="U105" s="164">
        <f>IF(T105="","",T105+VLOOKUP($J105,'Master Data'!$F$6:$G$9,2,FALSE))</f>
        <v>46189</v>
      </c>
      <c r="V105" s="133"/>
      <c r="W105" s="133"/>
      <c r="X105" s="133"/>
      <c r="Y105" s="133"/>
      <c r="Z105" s="309" t="str">
        <f>IF($Y105="","",IF(VLOOKUP($Y105,'Master Data'!$F$12:$I$17,2,FALSE)="","",VLOOKUP($Y105,'Master Data'!$F$12:$I$17,2,FALSE)))</f>
        <v/>
      </c>
      <c r="AA105" s="164"/>
      <c r="AB105" s="171" t="str">
        <f t="shared" si="26"/>
        <v/>
      </c>
      <c r="AC105" s="133" t="s">
        <v>591</v>
      </c>
      <c r="AD105" s="164">
        <v>46161</v>
      </c>
      <c r="AE105" s="164"/>
      <c r="AF105" s="137">
        <v>8200</v>
      </c>
      <c r="AG105" s="137">
        <v>1000</v>
      </c>
      <c r="AH105" s="137">
        <f t="shared" si="27"/>
        <v>74621.739999999991</v>
      </c>
      <c r="AI105" s="137">
        <f t="shared" si="32"/>
        <v>42701.939999999988</v>
      </c>
      <c r="AJ105" s="164"/>
      <c r="AK105" s="171" t="str">
        <f t="shared" si="34"/>
        <v/>
      </c>
      <c r="AL105" s="137"/>
      <c r="AM105" s="164"/>
      <c r="AN105" s="244" t="str">
        <f t="shared" si="33"/>
        <v/>
      </c>
      <c r="AO105" s="164"/>
    </row>
    <row r="106" spans="1:41" x14ac:dyDescent="0.35">
      <c r="A106" s="133" cm="1">
        <f t="array" ref="A106">ROW(106:106)-3</f>
        <v>103</v>
      </c>
      <c r="B106" s="133">
        <v>53000262</v>
      </c>
      <c r="C106" s="133">
        <v>0</v>
      </c>
      <c r="D106" s="133" t="str">
        <f t="shared" si="30"/>
        <v>53000262-0</v>
      </c>
      <c r="E106" s="133" t="s">
        <v>215</v>
      </c>
      <c r="F106" s="164">
        <v>46063</v>
      </c>
      <c r="G106" s="134" t="str">
        <f t="shared" si="29"/>
        <v>Yes</v>
      </c>
      <c r="H106" s="135">
        <f>SUMIFS('Order Details'!$R:$R,'Order Details'!$A:$A,'Order Summary'!$B106,'Order Details'!$B:$B,'Order Summary'!$C106,'Order Details'!$E:$E,"Yes")</f>
        <v>13</v>
      </c>
      <c r="I106" s="133" t="s">
        <v>280</v>
      </c>
      <c r="J106" s="133" t="str">
        <f>VLOOKUP($I106,'Master Data'!$L$5:$M$15,2,FALSE)</f>
        <v>Oakland</v>
      </c>
      <c r="K106" s="137">
        <f>SUMIFS('Order Details'!$U:$U,'Order Details'!$A:$A,'Order Summary'!$B106,'Order Details'!$B:$B,'Order Summary'!$C106,'Order Details'!$E:$E,"Yes")</f>
        <v>61249.679999999993</v>
      </c>
      <c r="L106" s="138">
        <f>SUMIFS('Order Details'!$P:$P,'Order Details'!$A:$A,'Order Summary'!$B106,'Order Details'!$B:$B,'Order Summary'!$C106,'Order Details'!$E:$E,"Yes")</f>
        <v>7910.7300000000005</v>
      </c>
      <c r="M106" s="133" t="s">
        <v>286</v>
      </c>
      <c r="N106" s="164">
        <v>46066</v>
      </c>
      <c r="O106" s="171">
        <f t="shared" si="28"/>
        <v>3</v>
      </c>
      <c r="P106" s="174">
        <f>ROUND(SUMIFS('Order Details'!$V:$V,'Order Details'!$A:$A,'Order Summary'!$B106,'Order Details'!$B:$B,'Order Summary'!$C106,'Order Details'!$E:$E,"Yes"),2)</f>
        <v>61149.94</v>
      </c>
      <c r="Q106" s="164">
        <v>46078</v>
      </c>
      <c r="R106" s="171">
        <f t="shared" si="31"/>
        <v>12</v>
      </c>
      <c r="S106" s="137">
        <v>29783.9</v>
      </c>
      <c r="T106" s="165">
        <f>IF(Q106="","",Q106+_xlfn.MAXIFS('Order Details'!$W:$W,'Order Details'!$A:$A,'Order Summary'!$B106,'Order Details'!$B:$B,'Order Summary'!$C106,'Order Details'!$E:$E,"Yes"))</f>
        <v>46123</v>
      </c>
      <c r="U106" s="164">
        <f>IF(T106="","",T106+VLOOKUP($J106,'Master Data'!$F$6:$G$9,2,FALSE))</f>
        <v>46189</v>
      </c>
      <c r="V106" s="133"/>
      <c r="W106" s="133"/>
      <c r="X106" s="133"/>
      <c r="Y106" s="133"/>
      <c r="Z106" s="309" t="str">
        <f>IF($Y106="","",IF(VLOOKUP($Y106,'Master Data'!$F$12:$I$17,2,FALSE)="","",VLOOKUP($Y106,'Master Data'!$F$12:$I$17,2,FALSE)))</f>
        <v/>
      </c>
      <c r="AA106" s="164"/>
      <c r="AB106" s="171" t="str">
        <f t="shared" si="26"/>
        <v/>
      </c>
      <c r="AC106" s="133"/>
      <c r="AD106" s="164"/>
      <c r="AE106" s="164"/>
      <c r="AF106" s="137"/>
      <c r="AG106" s="137"/>
      <c r="AH106" s="137">
        <f t="shared" si="27"/>
        <v>61149.94</v>
      </c>
      <c r="AI106" s="137">
        <f t="shared" si="32"/>
        <v>31366.04</v>
      </c>
      <c r="AJ106" s="164"/>
      <c r="AK106" s="171" t="str">
        <f t="shared" si="34"/>
        <v/>
      </c>
      <c r="AL106" s="137"/>
      <c r="AM106" s="164"/>
      <c r="AN106" s="244" t="str">
        <f t="shared" si="33"/>
        <v/>
      </c>
      <c r="AO106" s="164"/>
    </row>
    <row r="107" spans="1:41" x14ac:dyDescent="0.35">
      <c r="A107" s="133" cm="1">
        <f t="array" ref="A107">ROW(107:107)-3</f>
        <v>104</v>
      </c>
      <c r="B107" s="311">
        <v>24190749</v>
      </c>
      <c r="C107" s="133">
        <v>0</v>
      </c>
      <c r="D107" s="133" t="str">
        <f t="shared" si="30"/>
        <v>24190749-0</v>
      </c>
      <c r="E107" s="133" t="s">
        <v>215</v>
      </c>
      <c r="F107" s="164">
        <v>46063</v>
      </c>
      <c r="G107" s="134" t="str">
        <f t="shared" si="29"/>
        <v>Yes</v>
      </c>
      <c r="H107" s="135">
        <f>SUMIFS('Order Details'!$R:$R,'Order Details'!$A:$A,'Order Summary'!$B107,'Order Details'!$B:$B,'Order Summary'!$C107,'Order Details'!$E:$E,"Yes")</f>
        <v>13</v>
      </c>
      <c r="I107" s="133" t="s">
        <v>116</v>
      </c>
      <c r="J107" s="133" t="str">
        <f>VLOOKUP($I107,'Master Data'!$L$5:$M$15,2,FALSE)</f>
        <v>Savannah</v>
      </c>
      <c r="K107" s="137">
        <f>SUMIFS('Order Details'!$U:$U,'Order Details'!$A:$A,'Order Summary'!$B107,'Order Details'!$B:$B,'Order Summary'!$C107,'Order Details'!$E:$E,"Yes")</f>
        <v>58097.289999999994</v>
      </c>
      <c r="L107" s="138">
        <f>SUMIFS('Order Details'!$P:$P,'Order Details'!$A:$A,'Order Summary'!$B107,'Order Details'!$B:$B,'Order Summary'!$C107,'Order Details'!$E:$E,"Yes")</f>
        <v>7461.2850000000008</v>
      </c>
      <c r="M107" s="133" t="s">
        <v>287</v>
      </c>
      <c r="N107" s="164">
        <v>46066</v>
      </c>
      <c r="O107" s="171">
        <f t="shared" si="28"/>
        <v>3</v>
      </c>
      <c r="P107" s="174">
        <f>ROUND(SUMIFS('Order Details'!$V:$V,'Order Details'!$A:$A,'Order Summary'!$B107,'Order Details'!$B:$B,'Order Summary'!$C107,'Order Details'!$E:$E,"Yes"),2)</f>
        <v>58003.82</v>
      </c>
      <c r="Q107" s="164">
        <v>46135</v>
      </c>
      <c r="R107" s="171">
        <f t="shared" si="31"/>
        <v>69</v>
      </c>
      <c r="S107" s="137">
        <v>28255.75</v>
      </c>
      <c r="T107" s="165">
        <f>IF(Q107="","",Q107+_xlfn.MAXIFS('Order Details'!$W:$W,'Order Details'!$A:$A,'Order Summary'!$B107,'Order Details'!$B:$B,'Order Summary'!$C107,'Order Details'!$E:$E,"Yes"))</f>
        <v>46180</v>
      </c>
      <c r="U107" s="164">
        <f>IF(T107="","",T107+VLOOKUP($J107,'Master Data'!$F$6:$G$9,2,FALSE))</f>
        <v>46226</v>
      </c>
      <c r="V107" s="133"/>
      <c r="W107" s="133"/>
      <c r="X107" s="133"/>
      <c r="Y107" s="133"/>
      <c r="Z107" s="309" t="str">
        <f>IF($Y107="","",IF(VLOOKUP($Y107,'Master Data'!$F$12:$I$17,2,FALSE)="","",VLOOKUP($Y107,'Master Data'!$F$12:$I$17,2,FALSE)))</f>
        <v/>
      </c>
      <c r="AA107" s="164"/>
      <c r="AB107" s="171" t="str">
        <f t="shared" si="26"/>
        <v/>
      </c>
      <c r="AC107" s="133"/>
      <c r="AD107" s="164"/>
      <c r="AE107" s="164"/>
      <c r="AF107" s="137"/>
      <c r="AG107" s="137"/>
      <c r="AH107" s="137">
        <f t="shared" si="27"/>
        <v>58003.82</v>
      </c>
      <c r="AI107" s="137">
        <f t="shared" si="32"/>
        <v>29748.07</v>
      </c>
      <c r="AJ107" s="164"/>
      <c r="AK107" s="171" t="str">
        <f t="shared" si="34"/>
        <v/>
      </c>
      <c r="AL107" s="137"/>
      <c r="AM107" s="164"/>
      <c r="AN107" s="244" t="str">
        <f t="shared" si="33"/>
        <v/>
      </c>
      <c r="AO107" s="164"/>
    </row>
    <row r="108" spans="1:41" x14ac:dyDescent="0.35">
      <c r="A108" s="133" cm="1">
        <f t="array" ref="A108">ROW(108:108)-3</f>
        <v>105</v>
      </c>
      <c r="B108" s="301">
        <v>24190757</v>
      </c>
      <c r="C108" s="133">
        <v>0</v>
      </c>
      <c r="D108" s="133" t="str">
        <f t="shared" si="30"/>
        <v>24190757-0</v>
      </c>
      <c r="E108" s="133" t="s">
        <v>196</v>
      </c>
      <c r="F108" s="164">
        <v>46063</v>
      </c>
      <c r="G108" s="134" t="str">
        <f t="shared" si="29"/>
        <v>No</v>
      </c>
      <c r="H108" s="135">
        <f>SUMIFS('Order Details'!$R:$R,'Order Details'!$A:$A,'Order Summary'!$B108,'Order Details'!$B:$B,'Order Summary'!$C108,'Order Details'!$E:$E,"Yes")</f>
        <v>0</v>
      </c>
      <c r="I108" s="133" t="s">
        <v>116</v>
      </c>
      <c r="J108" s="133" t="s">
        <v>288</v>
      </c>
      <c r="K108" s="137">
        <f>SUMIFS('Order Details'!$U:$U,'Order Details'!$A:$A,'Order Summary'!$B108,'Order Details'!$B:$B,'Order Summary'!$C108,'Order Details'!$E:$E,"Yes")</f>
        <v>0</v>
      </c>
      <c r="L108" s="138">
        <f>SUMIFS('Order Details'!$P:$P,'Order Details'!$A:$A,'Order Summary'!$B108,'Order Details'!$B:$B,'Order Summary'!$C108,'Order Details'!$E:$E,"Yes")</f>
        <v>0</v>
      </c>
      <c r="M108" s="133" t="s">
        <v>289</v>
      </c>
      <c r="N108" s="164">
        <v>46066</v>
      </c>
      <c r="O108" s="171">
        <f t="shared" si="28"/>
        <v>3</v>
      </c>
      <c r="P108" s="174">
        <f>ROUND(SUMIFS('Order Details'!$V:$V,'Order Details'!$A:$A,'Order Summary'!$B108,'Order Details'!$B:$B,'Order Summary'!$C108,'Order Details'!$E:$E,"Yes"),2)</f>
        <v>0</v>
      </c>
      <c r="Q108" s="164">
        <v>46135</v>
      </c>
      <c r="R108" s="171">
        <f t="shared" si="31"/>
        <v>69</v>
      </c>
      <c r="S108" s="137">
        <v>28091.74</v>
      </c>
      <c r="T108" s="165">
        <f>IF(Q108="","",Q108+_xlfn.MAXIFS('Order Details'!$W:$W,'Order Details'!$A:$A,'Order Summary'!$B108,'Order Details'!$B:$B,'Order Summary'!$C108,'Order Details'!$E:$E,"Yes"))</f>
        <v>46135</v>
      </c>
      <c r="U108" s="164">
        <f>IF(T108="","",T108+VLOOKUP($J108,'Master Data'!$F$6:$G$9,2,FALSE))</f>
        <v>46181</v>
      </c>
      <c r="V108" s="133"/>
      <c r="W108" s="133"/>
      <c r="X108" s="133"/>
      <c r="Y108" s="133"/>
      <c r="Z108" s="309" t="str">
        <f>IF($Y108="","",IF(VLOOKUP($Y108,'Master Data'!$F$12:$I$17,2,FALSE)="","",VLOOKUP($Y108,'Master Data'!$F$12:$I$17,2,FALSE)))</f>
        <v/>
      </c>
      <c r="AA108" s="164"/>
      <c r="AB108" s="171" t="str">
        <f t="shared" si="26"/>
        <v/>
      </c>
      <c r="AC108" s="133"/>
      <c r="AD108" s="164"/>
      <c r="AE108" s="164"/>
      <c r="AF108" s="137"/>
      <c r="AG108" s="137"/>
      <c r="AH108" s="137">
        <f t="shared" si="27"/>
        <v>0</v>
      </c>
      <c r="AI108" s="137">
        <f t="shared" si="32"/>
        <v>-28091.74</v>
      </c>
      <c r="AJ108" s="164"/>
      <c r="AK108" s="171" t="str">
        <f t="shared" si="34"/>
        <v/>
      </c>
      <c r="AL108" s="137"/>
      <c r="AM108" s="164"/>
      <c r="AN108" s="244" t="str">
        <f t="shared" si="33"/>
        <v/>
      </c>
      <c r="AO108" s="164"/>
    </row>
    <row r="109" spans="1:41" x14ac:dyDescent="0.35">
      <c r="A109" s="133" cm="1">
        <f t="array" ref="A109">ROW(109:109)-3</f>
        <v>106</v>
      </c>
      <c r="B109" s="301">
        <v>24190763</v>
      </c>
      <c r="C109" s="133">
        <v>0</v>
      </c>
      <c r="D109" s="133" t="str">
        <f t="shared" si="30"/>
        <v>24190763-0</v>
      </c>
      <c r="E109" s="133" t="s">
        <v>215</v>
      </c>
      <c r="F109" s="164">
        <v>46063</v>
      </c>
      <c r="G109" s="134" t="str">
        <f t="shared" si="29"/>
        <v>Yes</v>
      </c>
      <c r="H109" s="135">
        <f>SUMIFS('Order Details'!$R:$R,'Order Details'!$A:$A,'Order Summary'!$B109,'Order Details'!$B:$B,'Order Summary'!$C109,'Order Details'!$E:$E,"Yes")</f>
        <v>13</v>
      </c>
      <c r="I109" s="133" t="s">
        <v>116</v>
      </c>
      <c r="J109" s="133" t="s">
        <v>288</v>
      </c>
      <c r="K109" s="137">
        <f>SUMIFS('Order Details'!$U:$U,'Order Details'!$A:$A,'Order Summary'!$B109,'Order Details'!$B:$B,'Order Summary'!$C109,'Order Details'!$E:$E,"Yes")</f>
        <v>59042.500000000007</v>
      </c>
      <c r="L109" s="138">
        <f>SUMIFS('Order Details'!$P:$P,'Order Details'!$A:$A,'Order Summary'!$B109,'Order Details'!$B:$B,'Order Summary'!$C109,'Order Details'!$E:$E,"Yes")</f>
        <v>7350.4800000000005</v>
      </c>
      <c r="M109" s="133" t="s">
        <v>290</v>
      </c>
      <c r="N109" s="164">
        <v>46066</v>
      </c>
      <c r="O109" s="171">
        <f t="shared" si="28"/>
        <v>3</v>
      </c>
      <c r="P109" s="174">
        <f>ROUND(SUMIFS('Order Details'!$V:$V,'Order Details'!$A:$A,'Order Summary'!$B109,'Order Details'!$B:$B,'Order Summary'!$C109,'Order Details'!$E:$E,"Yes"),2)</f>
        <v>58958.47</v>
      </c>
      <c r="Q109" s="164">
        <v>46135</v>
      </c>
      <c r="R109" s="171">
        <f t="shared" si="31"/>
        <v>69</v>
      </c>
      <c r="S109" s="137">
        <v>28744.18</v>
      </c>
      <c r="T109" s="165">
        <f>IF(Q109="","",Q109+_xlfn.MAXIFS('Order Details'!$W:$W,'Order Details'!$A:$A,'Order Summary'!$B109,'Order Details'!$B:$B,'Order Summary'!$C109,'Order Details'!$E:$E,"Yes"))</f>
        <v>46225</v>
      </c>
      <c r="U109" s="164">
        <f>IF(T109="","",T109+VLOOKUP($J109,'Master Data'!$F$6:$G$9,2,FALSE))</f>
        <v>46271</v>
      </c>
      <c r="V109" s="133"/>
      <c r="W109" s="133"/>
      <c r="X109" s="133"/>
      <c r="Y109" s="133"/>
      <c r="Z109" s="309" t="str">
        <f>IF($Y109="","",IF(VLOOKUP($Y109,'Master Data'!$F$12:$I$17,2,FALSE)="","",VLOOKUP($Y109,'Master Data'!$F$12:$I$17,2,FALSE)))</f>
        <v/>
      </c>
      <c r="AA109" s="164"/>
      <c r="AB109" s="171" t="str">
        <f t="shared" si="26"/>
        <v/>
      </c>
      <c r="AC109" s="133"/>
      <c r="AD109" s="164"/>
      <c r="AE109" s="164"/>
      <c r="AF109" s="137"/>
      <c r="AG109" s="137"/>
      <c r="AH109" s="137">
        <f t="shared" si="27"/>
        <v>58958.47</v>
      </c>
      <c r="AI109" s="137">
        <f t="shared" si="32"/>
        <v>30214.29</v>
      </c>
      <c r="AJ109" s="164"/>
      <c r="AK109" s="171" t="str">
        <f t="shared" si="34"/>
        <v/>
      </c>
      <c r="AL109" s="137"/>
      <c r="AM109" s="164"/>
      <c r="AN109" s="244" t="str">
        <f t="shared" si="33"/>
        <v/>
      </c>
      <c r="AO109" s="164"/>
    </row>
    <row r="110" spans="1:41" x14ac:dyDescent="0.35">
      <c r="A110" s="133" cm="1">
        <f t="array" ref="A110">ROW(110:110)-3</f>
        <v>107</v>
      </c>
      <c r="B110" s="301">
        <v>52998960</v>
      </c>
      <c r="C110" s="133">
        <v>0</v>
      </c>
      <c r="D110" s="133" t="str">
        <f t="shared" si="30"/>
        <v>52998960-0</v>
      </c>
      <c r="E110" s="133" t="s">
        <v>215</v>
      </c>
      <c r="F110" s="164">
        <v>46063</v>
      </c>
      <c r="G110" s="134" t="str">
        <f t="shared" si="29"/>
        <v>Yes</v>
      </c>
      <c r="H110" s="135">
        <f>SUMIFS('Order Details'!$R:$R,'Order Details'!$A:$A,'Order Summary'!$B110,'Order Details'!$B:$B,'Order Summary'!$C110,'Order Details'!$E:$E,"Yes")</f>
        <v>14</v>
      </c>
      <c r="I110" s="133" t="s">
        <v>79</v>
      </c>
      <c r="J110" s="133" t="str">
        <f>VLOOKUP($I110,'Master Data'!$L$5:$M$15,2,FALSE)</f>
        <v>Oakland</v>
      </c>
      <c r="K110" s="137">
        <f>SUMIFS('Order Details'!$U:$U,'Order Details'!$A:$A,'Order Summary'!$B110,'Order Details'!$B:$B,'Order Summary'!$C110,'Order Details'!$E:$E,"Yes")</f>
        <v>72079.7</v>
      </c>
      <c r="L110" s="138">
        <f>SUMIFS('Order Details'!$P:$P,'Order Details'!$A:$A,'Order Summary'!$B110,'Order Details'!$B:$B,'Order Summary'!$C110,'Order Details'!$E:$E,"Yes")</f>
        <v>8705.0400000000009</v>
      </c>
      <c r="M110" s="133" t="s">
        <v>291</v>
      </c>
      <c r="N110" s="164">
        <v>46066</v>
      </c>
      <c r="O110" s="171">
        <f t="shared" si="28"/>
        <v>3</v>
      </c>
      <c r="P110" s="174">
        <f>ROUND(SUMIFS('Order Details'!$V:$V,'Order Details'!$A:$A,'Order Summary'!$B110,'Order Details'!$B:$B,'Order Summary'!$C110,'Order Details'!$E:$E,"Yes"),2)</f>
        <v>71990.679999999993</v>
      </c>
      <c r="Q110" s="164">
        <v>46135</v>
      </c>
      <c r="R110" s="171">
        <f t="shared" si="31"/>
        <v>69</v>
      </c>
      <c r="S110" s="137">
        <v>35124.83</v>
      </c>
      <c r="T110" s="165">
        <f>IF(Q110="","",Q110+_xlfn.MAXIFS('Order Details'!$W:$W,'Order Details'!$A:$A,'Order Summary'!$B110,'Order Details'!$B:$B,'Order Summary'!$C110,'Order Details'!$E:$E,"Yes"))</f>
        <v>46225</v>
      </c>
      <c r="U110" s="164">
        <f>IF(T110="","",T110+VLOOKUP($J110,'Master Data'!$F$6:$G$9,2,FALSE))</f>
        <v>46291</v>
      </c>
      <c r="V110" s="133"/>
      <c r="W110" s="133"/>
      <c r="X110" s="133"/>
      <c r="Y110" s="133"/>
      <c r="Z110" s="309" t="str">
        <f>IF($Y110="","",IF(VLOOKUP($Y110,'Master Data'!$F$12:$I$17,2,FALSE)="","",VLOOKUP($Y110,'Master Data'!$F$12:$I$17,2,FALSE)))</f>
        <v/>
      </c>
      <c r="AA110" s="164"/>
      <c r="AB110" s="171" t="str">
        <f t="shared" si="26"/>
        <v/>
      </c>
      <c r="AC110" s="133"/>
      <c r="AD110" s="164"/>
      <c r="AE110" s="164"/>
      <c r="AF110" s="137"/>
      <c r="AG110" s="137"/>
      <c r="AH110" s="137">
        <f t="shared" si="27"/>
        <v>71990.679999999993</v>
      </c>
      <c r="AI110" s="137">
        <f t="shared" si="32"/>
        <v>36865.849999999991</v>
      </c>
      <c r="AJ110" s="164"/>
      <c r="AK110" s="171" t="str">
        <f t="shared" si="34"/>
        <v/>
      </c>
      <c r="AL110" s="137"/>
      <c r="AM110" s="164"/>
      <c r="AN110" s="244" t="str">
        <f t="shared" si="33"/>
        <v/>
      </c>
      <c r="AO110" s="164"/>
    </row>
    <row r="111" spans="1:41" x14ac:dyDescent="0.35">
      <c r="A111" s="133" cm="1">
        <f t="array" ref="A111">ROW(111:111)-3</f>
        <v>108</v>
      </c>
      <c r="B111" s="301">
        <v>52999837</v>
      </c>
      <c r="C111" s="133">
        <v>0</v>
      </c>
      <c r="D111" s="133" t="str">
        <f t="shared" si="30"/>
        <v>52999837-0</v>
      </c>
      <c r="E111" s="133" t="s">
        <v>215</v>
      </c>
      <c r="F111" s="164">
        <v>46063</v>
      </c>
      <c r="G111" s="134" t="str">
        <f t="shared" si="29"/>
        <v>Yes</v>
      </c>
      <c r="H111" s="135">
        <f>SUMIFS('Order Details'!$R:$R,'Order Details'!$A:$A,'Order Summary'!$B111,'Order Details'!$B:$B,'Order Summary'!$C111,'Order Details'!$E:$E,"Yes")</f>
        <v>13</v>
      </c>
      <c r="I111" s="133" t="s">
        <v>79</v>
      </c>
      <c r="J111" s="133" t="str">
        <f>VLOOKUP($I111,'Master Data'!$L$5:$M$15,2,FALSE)</f>
        <v>Oakland</v>
      </c>
      <c r="K111" s="137">
        <f>SUMIFS('Order Details'!$U:$U,'Order Details'!$A:$A,'Order Summary'!$B111,'Order Details'!$B:$B,'Order Summary'!$C111,'Order Details'!$E:$E,"Yes")</f>
        <v>62107.199999999997</v>
      </c>
      <c r="L111" s="138">
        <f>SUMIFS('Order Details'!$P:$P,'Order Details'!$A:$A,'Order Summary'!$B111,'Order Details'!$B:$B,'Order Summary'!$C111,'Order Details'!$E:$E,"Yes")</f>
        <v>8021.5350000000008</v>
      </c>
      <c r="M111" s="133" t="s">
        <v>292</v>
      </c>
      <c r="N111" s="164">
        <v>46066</v>
      </c>
      <c r="O111" s="171">
        <f t="shared" si="28"/>
        <v>3</v>
      </c>
      <c r="P111" s="174">
        <f>ROUND(SUMIFS('Order Details'!$V:$V,'Order Details'!$A:$A,'Order Summary'!$B111,'Order Details'!$B:$B,'Order Summary'!$C111,'Order Details'!$E:$E,"Yes"),2)</f>
        <v>62006.47</v>
      </c>
      <c r="Q111" s="164">
        <v>46135</v>
      </c>
      <c r="R111" s="171">
        <f t="shared" si="31"/>
        <v>69</v>
      </c>
      <c r="S111" s="137">
        <v>30201.08</v>
      </c>
      <c r="T111" s="165">
        <f>IF(Q111="","",Q111+_xlfn.MAXIFS('Order Details'!$W:$W,'Order Details'!$A:$A,'Order Summary'!$B111,'Order Details'!$B:$B,'Order Summary'!$C111,'Order Details'!$E:$E,"Yes"))</f>
        <v>46180</v>
      </c>
      <c r="U111" s="164">
        <f>IF(T111="","",T111+VLOOKUP($J111,'Master Data'!$F$6:$G$9,2,FALSE))</f>
        <v>46246</v>
      </c>
      <c r="V111" s="133"/>
      <c r="W111" s="133"/>
      <c r="X111" s="133"/>
      <c r="Y111" s="133"/>
      <c r="Z111" s="309" t="str">
        <f>IF($Y111="","",IF(VLOOKUP($Y111,'Master Data'!$F$12:$I$17,2,FALSE)="","",VLOOKUP($Y111,'Master Data'!$F$12:$I$17,2,FALSE)))</f>
        <v/>
      </c>
      <c r="AA111" s="164"/>
      <c r="AB111" s="171" t="str">
        <f t="shared" si="26"/>
        <v/>
      </c>
      <c r="AC111" s="133"/>
      <c r="AD111" s="164"/>
      <c r="AE111" s="164"/>
      <c r="AF111" s="137"/>
      <c r="AG111" s="137"/>
      <c r="AH111" s="137">
        <f t="shared" si="27"/>
        <v>62006.47</v>
      </c>
      <c r="AI111" s="137">
        <f t="shared" si="32"/>
        <v>31805.39</v>
      </c>
      <c r="AJ111" s="164"/>
      <c r="AK111" s="171" t="str">
        <f t="shared" si="34"/>
        <v/>
      </c>
      <c r="AL111" s="137"/>
      <c r="AM111" s="164"/>
      <c r="AN111" s="244" t="str">
        <f t="shared" si="33"/>
        <v/>
      </c>
      <c r="AO111" s="164"/>
    </row>
    <row r="112" spans="1:41" x14ac:dyDescent="0.35">
      <c r="A112" s="133" cm="1">
        <f t="array" ref="A112">ROW(112:112)-3</f>
        <v>109</v>
      </c>
      <c r="B112" s="301">
        <v>52999845</v>
      </c>
      <c r="C112" s="133">
        <v>0</v>
      </c>
      <c r="D112" s="133" t="str">
        <f t="shared" si="30"/>
        <v>52999845-0</v>
      </c>
      <c r="E112" s="133" t="s">
        <v>215</v>
      </c>
      <c r="F112" s="164">
        <v>46063</v>
      </c>
      <c r="G112" s="134" t="str">
        <f t="shared" si="29"/>
        <v>Yes</v>
      </c>
      <c r="H112" s="135">
        <f>SUMIFS('Order Details'!$R:$R,'Order Details'!$A:$A,'Order Summary'!$B112,'Order Details'!$B:$B,'Order Summary'!$C112,'Order Details'!$E:$E,"Yes")</f>
        <v>13</v>
      </c>
      <c r="I112" s="133" t="s">
        <v>79</v>
      </c>
      <c r="J112" s="133" t="str">
        <f>VLOOKUP($I112,'Master Data'!$L$5:$M$15,2,FALSE)</f>
        <v>Oakland</v>
      </c>
      <c r="K112" s="137">
        <f>SUMIFS('Order Details'!$U:$U,'Order Details'!$A:$A,'Order Summary'!$B112,'Order Details'!$B:$B,'Order Summary'!$C112,'Order Details'!$E:$E,"Yes")</f>
        <v>62107.199999999997</v>
      </c>
      <c r="L112" s="138">
        <f>SUMIFS('Order Details'!$P:$P,'Order Details'!$A:$A,'Order Summary'!$B112,'Order Details'!$B:$B,'Order Summary'!$C112,'Order Details'!$E:$E,"Yes")</f>
        <v>8021.5350000000008</v>
      </c>
      <c r="M112" s="133" t="s">
        <v>293</v>
      </c>
      <c r="N112" s="164">
        <v>46066</v>
      </c>
      <c r="O112" s="171">
        <f t="shared" si="28"/>
        <v>3</v>
      </c>
      <c r="P112" s="174">
        <f>ROUND(SUMIFS('Order Details'!$V:$V,'Order Details'!$A:$A,'Order Summary'!$B112,'Order Details'!$B:$B,'Order Summary'!$C112,'Order Details'!$E:$E,"Yes"),2)</f>
        <v>62006.47</v>
      </c>
      <c r="Q112" s="164">
        <v>46135</v>
      </c>
      <c r="R112" s="171">
        <f t="shared" si="31"/>
        <v>69</v>
      </c>
      <c r="S112" s="137">
        <v>30201.08</v>
      </c>
      <c r="T112" s="165">
        <f>IF(Q112="","",Q112+_xlfn.MAXIFS('Order Details'!$W:$W,'Order Details'!$A:$A,'Order Summary'!$B112,'Order Details'!$B:$B,'Order Summary'!$C112,'Order Details'!$E:$E,"Yes"))</f>
        <v>46180</v>
      </c>
      <c r="U112" s="164">
        <f>IF(T112="","",T112+VLOOKUP($J112,'Master Data'!$F$6:$G$9,2,FALSE))</f>
        <v>46246</v>
      </c>
      <c r="V112" s="133"/>
      <c r="W112" s="133"/>
      <c r="X112" s="133"/>
      <c r="Y112" s="133"/>
      <c r="Z112" s="309" t="str">
        <f>IF($Y112="","",IF(VLOOKUP($Y112,'Master Data'!$F$12:$I$17,2,FALSE)="","",VLOOKUP($Y112,'Master Data'!$F$12:$I$17,2,FALSE)))</f>
        <v/>
      </c>
      <c r="AA112" s="164"/>
      <c r="AB112" s="171" t="str">
        <f t="shared" si="26"/>
        <v/>
      </c>
      <c r="AC112" s="133"/>
      <c r="AD112" s="164"/>
      <c r="AE112" s="164"/>
      <c r="AF112" s="137"/>
      <c r="AG112" s="137"/>
      <c r="AH112" s="137">
        <f t="shared" ref="AH112:AH143" si="35">P112+AF112+AG112</f>
        <v>62006.47</v>
      </c>
      <c r="AI112" s="137">
        <f t="shared" si="32"/>
        <v>31805.39</v>
      </c>
      <c r="AJ112" s="164"/>
      <c r="AK112" s="171" t="str">
        <f t="shared" si="34"/>
        <v/>
      </c>
      <c r="AL112" s="137"/>
      <c r="AM112" s="164"/>
      <c r="AN112" s="244" t="str">
        <f t="shared" si="33"/>
        <v/>
      </c>
      <c r="AO112" s="164"/>
    </row>
    <row r="113" spans="1:41" x14ac:dyDescent="0.35">
      <c r="A113" s="133" cm="1">
        <f t="array" ref="A113">ROW(113:113)-3</f>
        <v>110</v>
      </c>
      <c r="B113" s="301">
        <v>52999849</v>
      </c>
      <c r="C113" s="133">
        <v>0</v>
      </c>
      <c r="D113" s="133" t="str">
        <f t="shared" si="30"/>
        <v>52999849-0</v>
      </c>
      <c r="E113" s="133" t="s">
        <v>215</v>
      </c>
      <c r="F113" s="164">
        <v>46063</v>
      </c>
      <c r="G113" s="134" t="str">
        <f t="shared" si="29"/>
        <v>Yes</v>
      </c>
      <c r="H113" s="135">
        <f>SUMIFS('Order Details'!$R:$R,'Order Details'!$A:$A,'Order Summary'!$B113,'Order Details'!$B:$B,'Order Summary'!$C113,'Order Details'!$E:$E,"Yes")</f>
        <v>13</v>
      </c>
      <c r="I113" s="133" t="s">
        <v>79</v>
      </c>
      <c r="J113" s="133" t="str">
        <f>VLOOKUP($I113,'Master Data'!$L$5:$M$15,2,FALSE)</f>
        <v>Oakland</v>
      </c>
      <c r="K113" s="137">
        <f>SUMIFS('Order Details'!$U:$U,'Order Details'!$A:$A,'Order Summary'!$B113,'Order Details'!$B:$B,'Order Summary'!$C113,'Order Details'!$E:$E,"Yes")</f>
        <v>62107.199999999997</v>
      </c>
      <c r="L113" s="138">
        <f>SUMIFS('Order Details'!$P:$P,'Order Details'!$A:$A,'Order Summary'!$B113,'Order Details'!$B:$B,'Order Summary'!$C113,'Order Details'!$E:$E,"Yes")</f>
        <v>8021.5350000000008</v>
      </c>
      <c r="M113" s="133" t="s">
        <v>294</v>
      </c>
      <c r="N113" s="164">
        <v>46066</v>
      </c>
      <c r="O113" s="171">
        <f t="shared" si="28"/>
        <v>3</v>
      </c>
      <c r="P113" s="174">
        <f>ROUND(SUMIFS('Order Details'!$V:$V,'Order Details'!$A:$A,'Order Summary'!$B113,'Order Details'!$B:$B,'Order Summary'!$C113,'Order Details'!$E:$E,"Yes"),2)</f>
        <v>62006.47</v>
      </c>
      <c r="Q113" s="164">
        <v>46154</v>
      </c>
      <c r="R113" s="171">
        <f t="shared" si="31"/>
        <v>88</v>
      </c>
      <c r="S113" s="137">
        <v>30201.08</v>
      </c>
      <c r="T113" s="165">
        <f>IF(Q113="","",Q113+_xlfn.MAXIFS('Order Details'!$W:$W,'Order Details'!$A:$A,'Order Summary'!$B113,'Order Details'!$B:$B,'Order Summary'!$C113,'Order Details'!$E:$E,"Yes"))</f>
        <v>46244</v>
      </c>
      <c r="U113" s="164">
        <f>IF(T113="","",T113+VLOOKUP($J113,'Master Data'!$F$6:$G$9,2,FALSE))</f>
        <v>46310</v>
      </c>
      <c r="V113" s="133"/>
      <c r="W113" s="133"/>
      <c r="X113" s="133"/>
      <c r="Y113" s="133"/>
      <c r="Z113" s="309" t="str">
        <f>IF($Y113="","",IF(VLOOKUP($Y113,'Master Data'!$F$12:$I$17,2,FALSE)="","",VLOOKUP($Y113,'Master Data'!$F$12:$I$17,2,FALSE)))</f>
        <v/>
      </c>
      <c r="AA113" s="164"/>
      <c r="AB113" s="171" t="str">
        <f t="shared" si="26"/>
        <v/>
      </c>
      <c r="AC113" s="133"/>
      <c r="AD113" s="164"/>
      <c r="AE113" s="164"/>
      <c r="AF113" s="137"/>
      <c r="AG113" s="137"/>
      <c r="AH113" s="137">
        <f t="shared" si="35"/>
        <v>62006.47</v>
      </c>
      <c r="AI113" s="137">
        <f t="shared" si="32"/>
        <v>31805.39</v>
      </c>
      <c r="AJ113" s="164"/>
      <c r="AK113" s="171" t="str">
        <f t="shared" si="34"/>
        <v/>
      </c>
      <c r="AL113" s="137"/>
      <c r="AM113" s="164"/>
      <c r="AN113" s="244" t="str">
        <f t="shared" si="33"/>
        <v/>
      </c>
      <c r="AO113" s="164"/>
    </row>
    <row r="114" spans="1:41" x14ac:dyDescent="0.35">
      <c r="A114" s="133" cm="1">
        <f t="array" ref="A114">ROW(114:114)-3</f>
        <v>111</v>
      </c>
      <c r="B114" s="301">
        <v>52999869</v>
      </c>
      <c r="C114" s="133">
        <v>0</v>
      </c>
      <c r="D114" s="133" t="str">
        <f t="shared" si="30"/>
        <v>52999869-0</v>
      </c>
      <c r="E114" s="133" t="s">
        <v>215</v>
      </c>
      <c r="F114" s="164">
        <v>46063</v>
      </c>
      <c r="G114" s="134" t="str">
        <f t="shared" si="29"/>
        <v>Yes</v>
      </c>
      <c r="H114" s="135">
        <f>SUMIFS('Order Details'!$R:$R,'Order Details'!$A:$A,'Order Summary'!$B114,'Order Details'!$B:$B,'Order Summary'!$C114,'Order Details'!$E:$E,"Yes")</f>
        <v>13</v>
      </c>
      <c r="I114" s="133" t="s">
        <v>79</v>
      </c>
      <c r="J114" s="133" t="str">
        <f>VLOOKUP($I114,'Master Data'!$L$5:$M$15,2,FALSE)</f>
        <v>Oakland</v>
      </c>
      <c r="K114" s="137">
        <f>SUMIFS('Order Details'!$U:$U,'Order Details'!$A:$A,'Order Summary'!$B114,'Order Details'!$B:$B,'Order Summary'!$C114,'Order Details'!$E:$E,"Yes")</f>
        <v>62107.199999999997</v>
      </c>
      <c r="L114" s="138">
        <f>SUMIFS('Order Details'!$P:$P,'Order Details'!$A:$A,'Order Summary'!$B114,'Order Details'!$B:$B,'Order Summary'!$C114,'Order Details'!$E:$E,"Yes")</f>
        <v>8021.5350000000008</v>
      </c>
      <c r="M114" s="133" t="s">
        <v>295</v>
      </c>
      <c r="N114" s="164">
        <v>46066</v>
      </c>
      <c r="O114" s="171">
        <f t="shared" si="28"/>
        <v>3</v>
      </c>
      <c r="P114" s="174">
        <f>ROUND(SUMIFS('Order Details'!$V:$V,'Order Details'!$A:$A,'Order Summary'!$B114,'Order Details'!$B:$B,'Order Summary'!$C114,'Order Details'!$E:$E,"Yes"),2)</f>
        <v>62006.47</v>
      </c>
      <c r="Q114" s="164">
        <v>46154</v>
      </c>
      <c r="R114" s="171">
        <f t="shared" si="31"/>
        <v>88</v>
      </c>
      <c r="S114" s="137">
        <v>30201.08</v>
      </c>
      <c r="T114" s="165">
        <f>IF(Q114="","",Q114+_xlfn.MAXIFS('Order Details'!$W:$W,'Order Details'!$A:$A,'Order Summary'!$B114,'Order Details'!$B:$B,'Order Summary'!$C114,'Order Details'!$E:$E,"Yes"))</f>
        <v>46244</v>
      </c>
      <c r="U114" s="164">
        <f>IF(T114="","",T114+VLOOKUP($J114,'Master Data'!$F$6:$G$9,2,FALSE))</f>
        <v>46310</v>
      </c>
      <c r="V114" s="133"/>
      <c r="W114" s="133"/>
      <c r="X114" s="133"/>
      <c r="Y114" s="133"/>
      <c r="Z114" s="309" t="str">
        <f>IF($Y114="","",IF(VLOOKUP($Y114,'Master Data'!$F$12:$I$17,2,FALSE)="","",VLOOKUP($Y114,'Master Data'!$F$12:$I$17,2,FALSE)))</f>
        <v/>
      </c>
      <c r="AA114" s="164"/>
      <c r="AB114" s="171" t="str">
        <f t="shared" si="26"/>
        <v/>
      </c>
      <c r="AC114" s="133"/>
      <c r="AD114" s="164"/>
      <c r="AE114" s="164"/>
      <c r="AF114" s="137"/>
      <c r="AG114" s="137"/>
      <c r="AH114" s="137">
        <f t="shared" si="35"/>
        <v>62006.47</v>
      </c>
      <c r="AI114" s="137">
        <f t="shared" si="32"/>
        <v>31805.39</v>
      </c>
      <c r="AJ114" s="164"/>
      <c r="AK114" s="171" t="str">
        <f t="shared" si="34"/>
        <v/>
      </c>
      <c r="AL114" s="137"/>
      <c r="AM114" s="164"/>
      <c r="AN114" s="244" t="str">
        <f t="shared" si="33"/>
        <v/>
      </c>
      <c r="AO114" s="164"/>
    </row>
    <row r="115" spans="1:41" x14ac:dyDescent="0.35">
      <c r="A115" s="133" cm="1">
        <f t="array" ref="A115">ROW(115:115)-3</f>
        <v>112</v>
      </c>
      <c r="B115" s="301">
        <v>52999872</v>
      </c>
      <c r="C115" s="133">
        <v>0</v>
      </c>
      <c r="D115" s="133" t="str">
        <f t="shared" si="30"/>
        <v>52999872-0</v>
      </c>
      <c r="E115" s="133" t="s">
        <v>215</v>
      </c>
      <c r="F115" s="164">
        <v>46063</v>
      </c>
      <c r="G115" s="134" t="str">
        <f t="shared" si="29"/>
        <v>Yes</v>
      </c>
      <c r="H115" s="135">
        <f>SUMIFS('Order Details'!$R:$R,'Order Details'!$A:$A,'Order Summary'!$B115,'Order Details'!$B:$B,'Order Summary'!$C115,'Order Details'!$E:$E,"Yes")</f>
        <v>13</v>
      </c>
      <c r="I115" s="133" t="s">
        <v>79</v>
      </c>
      <c r="J115" s="133" t="str">
        <f>VLOOKUP($I115,'Master Data'!$L$5:$M$15,2,FALSE)</f>
        <v>Oakland</v>
      </c>
      <c r="K115" s="137">
        <f>SUMIFS('Order Details'!$U:$U,'Order Details'!$A:$A,'Order Summary'!$B115,'Order Details'!$B:$B,'Order Summary'!$C115,'Order Details'!$E:$E,"Yes")</f>
        <v>66420.2</v>
      </c>
      <c r="L115" s="138">
        <f>SUMIFS('Order Details'!$P:$P,'Order Details'!$A:$A,'Order Summary'!$B115,'Order Details'!$B:$B,'Order Summary'!$C115,'Order Details'!$E:$E,"Yes")</f>
        <v>8021.5350000000008</v>
      </c>
      <c r="M115" s="133" t="s">
        <v>296</v>
      </c>
      <c r="N115" s="164">
        <v>46066</v>
      </c>
      <c r="O115" s="171">
        <f t="shared" si="28"/>
        <v>3</v>
      </c>
      <c r="P115" s="174">
        <f>ROUND(SUMIFS('Order Details'!$V:$V,'Order Details'!$A:$A,'Order Summary'!$B115,'Order Details'!$B:$B,'Order Summary'!$C115,'Order Details'!$E:$E,"Yes"),2)</f>
        <v>66338.09</v>
      </c>
      <c r="Q115" s="164">
        <v>46154</v>
      </c>
      <c r="R115" s="171">
        <f t="shared" si="31"/>
        <v>88</v>
      </c>
      <c r="S115" s="137">
        <v>32366.9</v>
      </c>
      <c r="T115" s="165">
        <f>IF(Q115="","",Q115+_xlfn.MAXIFS('Order Details'!$W:$W,'Order Details'!$A:$A,'Order Summary'!$B115,'Order Details'!$B:$B,'Order Summary'!$C115,'Order Details'!$E:$E,"Yes"))</f>
        <v>46199</v>
      </c>
      <c r="U115" s="164">
        <f>IF(T115="","",T115+VLOOKUP($J115,'Master Data'!$F$6:$G$9,2,FALSE))</f>
        <v>46265</v>
      </c>
      <c r="V115" s="133"/>
      <c r="W115" s="133"/>
      <c r="X115" s="133"/>
      <c r="Y115" s="133"/>
      <c r="Z115" s="309" t="str">
        <f>IF($Y115="","",IF(VLOOKUP($Y115,'Master Data'!$F$12:$I$17,2,FALSE)="","",VLOOKUP($Y115,'Master Data'!$F$12:$I$17,2,FALSE)))</f>
        <v/>
      </c>
      <c r="AA115" s="164"/>
      <c r="AB115" s="171" t="str">
        <f t="shared" si="26"/>
        <v/>
      </c>
      <c r="AC115" s="133"/>
      <c r="AD115" s="164"/>
      <c r="AE115" s="164"/>
      <c r="AF115" s="137"/>
      <c r="AG115" s="137"/>
      <c r="AH115" s="137">
        <f t="shared" si="35"/>
        <v>66338.09</v>
      </c>
      <c r="AI115" s="137">
        <f t="shared" si="32"/>
        <v>33971.189999999995</v>
      </c>
      <c r="AJ115" s="164"/>
      <c r="AK115" s="171" t="str">
        <f t="shared" si="34"/>
        <v/>
      </c>
      <c r="AL115" s="137"/>
      <c r="AM115" s="164"/>
      <c r="AN115" s="244" t="str">
        <f t="shared" si="33"/>
        <v/>
      </c>
      <c r="AO115" s="164"/>
    </row>
    <row r="116" spans="1:41" x14ac:dyDescent="0.35">
      <c r="A116" s="133" cm="1">
        <f t="array" ref="A116">ROW(116:116)-3</f>
        <v>113</v>
      </c>
      <c r="B116" s="301">
        <v>52999875</v>
      </c>
      <c r="C116" s="133">
        <v>0</v>
      </c>
      <c r="D116" s="133" t="str">
        <f t="shared" si="30"/>
        <v>52999875-0</v>
      </c>
      <c r="E116" s="133" t="s">
        <v>128</v>
      </c>
      <c r="F116" s="164">
        <v>46063</v>
      </c>
      <c r="G116" s="134" t="str">
        <f t="shared" si="29"/>
        <v>Yes</v>
      </c>
      <c r="H116" s="135">
        <f>SUMIFS('Order Details'!$R:$R,'Order Details'!$A:$A,'Order Summary'!$B116,'Order Details'!$B:$B,'Order Summary'!$C116,'Order Details'!$E:$E,"Yes")</f>
        <v>13</v>
      </c>
      <c r="I116" s="133" t="s">
        <v>79</v>
      </c>
      <c r="J116" s="133" t="str">
        <f>VLOOKUP($I116,'Master Data'!$L$5:$M$15,2,FALSE)</f>
        <v>Oakland</v>
      </c>
      <c r="K116" s="137">
        <f>SUMIFS('Order Details'!$U:$U,'Order Details'!$A:$A,'Order Summary'!$B116,'Order Details'!$B:$B,'Order Summary'!$C116,'Order Details'!$E:$E,"Yes")</f>
        <v>66420.2</v>
      </c>
      <c r="L116" s="138">
        <f>SUMIFS('Order Details'!$P:$P,'Order Details'!$A:$A,'Order Summary'!$B116,'Order Details'!$B:$B,'Order Summary'!$C116,'Order Details'!$E:$E,"Yes")</f>
        <v>8021.5350000000008</v>
      </c>
      <c r="M116" s="133" t="s">
        <v>297</v>
      </c>
      <c r="N116" s="164">
        <v>46066</v>
      </c>
      <c r="O116" s="171">
        <f t="shared" si="28"/>
        <v>3</v>
      </c>
      <c r="P116" s="174">
        <f>ROUND(SUMIFS('Order Details'!$V:$V,'Order Details'!$A:$A,'Order Summary'!$B116,'Order Details'!$B:$B,'Order Summary'!$C116,'Order Details'!$E:$E,"Yes"),2)</f>
        <v>66338.09</v>
      </c>
      <c r="Q116" s="164">
        <v>46154</v>
      </c>
      <c r="R116" s="171">
        <f t="shared" si="31"/>
        <v>88</v>
      </c>
      <c r="S116" s="137">
        <v>32366.9</v>
      </c>
      <c r="T116" s="165">
        <f>IF(Q116="","",Q116+_xlfn.MAXIFS('Order Details'!$W:$W,'Order Details'!$A:$A,'Order Summary'!$B116,'Order Details'!$B:$B,'Order Summary'!$C116,'Order Details'!$E:$E,"Yes"))</f>
        <v>46199</v>
      </c>
      <c r="U116" s="164">
        <f>IF(T116="","",T116+VLOOKUP($J116,'Master Data'!$F$6:$G$9,2,FALSE))</f>
        <v>46265</v>
      </c>
      <c r="V116" s="133"/>
      <c r="W116" s="133"/>
      <c r="X116" s="133"/>
      <c r="Y116" s="133"/>
      <c r="Z116" s="309" t="str">
        <f>IF($Y116="","",IF(VLOOKUP($Y116,'Master Data'!$F$12:$I$17,2,FALSE)="","",VLOOKUP($Y116,'Master Data'!$F$12:$I$17,2,FALSE)))</f>
        <v/>
      </c>
      <c r="AA116" s="164"/>
      <c r="AB116" s="171" t="str">
        <f t="shared" si="26"/>
        <v/>
      </c>
      <c r="AC116" s="133" t="s">
        <v>600</v>
      </c>
      <c r="AD116" s="164">
        <v>46164</v>
      </c>
      <c r="AE116" s="164"/>
      <c r="AF116" s="137">
        <v>8200</v>
      </c>
      <c r="AG116" s="137">
        <v>1000</v>
      </c>
      <c r="AH116" s="137">
        <f t="shared" si="35"/>
        <v>75538.09</v>
      </c>
      <c r="AI116" s="137">
        <f t="shared" si="32"/>
        <v>43171.189999999995</v>
      </c>
      <c r="AJ116" s="164"/>
      <c r="AK116" s="171" t="str">
        <f t="shared" si="34"/>
        <v/>
      </c>
      <c r="AL116" s="137"/>
      <c r="AM116" s="164"/>
      <c r="AN116" s="244" t="str">
        <f t="shared" si="33"/>
        <v/>
      </c>
      <c r="AO116" s="164"/>
    </row>
    <row r="117" spans="1:41" x14ac:dyDescent="0.35">
      <c r="A117" s="133" cm="1">
        <f t="array" ref="A117">ROW(117:117)-3</f>
        <v>114</v>
      </c>
      <c r="B117" s="301">
        <v>52999878</v>
      </c>
      <c r="C117" s="133">
        <v>0</v>
      </c>
      <c r="D117" s="133" t="str">
        <f t="shared" si="30"/>
        <v>52999878-0</v>
      </c>
      <c r="E117" s="133" t="s">
        <v>215</v>
      </c>
      <c r="F117" s="164">
        <v>46063</v>
      </c>
      <c r="G117" s="134" t="str">
        <f t="shared" si="29"/>
        <v>Yes</v>
      </c>
      <c r="H117" s="135">
        <f>SUMIFS('Order Details'!$R:$R,'Order Details'!$A:$A,'Order Summary'!$B117,'Order Details'!$B:$B,'Order Summary'!$C117,'Order Details'!$E:$E,"Yes")</f>
        <v>13</v>
      </c>
      <c r="I117" s="133" t="s">
        <v>79</v>
      </c>
      <c r="J117" s="133" t="str">
        <f>VLOOKUP($I117,'Master Data'!$L$5:$M$15,2,FALSE)</f>
        <v>Oakland</v>
      </c>
      <c r="K117" s="137">
        <f>SUMIFS('Order Details'!$U:$U,'Order Details'!$A:$A,'Order Summary'!$B117,'Order Details'!$B:$B,'Order Summary'!$C117,'Order Details'!$E:$E,"Yes")</f>
        <v>62107.199999999997</v>
      </c>
      <c r="L117" s="138">
        <f>SUMIFS('Order Details'!$P:$P,'Order Details'!$A:$A,'Order Summary'!$B117,'Order Details'!$B:$B,'Order Summary'!$C117,'Order Details'!$E:$E,"Yes")</f>
        <v>8021.5350000000008</v>
      </c>
      <c r="M117" s="133" t="s">
        <v>298</v>
      </c>
      <c r="N117" s="164">
        <v>46066</v>
      </c>
      <c r="O117" s="171">
        <f t="shared" si="28"/>
        <v>3</v>
      </c>
      <c r="P117" s="174">
        <f>ROUND(SUMIFS('Order Details'!$V:$V,'Order Details'!$A:$A,'Order Summary'!$B117,'Order Details'!$B:$B,'Order Summary'!$C117,'Order Details'!$E:$E,"Yes"),2)</f>
        <v>62006.47</v>
      </c>
      <c r="Q117" s="164">
        <v>46154</v>
      </c>
      <c r="R117" s="171">
        <f t="shared" si="31"/>
        <v>88</v>
      </c>
      <c r="S117" s="137">
        <v>30201.08</v>
      </c>
      <c r="T117" s="165">
        <f>IF(Q117="","",Q117+_xlfn.MAXIFS('Order Details'!$W:$W,'Order Details'!$A:$A,'Order Summary'!$B117,'Order Details'!$B:$B,'Order Summary'!$C117,'Order Details'!$E:$E,"Yes"))</f>
        <v>46199</v>
      </c>
      <c r="U117" s="164">
        <f>IF(T117="","",T117+VLOOKUP($J117,'Master Data'!$F$6:$G$9,2,FALSE))</f>
        <v>46265</v>
      </c>
      <c r="V117" s="133"/>
      <c r="W117" s="133"/>
      <c r="X117" s="133"/>
      <c r="Y117" s="133"/>
      <c r="Z117" s="309" t="str">
        <f>IF($Y117="","",IF(VLOOKUP($Y117,'Master Data'!$F$12:$I$17,2,FALSE)="","",VLOOKUP($Y117,'Master Data'!$F$12:$I$17,2,FALSE)))</f>
        <v/>
      </c>
      <c r="AA117" s="164"/>
      <c r="AB117" s="171" t="str">
        <f t="shared" si="26"/>
        <v/>
      </c>
      <c r="AC117" s="133"/>
      <c r="AD117" s="164"/>
      <c r="AE117" s="164"/>
      <c r="AF117" s="137"/>
      <c r="AG117" s="137"/>
      <c r="AH117" s="137">
        <f t="shared" si="35"/>
        <v>62006.47</v>
      </c>
      <c r="AI117" s="137">
        <f t="shared" si="32"/>
        <v>31805.39</v>
      </c>
      <c r="AJ117" s="164"/>
      <c r="AK117" s="171" t="str">
        <f t="shared" si="34"/>
        <v/>
      </c>
      <c r="AL117" s="137"/>
      <c r="AM117" s="164"/>
      <c r="AN117" s="244" t="str">
        <f t="shared" si="33"/>
        <v/>
      </c>
      <c r="AO117" s="164"/>
    </row>
    <row r="118" spans="1:41" x14ac:dyDescent="0.35">
      <c r="A118" s="133" cm="1">
        <f t="array" ref="A118">ROW(118:118)-3</f>
        <v>115</v>
      </c>
      <c r="B118" s="301">
        <v>52999884</v>
      </c>
      <c r="C118" s="133">
        <v>0</v>
      </c>
      <c r="D118" s="133" t="str">
        <f t="shared" si="30"/>
        <v>52999884-0</v>
      </c>
      <c r="E118" s="133" t="s">
        <v>215</v>
      </c>
      <c r="F118" s="164">
        <v>46063</v>
      </c>
      <c r="G118" s="134" t="str">
        <f t="shared" si="29"/>
        <v>Yes</v>
      </c>
      <c r="H118" s="135">
        <f>SUMIFS('Order Details'!$R:$R,'Order Details'!$A:$A,'Order Summary'!$B118,'Order Details'!$B:$B,'Order Summary'!$C118,'Order Details'!$E:$E,"Yes")</f>
        <v>13</v>
      </c>
      <c r="I118" s="133" t="s">
        <v>79</v>
      </c>
      <c r="J118" s="133" t="str">
        <f>VLOOKUP($I118,'Master Data'!$L$5:$M$15,2,FALSE)</f>
        <v>Oakland</v>
      </c>
      <c r="K118" s="137">
        <f>SUMIFS('Order Details'!$U:$U,'Order Details'!$A:$A,'Order Summary'!$B118,'Order Details'!$B:$B,'Order Summary'!$C118,'Order Details'!$E:$E,"Yes")</f>
        <v>62107.199999999997</v>
      </c>
      <c r="L118" s="138">
        <f>SUMIFS('Order Details'!$P:$P,'Order Details'!$A:$A,'Order Summary'!$B118,'Order Details'!$B:$B,'Order Summary'!$C118,'Order Details'!$E:$E,"Yes")</f>
        <v>8021.5350000000008</v>
      </c>
      <c r="M118" s="133" t="s">
        <v>299</v>
      </c>
      <c r="N118" s="164">
        <v>46066</v>
      </c>
      <c r="O118" s="171">
        <f t="shared" si="28"/>
        <v>3</v>
      </c>
      <c r="P118" s="174">
        <f>ROUND(SUMIFS('Order Details'!$V:$V,'Order Details'!$A:$A,'Order Summary'!$B118,'Order Details'!$B:$B,'Order Summary'!$C118,'Order Details'!$E:$E,"Yes"),2)</f>
        <v>62006.47</v>
      </c>
      <c r="Q118" s="164">
        <v>46154</v>
      </c>
      <c r="R118" s="171">
        <f t="shared" si="31"/>
        <v>88</v>
      </c>
      <c r="S118" s="137">
        <v>30201.08</v>
      </c>
      <c r="T118" s="165">
        <f>IF(Q118="","",Q118+_xlfn.MAXIFS('Order Details'!$W:$W,'Order Details'!$A:$A,'Order Summary'!$B118,'Order Details'!$B:$B,'Order Summary'!$C118,'Order Details'!$E:$E,"Yes"))</f>
        <v>46199</v>
      </c>
      <c r="U118" s="164">
        <f>IF(T118="","",T118+VLOOKUP($J118,'Master Data'!$F$6:$G$9,2,FALSE))</f>
        <v>46265</v>
      </c>
      <c r="V118" s="133"/>
      <c r="W118" s="133"/>
      <c r="X118" s="133"/>
      <c r="Y118" s="133"/>
      <c r="Z118" s="309" t="str">
        <f>IF($Y118="","",IF(VLOOKUP($Y118,'Master Data'!$F$12:$I$17,2,FALSE)="","",VLOOKUP($Y118,'Master Data'!$F$12:$I$17,2,FALSE)))</f>
        <v/>
      </c>
      <c r="AA118" s="164"/>
      <c r="AB118" s="171" t="str">
        <f t="shared" si="26"/>
        <v/>
      </c>
      <c r="AC118" s="133"/>
      <c r="AD118" s="164"/>
      <c r="AE118" s="164"/>
      <c r="AF118" s="137"/>
      <c r="AG118" s="137"/>
      <c r="AH118" s="137">
        <f t="shared" si="35"/>
        <v>62006.47</v>
      </c>
      <c r="AI118" s="137">
        <f t="shared" si="32"/>
        <v>31805.39</v>
      </c>
      <c r="AJ118" s="164"/>
      <c r="AK118" s="171" t="str">
        <f t="shared" si="34"/>
        <v/>
      </c>
      <c r="AL118" s="137"/>
      <c r="AM118" s="164"/>
      <c r="AN118" s="244" t="str">
        <f t="shared" si="33"/>
        <v/>
      </c>
      <c r="AO118" s="164"/>
    </row>
    <row r="119" spans="1:41" x14ac:dyDescent="0.35">
      <c r="A119" s="133" cm="1">
        <f t="array" ref="A119">ROW(119:119)-3</f>
        <v>116</v>
      </c>
      <c r="B119" s="301">
        <v>52999889</v>
      </c>
      <c r="C119" s="133">
        <v>0</v>
      </c>
      <c r="D119" s="133" t="str">
        <f t="shared" si="30"/>
        <v>52999889-0</v>
      </c>
      <c r="E119" s="133" t="s">
        <v>215</v>
      </c>
      <c r="F119" s="164">
        <v>46063</v>
      </c>
      <c r="G119" s="134" t="str">
        <f t="shared" si="29"/>
        <v>Yes</v>
      </c>
      <c r="H119" s="135">
        <f>SUMIFS('Order Details'!$R:$R,'Order Details'!$A:$A,'Order Summary'!$B119,'Order Details'!$B:$B,'Order Summary'!$C119,'Order Details'!$E:$E,"Yes")</f>
        <v>13</v>
      </c>
      <c r="I119" s="133" t="s">
        <v>79</v>
      </c>
      <c r="J119" s="133" t="str">
        <f>VLOOKUP($I119,'Master Data'!$L$5:$M$15,2,FALSE)</f>
        <v>Oakland</v>
      </c>
      <c r="K119" s="137">
        <f>SUMIFS('Order Details'!$U:$U,'Order Details'!$A:$A,'Order Summary'!$B119,'Order Details'!$B:$B,'Order Summary'!$C119,'Order Details'!$E:$E,"Yes")</f>
        <v>66500.67</v>
      </c>
      <c r="L119" s="138">
        <f>SUMIFS('Order Details'!$P:$P,'Order Details'!$A:$A,'Order Summary'!$B119,'Order Details'!$B:$B,'Order Summary'!$C119,'Order Details'!$E:$E,"Yes")</f>
        <v>8278.005000000001</v>
      </c>
      <c r="M119" s="133" t="s">
        <v>300</v>
      </c>
      <c r="N119" s="164">
        <v>46066</v>
      </c>
      <c r="O119" s="171">
        <f t="shared" si="28"/>
        <v>3</v>
      </c>
      <c r="P119" s="174">
        <f>ROUND(SUMIFS('Order Details'!$V:$V,'Order Details'!$A:$A,'Order Summary'!$B119,'Order Details'!$B:$B,'Order Summary'!$C119,'Order Details'!$E:$E,"Yes"),2)</f>
        <v>66408.59</v>
      </c>
      <c r="Q119" s="164">
        <v>46154</v>
      </c>
      <c r="R119" s="171">
        <f t="shared" si="31"/>
        <v>88</v>
      </c>
      <c r="S119" s="137">
        <v>32376.5</v>
      </c>
      <c r="T119" s="165">
        <f>IF(Q119="","",Q119+_xlfn.MAXIFS('Order Details'!$W:$W,'Order Details'!$A:$A,'Order Summary'!$B119,'Order Details'!$B:$B,'Order Summary'!$C119,'Order Details'!$E:$E,"Yes"))</f>
        <v>46199</v>
      </c>
      <c r="U119" s="164">
        <f>IF(T119="","",T119+VLOOKUP($J119,'Master Data'!$F$6:$G$9,2,FALSE))</f>
        <v>46265</v>
      </c>
      <c r="V119" s="133"/>
      <c r="W119" s="133"/>
      <c r="X119" s="133"/>
      <c r="Y119" s="133"/>
      <c r="Z119" s="309" t="str">
        <f>IF($Y119="","",IF(VLOOKUP($Y119,'Master Data'!$F$12:$I$17,2,FALSE)="","",VLOOKUP($Y119,'Master Data'!$F$12:$I$17,2,FALSE)))</f>
        <v/>
      </c>
      <c r="AA119" s="164"/>
      <c r="AB119" s="171" t="str">
        <f t="shared" si="26"/>
        <v/>
      </c>
      <c r="AC119" s="133"/>
      <c r="AD119" s="164"/>
      <c r="AE119" s="164"/>
      <c r="AF119" s="137"/>
      <c r="AG119" s="137"/>
      <c r="AH119" s="137">
        <f t="shared" si="35"/>
        <v>66408.59</v>
      </c>
      <c r="AI119" s="137">
        <f t="shared" si="32"/>
        <v>34032.089999999997</v>
      </c>
      <c r="AJ119" s="164"/>
      <c r="AK119" s="171" t="str">
        <f t="shared" si="34"/>
        <v/>
      </c>
      <c r="AL119" s="137"/>
      <c r="AM119" s="164"/>
      <c r="AN119" s="244" t="str">
        <f t="shared" si="33"/>
        <v/>
      </c>
      <c r="AO119" s="164"/>
    </row>
    <row r="120" spans="1:41" x14ac:dyDescent="0.35">
      <c r="A120" s="133" cm="1">
        <f t="array" ref="A120">ROW(120:120)-3</f>
        <v>117</v>
      </c>
      <c r="B120" s="301">
        <v>24189318</v>
      </c>
      <c r="C120" s="133">
        <v>0</v>
      </c>
      <c r="D120" s="133" t="str">
        <f t="shared" si="30"/>
        <v>24189318-0</v>
      </c>
      <c r="E120" s="133" t="s">
        <v>215</v>
      </c>
      <c r="F120" s="164">
        <v>46063</v>
      </c>
      <c r="G120" s="134" t="str">
        <f t="shared" si="29"/>
        <v>Yes</v>
      </c>
      <c r="H120" s="135">
        <f>SUMIFS('Order Details'!$R:$R,'Order Details'!$A:$A,'Order Summary'!$B120,'Order Details'!$B:$B,'Order Summary'!$C120,'Order Details'!$E:$E,"Yes")</f>
        <v>12</v>
      </c>
      <c r="I120" s="133" t="s">
        <v>101</v>
      </c>
      <c r="J120" s="133" t="str">
        <f>VLOOKUP($I120,'Master Data'!$L$5:$M$15,2,FALSE)</f>
        <v>Baltimore</v>
      </c>
      <c r="K120" s="137">
        <f>SUMIFS('Order Details'!$U:$U,'Order Details'!$A:$A,'Order Summary'!$B120,'Order Details'!$B:$B,'Order Summary'!$C120,'Order Details'!$E:$E,"Yes")</f>
        <v>61887.479999999996</v>
      </c>
      <c r="L120" s="138">
        <f>SUMIFS('Order Details'!$P:$P,'Order Details'!$A:$A,'Order Summary'!$B120,'Order Details'!$B:$B,'Order Summary'!$C120,'Order Details'!$E:$E,"Yes")</f>
        <v>7898.2800000000007</v>
      </c>
      <c r="M120" s="133" t="s">
        <v>301</v>
      </c>
      <c r="N120" s="164">
        <v>46066</v>
      </c>
      <c r="O120" s="171">
        <f t="shared" si="28"/>
        <v>3</v>
      </c>
      <c r="P120" s="174">
        <f>ROUND(SUMIFS('Order Details'!$V:$V,'Order Details'!$A:$A,'Order Summary'!$B120,'Order Details'!$B:$B,'Order Summary'!$C120,'Order Details'!$E:$E,"Yes"),2)</f>
        <v>61791.89</v>
      </c>
      <c r="Q120" s="164">
        <v>46154</v>
      </c>
      <c r="R120" s="171">
        <f t="shared" si="31"/>
        <v>88</v>
      </c>
      <c r="S120" s="137">
        <v>30106.11</v>
      </c>
      <c r="T120" s="165">
        <f>IF(Q120="","",Q120+_xlfn.MAXIFS('Order Details'!$W:$W,'Order Details'!$A:$A,'Order Summary'!$B120,'Order Details'!$B:$B,'Order Summary'!$C120,'Order Details'!$E:$E,"Yes"))</f>
        <v>46244</v>
      </c>
      <c r="U120" s="164">
        <f>IF(T120="","",T120+VLOOKUP($J120,'Master Data'!$F$6:$G$9,2,FALSE))</f>
        <v>46302</v>
      </c>
      <c r="V120" s="133"/>
      <c r="W120" s="133"/>
      <c r="X120" s="133"/>
      <c r="Y120" s="133"/>
      <c r="Z120" s="309" t="str">
        <f>IF($Y120="","",IF(VLOOKUP($Y120,'Master Data'!$F$12:$I$17,2,FALSE)="","",VLOOKUP($Y120,'Master Data'!$F$12:$I$17,2,FALSE)))</f>
        <v/>
      </c>
      <c r="AA120" s="164"/>
      <c r="AB120" s="171" t="str">
        <f t="shared" si="26"/>
        <v/>
      </c>
      <c r="AC120" s="133"/>
      <c r="AD120" s="164"/>
      <c r="AE120" s="164"/>
      <c r="AF120" s="137"/>
      <c r="AG120" s="137"/>
      <c r="AH120" s="137">
        <f t="shared" si="35"/>
        <v>61791.89</v>
      </c>
      <c r="AI120" s="137">
        <f t="shared" si="32"/>
        <v>31685.78</v>
      </c>
      <c r="AJ120" s="164"/>
      <c r="AK120" s="171" t="str">
        <f t="shared" si="34"/>
        <v/>
      </c>
      <c r="AL120" s="137"/>
      <c r="AM120" s="164"/>
      <c r="AN120" s="244" t="str">
        <f t="shared" si="33"/>
        <v/>
      </c>
      <c r="AO120" s="164"/>
    </row>
    <row r="121" spans="1:41" x14ac:dyDescent="0.35">
      <c r="A121" s="133" cm="1">
        <f t="array" ref="A121">ROW(121:121)-3</f>
        <v>118</v>
      </c>
      <c r="B121" s="301">
        <v>52996502</v>
      </c>
      <c r="C121" s="133">
        <v>0</v>
      </c>
      <c r="D121" s="133" t="str">
        <f t="shared" si="30"/>
        <v>52996502-0</v>
      </c>
      <c r="E121" s="133" t="s">
        <v>215</v>
      </c>
      <c r="F121" s="164">
        <v>46063</v>
      </c>
      <c r="G121" s="134" t="str">
        <f t="shared" si="29"/>
        <v>Yes</v>
      </c>
      <c r="H121" s="135">
        <f>SUMIFS('Order Details'!$R:$R,'Order Details'!$A:$A,'Order Summary'!$B121,'Order Details'!$B:$B,'Order Summary'!$C121,'Order Details'!$E:$E,"Yes")</f>
        <v>14</v>
      </c>
      <c r="I121" s="133" t="s">
        <v>58</v>
      </c>
      <c r="J121" s="133" t="str">
        <f>VLOOKUP($I121,'Master Data'!$L$5:$M$15,2,FALSE)</f>
        <v>Houston</v>
      </c>
      <c r="K121" s="137">
        <f>SUMIFS('Order Details'!$U:$U,'Order Details'!$A:$A,'Order Summary'!$B121,'Order Details'!$B:$B,'Order Summary'!$C121,'Order Details'!$E:$E,"Yes")</f>
        <v>64993.570000000007</v>
      </c>
      <c r="L121" s="138">
        <f>SUMIFS('Order Details'!$P:$P,'Order Details'!$A:$A,'Order Summary'!$B121,'Order Details'!$B:$B,'Order Summary'!$C121,'Order Details'!$E:$E,"Yes")</f>
        <v>8229.8857500000013</v>
      </c>
      <c r="M121" s="133" t="s">
        <v>302</v>
      </c>
      <c r="N121" s="164">
        <v>46066</v>
      </c>
      <c r="O121" s="171">
        <f t="shared" si="28"/>
        <v>3</v>
      </c>
      <c r="P121" s="174">
        <f>ROUND(SUMIFS('Order Details'!$V:$V,'Order Details'!$A:$A,'Order Summary'!$B121,'Order Details'!$B:$B,'Order Summary'!$C121,'Order Details'!$E:$E,"Yes"),2)</f>
        <v>64891.7</v>
      </c>
      <c r="Q121" s="164">
        <v>46154</v>
      </c>
      <c r="R121" s="171">
        <f t="shared" si="31"/>
        <v>88</v>
      </c>
      <c r="S121" s="137">
        <v>31622.86</v>
      </c>
      <c r="T121" s="165">
        <f>IF(Q121="","",Q121+_xlfn.MAXIFS('Order Details'!$W:$W,'Order Details'!$A:$A,'Order Summary'!$B121,'Order Details'!$B:$B,'Order Summary'!$C121,'Order Details'!$E:$E,"Yes"))</f>
        <v>46244</v>
      </c>
      <c r="U121" s="164">
        <f>IF(T121="","",T121+VLOOKUP($J121,'Master Data'!$F$6:$G$9,2,FALSE))</f>
        <v>46297</v>
      </c>
      <c r="V121" s="133"/>
      <c r="W121" s="133"/>
      <c r="X121" s="133"/>
      <c r="Y121" s="133"/>
      <c r="Z121" s="309" t="str">
        <f>IF($Y121="","",IF(VLOOKUP($Y121,'Master Data'!$F$12:$I$17,2,FALSE)="","",VLOOKUP($Y121,'Master Data'!$F$12:$I$17,2,FALSE)))</f>
        <v/>
      </c>
      <c r="AA121" s="164"/>
      <c r="AB121" s="171" t="str">
        <f t="shared" si="26"/>
        <v/>
      </c>
      <c r="AC121" s="133"/>
      <c r="AD121" s="164"/>
      <c r="AE121" s="164"/>
      <c r="AF121" s="137"/>
      <c r="AG121" s="137"/>
      <c r="AH121" s="137">
        <f t="shared" si="35"/>
        <v>64891.7</v>
      </c>
      <c r="AI121" s="137">
        <f t="shared" si="32"/>
        <v>33268.839999999997</v>
      </c>
      <c r="AJ121" s="164"/>
      <c r="AK121" s="171" t="str">
        <f t="shared" si="34"/>
        <v/>
      </c>
      <c r="AL121" s="137"/>
      <c r="AM121" s="164"/>
      <c r="AN121" s="244" t="str">
        <f t="shared" si="33"/>
        <v/>
      </c>
      <c r="AO121" s="164"/>
    </row>
    <row r="122" spans="1:41" x14ac:dyDescent="0.35">
      <c r="A122" s="133" cm="1">
        <f t="array" ref="A122">ROW(122:122)-3</f>
        <v>119</v>
      </c>
      <c r="B122" s="301">
        <v>24202598</v>
      </c>
      <c r="C122" s="133">
        <v>0</v>
      </c>
      <c r="D122" s="133" t="str">
        <f t="shared" si="30"/>
        <v>24202598-0</v>
      </c>
      <c r="E122" s="133" t="s">
        <v>260</v>
      </c>
      <c r="F122" s="164">
        <v>46073</v>
      </c>
      <c r="G122" s="134" t="str">
        <f t="shared" si="29"/>
        <v>Yes</v>
      </c>
      <c r="H122" s="135">
        <f>SUMIFS('Order Details'!$R:$R,'Order Details'!$A:$A,'Order Summary'!$B122,'Order Details'!$B:$B,'Order Summary'!$C122,'Order Details'!$E:$E,"Yes")</f>
        <v>14</v>
      </c>
      <c r="I122" s="133" t="s">
        <v>101</v>
      </c>
      <c r="J122" s="133" t="str">
        <f>VLOOKUP($I122,'Master Data'!$L$5:$M$15,2,FALSE)</f>
        <v>Baltimore</v>
      </c>
      <c r="K122" s="137">
        <f>SUMIFS('Order Details'!$U:$U,'Order Details'!$A:$A,'Order Summary'!$B122,'Order Details'!$B:$B,'Order Summary'!$C122,'Order Details'!$E:$E,"Yes")</f>
        <v>65855.51999999999</v>
      </c>
      <c r="L122" s="138">
        <f>SUMIFS('Order Details'!$P:$P,'Order Details'!$A:$A,'Order Summary'!$B122,'Order Details'!$B:$B,'Order Summary'!$C122,'Order Details'!$E:$E,"Yes")</f>
        <v>8505.84</v>
      </c>
      <c r="M122" s="247" t="s">
        <v>303</v>
      </c>
      <c r="N122" s="164">
        <v>46076</v>
      </c>
      <c r="O122" s="171">
        <f t="shared" ref="O122:O153" si="36">IF(N122="","",$N122-$F122)</f>
        <v>3</v>
      </c>
      <c r="P122" s="174">
        <f>ROUND(SUMIFS('Order Details'!$V:$V,'Order Details'!$A:$A,'Order Summary'!$B122,'Order Details'!$B:$B,'Order Summary'!$C122,'Order Details'!$E:$E,"Yes"),2)</f>
        <v>65750.14</v>
      </c>
      <c r="Q122" s="164"/>
      <c r="R122" s="171" t="str">
        <f t="shared" si="31"/>
        <v/>
      </c>
      <c r="S122" s="137"/>
      <c r="T122" s="165" t="str">
        <f>IF(Q122="","",Q122+_xlfn.MAXIFS('Order Details'!$W:$W,'Order Details'!$A:$A,'Order Summary'!$B122,'Order Details'!$B:$B,'Order Summary'!$C122,'Order Details'!$E:$E,"Yes"))</f>
        <v/>
      </c>
      <c r="U122" s="164" t="str">
        <f>IF(T122="","",T122+VLOOKUP($J122,'Master Data'!$F$6:$G$9,2,FALSE))</f>
        <v/>
      </c>
      <c r="V122" s="133"/>
      <c r="W122" s="133"/>
      <c r="X122" s="133"/>
      <c r="Y122" s="133"/>
      <c r="Z122" s="309" t="str">
        <f>IF($Y122="","",IF(VLOOKUP($Y122,'Master Data'!$F$12:$I$17,2,FALSE)="","",VLOOKUP($Y122,'Master Data'!$F$12:$I$17,2,FALSE)))</f>
        <v/>
      </c>
      <c r="AA122" s="164"/>
      <c r="AB122" s="171" t="str">
        <f t="shared" si="26"/>
        <v/>
      </c>
      <c r="AC122" s="133"/>
      <c r="AD122" s="164"/>
      <c r="AE122" s="164"/>
      <c r="AF122" s="137"/>
      <c r="AG122" s="137"/>
      <c r="AH122" s="137">
        <f t="shared" si="35"/>
        <v>65750.14</v>
      </c>
      <c r="AI122" s="137">
        <f t="shared" si="32"/>
        <v>65750.14</v>
      </c>
      <c r="AJ122" s="164"/>
      <c r="AK122" s="171" t="str">
        <f t="shared" si="34"/>
        <v/>
      </c>
      <c r="AL122" s="137"/>
      <c r="AM122" s="164"/>
      <c r="AN122" s="244" t="str">
        <f t="shared" si="33"/>
        <v/>
      </c>
      <c r="AO122" s="164"/>
    </row>
    <row r="123" spans="1:41" x14ac:dyDescent="0.35">
      <c r="A123" s="133" cm="1">
        <f t="array" ref="A123">ROW(123:123)-3</f>
        <v>120</v>
      </c>
      <c r="B123" s="301">
        <v>24202599</v>
      </c>
      <c r="C123" s="133">
        <v>0</v>
      </c>
      <c r="D123" s="133" t="str">
        <f t="shared" si="30"/>
        <v>24202599-0</v>
      </c>
      <c r="E123" s="133" t="s">
        <v>260</v>
      </c>
      <c r="F123" s="164">
        <v>46073</v>
      </c>
      <c r="G123" s="134" t="str">
        <f t="shared" si="29"/>
        <v>Yes</v>
      </c>
      <c r="H123" s="135">
        <f>SUMIFS('Order Details'!$R:$R,'Order Details'!$A:$A,'Order Summary'!$B123,'Order Details'!$B:$B,'Order Summary'!$C123,'Order Details'!$E:$E,"Yes")</f>
        <v>14</v>
      </c>
      <c r="I123" s="133" t="s">
        <v>101</v>
      </c>
      <c r="J123" s="133" t="str">
        <f>VLOOKUP($I123,'Master Data'!$L$5:$M$15,2,FALSE)</f>
        <v>Baltimore</v>
      </c>
      <c r="K123" s="137">
        <f>SUMIFS('Order Details'!$U:$U,'Order Details'!$A:$A,'Order Summary'!$B123,'Order Details'!$B:$B,'Order Summary'!$C123,'Order Details'!$E:$E,"Yes")</f>
        <v>65855.51999999999</v>
      </c>
      <c r="L123" s="138">
        <f>SUMIFS('Order Details'!$P:$P,'Order Details'!$A:$A,'Order Summary'!$B123,'Order Details'!$B:$B,'Order Summary'!$C123,'Order Details'!$E:$E,"Yes")</f>
        <v>8505.84</v>
      </c>
      <c r="M123" s="247" t="s">
        <v>304</v>
      </c>
      <c r="N123" s="164">
        <v>46076</v>
      </c>
      <c r="O123" s="171">
        <f t="shared" si="36"/>
        <v>3</v>
      </c>
      <c r="P123" s="174">
        <f>ROUND(SUMIFS('Order Details'!$V:$V,'Order Details'!$A:$A,'Order Summary'!$B123,'Order Details'!$B:$B,'Order Summary'!$C123,'Order Details'!$E:$E,"Yes"),2)</f>
        <v>65750.14</v>
      </c>
      <c r="Q123" s="164"/>
      <c r="R123" s="171" t="str">
        <f t="shared" si="31"/>
        <v/>
      </c>
      <c r="S123" s="137"/>
      <c r="T123" s="165" t="str">
        <f>IF(Q123="","",Q123+_xlfn.MAXIFS('Order Details'!$W:$W,'Order Details'!$A:$A,'Order Summary'!$B123,'Order Details'!$B:$B,'Order Summary'!$C123,'Order Details'!$E:$E,"Yes"))</f>
        <v/>
      </c>
      <c r="U123" s="164" t="str">
        <f>IF(T123="","",T123+VLOOKUP($J123,'Master Data'!$F$6:$G$9,2,FALSE))</f>
        <v/>
      </c>
      <c r="V123" s="133"/>
      <c r="W123" s="133"/>
      <c r="X123" s="133"/>
      <c r="Y123" s="133"/>
      <c r="Z123" s="309" t="str">
        <f>IF($Y123="","",IF(VLOOKUP($Y123,'Master Data'!$F$12:$I$17,2,FALSE)="","",VLOOKUP($Y123,'Master Data'!$F$12:$I$17,2,FALSE)))</f>
        <v/>
      </c>
      <c r="AA123" s="164"/>
      <c r="AB123" s="171" t="str">
        <f t="shared" si="26"/>
        <v/>
      </c>
      <c r="AC123" s="133"/>
      <c r="AD123" s="164"/>
      <c r="AE123" s="164"/>
      <c r="AF123" s="137"/>
      <c r="AG123" s="137"/>
      <c r="AH123" s="137">
        <f t="shared" si="35"/>
        <v>65750.14</v>
      </c>
      <c r="AI123" s="137">
        <f t="shared" si="32"/>
        <v>65750.14</v>
      </c>
      <c r="AJ123" s="164"/>
      <c r="AK123" s="171" t="str">
        <f t="shared" si="34"/>
        <v/>
      </c>
      <c r="AL123" s="137"/>
      <c r="AM123" s="164"/>
      <c r="AN123" s="244" t="str">
        <f t="shared" si="33"/>
        <v/>
      </c>
      <c r="AO123" s="164"/>
    </row>
    <row r="124" spans="1:41" x14ac:dyDescent="0.35">
      <c r="A124" s="133" cm="1">
        <f t="array" ref="A124">ROW(124:124)-3</f>
        <v>121</v>
      </c>
      <c r="B124" s="301">
        <v>24202600</v>
      </c>
      <c r="C124" s="133">
        <v>0</v>
      </c>
      <c r="D124" s="133" t="str">
        <f t="shared" si="30"/>
        <v>24202600-0</v>
      </c>
      <c r="E124" s="133" t="s">
        <v>260</v>
      </c>
      <c r="F124" s="164">
        <v>46073</v>
      </c>
      <c r="G124" s="134" t="str">
        <f t="shared" si="29"/>
        <v>Yes</v>
      </c>
      <c r="H124" s="135">
        <f>SUMIFS('Order Details'!$R:$R,'Order Details'!$A:$A,'Order Summary'!$B124,'Order Details'!$B:$B,'Order Summary'!$C124,'Order Details'!$E:$E,"Yes")</f>
        <v>12</v>
      </c>
      <c r="I124" s="133" t="s">
        <v>101</v>
      </c>
      <c r="J124" s="133" t="str">
        <f>VLOOKUP($I124,'Master Data'!$L$5:$M$15,2,FALSE)</f>
        <v>Baltimore</v>
      </c>
      <c r="K124" s="137">
        <f>SUMIFS('Order Details'!$U:$U,'Order Details'!$A:$A,'Order Summary'!$B124,'Order Details'!$B:$B,'Order Summary'!$C124,'Order Details'!$E:$E,"Yes")</f>
        <v>63504</v>
      </c>
      <c r="L124" s="138">
        <f>SUMIFS('Order Details'!$P:$P,'Order Details'!$A:$A,'Order Summary'!$B124,'Order Details'!$B:$B,'Order Summary'!$C124,'Order Details'!$E:$E,"Yes")</f>
        <v>8202.0600000000013</v>
      </c>
      <c r="M124" s="247" t="s">
        <v>305</v>
      </c>
      <c r="N124" s="164">
        <v>46076</v>
      </c>
      <c r="O124" s="171">
        <f t="shared" si="36"/>
        <v>3</v>
      </c>
      <c r="P124" s="174">
        <f>ROUND(SUMIFS('Order Details'!$V:$V,'Order Details'!$A:$A,'Order Summary'!$B124,'Order Details'!$B:$B,'Order Summary'!$C124,'Order Details'!$E:$E,"Yes"),2)</f>
        <v>63401.919999999998</v>
      </c>
      <c r="Q124" s="164"/>
      <c r="R124" s="171" t="str">
        <f t="shared" si="31"/>
        <v/>
      </c>
      <c r="S124" s="137"/>
      <c r="T124" s="165" t="str">
        <f>IF(Q124="","",Q124+_xlfn.MAXIFS('Order Details'!$W:$W,'Order Details'!$A:$A,'Order Summary'!$B124,'Order Details'!$B:$B,'Order Summary'!$C124,'Order Details'!$E:$E,"Yes"))</f>
        <v/>
      </c>
      <c r="U124" s="164" t="str">
        <f>IF(T124="","",T124+VLOOKUP($J124,'Master Data'!$F$6:$G$9,2,FALSE))</f>
        <v/>
      </c>
      <c r="V124" s="133"/>
      <c r="W124" s="133"/>
      <c r="X124" s="133"/>
      <c r="Y124" s="133"/>
      <c r="Z124" s="309" t="str">
        <f>IF($Y124="","",IF(VLOOKUP($Y124,'Master Data'!$F$12:$I$17,2,FALSE)="","",VLOOKUP($Y124,'Master Data'!$F$12:$I$17,2,FALSE)))</f>
        <v/>
      </c>
      <c r="AA124" s="164"/>
      <c r="AB124" s="171" t="str">
        <f t="shared" si="26"/>
        <v/>
      </c>
      <c r="AC124" s="133"/>
      <c r="AD124" s="164"/>
      <c r="AE124" s="164"/>
      <c r="AF124" s="137"/>
      <c r="AG124" s="137"/>
      <c r="AH124" s="137">
        <f t="shared" si="35"/>
        <v>63401.919999999998</v>
      </c>
      <c r="AI124" s="137">
        <f t="shared" si="32"/>
        <v>63401.919999999998</v>
      </c>
      <c r="AJ124" s="164"/>
      <c r="AK124" s="171" t="str">
        <f t="shared" si="34"/>
        <v/>
      </c>
      <c r="AL124" s="137"/>
      <c r="AM124" s="164"/>
      <c r="AN124" s="244" t="str">
        <f t="shared" si="33"/>
        <v/>
      </c>
      <c r="AO124" s="164"/>
    </row>
    <row r="125" spans="1:41" x14ac:dyDescent="0.35">
      <c r="A125" s="133" cm="1">
        <f t="array" ref="A125">ROW(125:125)-3</f>
        <v>122</v>
      </c>
      <c r="B125" s="301">
        <v>24202605</v>
      </c>
      <c r="C125" s="133">
        <v>0</v>
      </c>
      <c r="D125" s="133" t="str">
        <f t="shared" si="30"/>
        <v>24202605-0</v>
      </c>
      <c r="E125" s="133" t="s">
        <v>260</v>
      </c>
      <c r="F125" s="164">
        <v>46073</v>
      </c>
      <c r="G125" s="134" t="str">
        <f t="shared" ref="G125:G156" si="37">IF(OR(E125="PO Revised",E125="PO Cancelled"),"No","Yes")</f>
        <v>Yes</v>
      </c>
      <c r="H125" s="135">
        <f>SUMIFS('Order Details'!$R:$R,'Order Details'!$A:$A,'Order Summary'!$B125,'Order Details'!$B:$B,'Order Summary'!$C125,'Order Details'!$E:$E,"Yes")</f>
        <v>12</v>
      </c>
      <c r="I125" s="133" t="s">
        <v>101</v>
      </c>
      <c r="J125" s="133" t="str">
        <f>VLOOKUP($I125,'Master Data'!$L$5:$M$15,2,FALSE)</f>
        <v>Baltimore</v>
      </c>
      <c r="K125" s="137">
        <f>SUMIFS('Order Details'!$U:$U,'Order Details'!$A:$A,'Order Summary'!$B125,'Order Details'!$B:$B,'Order Summary'!$C125,'Order Details'!$E:$E,"Yes")</f>
        <v>63504</v>
      </c>
      <c r="L125" s="138">
        <f>SUMIFS('Order Details'!$P:$P,'Order Details'!$A:$A,'Order Summary'!$B125,'Order Details'!$B:$B,'Order Summary'!$C125,'Order Details'!$E:$E,"Yes")</f>
        <v>8202.0600000000013</v>
      </c>
      <c r="M125" s="247" t="s">
        <v>306</v>
      </c>
      <c r="N125" s="164">
        <v>46076</v>
      </c>
      <c r="O125" s="171">
        <f t="shared" si="36"/>
        <v>3</v>
      </c>
      <c r="P125" s="174">
        <f>ROUND(SUMIFS('Order Details'!$V:$V,'Order Details'!$A:$A,'Order Summary'!$B125,'Order Details'!$B:$B,'Order Summary'!$C125,'Order Details'!$E:$E,"Yes"),2)</f>
        <v>63401.919999999998</v>
      </c>
      <c r="Q125" s="164"/>
      <c r="R125" s="171" t="str">
        <f t="shared" si="31"/>
        <v/>
      </c>
      <c r="S125" s="137"/>
      <c r="T125" s="165" t="str">
        <f>IF(Q125="","",Q125+_xlfn.MAXIFS('Order Details'!$W:$W,'Order Details'!$A:$A,'Order Summary'!$B125,'Order Details'!$B:$B,'Order Summary'!$C125,'Order Details'!$E:$E,"Yes"))</f>
        <v/>
      </c>
      <c r="U125" s="164" t="str">
        <f>IF(T125="","",T125+VLOOKUP($J125,'Master Data'!$F$6:$G$9,2,FALSE))</f>
        <v/>
      </c>
      <c r="V125" s="133"/>
      <c r="W125" s="133"/>
      <c r="X125" s="133"/>
      <c r="Y125" s="133"/>
      <c r="Z125" s="309" t="str">
        <f>IF($Y125="","",IF(VLOOKUP($Y125,'Master Data'!$F$12:$I$17,2,FALSE)="","",VLOOKUP($Y125,'Master Data'!$F$12:$I$17,2,FALSE)))</f>
        <v/>
      </c>
      <c r="AA125" s="164"/>
      <c r="AB125" s="171" t="str">
        <f t="shared" si="26"/>
        <v/>
      </c>
      <c r="AC125" s="133"/>
      <c r="AD125" s="164"/>
      <c r="AE125" s="164"/>
      <c r="AF125" s="137"/>
      <c r="AG125" s="137"/>
      <c r="AH125" s="137">
        <f t="shared" si="35"/>
        <v>63401.919999999998</v>
      </c>
      <c r="AI125" s="137">
        <f t="shared" si="32"/>
        <v>63401.919999999998</v>
      </c>
      <c r="AJ125" s="164"/>
      <c r="AK125" s="171" t="str">
        <f t="shared" si="34"/>
        <v/>
      </c>
      <c r="AL125" s="137"/>
      <c r="AM125" s="164"/>
      <c r="AN125" s="244" t="str">
        <f t="shared" si="33"/>
        <v/>
      </c>
      <c r="AO125" s="164"/>
    </row>
    <row r="126" spans="1:41" x14ac:dyDescent="0.35">
      <c r="A126" s="133" cm="1">
        <f t="array" ref="A126">ROW(126:126)-3</f>
        <v>123</v>
      </c>
      <c r="B126" s="301">
        <v>24202656</v>
      </c>
      <c r="C126" s="133">
        <v>0</v>
      </c>
      <c r="D126" s="133" t="str">
        <f t="shared" si="30"/>
        <v>24202656-0</v>
      </c>
      <c r="E126" s="133" t="s">
        <v>260</v>
      </c>
      <c r="F126" s="164">
        <v>46073</v>
      </c>
      <c r="G126" s="134" t="str">
        <f t="shared" si="37"/>
        <v>Yes</v>
      </c>
      <c r="H126" s="135">
        <f>SUMIFS('Order Details'!$R:$R,'Order Details'!$A:$A,'Order Summary'!$B126,'Order Details'!$B:$B,'Order Summary'!$C126,'Order Details'!$E:$E,"Yes")</f>
        <v>14</v>
      </c>
      <c r="I126" s="133" t="s">
        <v>101</v>
      </c>
      <c r="J126" s="133" t="str">
        <f>VLOOKUP($I126,'Master Data'!$L$5:$M$15,2,FALSE)</f>
        <v>Baltimore</v>
      </c>
      <c r="K126" s="137">
        <f>SUMIFS('Order Details'!$U:$U,'Order Details'!$A:$A,'Order Summary'!$B126,'Order Details'!$B:$B,'Order Summary'!$C126,'Order Details'!$E:$E,"Yes")</f>
        <v>66510.31</v>
      </c>
      <c r="L126" s="138">
        <f>SUMIFS('Order Details'!$P:$P,'Order Details'!$A:$A,'Order Summary'!$B126,'Order Details'!$B:$B,'Order Summary'!$C126,'Order Details'!$E:$E,"Yes")</f>
        <v>8505.84</v>
      </c>
      <c r="M126" s="247" t="s">
        <v>307</v>
      </c>
      <c r="N126" s="164">
        <v>46076</v>
      </c>
      <c r="O126" s="171">
        <f t="shared" si="36"/>
        <v>3</v>
      </c>
      <c r="P126" s="174">
        <f>ROUND(SUMIFS('Order Details'!$V:$V,'Order Details'!$A:$A,'Order Summary'!$B126,'Order Details'!$B:$B,'Order Summary'!$C126,'Order Details'!$E:$E,"Yes"),2)</f>
        <v>66406.31</v>
      </c>
      <c r="Q126" s="164"/>
      <c r="R126" s="171" t="str">
        <f t="shared" si="31"/>
        <v/>
      </c>
      <c r="S126" s="137"/>
      <c r="T126" s="165" t="str">
        <f>IF(Q126="","",Q126+_xlfn.MAXIFS('Order Details'!$W:$W,'Order Details'!$A:$A,'Order Summary'!$B126,'Order Details'!$B:$B,'Order Summary'!$C126,'Order Details'!$E:$E,"Yes"))</f>
        <v/>
      </c>
      <c r="U126" s="164" t="str">
        <f>IF(T126="","",T126+VLOOKUP($J126,'Master Data'!$F$6:$G$9,2,FALSE))</f>
        <v/>
      </c>
      <c r="V126" s="133"/>
      <c r="W126" s="133"/>
      <c r="X126" s="133"/>
      <c r="Y126" s="133"/>
      <c r="Z126" s="309" t="str">
        <f>IF($Y126="","",IF(VLOOKUP($Y126,'Master Data'!$F$12:$I$17,2,FALSE)="","",VLOOKUP($Y126,'Master Data'!$F$12:$I$17,2,FALSE)))</f>
        <v/>
      </c>
      <c r="AA126" s="164"/>
      <c r="AB126" s="171" t="str">
        <f t="shared" si="26"/>
        <v/>
      </c>
      <c r="AC126" s="133"/>
      <c r="AD126" s="164"/>
      <c r="AE126" s="164"/>
      <c r="AF126" s="137"/>
      <c r="AG126" s="137"/>
      <c r="AH126" s="137">
        <f t="shared" si="35"/>
        <v>66406.31</v>
      </c>
      <c r="AI126" s="137">
        <f t="shared" si="32"/>
        <v>66406.31</v>
      </c>
      <c r="AJ126" s="164"/>
      <c r="AK126" s="171" t="str">
        <f t="shared" si="34"/>
        <v/>
      </c>
      <c r="AL126" s="137"/>
      <c r="AM126" s="164"/>
      <c r="AN126" s="244" t="str">
        <f t="shared" si="33"/>
        <v/>
      </c>
      <c r="AO126" s="164"/>
    </row>
    <row r="127" spans="1:41" x14ac:dyDescent="0.35">
      <c r="A127" s="133" cm="1">
        <f t="array" ref="A127">ROW(127:127)-3</f>
        <v>124</v>
      </c>
      <c r="B127" s="301">
        <v>24202686</v>
      </c>
      <c r="C127" s="133">
        <v>0</v>
      </c>
      <c r="D127" s="133" t="str">
        <f t="shared" si="30"/>
        <v>24202686-0</v>
      </c>
      <c r="E127" s="133" t="s">
        <v>196</v>
      </c>
      <c r="F127" s="164">
        <v>46073</v>
      </c>
      <c r="G127" s="134" t="str">
        <f t="shared" si="37"/>
        <v>No</v>
      </c>
      <c r="H127" s="135">
        <f>SUMIFS('Order Details'!$R:$R,'Order Details'!$A:$A,'Order Summary'!$B127,'Order Details'!$B:$B,'Order Summary'!$C127,'Order Details'!$E:$E,"Yes")</f>
        <v>0</v>
      </c>
      <c r="I127" s="133" t="s">
        <v>101</v>
      </c>
      <c r="J127" s="133" t="str">
        <f>VLOOKUP($I127,'Master Data'!$L$5:$M$15,2,FALSE)</f>
        <v>Baltimore</v>
      </c>
      <c r="K127" s="137">
        <f>SUMIFS('Order Details'!$U:$U,'Order Details'!$A:$A,'Order Summary'!$B127,'Order Details'!$B:$B,'Order Summary'!$C127,'Order Details'!$E:$E,"Yes")</f>
        <v>0</v>
      </c>
      <c r="L127" s="138">
        <f>SUMIFS('Order Details'!$P:$P,'Order Details'!$A:$A,'Order Summary'!$B127,'Order Details'!$B:$B,'Order Summary'!$C127,'Order Details'!$E:$E,"Yes")</f>
        <v>0</v>
      </c>
      <c r="M127" s="247" t="s">
        <v>308</v>
      </c>
      <c r="N127" s="164">
        <v>46076</v>
      </c>
      <c r="O127" s="171">
        <f t="shared" si="36"/>
        <v>3</v>
      </c>
      <c r="P127" s="174">
        <f>ROUND(SUMIFS('Order Details'!$V:$V,'Order Details'!$A:$A,'Order Summary'!$B127,'Order Details'!$B:$B,'Order Summary'!$C127,'Order Details'!$E:$E,"Yes"),2)</f>
        <v>0</v>
      </c>
      <c r="Q127" s="164"/>
      <c r="R127" s="171" t="str">
        <f t="shared" si="31"/>
        <v/>
      </c>
      <c r="S127" s="137"/>
      <c r="T127" s="165" t="str">
        <f>IF(Q127="","",Q127+_xlfn.MAXIFS('Order Details'!$W:$W,'Order Details'!$A:$A,'Order Summary'!$B127,'Order Details'!$B:$B,'Order Summary'!$C127,'Order Details'!$E:$E,"Yes"))</f>
        <v/>
      </c>
      <c r="U127" s="164" t="str">
        <f>IF(T127="","",T127+VLOOKUP($J127,'Master Data'!$F$6:$G$9,2,FALSE))</f>
        <v/>
      </c>
      <c r="V127" s="133"/>
      <c r="W127" s="133"/>
      <c r="X127" s="133"/>
      <c r="Y127" s="133"/>
      <c r="Z127" s="309" t="str">
        <f>IF($Y127="","",IF(VLOOKUP($Y127,'Master Data'!$F$12:$I$17,2,FALSE)="","",VLOOKUP($Y127,'Master Data'!$F$12:$I$17,2,FALSE)))</f>
        <v/>
      </c>
      <c r="AA127" s="164"/>
      <c r="AB127" s="171" t="str">
        <f t="shared" si="26"/>
        <v/>
      </c>
      <c r="AC127" s="133"/>
      <c r="AD127" s="164"/>
      <c r="AE127" s="164"/>
      <c r="AF127" s="137"/>
      <c r="AG127" s="137"/>
      <c r="AH127" s="137">
        <f t="shared" si="35"/>
        <v>0</v>
      </c>
      <c r="AI127" s="137">
        <f t="shared" si="32"/>
        <v>0</v>
      </c>
      <c r="AJ127" s="164"/>
      <c r="AK127" s="171" t="str">
        <f t="shared" si="34"/>
        <v/>
      </c>
      <c r="AL127" s="137"/>
      <c r="AM127" s="164"/>
      <c r="AN127" s="244" t="str">
        <f t="shared" si="33"/>
        <v/>
      </c>
      <c r="AO127" s="164"/>
    </row>
    <row r="128" spans="1:41" x14ac:dyDescent="0.35">
      <c r="A128" s="133" cm="1">
        <f t="array" ref="A128">ROW(128:128)-3</f>
        <v>125</v>
      </c>
      <c r="B128" s="301">
        <v>24202721</v>
      </c>
      <c r="C128" s="133">
        <v>0</v>
      </c>
      <c r="D128" s="133" t="str">
        <f t="shared" si="30"/>
        <v>24202721-0</v>
      </c>
      <c r="E128" s="133" t="s">
        <v>196</v>
      </c>
      <c r="F128" s="164">
        <v>46073</v>
      </c>
      <c r="G128" s="134" t="str">
        <f t="shared" si="37"/>
        <v>No</v>
      </c>
      <c r="H128" s="135">
        <f>SUMIFS('Order Details'!$R:$R,'Order Details'!$A:$A,'Order Summary'!$B128,'Order Details'!$B:$B,'Order Summary'!$C128,'Order Details'!$E:$E,"Yes")</f>
        <v>0</v>
      </c>
      <c r="I128" s="133" t="s">
        <v>101</v>
      </c>
      <c r="J128" s="133" t="str">
        <f>VLOOKUP($I128,'Master Data'!$L$5:$M$15,2,FALSE)</f>
        <v>Baltimore</v>
      </c>
      <c r="K128" s="137">
        <f>SUMIFS('Order Details'!$U:$U,'Order Details'!$A:$A,'Order Summary'!$B128,'Order Details'!$B:$B,'Order Summary'!$C128,'Order Details'!$E:$E,"Yes")</f>
        <v>0</v>
      </c>
      <c r="L128" s="138">
        <f>SUMIFS('Order Details'!$P:$P,'Order Details'!$A:$A,'Order Summary'!$B128,'Order Details'!$B:$B,'Order Summary'!$C128,'Order Details'!$E:$E,"Yes")</f>
        <v>0</v>
      </c>
      <c r="M128" s="133" t="s">
        <v>309</v>
      </c>
      <c r="N128" s="164">
        <v>46076</v>
      </c>
      <c r="O128" s="171">
        <f t="shared" si="36"/>
        <v>3</v>
      </c>
      <c r="P128" s="174">
        <f>ROUND(SUMIFS('Order Details'!$V:$V,'Order Details'!$A:$A,'Order Summary'!$B128,'Order Details'!$B:$B,'Order Summary'!$C128,'Order Details'!$E:$E,"Yes"),2)</f>
        <v>0</v>
      </c>
      <c r="Q128" s="164"/>
      <c r="R128" s="171" t="str">
        <f t="shared" si="31"/>
        <v/>
      </c>
      <c r="S128" s="137"/>
      <c r="T128" s="165" t="str">
        <f>IF(Q128="","",Q128+_xlfn.MAXIFS('Order Details'!$W:$W,'Order Details'!$A:$A,'Order Summary'!$B128,'Order Details'!$B:$B,'Order Summary'!$C128,'Order Details'!$E:$E,"Yes"))</f>
        <v/>
      </c>
      <c r="U128" s="164" t="str">
        <f>IF(T128="","",T128+VLOOKUP($J128,'Master Data'!$F$6:$G$9,2,FALSE))</f>
        <v/>
      </c>
      <c r="V128" s="133"/>
      <c r="W128" s="133"/>
      <c r="X128" s="133"/>
      <c r="Y128" s="133"/>
      <c r="Z128" s="309" t="str">
        <f>IF($Y128="","",IF(VLOOKUP($Y128,'Master Data'!$F$12:$I$17,2,FALSE)="","",VLOOKUP($Y128,'Master Data'!$F$12:$I$17,2,FALSE)))</f>
        <v/>
      </c>
      <c r="AA128" s="164"/>
      <c r="AB128" s="171" t="str">
        <f t="shared" si="26"/>
        <v/>
      </c>
      <c r="AC128" s="133"/>
      <c r="AD128" s="164"/>
      <c r="AE128" s="164"/>
      <c r="AF128" s="137"/>
      <c r="AG128" s="137"/>
      <c r="AH128" s="137">
        <f t="shared" si="35"/>
        <v>0</v>
      </c>
      <c r="AI128" s="137">
        <f t="shared" si="32"/>
        <v>0</v>
      </c>
      <c r="AJ128" s="164"/>
      <c r="AK128" s="171" t="str">
        <f t="shared" si="34"/>
        <v/>
      </c>
      <c r="AL128" s="137"/>
      <c r="AM128" s="164"/>
      <c r="AN128" s="244" t="str">
        <f t="shared" si="33"/>
        <v/>
      </c>
      <c r="AO128" s="164"/>
    </row>
    <row r="129" spans="1:41" x14ac:dyDescent="0.35">
      <c r="A129" s="133" cm="1">
        <f t="array" ref="A129">ROW(129:129)-3</f>
        <v>126</v>
      </c>
      <c r="B129" s="301">
        <v>24202860</v>
      </c>
      <c r="C129" s="133">
        <v>0</v>
      </c>
      <c r="D129" s="133" t="str">
        <f t="shared" si="30"/>
        <v>24202860-0</v>
      </c>
      <c r="E129" s="133" t="s">
        <v>260</v>
      </c>
      <c r="F129" s="164">
        <v>46073</v>
      </c>
      <c r="G129" s="134" t="str">
        <f t="shared" si="37"/>
        <v>Yes</v>
      </c>
      <c r="H129" s="135">
        <f>SUMIFS('Order Details'!$R:$R,'Order Details'!$A:$A,'Order Summary'!$B129,'Order Details'!$B:$B,'Order Summary'!$C129,'Order Details'!$E:$E,"Yes")</f>
        <v>12</v>
      </c>
      <c r="I129" s="133" t="s">
        <v>155</v>
      </c>
      <c r="J129" s="133" t="str">
        <f>VLOOKUP($I129,'Master Data'!$L$5:$M$15,2,FALSE)</f>
        <v>Baltimore</v>
      </c>
      <c r="K129" s="137">
        <f>SUMIFS('Order Details'!$U:$U,'Order Details'!$A:$A,'Order Summary'!$B129,'Order Details'!$B:$B,'Order Summary'!$C129,'Order Details'!$E:$E,"Yes")</f>
        <v>64606.5</v>
      </c>
      <c r="L129" s="138">
        <f>SUMIFS('Order Details'!$P:$P,'Order Details'!$A:$A,'Order Summary'!$B129,'Order Details'!$B:$B,'Order Summary'!$C129,'Order Details'!$E:$E,"Yes")</f>
        <v>8202.0600000000013</v>
      </c>
      <c r="M129" s="247" t="s">
        <v>310</v>
      </c>
      <c r="N129" s="164">
        <v>46076</v>
      </c>
      <c r="O129" s="171">
        <f t="shared" si="36"/>
        <v>3</v>
      </c>
      <c r="P129" s="174">
        <f>ROUND(SUMIFS('Order Details'!$V:$V,'Order Details'!$A:$A,'Order Summary'!$B129,'Order Details'!$B:$B,'Order Summary'!$C129,'Order Details'!$E:$E,"Yes"),2)</f>
        <v>64509.2</v>
      </c>
      <c r="Q129" s="164"/>
      <c r="R129" s="171" t="str">
        <f t="shared" si="31"/>
        <v/>
      </c>
      <c r="S129" s="137"/>
      <c r="T129" s="165" t="str">
        <f>IF(Q129="","",Q129+_xlfn.MAXIFS('Order Details'!$W:$W,'Order Details'!$A:$A,'Order Summary'!$B129,'Order Details'!$B:$B,'Order Summary'!$C129,'Order Details'!$E:$E,"Yes"))</f>
        <v/>
      </c>
      <c r="U129" s="164" t="str">
        <f>IF(T129="","",T129+VLOOKUP($J129,'Master Data'!$F$6:$G$9,2,FALSE))</f>
        <v/>
      </c>
      <c r="V129" s="133"/>
      <c r="W129" s="133"/>
      <c r="X129" s="133"/>
      <c r="Y129" s="133"/>
      <c r="Z129" s="309" t="str">
        <f>IF($Y129="","",IF(VLOOKUP($Y129,'Master Data'!$F$12:$I$17,2,FALSE)="","",VLOOKUP($Y129,'Master Data'!$F$12:$I$17,2,FALSE)))</f>
        <v/>
      </c>
      <c r="AA129" s="164"/>
      <c r="AB129" s="171" t="str">
        <f t="shared" si="26"/>
        <v/>
      </c>
      <c r="AC129" s="133"/>
      <c r="AD129" s="164"/>
      <c r="AE129" s="164"/>
      <c r="AF129" s="137"/>
      <c r="AG129" s="137"/>
      <c r="AH129" s="137">
        <f t="shared" si="35"/>
        <v>64509.2</v>
      </c>
      <c r="AI129" s="137">
        <f t="shared" si="32"/>
        <v>64509.2</v>
      </c>
      <c r="AJ129" s="164"/>
      <c r="AK129" s="171" t="str">
        <f t="shared" si="34"/>
        <v/>
      </c>
      <c r="AL129" s="137"/>
      <c r="AM129" s="164"/>
      <c r="AN129" s="244" t="str">
        <f t="shared" si="33"/>
        <v/>
      </c>
      <c r="AO129" s="164"/>
    </row>
    <row r="130" spans="1:41" x14ac:dyDescent="0.35">
      <c r="A130" s="133" cm="1">
        <f t="array" ref="A130">ROW(130:130)-3</f>
        <v>127</v>
      </c>
      <c r="B130" s="301">
        <v>53004426</v>
      </c>
      <c r="C130" s="133">
        <v>0</v>
      </c>
      <c r="D130" s="133" t="str">
        <f t="shared" si="30"/>
        <v>53004426-0</v>
      </c>
      <c r="E130" s="133" t="s">
        <v>260</v>
      </c>
      <c r="F130" s="164">
        <v>46073</v>
      </c>
      <c r="G130" s="134" t="str">
        <f t="shared" si="37"/>
        <v>Yes</v>
      </c>
      <c r="H130" s="135">
        <f>SUMIFS('Order Details'!$R:$R,'Order Details'!$A:$A,'Order Summary'!$B130,'Order Details'!$B:$B,'Order Summary'!$C130,'Order Details'!$E:$E,"Yes")</f>
        <v>15</v>
      </c>
      <c r="I130" s="133" t="s">
        <v>58</v>
      </c>
      <c r="J130" s="133" t="str">
        <f>VLOOKUP($I130,'Master Data'!$L$5:$M$15,2,FALSE)</f>
        <v>Houston</v>
      </c>
      <c r="K130" s="137">
        <f>SUMIFS('Order Details'!$U:$U,'Order Details'!$A:$A,'Order Summary'!$B130,'Order Details'!$B:$B,'Order Summary'!$C130,'Order Details'!$E:$E,"Yes")</f>
        <v>63388.37000000001</v>
      </c>
      <c r="L130" s="138">
        <f>SUMIFS('Order Details'!$P:$P,'Order Details'!$A:$A,'Order Summary'!$B130,'Order Details'!$B:$B,'Order Summary'!$C130,'Order Details'!$E:$E,"Yes")</f>
        <v>8087.6445000000022</v>
      </c>
      <c r="M130" s="247" t="s">
        <v>311</v>
      </c>
      <c r="N130" s="164">
        <v>46076</v>
      </c>
      <c r="O130" s="171">
        <f t="shared" si="36"/>
        <v>3</v>
      </c>
      <c r="P130" s="174">
        <f>ROUND(SUMIFS('Order Details'!$V:$V,'Order Details'!$A:$A,'Order Summary'!$B130,'Order Details'!$B:$B,'Order Summary'!$C130,'Order Details'!$E:$E,"Yes"),2)</f>
        <v>63286.17</v>
      </c>
      <c r="Q130" s="164"/>
      <c r="R130" s="171" t="str">
        <f t="shared" si="31"/>
        <v/>
      </c>
      <c r="S130" s="137"/>
      <c r="T130" s="165" t="str">
        <f>IF(Q130="","",Q130+_xlfn.MAXIFS('Order Details'!$W:$W,'Order Details'!$A:$A,'Order Summary'!$B130,'Order Details'!$B:$B,'Order Summary'!$C130,'Order Details'!$E:$E,"Yes"))</f>
        <v/>
      </c>
      <c r="U130" s="164" t="str">
        <f>IF(T130="","",T130+VLOOKUP($J130,'Master Data'!$F$6:$G$9,2,FALSE))</f>
        <v/>
      </c>
      <c r="V130" s="133"/>
      <c r="W130" s="133"/>
      <c r="X130" s="133"/>
      <c r="Y130" s="133"/>
      <c r="Z130" s="309" t="str">
        <f>IF($Y130="","",IF(VLOOKUP($Y130,'Master Data'!$F$12:$I$17,2,FALSE)="","",VLOOKUP($Y130,'Master Data'!$F$12:$I$17,2,FALSE)))</f>
        <v/>
      </c>
      <c r="AA130" s="164"/>
      <c r="AB130" s="171" t="str">
        <f t="shared" si="26"/>
        <v/>
      </c>
      <c r="AC130" s="133"/>
      <c r="AD130" s="164"/>
      <c r="AE130" s="164"/>
      <c r="AF130" s="137"/>
      <c r="AG130" s="137"/>
      <c r="AH130" s="137">
        <f t="shared" si="35"/>
        <v>63286.17</v>
      </c>
      <c r="AI130" s="137">
        <f t="shared" si="32"/>
        <v>63286.17</v>
      </c>
      <c r="AJ130" s="164"/>
      <c r="AK130" s="171" t="str">
        <f t="shared" si="34"/>
        <v/>
      </c>
      <c r="AL130" s="137"/>
      <c r="AM130" s="164"/>
      <c r="AN130" s="244" t="str">
        <f t="shared" si="33"/>
        <v/>
      </c>
      <c r="AO130" s="164"/>
    </row>
    <row r="131" spans="1:41" x14ac:dyDescent="0.35">
      <c r="A131" s="133" cm="1">
        <f t="array" ref="A131">ROW(131:131)-3</f>
        <v>128</v>
      </c>
      <c r="B131" s="301">
        <v>24199456</v>
      </c>
      <c r="C131" s="133">
        <v>0</v>
      </c>
      <c r="D131" s="133" t="str">
        <f t="shared" si="30"/>
        <v>24199456-0</v>
      </c>
      <c r="E131" s="133" t="s">
        <v>260</v>
      </c>
      <c r="F131" s="164">
        <v>46073</v>
      </c>
      <c r="G131" s="134" t="str">
        <f t="shared" si="37"/>
        <v>Yes</v>
      </c>
      <c r="H131" s="135">
        <f>SUMIFS('Order Details'!$R:$R,'Order Details'!$A:$A,'Order Summary'!$B131,'Order Details'!$B:$B,'Order Summary'!$C131,'Order Details'!$E:$E,"Yes")</f>
        <v>14</v>
      </c>
      <c r="I131" s="133" t="s">
        <v>101</v>
      </c>
      <c r="J131" s="133" t="str">
        <f>VLOOKUP($I131,'Master Data'!$L$5:$M$15,2,FALSE)</f>
        <v>Baltimore</v>
      </c>
      <c r="K131" s="137">
        <f>SUMIFS('Order Details'!$U:$U,'Order Details'!$A:$A,'Order Summary'!$B131,'Order Details'!$B:$B,'Order Summary'!$C131,'Order Details'!$E:$E,"Yes")</f>
        <v>65855.51999999999</v>
      </c>
      <c r="L131" s="138">
        <f>SUMIFS('Order Details'!$P:$P,'Order Details'!$A:$A,'Order Summary'!$B131,'Order Details'!$B:$B,'Order Summary'!$C131,'Order Details'!$E:$E,"Yes")</f>
        <v>8505.84</v>
      </c>
      <c r="M131" s="247" t="s">
        <v>312</v>
      </c>
      <c r="N131" s="164">
        <v>46076</v>
      </c>
      <c r="O131" s="171">
        <f t="shared" si="36"/>
        <v>3</v>
      </c>
      <c r="P131" s="174">
        <f>ROUND(SUMIFS('Order Details'!$V:$V,'Order Details'!$A:$A,'Order Summary'!$B131,'Order Details'!$B:$B,'Order Summary'!$C131,'Order Details'!$E:$E,"Yes"),2)</f>
        <v>65750.14</v>
      </c>
      <c r="Q131" s="164"/>
      <c r="R131" s="171" t="str">
        <f t="shared" si="31"/>
        <v/>
      </c>
      <c r="S131" s="137"/>
      <c r="T131" s="165" t="str">
        <f>IF(Q131="","",Q131+_xlfn.MAXIFS('Order Details'!$W:$W,'Order Details'!$A:$A,'Order Summary'!$B131,'Order Details'!$B:$B,'Order Summary'!$C131,'Order Details'!$E:$E,"Yes"))</f>
        <v/>
      </c>
      <c r="U131" s="164" t="str">
        <f>IF(T131="","",T131+VLOOKUP($J131,'Master Data'!$F$6:$G$9,2,FALSE))</f>
        <v/>
      </c>
      <c r="V131" s="133"/>
      <c r="W131" s="133"/>
      <c r="X131" s="133"/>
      <c r="Y131" s="133"/>
      <c r="Z131" s="309" t="str">
        <f>IF($Y131="","",IF(VLOOKUP($Y131,'Master Data'!$F$12:$I$17,2,FALSE)="","",VLOOKUP($Y131,'Master Data'!$F$12:$I$17,2,FALSE)))</f>
        <v/>
      </c>
      <c r="AA131" s="164"/>
      <c r="AB131" s="171" t="str">
        <f t="shared" si="26"/>
        <v/>
      </c>
      <c r="AC131" s="133"/>
      <c r="AD131" s="164"/>
      <c r="AE131" s="164"/>
      <c r="AF131" s="137"/>
      <c r="AG131" s="137"/>
      <c r="AH131" s="137">
        <f t="shared" si="35"/>
        <v>65750.14</v>
      </c>
      <c r="AI131" s="137">
        <f t="shared" si="32"/>
        <v>65750.14</v>
      </c>
      <c r="AJ131" s="164"/>
      <c r="AK131" s="171" t="str">
        <f t="shared" si="34"/>
        <v/>
      </c>
      <c r="AL131" s="137"/>
      <c r="AM131" s="164"/>
      <c r="AN131" s="244" t="str">
        <f t="shared" si="33"/>
        <v/>
      </c>
      <c r="AO131" s="164"/>
    </row>
    <row r="132" spans="1:41" x14ac:dyDescent="0.35">
      <c r="A132" s="133" cm="1">
        <f t="array" ref="A132">ROW(132:132)-3</f>
        <v>129</v>
      </c>
      <c r="B132" s="301">
        <v>24202634</v>
      </c>
      <c r="C132" s="133">
        <v>0</v>
      </c>
      <c r="D132" s="133" t="str">
        <f t="shared" ref="D132:D163" si="38">B132&amp;"-"&amp;C132</f>
        <v>24202634-0</v>
      </c>
      <c r="E132" s="133" t="s">
        <v>196</v>
      </c>
      <c r="F132" s="164">
        <v>46076</v>
      </c>
      <c r="G132" s="134" t="str">
        <f t="shared" si="37"/>
        <v>No</v>
      </c>
      <c r="H132" s="135">
        <f>SUMIFS('Order Details'!$R:$R,'Order Details'!$A:$A,'Order Summary'!$B132,'Order Details'!$B:$B,'Order Summary'!$C132,'Order Details'!$E:$E,"Yes")</f>
        <v>0</v>
      </c>
      <c r="I132" s="133" t="s">
        <v>101</v>
      </c>
      <c r="J132" s="133" t="str">
        <f>VLOOKUP($I132,'Master Data'!$L$5:$M$15,2,FALSE)</f>
        <v>Baltimore</v>
      </c>
      <c r="K132" s="137">
        <f>SUMIFS('Order Details'!$U:$U,'Order Details'!$A:$A,'Order Summary'!$B132,'Order Details'!$B:$B,'Order Summary'!$C132,'Order Details'!$E:$E,"Yes")</f>
        <v>0</v>
      </c>
      <c r="L132" s="138">
        <f>SUMIFS('Order Details'!$P:$P,'Order Details'!$A:$A,'Order Summary'!$B132,'Order Details'!$B:$B,'Order Summary'!$C132,'Order Details'!$E:$E,"Yes")</f>
        <v>0</v>
      </c>
      <c r="M132" s="133" t="s">
        <v>316</v>
      </c>
      <c r="N132" s="164">
        <v>46077</v>
      </c>
      <c r="O132" s="171">
        <f t="shared" si="36"/>
        <v>1</v>
      </c>
      <c r="P132" s="174">
        <f>ROUND(SUMIFS('Order Details'!$V:$V,'Order Details'!$A:$A,'Order Summary'!$B132,'Order Details'!$B:$B,'Order Summary'!$C132,'Order Details'!$E:$E,"Yes"),2)</f>
        <v>0</v>
      </c>
      <c r="Q132" s="164"/>
      <c r="R132" s="171" t="str">
        <f t="shared" ref="R132:R163" si="39">IF(Q132="","",$Q132-$N132)</f>
        <v/>
      </c>
      <c r="S132" s="137"/>
      <c r="T132" s="165" t="str">
        <f>IF(Q132="","",Q132+_xlfn.MAXIFS('Order Details'!$W:$W,'Order Details'!$A:$A,'Order Summary'!$B132,'Order Details'!$B:$B,'Order Summary'!$C132,'Order Details'!$E:$E,"Yes"))</f>
        <v/>
      </c>
      <c r="U132" s="164" t="str">
        <f>IF(T132="","",T132+VLOOKUP($J132,'Master Data'!$F$6:$G$9,2,FALSE))</f>
        <v/>
      </c>
      <c r="V132" s="133"/>
      <c r="W132" s="133"/>
      <c r="X132" s="133"/>
      <c r="Y132" s="133"/>
      <c r="Z132" s="309" t="str">
        <f>IF($Y132="","",IF(VLOOKUP($Y132,'Master Data'!$F$12:$I$17,2,FALSE)="","",VLOOKUP($Y132,'Master Data'!$F$12:$I$17,2,FALSE)))</f>
        <v/>
      </c>
      <c r="AA132" s="164"/>
      <c r="AB132" s="171" t="str">
        <f t="shared" si="26"/>
        <v/>
      </c>
      <c r="AC132" s="133"/>
      <c r="AD132" s="164"/>
      <c r="AE132" s="164"/>
      <c r="AF132" s="137"/>
      <c r="AG132" s="137"/>
      <c r="AH132" s="137">
        <f t="shared" si="35"/>
        <v>0</v>
      </c>
      <c r="AI132" s="137">
        <f t="shared" ref="AI132:AI163" si="40">AH132-S132</f>
        <v>0</v>
      </c>
      <c r="AJ132" s="164"/>
      <c r="AK132" s="171" t="str">
        <f t="shared" si="34"/>
        <v/>
      </c>
      <c r="AL132" s="137"/>
      <c r="AM132" s="164"/>
      <c r="AN132" s="244" t="str">
        <f t="shared" ref="AN132:AN163" si="41">IFERROR(IF(OR(AM132="",AJ132=""),"",$AM132-$AJ132),"")</f>
        <v/>
      </c>
      <c r="AO132" s="164"/>
    </row>
    <row r="133" spans="1:41" x14ac:dyDescent="0.35">
      <c r="A133" s="133" cm="1">
        <f t="array" ref="A133">ROW(133:133)-3</f>
        <v>130</v>
      </c>
      <c r="B133" s="301">
        <v>24202873</v>
      </c>
      <c r="C133" s="133">
        <v>0</v>
      </c>
      <c r="D133" s="133" t="str">
        <f t="shared" si="38"/>
        <v>24202873-0</v>
      </c>
      <c r="E133" s="133" t="s">
        <v>260</v>
      </c>
      <c r="F133" s="164">
        <v>46076</v>
      </c>
      <c r="G133" s="134" t="str">
        <f t="shared" si="37"/>
        <v>Yes</v>
      </c>
      <c r="H133" s="135">
        <f>SUMIFS('Order Details'!$R:$R,'Order Details'!$A:$A,'Order Summary'!$B133,'Order Details'!$B:$B,'Order Summary'!$C133,'Order Details'!$E:$E,"Yes")</f>
        <v>14</v>
      </c>
      <c r="I133" s="133" t="s">
        <v>155</v>
      </c>
      <c r="J133" s="133" t="str">
        <f>VLOOKUP($I133,'Master Data'!$L$5:$M$15,2,FALSE)</f>
        <v>Baltimore</v>
      </c>
      <c r="K133" s="137">
        <f>SUMIFS('Order Details'!$U:$U,'Order Details'!$A:$A,'Order Summary'!$B133,'Order Details'!$B:$B,'Order Summary'!$C133,'Order Details'!$E:$E,"Yes")</f>
        <v>66510.31</v>
      </c>
      <c r="L133" s="138">
        <f>SUMIFS('Order Details'!$P:$P,'Order Details'!$A:$A,'Order Summary'!$B133,'Order Details'!$B:$B,'Order Summary'!$C133,'Order Details'!$E:$E,"Yes")</f>
        <v>8505.84</v>
      </c>
      <c r="M133" s="133" t="s">
        <v>314</v>
      </c>
      <c r="N133" s="164">
        <v>46077</v>
      </c>
      <c r="O133" s="171">
        <f t="shared" si="36"/>
        <v>1</v>
      </c>
      <c r="P133" s="174">
        <f>ROUND(SUMIFS('Order Details'!$V:$V,'Order Details'!$A:$A,'Order Summary'!$B133,'Order Details'!$B:$B,'Order Summary'!$C133,'Order Details'!$E:$E,"Yes"),2)</f>
        <v>66406.31</v>
      </c>
      <c r="Q133" s="164"/>
      <c r="R133" s="171" t="str">
        <f t="shared" si="39"/>
        <v/>
      </c>
      <c r="S133" s="137"/>
      <c r="T133" s="165" t="str">
        <f>IF(Q133="","",Q133+_xlfn.MAXIFS('Order Details'!$W:$W,'Order Details'!$A:$A,'Order Summary'!$B133,'Order Details'!$B:$B,'Order Summary'!$C133,'Order Details'!$E:$E,"Yes"))</f>
        <v/>
      </c>
      <c r="U133" s="164" t="str">
        <f>IF(T133="","",T133+VLOOKUP($J133,'Master Data'!$F$6:$G$9,2,FALSE))</f>
        <v/>
      </c>
      <c r="V133" s="133"/>
      <c r="W133" s="133"/>
      <c r="X133" s="133"/>
      <c r="Y133" s="133"/>
      <c r="Z133" s="309" t="str">
        <f>IF($Y133="","",IF(VLOOKUP($Y133,'Master Data'!$F$12:$I$17,2,FALSE)="","",VLOOKUP($Y133,'Master Data'!$F$12:$I$17,2,FALSE)))</f>
        <v/>
      </c>
      <c r="AA133" s="164"/>
      <c r="AB133" s="171" t="str">
        <f t="shared" si="26"/>
        <v/>
      </c>
      <c r="AC133" s="133"/>
      <c r="AD133" s="164"/>
      <c r="AE133" s="164"/>
      <c r="AF133" s="137"/>
      <c r="AG133" s="137"/>
      <c r="AH133" s="137">
        <f t="shared" si="35"/>
        <v>66406.31</v>
      </c>
      <c r="AI133" s="137">
        <f t="shared" si="40"/>
        <v>66406.31</v>
      </c>
      <c r="AJ133" s="164"/>
      <c r="AK133" s="171" t="str">
        <f t="shared" si="34"/>
        <v/>
      </c>
      <c r="AL133" s="137"/>
      <c r="AM133" s="164"/>
      <c r="AN133" s="244" t="str">
        <f t="shared" si="41"/>
        <v/>
      </c>
      <c r="AO133" s="164"/>
    </row>
    <row r="134" spans="1:41" x14ac:dyDescent="0.35">
      <c r="A134" s="133" cm="1">
        <f t="array" ref="A134">ROW(134:134)-3</f>
        <v>131</v>
      </c>
      <c r="B134" s="301">
        <v>24202608</v>
      </c>
      <c r="C134" s="133">
        <v>0</v>
      </c>
      <c r="D134" s="133" t="str">
        <f t="shared" si="38"/>
        <v>24202608-0</v>
      </c>
      <c r="E134" s="133" t="s">
        <v>196</v>
      </c>
      <c r="F134" s="164">
        <v>46076</v>
      </c>
      <c r="G134" s="134" t="str">
        <f t="shared" si="37"/>
        <v>No</v>
      </c>
      <c r="H134" s="135">
        <f>SUMIFS('Order Details'!$R:$R,'Order Details'!$A:$A,'Order Summary'!$B134,'Order Details'!$B:$B,'Order Summary'!$C134,'Order Details'!$E:$E,"Yes")</f>
        <v>0</v>
      </c>
      <c r="I134" s="133" t="s">
        <v>101</v>
      </c>
      <c r="J134" s="133" t="str">
        <f>VLOOKUP($I134,'Master Data'!$L$5:$M$15,2,FALSE)</f>
        <v>Baltimore</v>
      </c>
      <c r="K134" s="137">
        <f>SUMIFS('Order Details'!$U:$U,'Order Details'!$A:$A,'Order Summary'!$B134,'Order Details'!$B:$B,'Order Summary'!$C134,'Order Details'!$E:$E,"Yes")</f>
        <v>0</v>
      </c>
      <c r="L134" s="138">
        <f>SUMIFS('Order Details'!$P:$P,'Order Details'!$A:$A,'Order Summary'!$B134,'Order Details'!$B:$B,'Order Summary'!$C134,'Order Details'!$E:$E,"Yes")</f>
        <v>0</v>
      </c>
      <c r="M134" s="133" t="s">
        <v>315</v>
      </c>
      <c r="N134" s="164">
        <v>46077</v>
      </c>
      <c r="O134" s="171">
        <f t="shared" si="36"/>
        <v>1</v>
      </c>
      <c r="P134" s="174">
        <f>ROUND(SUMIFS('Order Details'!$V:$V,'Order Details'!$A:$A,'Order Summary'!$B134,'Order Details'!$B:$B,'Order Summary'!$C134,'Order Details'!$E:$E,"Yes"),2)</f>
        <v>0</v>
      </c>
      <c r="Q134" s="164"/>
      <c r="R134" s="171" t="str">
        <f t="shared" si="39"/>
        <v/>
      </c>
      <c r="S134" s="137"/>
      <c r="T134" s="165" t="str">
        <f>IF(Q134="","",Q134+_xlfn.MAXIFS('Order Details'!$W:$W,'Order Details'!$A:$A,'Order Summary'!$B134,'Order Details'!$B:$B,'Order Summary'!$C134,'Order Details'!$E:$E,"Yes"))</f>
        <v/>
      </c>
      <c r="U134" s="164" t="str">
        <f>IF(T134="","",T134+VLOOKUP($J134,'Master Data'!$F$6:$G$9,2,FALSE))</f>
        <v/>
      </c>
      <c r="V134" s="133"/>
      <c r="W134" s="133"/>
      <c r="X134" s="133"/>
      <c r="Y134" s="133"/>
      <c r="Z134" s="309" t="str">
        <f>IF($Y134="","",IF(VLOOKUP($Y134,'Master Data'!$F$12:$I$17,2,FALSE)="","",VLOOKUP($Y134,'Master Data'!$F$12:$I$17,2,FALSE)))</f>
        <v/>
      </c>
      <c r="AA134" s="164"/>
      <c r="AB134" s="171" t="str">
        <f t="shared" si="26"/>
        <v/>
      </c>
      <c r="AC134" s="133"/>
      <c r="AD134" s="164"/>
      <c r="AE134" s="164"/>
      <c r="AF134" s="137"/>
      <c r="AG134" s="137"/>
      <c r="AH134" s="137">
        <f t="shared" si="35"/>
        <v>0</v>
      </c>
      <c r="AI134" s="137">
        <f t="shared" si="40"/>
        <v>0</v>
      </c>
      <c r="AJ134" s="164"/>
      <c r="AK134" s="171" t="str">
        <f t="shared" ref="AK134:AK165" si="42">IF(AJ134="","",$AJ134-$AD134)</f>
        <v/>
      </c>
      <c r="AL134" s="137"/>
      <c r="AM134" s="164"/>
      <c r="AN134" s="244" t="str">
        <f t="shared" si="41"/>
        <v/>
      </c>
      <c r="AO134" s="164"/>
    </row>
    <row r="135" spans="1:41" x14ac:dyDescent="0.35">
      <c r="A135" s="133" cm="1">
        <f t="array" ref="A135">ROW(135:135)-3</f>
        <v>132</v>
      </c>
      <c r="B135" s="133">
        <v>24220770</v>
      </c>
      <c r="C135" s="133">
        <v>0</v>
      </c>
      <c r="D135" s="133" t="str">
        <f t="shared" si="38"/>
        <v>24220770-0</v>
      </c>
      <c r="E135" s="133" t="s">
        <v>412</v>
      </c>
      <c r="F135" s="164">
        <v>46099</v>
      </c>
      <c r="G135" s="134" t="str">
        <f t="shared" si="37"/>
        <v>No</v>
      </c>
      <c r="H135" s="135">
        <f>SUMIFS('Order Details'!$R:$R,'Order Details'!$A:$A,'Order Summary'!$B135,'Order Details'!$B:$B,'Order Summary'!$C135,'Order Details'!$E:$E,"Yes")</f>
        <v>0</v>
      </c>
      <c r="I135" s="133" t="s">
        <v>116</v>
      </c>
      <c r="J135" s="133" t="str">
        <f>VLOOKUP($I135,'Master Data'!$L$5:$M$15,2,FALSE)</f>
        <v>Savannah</v>
      </c>
      <c r="K135" s="137">
        <f>SUMIFS('Order Details'!$U:$U,'Order Details'!$A:$A,'Order Summary'!$B135,'Order Details'!$B:$B,'Order Summary'!$C135,'Order Details'!$E:$E,"Yes")</f>
        <v>0</v>
      </c>
      <c r="L135" s="138">
        <f>SUMIFS('Order Details'!$P:$P,'Order Details'!$A:$A,'Order Summary'!$B135,'Order Details'!$B:$B,'Order Summary'!$C135,'Order Details'!$E:$E,"Yes")</f>
        <v>0</v>
      </c>
      <c r="M135" s="133" t="s">
        <v>524</v>
      </c>
      <c r="N135" s="164"/>
      <c r="O135" s="171" t="str">
        <f t="shared" si="36"/>
        <v/>
      </c>
      <c r="P135" s="174">
        <f>ROUND(SUMIFS('Order Details'!$V:$V,'Order Details'!$A:$A,'Order Summary'!$B135,'Order Details'!$B:$B,'Order Summary'!$C135,'Order Details'!$E:$E,"Yes"),2)</f>
        <v>0</v>
      </c>
      <c r="Q135" s="164"/>
      <c r="R135" s="171" t="str">
        <f t="shared" si="39"/>
        <v/>
      </c>
      <c r="S135" s="137"/>
      <c r="T135" s="165" t="str">
        <f>IF(Q135="","",Q135+_xlfn.MAXIFS('Order Details'!$W:$W,'Order Details'!$A:$A,'Order Summary'!$B135,'Order Details'!$B:$B,'Order Summary'!$C135,'Order Details'!$E:$E,"Yes"))</f>
        <v/>
      </c>
      <c r="U135" s="164" t="str">
        <f>IF(T135="","",T135+VLOOKUP($J135,'Master Data'!$F$6:$G$9,2,FALSE))</f>
        <v/>
      </c>
      <c r="V135" s="133"/>
      <c r="W135" s="133"/>
      <c r="X135" s="133"/>
      <c r="Y135" s="133"/>
      <c r="Z135" s="309" t="str">
        <f>IF($Y135="","",IF(VLOOKUP($Y135,'Master Data'!$F$12:$I$17,2,FALSE)="","",VLOOKUP($Y135,'Master Data'!$F$12:$I$17,2,FALSE)))</f>
        <v/>
      </c>
      <c r="AA135" s="164"/>
      <c r="AB135" s="171" t="str">
        <f t="shared" si="26"/>
        <v/>
      </c>
      <c r="AC135" s="133"/>
      <c r="AD135" s="164"/>
      <c r="AE135" s="164"/>
      <c r="AF135" s="137"/>
      <c r="AG135" s="137"/>
      <c r="AH135" s="137">
        <f t="shared" si="35"/>
        <v>0</v>
      </c>
      <c r="AI135" s="137">
        <f t="shared" si="40"/>
        <v>0</v>
      </c>
      <c r="AJ135" s="164"/>
      <c r="AK135" s="171" t="str">
        <f t="shared" si="42"/>
        <v/>
      </c>
      <c r="AL135" s="137"/>
      <c r="AM135" s="164"/>
      <c r="AN135" s="244" t="str">
        <f t="shared" si="41"/>
        <v/>
      </c>
      <c r="AO135" s="164"/>
    </row>
    <row r="136" spans="1:41" x14ac:dyDescent="0.35">
      <c r="A136" s="133" cm="1">
        <f t="array" ref="A136">ROW(136:136)-3</f>
        <v>133</v>
      </c>
      <c r="B136" s="133">
        <v>24220765</v>
      </c>
      <c r="C136" s="133">
        <v>0</v>
      </c>
      <c r="D136" s="133" t="str">
        <f t="shared" si="38"/>
        <v>24220765-0</v>
      </c>
      <c r="E136" s="133" t="s">
        <v>412</v>
      </c>
      <c r="F136" s="164">
        <v>46099</v>
      </c>
      <c r="G136" s="134" t="str">
        <f t="shared" si="37"/>
        <v>No</v>
      </c>
      <c r="H136" s="135">
        <f>SUMIFS('Order Details'!$R:$R,'Order Details'!$A:$A,'Order Summary'!$B136,'Order Details'!$B:$B,'Order Summary'!$C136,'Order Details'!$E:$E,"Yes")</f>
        <v>0</v>
      </c>
      <c r="I136" s="133" t="s">
        <v>116</v>
      </c>
      <c r="J136" s="133" t="str">
        <f>VLOOKUP($I136,'Master Data'!$L$5:$M$15,2,FALSE)</f>
        <v>Savannah</v>
      </c>
      <c r="K136" s="137">
        <f>SUMIFS('Order Details'!$U:$U,'Order Details'!$A:$A,'Order Summary'!$B136,'Order Details'!$B:$B,'Order Summary'!$C136,'Order Details'!$E:$E,"Yes")</f>
        <v>0</v>
      </c>
      <c r="L136" s="138">
        <f>SUMIFS('Order Details'!$P:$P,'Order Details'!$A:$A,'Order Summary'!$B136,'Order Details'!$B:$B,'Order Summary'!$C136,'Order Details'!$E:$E,"Yes")</f>
        <v>0</v>
      </c>
      <c r="M136" s="133" t="s">
        <v>525</v>
      </c>
      <c r="N136" s="164"/>
      <c r="O136" s="171" t="str">
        <f t="shared" si="36"/>
        <v/>
      </c>
      <c r="P136" s="174">
        <f>ROUND(SUMIFS('Order Details'!$V:$V,'Order Details'!$A:$A,'Order Summary'!$B136,'Order Details'!$B:$B,'Order Summary'!$C136,'Order Details'!$E:$E,"Yes"),2)</f>
        <v>0</v>
      </c>
      <c r="Q136" s="164"/>
      <c r="R136" s="171" t="str">
        <f t="shared" si="39"/>
        <v/>
      </c>
      <c r="S136" s="137"/>
      <c r="T136" s="165" t="str">
        <f>IF(Q136="","",Q136+_xlfn.MAXIFS('Order Details'!$W:$W,'Order Details'!$A:$A,'Order Summary'!$B136,'Order Details'!$B:$B,'Order Summary'!$C136,'Order Details'!$E:$E,"Yes"))</f>
        <v/>
      </c>
      <c r="U136" s="164" t="str">
        <f>IF(T136="","",T136+VLOOKUP($J136,'Master Data'!$F$6:$G$9,2,FALSE))</f>
        <v/>
      </c>
      <c r="V136" s="133"/>
      <c r="W136" s="133"/>
      <c r="X136" s="133"/>
      <c r="Y136" s="133"/>
      <c r="Z136" s="309" t="str">
        <f>IF($Y136="","",IF(VLOOKUP($Y136,'Master Data'!$F$12:$I$17,2,FALSE)="","",VLOOKUP($Y136,'Master Data'!$F$12:$I$17,2,FALSE)))</f>
        <v/>
      </c>
      <c r="AA136" s="164"/>
      <c r="AB136" s="171" t="str">
        <f t="shared" ref="AB136:AB199" si="43">IF(OR(AA136="",AA136="COMPLETE"),"",IF($AA136-$Q136&lt;0,"",$AA136-$Q136))</f>
        <v/>
      </c>
      <c r="AC136" s="133"/>
      <c r="AD136" s="164"/>
      <c r="AE136" s="164"/>
      <c r="AF136" s="137"/>
      <c r="AG136" s="137"/>
      <c r="AH136" s="137">
        <f t="shared" si="35"/>
        <v>0</v>
      </c>
      <c r="AI136" s="137">
        <f t="shared" si="40"/>
        <v>0</v>
      </c>
      <c r="AJ136" s="164"/>
      <c r="AK136" s="171" t="str">
        <f t="shared" si="42"/>
        <v/>
      </c>
      <c r="AL136" s="137"/>
      <c r="AM136" s="164"/>
      <c r="AN136" s="244" t="str">
        <f t="shared" si="41"/>
        <v/>
      </c>
      <c r="AO136" s="164"/>
    </row>
    <row r="137" spans="1:41" x14ac:dyDescent="0.35">
      <c r="A137" s="133" cm="1">
        <f t="array" ref="A137">ROW(137:137)-3</f>
        <v>134</v>
      </c>
      <c r="B137" s="133">
        <v>24220757</v>
      </c>
      <c r="C137" s="133">
        <v>0</v>
      </c>
      <c r="D137" s="133" t="str">
        <f t="shared" si="38"/>
        <v>24220757-0</v>
      </c>
      <c r="E137" s="133" t="s">
        <v>412</v>
      </c>
      <c r="F137" s="164">
        <v>46099</v>
      </c>
      <c r="G137" s="134" t="str">
        <f t="shared" si="37"/>
        <v>No</v>
      </c>
      <c r="H137" s="135">
        <f>SUMIFS('Order Details'!$R:$R,'Order Details'!$A:$A,'Order Summary'!$B137,'Order Details'!$B:$B,'Order Summary'!$C137,'Order Details'!$E:$E,"Yes")</f>
        <v>0</v>
      </c>
      <c r="I137" s="133" t="s">
        <v>116</v>
      </c>
      <c r="J137" s="133" t="str">
        <f>VLOOKUP($I137,'Master Data'!$L$5:$M$15,2,FALSE)</f>
        <v>Savannah</v>
      </c>
      <c r="K137" s="137">
        <f>SUMIFS('Order Details'!$U:$U,'Order Details'!$A:$A,'Order Summary'!$B137,'Order Details'!$B:$B,'Order Summary'!$C137,'Order Details'!$E:$E,"Yes")</f>
        <v>0</v>
      </c>
      <c r="L137" s="138">
        <f>SUMIFS('Order Details'!$P:$P,'Order Details'!$A:$A,'Order Summary'!$B137,'Order Details'!$B:$B,'Order Summary'!$C137,'Order Details'!$E:$E,"Yes")</f>
        <v>0</v>
      </c>
      <c r="M137" s="133" t="s">
        <v>526</v>
      </c>
      <c r="N137" s="164"/>
      <c r="O137" s="171" t="str">
        <f t="shared" si="36"/>
        <v/>
      </c>
      <c r="P137" s="174">
        <f>ROUND(SUMIFS('Order Details'!$V:$V,'Order Details'!$A:$A,'Order Summary'!$B137,'Order Details'!$B:$B,'Order Summary'!$C137,'Order Details'!$E:$E,"Yes"),2)</f>
        <v>0</v>
      </c>
      <c r="Q137" s="164"/>
      <c r="R137" s="171" t="str">
        <f t="shared" si="39"/>
        <v/>
      </c>
      <c r="S137" s="137"/>
      <c r="T137" s="165" t="str">
        <f>IF(Q137="","",Q137+_xlfn.MAXIFS('Order Details'!$W:$W,'Order Details'!$A:$A,'Order Summary'!$B137,'Order Details'!$B:$B,'Order Summary'!$C137,'Order Details'!$E:$E,"Yes"))</f>
        <v/>
      </c>
      <c r="U137" s="164" t="str">
        <f>IF(T137="","",T137+VLOOKUP($J137,'Master Data'!$F$6:$G$9,2,FALSE))</f>
        <v/>
      </c>
      <c r="V137" s="133"/>
      <c r="W137" s="133"/>
      <c r="X137" s="133"/>
      <c r="Y137" s="133"/>
      <c r="Z137" s="309" t="str">
        <f>IF($Y137="","",IF(VLOOKUP($Y137,'Master Data'!$F$12:$I$17,2,FALSE)="","",VLOOKUP($Y137,'Master Data'!$F$12:$I$17,2,FALSE)))</f>
        <v/>
      </c>
      <c r="AA137" s="164"/>
      <c r="AB137" s="171" t="str">
        <f t="shared" si="43"/>
        <v/>
      </c>
      <c r="AC137" s="133"/>
      <c r="AD137" s="164"/>
      <c r="AE137" s="164"/>
      <c r="AF137" s="137"/>
      <c r="AG137" s="137"/>
      <c r="AH137" s="137">
        <f t="shared" si="35"/>
        <v>0</v>
      </c>
      <c r="AI137" s="137">
        <f t="shared" si="40"/>
        <v>0</v>
      </c>
      <c r="AJ137" s="164"/>
      <c r="AK137" s="171" t="str">
        <f t="shared" si="42"/>
        <v/>
      </c>
      <c r="AL137" s="137"/>
      <c r="AM137" s="164"/>
      <c r="AN137" s="244" t="str">
        <f t="shared" si="41"/>
        <v/>
      </c>
      <c r="AO137" s="164"/>
    </row>
    <row r="138" spans="1:41" x14ac:dyDescent="0.35">
      <c r="A138" s="133" cm="1">
        <f t="array" ref="A138">ROW(138:138)-3</f>
        <v>135</v>
      </c>
      <c r="B138" s="133">
        <v>24220742</v>
      </c>
      <c r="C138" s="133">
        <v>0</v>
      </c>
      <c r="D138" s="133" t="str">
        <f t="shared" si="38"/>
        <v>24220742-0</v>
      </c>
      <c r="E138" s="133" t="s">
        <v>412</v>
      </c>
      <c r="F138" s="164">
        <v>46099</v>
      </c>
      <c r="G138" s="134" t="str">
        <f t="shared" si="37"/>
        <v>No</v>
      </c>
      <c r="H138" s="135">
        <f>SUMIFS('Order Details'!$R:$R,'Order Details'!$A:$A,'Order Summary'!$B138,'Order Details'!$B:$B,'Order Summary'!$C138,'Order Details'!$E:$E,"Yes")</f>
        <v>0</v>
      </c>
      <c r="I138" s="133" t="s">
        <v>116</v>
      </c>
      <c r="J138" s="133" t="str">
        <f>VLOOKUP($I138,'Master Data'!$L$5:$M$15,2,FALSE)</f>
        <v>Savannah</v>
      </c>
      <c r="K138" s="137">
        <f>SUMIFS('Order Details'!$U:$U,'Order Details'!$A:$A,'Order Summary'!$B138,'Order Details'!$B:$B,'Order Summary'!$C138,'Order Details'!$E:$E,"Yes")</f>
        <v>0</v>
      </c>
      <c r="L138" s="138">
        <f>SUMIFS('Order Details'!$P:$P,'Order Details'!$A:$A,'Order Summary'!$B138,'Order Details'!$B:$B,'Order Summary'!$C138,'Order Details'!$E:$E,"Yes")</f>
        <v>0</v>
      </c>
      <c r="M138" s="133" t="s">
        <v>527</v>
      </c>
      <c r="N138" s="164"/>
      <c r="O138" s="171" t="str">
        <f t="shared" si="36"/>
        <v/>
      </c>
      <c r="P138" s="174">
        <f>ROUND(SUMIFS('Order Details'!$V:$V,'Order Details'!$A:$A,'Order Summary'!$B138,'Order Details'!$B:$B,'Order Summary'!$C138,'Order Details'!$E:$E,"Yes"),2)</f>
        <v>0</v>
      </c>
      <c r="Q138" s="164"/>
      <c r="R138" s="171" t="str">
        <f t="shared" si="39"/>
        <v/>
      </c>
      <c r="S138" s="137"/>
      <c r="T138" s="165" t="str">
        <f>IF(Q138="","",Q138+_xlfn.MAXIFS('Order Details'!$W:$W,'Order Details'!$A:$A,'Order Summary'!$B138,'Order Details'!$B:$B,'Order Summary'!$C138,'Order Details'!$E:$E,"Yes"))</f>
        <v/>
      </c>
      <c r="U138" s="164" t="str">
        <f>IF(T138="","",T138+VLOOKUP($J138,'Master Data'!$F$6:$G$9,2,FALSE))</f>
        <v/>
      </c>
      <c r="V138" s="133"/>
      <c r="W138" s="133"/>
      <c r="X138" s="133"/>
      <c r="Y138" s="133"/>
      <c r="Z138" s="309" t="str">
        <f>IF($Y138="","",IF(VLOOKUP($Y138,'Master Data'!$F$12:$I$17,2,FALSE)="","",VLOOKUP($Y138,'Master Data'!$F$12:$I$17,2,FALSE)))</f>
        <v/>
      </c>
      <c r="AA138" s="164"/>
      <c r="AB138" s="171" t="str">
        <f t="shared" si="43"/>
        <v/>
      </c>
      <c r="AC138" s="133"/>
      <c r="AD138" s="164"/>
      <c r="AE138" s="164"/>
      <c r="AF138" s="137"/>
      <c r="AG138" s="137"/>
      <c r="AH138" s="137">
        <f t="shared" si="35"/>
        <v>0</v>
      </c>
      <c r="AI138" s="137">
        <f t="shared" si="40"/>
        <v>0</v>
      </c>
      <c r="AJ138" s="164"/>
      <c r="AK138" s="171" t="str">
        <f t="shared" si="42"/>
        <v/>
      </c>
      <c r="AL138" s="137"/>
      <c r="AM138" s="164"/>
      <c r="AN138" s="244" t="str">
        <f t="shared" si="41"/>
        <v/>
      </c>
      <c r="AO138" s="164"/>
    </row>
    <row r="139" spans="1:41" x14ac:dyDescent="0.35">
      <c r="A139" s="133" cm="1">
        <f t="array" ref="A139">ROW(139:139)-3</f>
        <v>136</v>
      </c>
      <c r="B139" s="133">
        <v>24220735</v>
      </c>
      <c r="C139" s="133">
        <v>0</v>
      </c>
      <c r="D139" s="133" t="str">
        <f t="shared" si="38"/>
        <v>24220735-0</v>
      </c>
      <c r="E139" s="133" t="s">
        <v>412</v>
      </c>
      <c r="F139" s="164">
        <v>46099</v>
      </c>
      <c r="G139" s="134" t="str">
        <f t="shared" si="37"/>
        <v>No</v>
      </c>
      <c r="H139" s="135">
        <f>SUMIFS('Order Details'!$R:$R,'Order Details'!$A:$A,'Order Summary'!$B139,'Order Details'!$B:$B,'Order Summary'!$C139,'Order Details'!$E:$E,"Yes")</f>
        <v>0</v>
      </c>
      <c r="I139" s="133" t="s">
        <v>116</v>
      </c>
      <c r="J139" s="133" t="str">
        <f>VLOOKUP($I139,'Master Data'!$L$5:$M$15,2,FALSE)</f>
        <v>Savannah</v>
      </c>
      <c r="K139" s="137">
        <f>SUMIFS('Order Details'!$U:$U,'Order Details'!$A:$A,'Order Summary'!$B139,'Order Details'!$B:$B,'Order Summary'!$C139,'Order Details'!$E:$E,"Yes")</f>
        <v>0</v>
      </c>
      <c r="L139" s="138">
        <f>SUMIFS('Order Details'!$P:$P,'Order Details'!$A:$A,'Order Summary'!$B139,'Order Details'!$B:$B,'Order Summary'!$C139,'Order Details'!$E:$E,"Yes")</f>
        <v>0</v>
      </c>
      <c r="M139" s="133" t="s">
        <v>528</v>
      </c>
      <c r="N139" s="164"/>
      <c r="O139" s="171" t="str">
        <f t="shared" si="36"/>
        <v/>
      </c>
      <c r="P139" s="174">
        <f>ROUND(SUMIFS('Order Details'!$V:$V,'Order Details'!$A:$A,'Order Summary'!$B139,'Order Details'!$B:$B,'Order Summary'!$C139,'Order Details'!$E:$E,"Yes"),2)</f>
        <v>0</v>
      </c>
      <c r="Q139" s="164"/>
      <c r="R139" s="171" t="str">
        <f t="shared" si="39"/>
        <v/>
      </c>
      <c r="S139" s="137"/>
      <c r="T139" s="165" t="str">
        <f>IF(Q139="","",Q139+_xlfn.MAXIFS('Order Details'!$W:$W,'Order Details'!$A:$A,'Order Summary'!$B139,'Order Details'!$B:$B,'Order Summary'!$C139,'Order Details'!$E:$E,"Yes"))</f>
        <v/>
      </c>
      <c r="U139" s="164" t="str">
        <f>IF(T139="","",T139+VLOOKUP($J139,'Master Data'!$F$6:$G$9,2,FALSE))</f>
        <v/>
      </c>
      <c r="V139" s="133"/>
      <c r="W139" s="133"/>
      <c r="X139" s="133"/>
      <c r="Y139" s="133"/>
      <c r="Z139" s="309" t="str">
        <f>IF($Y139="","",IF(VLOOKUP($Y139,'Master Data'!$F$12:$I$17,2,FALSE)="","",VLOOKUP($Y139,'Master Data'!$F$12:$I$17,2,FALSE)))</f>
        <v/>
      </c>
      <c r="AA139" s="164"/>
      <c r="AB139" s="171" t="str">
        <f t="shared" si="43"/>
        <v/>
      </c>
      <c r="AC139" s="133"/>
      <c r="AD139" s="164"/>
      <c r="AE139" s="164"/>
      <c r="AF139" s="137"/>
      <c r="AG139" s="137"/>
      <c r="AH139" s="137">
        <f t="shared" si="35"/>
        <v>0</v>
      </c>
      <c r="AI139" s="137">
        <f t="shared" si="40"/>
        <v>0</v>
      </c>
      <c r="AJ139" s="164"/>
      <c r="AK139" s="171" t="str">
        <f t="shared" si="42"/>
        <v/>
      </c>
      <c r="AL139" s="137"/>
      <c r="AM139" s="164"/>
      <c r="AN139" s="244" t="str">
        <f t="shared" si="41"/>
        <v/>
      </c>
      <c r="AO139" s="164"/>
    </row>
    <row r="140" spans="1:41" x14ac:dyDescent="0.35">
      <c r="A140" s="133" cm="1">
        <f t="array" ref="A140">ROW(140:140)-3</f>
        <v>137</v>
      </c>
      <c r="B140" s="133">
        <v>24220730</v>
      </c>
      <c r="C140" s="133">
        <v>0</v>
      </c>
      <c r="D140" s="133" t="str">
        <f t="shared" si="38"/>
        <v>24220730-0</v>
      </c>
      <c r="E140" s="133" t="s">
        <v>412</v>
      </c>
      <c r="F140" s="164">
        <v>46099</v>
      </c>
      <c r="G140" s="134" t="str">
        <f t="shared" si="37"/>
        <v>No</v>
      </c>
      <c r="H140" s="135">
        <f>SUMIFS('Order Details'!$R:$R,'Order Details'!$A:$A,'Order Summary'!$B140,'Order Details'!$B:$B,'Order Summary'!$C140,'Order Details'!$E:$E,"Yes")</f>
        <v>0</v>
      </c>
      <c r="I140" s="133" t="s">
        <v>116</v>
      </c>
      <c r="J140" s="133" t="str">
        <f>VLOOKUP($I140,'Master Data'!$L$5:$M$15,2,FALSE)</f>
        <v>Savannah</v>
      </c>
      <c r="K140" s="137">
        <f>SUMIFS('Order Details'!$U:$U,'Order Details'!$A:$A,'Order Summary'!$B140,'Order Details'!$B:$B,'Order Summary'!$C140,'Order Details'!$E:$E,"Yes")</f>
        <v>0</v>
      </c>
      <c r="L140" s="138">
        <f>SUMIFS('Order Details'!$P:$P,'Order Details'!$A:$A,'Order Summary'!$B140,'Order Details'!$B:$B,'Order Summary'!$C140,'Order Details'!$E:$E,"Yes")</f>
        <v>0</v>
      </c>
      <c r="M140" s="133" t="s">
        <v>529</v>
      </c>
      <c r="N140" s="164"/>
      <c r="O140" s="171" t="str">
        <f t="shared" si="36"/>
        <v/>
      </c>
      <c r="P140" s="174">
        <f>ROUND(SUMIFS('Order Details'!$V:$V,'Order Details'!$A:$A,'Order Summary'!$B140,'Order Details'!$B:$B,'Order Summary'!$C140,'Order Details'!$E:$E,"Yes"),2)</f>
        <v>0</v>
      </c>
      <c r="Q140" s="164"/>
      <c r="R140" s="171" t="str">
        <f t="shared" si="39"/>
        <v/>
      </c>
      <c r="S140" s="137"/>
      <c r="T140" s="165" t="str">
        <f>IF(Q140="","",Q140+_xlfn.MAXIFS('Order Details'!$W:$W,'Order Details'!$A:$A,'Order Summary'!$B140,'Order Details'!$B:$B,'Order Summary'!$C140,'Order Details'!$E:$E,"Yes"))</f>
        <v/>
      </c>
      <c r="U140" s="164" t="str">
        <f>IF(T140="","",T140+VLOOKUP($J140,'Master Data'!$F$6:$G$9,2,FALSE))</f>
        <v/>
      </c>
      <c r="V140" s="133"/>
      <c r="W140" s="133"/>
      <c r="X140" s="133"/>
      <c r="Y140" s="133"/>
      <c r="Z140" s="309" t="str">
        <f>IF($Y140="","",IF(VLOOKUP($Y140,'Master Data'!$F$12:$I$17,2,FALSE)="","",VLOOKUP($Y140,'Master Data'!$F$12:$I$17,2,FALSE)))</f>
        <v/>
      </c>
      <c r="AA140" s="164"/>
      <c r="AB140" s="171" t="str">
        <f t="shared" si="43"/>
        <v/>
      </c>
      <c r="AC140" s="133"/>
      <c r="AD140" s="164"/>
      <c r="AE140" s="164"/>
      <c r="AF140" s="137"/>
      <c r="AG140" s="137"/>
      <c r="AH140" s="137">
        <f t="shared" si="35"/>
        <v>0</v>
      </c>
      <c r="AI140" s="137">
        <f t="shared" si="40"/>
        <v>0</v>
      </c>
      <c r="AJ140" s="164"/>
      <c r="AK140" s="171" t="str">
        <f t="shared" si="42"/>
        <v/>
      </c>
      <c r="AL140" s="137"/>
      <c r="AM140" s="164"/>
      <c r="AN140" s="244" t="str">
        <f t="shared" si="41"/>
        <v/>
      </c>
      <c r="AO140" s="164"/>
    </row>
    <row r="141" spans="1:41" x14ac:dyDescent="0.35">
      <c r="A141" s="133" cm="1">
        <f t="array" ref="A141">ROW(141:141)-3</f>
        <v>138</v>
      </c>
      <c r="B141" s="133">
        <v>24220722</v>
      </c>
      <c r="C141" s="133">
        <v>0</v>
      </c>
      <c r="D141" s="133" t="str">
        <f t="shared" si="38"/>
        <v>24220722-0</v>
      </c>
      <c r="E141" s="133" t="s">
        <v>412</v>
      </c>
      <c r="F141" s="164">
        <v>46099</v>
      </c>
      <c r="G141" s="134" t="str">
        <f t="shared" si="37"/>
        <v>No</v>
      </c>
      <c r="H141" s="135">
        <f>SUMIFS('Order Details'!$R:$R,'Order Details'!$A:$A,'Order Summary'!$B141,'Order Details'!$B:$B,'Order Summary'!$C141,'Order Details'!$E:$E,"Yes")</f>
        <v>0</v>
      </c>
      <c r="I141" s="133" t="s">
        <v>116</v>
      </c>
      <c r="J141" s="133" t="str">
        <f>VLOOKUP($I141,'Master Data'!$L$5:$M$15,2,FALSE)</f>
        <v>Savannah</v>
      </c>
      <c r="K141" s="137">
        <f>SUMIFS('Order Details'!$U:$U,'Order Details'!$A:$A,'Order Summary'!$B141,'Order Details'!$B:$B,'Order Summary'!$C141,'Order Details'!$E:$E,"Yes")</f>
        <v>0</v>
      </c>
      <c r="L141" s="138">
        <f>SUMIFS('Order Details'!$P:$P,'Order Details'!$A:$A,'Order Summary'!$B141,'Order Details'!$B:$B,'Order Summary'!$C141,'Order Details'!$E:$E,"Yes")</f>
        <v>0</v>
      </c>
      <c r="M141" s="133" t="s">
        <v>530</v>
      </c>
      <c r="N141" s="164"/>
      <c r="O141" s="171" t="str">
        <f t="shared" si="36"/>
        <v/>
      </c>
      <c r="P141" s="174">
        <f>ROUND(SUMIFS('Order Details'!$V:$V,'Order Details'!$A:$A,'Order Summary'!$B141,'Order Details'!$B:$B,'Order Summary'!$C141,'Order Details'!$E:$E,"Yes"),2)</f>
        <v>0</v>
      </c>
      <c r="Q141" s="164"/>
      <c r="R141" s="171" t="str">
        <f t="shared" si="39"/>
        <v/>
      </c>
      <c r="S141" s="137"/>
      <c r="T141" s="165" t="str">
        <f>IF(Q141="","",Q141+_xlfn.MAXIFS('Order Details'!$W:$W,'Order Details'!$A:$A,'Order Summary'!$B141,'Order Details'!$B:$B,'Order Summary'!$C141,'Order Details'!$E:$E,"Yes"))</f>
        <v/>
      </c>
      <c r="U141" s="164" t="str">
        <f>IF(T141="","",T141+VLOOKUP($J141,'Master Data'!$F$6:$G$9,2,FALSE))</f>
        <v/>
      </c>
      <c r="V141" s="133"/>
      <c r="W141" s="133"/>
      <c r="X141" s="133"/>
      <c r="Y141" s="133"/>
      <c r="Z141" s="309" t="str">
        <f>IF($Y141="","",IF(VLOOKUP($Y141,'Master Data'!$F$12:$I$17,2,FALSE)="","",VLOOKUP($Y141,'Master Data'!$F$12:$I$17,2,FALSE)))</f>
        <v/>
      </c>
      <c r="AA141" s="164"/>
      <c r="AB141" s="171" t="str">
        <f t="shared" si="43"/>
        <v/>
      </c>
      <c r="AC141" s="133"/>
      <c r="AD141" s="164"/>
      <c r="AE141" s="164"/>
      <c r="AF141" s="137"/>
      <c r="AG141" s="137"/>
      <c r="AH141" s="137">
        <f t="shared" si="35"/>
        <v>0</v>
      </c>
      <c r="AI141" s="137">
        <f t="shared" si="40"/>
        <v>0</v>
      </c>
      <c r="AJ141" s="164"/>
      <c r="AK141" s="171" t="str">
        <f t="shared" si="42"/>
        <v/>
      </c>
      <c r="AL141" s="137"/>
      <c r="AM141" s="164"/>
      <c r="AN141" s="244" t="str">
        <f t="shared" si="41"/>
        <v/>
      </c>
      <c r="AO141" s="164"/>
    </row>
    <row r="142" spans="1:41" x14ac:dyDescent="0.35">
      <c r="A142" s="133" cm="1">
        <f t="array" ref="A142">ROW(142:142)-3</f>
        <v>139</v>
      </c>
      <c r="B142" s="133">
        <v>24220717</v>
      </c>
      <c r="C142" s="133">
        <v>0</v>
      </c>
      <c r="D142" s="133" t="str">
        <f t="shared" si="38"/>
        <v>24220717-0</v>
      </c>
      <c r="E142" s="133" t="s">
        <v>412</v>
      </c>
      <c r="F142" s="164">
        <v>46099</v>
      </c>
      <c r="G142" s="134" t="str">
        <f t="shared" si="37"/>
        <v>No</v>
      </c>
      <c r="H142" s="135">
        <f>SUMIFS('Order Details'!$R:$R,'Order Details'!$A:$A,'Order Summary'!$B142,'Order Details'!$B:$B,'Order Summary'!$C142,'Order Details'!$E:$E,"Yes")</f>
        <v>0</v>
      </c>
      <c r="I142" s="133" t="s">
        <v>116</v>
      </c>
      <c r="J142" s="133" t="str">
        <f>VLOOKUP($I142,'Master Data'!$L$5:$M$15,2,FALSE)</f>
        <v>Savannah</v>
      </c>
      <c r="K142" s="137">
        <f>SUMIFS('Order Details'!$U:$U,'Order Details'!$A:$A,'Order Summary'!$B142,'Order Details'!$B:$B,'Order Summary'!$C142,'Order Details'!$E:$E,"Yes")</f>
        <v>0</v>
      </c>
      <c r="L142" s="138">
        <f>SUMIFS('Order Details'!$P:$P,'Order Details'!$A:$A,'Order Summary'!$B142,'Order Details'!$B:$B,'Order Summary'!$C142,'Order Details'!$E:$E,"Yes")</f>
        <v>0</v>
      </c>
      <c r="M142" s="133" t="s">
        <v>531</v>
      </c>
      <c r="N142" s="164"/>
      <c r="O142" s="171" t="str">
        <f t="shared" si="36"/>
        <v/>
      </c>
      <c r="P142" s="174">
        <f>ROUND(SUMIFS('Order Details'!$V:$V,'Order Details'!$A:$A,'Order Summary'!$B142,'Order Details'!$B:$B,'Order Summary'!$C142,'Order Details'!$E:$E,"Yes"),2)</f>
        <v>0</v>
      </c>
      <c r="Q142" s="164"/>
      <c r="R142" s="171" t="str">
        <f t="shared" si="39"/>
        <v/>
      </c>
      <c r="S142" s="137"/>
      <c r="T142" s="165" t="str">
        <f>IF(Q142="","",Q142+_xlfn.MAXIFS('Order Details'!$W:$W,'Order Details'!$A:$A,'Order Summary'!$B142,'Order Details'!$B:$B,'Order Summary'!$C142,'Order Details'!$E:$E,"Yes"))</f>
        <v/>
      </c>
      <c r="U142" s="164" t="str">
        <f>IF(T142="","",T142+VLOOKUP($J142,'Master Data'!$F$6:$G$9,2,FALSE))</f>
        <v/>
      </c>
      <c r="V142" s="133"/>
      <c r="W142" s="133"/>
      <c r="X142" s="133"/>
      <c r="Y142" s="133"/>
      <c r="Z142" s="309" t="str">
        <f>IF($Y142="","",IF(VLOOKUP($Y142,'Master Data'!$F$12:$I$17,2,FALSE)="","",VLOOKUP($Y142,'Master Data'!$F$12:$I$17,2,FALSE)))</f>
        <v/>
      </c>
      <c r="AA142" s="164"/>
      <c r="AB142" s="171" t="str">
        <f t="shared" si="43"/>
        <v/>
      </c>
      <c r="AC142" s="133"/>
      <c r="AD142" s="164"/>
      <c r="AE142" s="164"/>
      <c r="AF142" s="137"/>
      <c r="AG142" s="137"/>
      <c r="AH142" s="137">
        <f t="shared" si="35"/>
        <v>0</v>
      </c>
      <c r="AI142" s="137">
        <f t="shared" si="40"/>
        <v>0</v>
      </c>
      <c r="AJ142" s="164"/>
      <c r="AK142" s="171" t="str">
        <f t="shared" si="42"/>
        <v/>
      </c>
      <c r="AL142" s="137"/>
      <c r="AM142" s="164"/>
      <c r="AN142" s="244" t="str">
        <f t="shared" si="41"/>
        <v/>
      </c>
      <c r="AO142" s="164"/>
    </row>
    <row r="143" spans="1:41" x14ac:dyDescent="0.35">
      <c r="A143" s="133" cm="1">
        <f t="array" ref="A143">ROW(143:143)-3</f>
        <v>140</v>
      </c>
      <c r="B143" s="133">
        <v>24220714</v>
      </c>
      <c r="C143" s="133">
        <v>0</v>
      </c>
      <c r="D143" s="133" t="str">
        <f t="shared" si="38"/>
        <v>24220714-0</v>
      </c>
      <c r="E143" s="133" t="s">
        <v>412</v>
      </c>
      <c r="F143" s="164">
        <v>46099</v>
      </c>
      <c r="G143" s="134" t="str">
        <f t="shared" si="37"/>
        <v>No</v>
      </c>
      <c r="H143" s="135">
        <f>SUMIFS('Order Details'!$R:$R,'Order Details'!$A:$A,'Order Summary'!$B143,'Order Details'!$B:$B,'Order Summary'!$C143,'Order Details'!$E:$E,"Yes")</f>
        <v>0</v>
      </c>
      <c r="I143" s="133" t="s">
        <v>116</v>
      </c>
      <c r="J143" s="133" t="str">
        <f>VLOOKUP($I143,'Master Data'!$L$5:$M$15,2,FALSE)</f>
        <v>Savannah</v>
      </c>
      <c r="K143" s="137">
        <f>SUMIFS('Order Details'!$U:$U,'Order Details'!$A:$A,'Order Summary'!$B143,'Order Details'!$B:$B,'Order Summary'!$C143,'Order Details'!$E:$E,"Yes")</f>
        <v>0</v>
      </c>
      <c r="L143" s="138">
        <f>SUMIFS('Order Details'!$P:$P,'Order Details'!$A:$A,'Order Summary'!$B143,'Order Details'!$B:$B,'Order Summary'!$C143,'Order Details'!$E:$E,"Yes")</f>
        <v>0</v>
      </c>
      <c r="M143" s="133" t="s">
        <v>532</v>
      </c>
      <c r="N143" s="164"/>
      <c r="O143" s="171" t="str">
        <f t="shared" si="36"/>
        <v/>
      </c>
      <c r="P143" s="174">
        <f>ROUND(SUMIFS('Order Details'!$V:$V,'Order Details'!$A:$A,'Order Summary'!$B143,'Order Details'!$B:$B,'Order Summary'!$C143,'Order Details'!$E:$E,"Yes"),2)</f>
        <v>0</v>
      </c>
      <c r="Q143" s="164"/>
      <c r="R143" s="171" t="str">
        <f t="shared" si="39"/>
        <v/>
      </c>
      <c r="S143" s="137"/>
      <c r="T143" s="165" t="str">
        <f>IF(Q143="","",Q143+_xlfn.MAXIFS('Order Details'!$W:$W,'Order Details'!$A:$A,'Order Summary'!$B143,'Order Details'!$B:$B,'Order Summary'!$C143,'Order Details'!$E:$E,"Yes"))</f>
        <v/>
      </c>
      <c r="U143" s="164" t="str">
        <f>IF(T143="","",T143+VLOOKUP($J143,'Master Data'!$F$6:$G$9,2,FALSE))</f>
        <v/>
      </c>
      <c r="V143" s="133"/>
      <c r="W143" s="133"/>
      <c r="X143" s="133"/>
      <c r="Y143" s="133"/>
      <c r="Z143" s="309" t="str">
        <f>IF($Y143="","",IF(VLOOKUP($Y143,'Master Data'!$F$12:$I$17,2,FALSE)="","",VLOOKUP($Y143,'Master Data'!$F$12:$I$17,2,FALSE)))</f>
        <v/>
      </c>
      <c r="AA143" s="164"/>
      <c r="AB143" s="171" t="str">
        <f t="shared" si="43"/>
        <v/>
      </c>
      <c r="AC143" s="133"/>
      <c r="AD143" s="164"/>
      <c r="AE143" s="164"/>
      <c r="AF143" s="137"/>
      <c r="AG143" s="137"/>
      <c r="AH143" s="137">
        <f t="shared" si="35"/>
        <v>0</v>
      </c>
      <c r="AI143" s="137">
        <f t="shared" si="40"/>
        <v>0</v>
      </c>
      <c r="AJ143" s="164"/>
      <c r="AK143" s="171" t="str">
        <f t="shared" si="42"/>
        <v/>
      </c>
      <c r="AL143" s="137"/>
      <c r="AM143" s="164"/>
      <c r="AN143" s="244" t="str">
        <f t="shared" si="41"/>
        <v/>
      </c>
      <c r="AO143" s="164"/>
    </row>
    <row r="144" spans="1:41" x14ac:dyDescent="0.35">
      <c r="A144" s="133" cm="1">
        <f t="array" ref="A144">ROW(144:144)-3</f>
        <v>141</v>
      </c>
      <c r="B144" s="133">
        <v>53013961</v>
      </c>
      <c r="C144" s="133">
        <v>0</v>
      </c>
      <c r="D144" s="133" t="str">
        <f t="shared" si="38"/>
        <v>53013961-0</v>
      </c>
      <c r="E144" s="133" t="s">
        <v>196</v>
      </c>
      <c r="F144" s="164">
        <v>46099</v>
      </c>
      <c r="G144" s="134" t="str">
        <f t="shared" si="37"/>
        <v>No</v>
      </c>
      <c r="H144" s="135">
        <f>SUMIFS('Order Details'!$R:$R,'Order Details'!$A:$A,'Order Summary'!$B144,'Order Details'!$B:$B,'Order Summary'!$C144,'Order Details'!$E:$E,"Yes")</f>
        <v>0</v>
      </c>
      <c r="I144" s="133" t="s">
        <v>160</v>
      </c>
      <c r="J144" s="133" t="str">
        <f>VLOOKUP($I144,'Master Data'!$L$5:$M$15,2,FALSE)</f>
        <v>Houston</v>
      </c>
      <c r="K144" s="137">
        <f>SUMIFS('Order Details'!$U:$U,'Order Details'!$A:$A,'Order Summary'!$B144,'Order Details'!$B:$B,'Order Summary'!$C144,'Order Details'!$E:$E,"Yes")</f>
        <v>0</v>
      </c>
      <c r="L144" s="138">
        <f>SUMIFS('Order Details'!$P:$P,'Order Details'!$A:$A,'Order Summary'!$B144,'Order Details'!$B:$B,'Order Summary'!$C144,'Order Details'!$E:$E,"Yes")</f>
        <v>0</v>
      </c>
      <c r="M144" s="133" t="s">
        <v>533</v>
      </c>
      <c r="N144" s="164"/>
      <c r="O144" s="171" t="str">
        <f t="shared" si="36"/>
        <v/>
      </c>
      <c r="P144" s="174">
        <f>ROUND(SUMIFS('Order Details'!$V:$V,'Order Details'!$A:$A,'Order Summary'!$B144,'Order Details'!$B:$B,'Order Summary'!$C144,'Order Details'!$E:$E,"Yes"),2)</f>
        <v>0</v>
      </c>
      <c r="Q144" s="164"/>
      <c r="R144" s="171" t="str">
        <f t="shared" si="39"/>
        <v/>
      </c>
      <c r="S144" s="137"/>
      <c r="T144" s="165" t="str">
        <f>IF(Q144="","",Q144+_xlfn.MAXIFS('Order Details'!$W:$W,'Order Details'!$A:$A,'Order Summary'!$B144,'Order Details'!$B:$B,'Order Summary'!$C144,'Order Details'!$E:$E,"Yes"))</f>
        <v/>
      </c>
      <c r="U144" s="164" t="str">
        <f>IF(T144="","",T144+VLOOKUP($J144,'Master Data'!$F$6:$G$9,2,FALSE))</f>
        <v/>
      </c>
      <c r="V144" s="133"/>
      <c r="W144" s="133"/>
      <c r="X144" s="133"/>
      <c r="Y144" s="133"/>
      <c r="Z144" s="309" t="str">
        <f>IF($Y144="","",IF(VLOOKUP($Y144,'Master Data'!$F$12:$I$17,2,FALSE)="","",VLOOKUP($Y144,'Master Data'!$F$12:$I$17,2,FALSE)))</f>
        <v/>
      </c>
      <c r="AA144" s="164"/>
      <c r="AB144" s="171" t="str">
        <f t="shared" si="43"/>
        <v/>
      </c>
      <c r="AC144" s="133"/>
      <c r="AD144" s="164"/>
      <c r="AE144" s="164"/>
      <c r="AF144" s="137"/>
      <c r="AG144" s="137"/>
      <c r="AH144" s="137">
        <f t="shared" ref="AH144:AH174" si="44">P144+AF144+AG144</f>
        <v>0</v>
      </c>
      <c r="AI144" s="137">
        <f t="shared" si="40"/>
        <v>0</v>
      </c>
      <c r="AJ144" s="164"/>
      <c r="AK144" s="171" t="str">
        <f t="shared" si="42"/>
        <v/>
      </c>
      <c r="AL144" s="137"/>
      <c r="AM144" s="164"/>
      <c r="AN144" s="244" t="str">
        <f t="shared" si="41"/>
        <v/>
      </c>
      <c r="AO144" s="164"/>
    </row>
    <row r="145" spans="1:41" x14ac:dyDescent="0.35">
      <c r="A145" s="133" cm="1">
        <f t="array" ref="A145">ROW(145:145)-3</f>
        <v>142</v>
      </c>
      <c r="B145" s="133">
        <v>53014919</v>
      </c>
      <c r="C145" s="133">
        <v>0</v>
      </c>
      <c r="D145" s="133" t="str">
        <f t="shared" si="38"/>
        <v>53014919-0</v>
      </c>
      <c r="E145" s="133" t="s">
        <v>313</v>
      </c>
      <c r="F145" s="164">
        <v>46099</v>
      </c>
      <c r="G145" s="134" t="str">
        <f t="shared" si="37"/>
        <v>Yes</v>
      </c>
      <c r="H145" s="135">
        <f>SUMIFS('Order Details'!$R:$R,'Order Details'!$A:$A,'Order Summary'!$B145,'Order Details'!$B:$B,'Order Summary'!$C145,'Order Details'!$E:$E,"Yes")</f>
        <v>12</v>
      </c>
      <c r="I145" s="133" t="s">
        <v>79</v>
      </c>
      <c r="J145" s="133" t="str">
        <f>VLOOKUP($I145,'Master Data'!$L$5:$M$15,2,FALSE)</f>
        <v>Oakland</v>
      </c>
      <c r="K145" s="137">
        <f>SUMIFS('Order Details'!$U:$U,'Order Details'!$A:$A,'Order Summary'!$B145,'Order Details'!$B:$B,'Order Summary'!$C145,'Order Details'!$E:$E,"Yes")</f>
        <v>61730.130000000005</v>
      </c>
      <c r="L145" s="138">
        <f>SUMIFS('Order Details'!$P:$P,'Order Details'!$A:$A,'Order Summary'!$B145,'Order Details'!$B:$B,'Order Summary'!$C145,'Order Details'!$E:$E,"Yes")</f>
        <v>7455.0600000000013</v>
      </c>
      <c r="M145" s="133" t="s">
        <v>534</v>
      </c>
      <c r="N145" s="164"/>
      <c r="O145" s="171" t="str">
        <f t="shared" si="36"/>
        <v/>
      </c>
      <c r="P145" s="174">
        <f>ROUND(SUMIFS('Order Details'!$V:$V,'Order Details'!$A:$A,'Order Summary'!$B145,'Order Details'!$B:$B,'Order Summary'!$C145,'Order Details'!$E:$E,"Yes"),2)</f>
        <v>61653.35</v>
      </c>
      <c r="Q145" s="164"/>
      <c r="R145" s="171" t="str">
        <f t="shared" si="39"/>
        <v/>
      </c>
      <c r="S145" s="137"/>
      <c r="T145" s="165" t="str">
        <f>IF(Q145="","",Q145+_xlfn.MAXIFS('Order Details'!$W:$W,'Order Details'!$A:$A,'Order Summary'!$B145,'Order Details'!$B:$B,'Order Summary'!$C145,'Order Details'!$E:$E,"Yes"))</f>
        <v/>
      </c>
      <c r="U145" s="164" t="str">
        <f>IF(T145="","",T145+VLOOKUP($J145,'Master Data'!$F$6:$G$9,2,FALSE))</f>
        <v/>
      </c>
      <c r="V145" s="133"/>
      <c r="W145" s="133"/>
      <c r="X145" s="133"/>
      <c r="Y145" s="133"/>
      <c r="Z145" s="309" t="str">
        <f>IF($Y145="","",IF(VLOOKUP($Y145,'Master Data'!$F$12:$I$17,2,FALSE)="","",VLOOKUP($Y145,'Master Data'!$F$12:$I$17,2,FALSE)))</f>
        <v/>
      </c>
      <c r="AA145" s="164"/>
      <c r="AB145" s="171" t="str">
        <f t="shared" si="43"/>
        <v/>
      </c>
      <c r="AC145" s="133"/>
      <c r="AD145" s="164"/>
      <c r="AE145" s="164"/>
      <c r="AF145" s="137"/>
      <c r="AG145" s="137"/>
      <c r="AH145" s="137">
        <f t="shared" si="44"/>
        <v>61653.35</v>
      </c>
      <c r="AI145" s="137">
        <f t="shared" si="40"/>
        <v>61653.35</v>
      </c>
      <c r="AJ145" s="164"/>
      <c r="AK145" s="171" t="str">
        <f t="shared" si="42"/>
        <v/>
      </c>
      <c r="AL145" s="137"/>
      <c r="AM145" s="164"/>
      <c r="AN145" s="244" t="str">
        <f t="shared" si="41"/>
        <v/>
      </c>
      <c r="AO145" s="164"/>
    </row>
    <row r="146" spans="1:41" x14ac:dyDescent="0.35">
      <c r="A146" s="133" cm="1">
        <f t="array" ref="A146">ROW(146:146)-3</f>
        <v>143</v>
      </c>
      <c r="B146" s="133">
        <v>53016427</v>
      </c>
      <c r="C146" s="133">
        <v>0</v>
      </c>
      <c r="D146" s="133" t="str">
        <f t="shared" si="38"/>
        <v>53016427-0</v>
      </c>
      <c r="E146" s="133" t="s">
        <v>313</v>
      </c>
      <c r="F146" s="164">
        <v>46099</v>
      </c>
      <c r="G146" s="134" t="str">
        <f t="shared" si="37"/>
        <v>Yes</v>
      </c>
      <c r="H146" s="305">
        <f>SUMIFS('Order Details'!$R:$R,'Order Details'!$A:$A,'Order Summary'!$B146,'Order Details'!$B:$B,'Order Summary'!$C146,'Order Details'!$E:$E,"Yes")</f>
        <v>12</v>
      </c>
      <c r="I146" s="133" t="s">
        <v>58</v>
      </c>
      <c r="J146" s="133" t="str">
        <f>VLOOKUP($I146,'Master Data'!$L$5:$M$15,2,FALSE)</f>
        <v>Houston</v>
      </c>
      <c r="K146" s="137">
        <f>SUMIFS('Order Details'!$U:$U,'Order Details'!$A:$A,'Order Summary'!$B146,'Order Details'!$B:$B,'Order Summary'!$C146,'Order Details'!$E:$E,"Yes")</f>
        <v>63504</v>
      </c>
      <c r="L146" s="138">
        <f>SUMIFS('Order Details'!$P:$P,'Order Details'!$A:$A,'Order Summary'!$B146,'Order Details'!$B:$B,'Order Summary'!$C146,'Order Details'!$E:$E,"Yes")</f>
        <v>8201.5620000000017</v>
      </c>
      <c r="M146" s="133" t="s">
        <v>535</v>
      </c>
      <c r="N146" s="164"/>
      <c r="O146" s="171" t="str">
        <f t="shared" si="36"/>
        <v/>
      </c>
      <c r="P146" s="174">
        <f>ROUND(SUMIFS('Order Details'!$V:$V,'Order Details'!$A:$A,'Order Summary'!$B146,'Order Details'!$B:$B,'Order Summary'!$C146,'Order Details'!$E:$E,"Yes"),2)</f>
        <v>63398.07</v>
      </c>
      <c r="Q146" s="164"/>
      <c r="R146" s="171" t="str">
        <f t="shared" si="39"/>
        <v/>
      </c>
      <c r="S146" s="137"/>
      <c r="T146" s="165" t="str">
        <f>IF(Q146="","",Q146+_xlfn.MAXIFS('Order Details'!$W:$W,'Order Details'!$A:$A,'Order Summary'!$B146,'Order Details'!$B:$B,'Order Summary'!$C146,'Order Details'!$E:$E,"Yes"))</f>
        <v/>
      </c>
      <c r="U146" s="164" t="str">
        <f>IF(T146="","",T146+VLOOKUP($J146,'Master Data'!$F$6:$G$9,2,FALSE))</f>
        <v/>
      </c>
      <c r="V146" s="133"/>
      <c r="W146" s="133"/>
      <c r="X146" s="133"/>
      <c r="Y146" s="133"/>
      <c r="Z146" s="309" t="str">
        <f>IF($Y146="","",IF(VLOOKUP($Y146,'Master Data'!$F$12:$I$17,2,FALSE)="","",VLOOKUP($Y146,'Master Data'!$F$12:$I$17,2,FALSE)))</f>
        <v/>
      </c>
      <c r="AA146" s="164"/>
      <c r="AB146" s="171" t="str">
        <f t="shared" si="43"/>
        <v/>
      </c>
      <c r="AC146" s="133"/>
      <c r="AD146" s="164"/>
      <c r="AE146" s="164"/>
      <c r="AF146" s="137"/>
      <c r="AG146" s="137"/>
      <c r="AH146" s="137">
        <f t="shared" si="44"/>
        <v>63398.07</v>
      </c>
      <c r="AI146" s="137">
        <f t="shared" si="40"/>
        <v>63398.07</v>
      </c>
      <c r="AJ146" s="164"/>
      <c r="AK146" s="171" t="str">
        <f t="shared" si="42"/>
        <v/>
      </c>
      <c r="AL146" s="137"/>
      <c r="AM146" s="164"/>
      <c r="AN146" s="244" t="str">
        <f t="shared" si="41"/>
        <v/>
      </c>
      <c r="AO146" s="164"/>
    </row>
    <row r="147" spans="1:41" x14ac:dyDescent="0.35">
      <c r="A147" s="133" cm="1">
        <f t="array" ref="A147">ROW(147:147)-3</f>
        <v>144</v>
      </c>
      <c r="B147" s="133">
        <v>53016422</v>
      </c>
      <c r="C147" s="133">
        <v>0</v>
      </c>
      <c r="D147" s="133" t="str">
        <f t="shared" si="38"/>
        <v>53016422-0</v>
      </c>
      <c r="E147" s="133" t="s">
        <v>313</v>
      </c>
      <c r="F147" s="164">
        <v>46099</v>
      </c>
      <c r="G147" s="134" t="str">
        <f t="shared" si="37"/>
        <v>Yes</v>
      </c>
      <c r="H147" s="135">
        <f>SUMIFS('Order Details'!$R:$R,'Order Details'!$A:$A,'Order Summary'!$B147,'Order Details'!$B:$B,'Order Summary'!$C147,'Order Details'!$E:$E,"Yes")</f>
        <v>12</v>
      </c>
      <c r="I147" s="133" t="s">
        <v>58</v>
      </c>
      <c r="J147" s="133" t="str">
        <f>VLOOKUP($I147,'Master Data'!$L$5:$M$15,2,FALSE)</f>
        <v>Houston</v>
      </c>
      <c r="K147" s="137">
        <f>SUMIFS('Order Details'!$U:$U,'Order Details'!$A:$A,'Order Summary'!$B147,'Order Details'!$B:$B,'Order Summary'!$C147,'Order Details'!$E:$E,"Yes")</f>
        <v>61740.000000000007</v>
      </c>
      <c r="L147" s="138">
        <f>SUMIFS('Order Details'!$P:$P,'Order Details'!$A:$A,'Order Summary'!$B147,'Order Details'!$B:$B,'Order Summary'!$C147,'Order Details'!$E:$E,"Yes")</f>
        <v>7974.2250000000013</v>
      </c>
      <c r="M147" s="133" t="s">
        <v>536</v>
      </c>
      <c r="N147" s="164"/>
      <c r="O147" s="171" t="str">
        <f t="shared" si="36"/>
        <v/>
      </c>
      <c r="P147" s="174">
        <f>ROUND(SUMIFS('Order Details'!$V:$V,'Order Details'!$A:$A,'Order Summary'!$B147,'Order Details'!$B:$B,'Order Summary'!$C147,'Order Details'!$E:$E,"Yes"),2)</f>
        <v>61640.76</v>
      </c>
      <c r="Q147" s="164"/>
      <c r="R147" s="171" t="str">
        <f t="shared" si="39"/>
        <v/>
      </c>
      <c r="S147" s="137"/>
      <c r="T147" s="165" t="str">
        <f>IF(Q147="","",Q147+_xlfn.MAXIFS('Order Details'!$W:$W,'Order Details'!$A:$A,'Order Summary'!$B147,'Order Details'!$B:$B,'Order Summary'!$C147,'Order Details'!$E:$E,"Yes"))</f>
        <v/>
      </c>
      <c r="U147" s="164" t="str">
        <f>IF(T147="","",T147+VLOOKUP($J147,'Master Data'!$F$6:$G$9,2,FALSE))</f>
        <v/>
      </c>
      <c r="V147" s="133"/>
      <c r="W147" s="133"/>
      <c r="X147" s="133"/>
      <c r="Y147" s="133"/>
      <c r="Z147" s="309" t="str">
        <f>IF($Y147="","",IF(VLOOKUP($Y147,'Master Data'!$F$12:$I$17,2,FALSE)="","",VLOOKUP($Y147,'Master Data'!$F$12:$I$17,2,FALSE)))</f>
        <v/>
      </c>
      <c r="AA147" s="164"/>
      <c r="AB147" s="171" t="str">
        <f t="shared" si="43"/>
        <v/>
      </c>
      <c r="AC147" s="133"/>
      <c r="AD147" s="164"/>
      <c r="AE147" s="164"/>
      <c r="AF147" s="137"/>
      <c r="AG147" s="137"/>
      <c r="AH147" s="137">
        <f t="shared" si="44"/>
        <v>61640.76</v>
      </c>
      <c r="AI147" s="137">
        <f t="shared" si="40"/>
        <v>61640.76</v>
      </c>
      <c r="AJ147" s="164"/>
      <c r="AK147" s="171" t="str">
        <f t="shared" si="42"/>
        <v/>
      </c>
      <c r="AL147" s="137"/>
      <c r="AM147" s="164"/>
      <c r="AN147" s="244" t="str">
        <f t="shared" si="41"/>
        <v/>
      </c>
      <c r="AO147" s="164"/>
    </row>
    <row r="148" spans="1:41" x14ac:dyDescent="0.35">
      <c r="A148" s="133" cm="1">
        <f t="array" ref="A148">ROW(148:148)-3</f>
        <v>145</v>
      </c>
      <c r="B148" s="133">
        <v>53016418</v>
      </c>
      <c r="C148" s="133">
        <v>0</v>
      </c>
      <c r="D148" s="133" t="str">
        <f t="shared" si="38"/>
        <v>53016418-0</v>
      </c>
      <c r="E148" s="133" t="s">
        <v>313</v>
      </c>
      <c r="F148" s="164">
        <v>46099</v>
      </c>
      <c r="G148" s="134" t="str">
        <f t="shared" si="37"/>
        <v>Yes</v>
      </c>
      <c r="H148" s="135">
        <f>SUMIFS('Order Details'!$R:$R,'Order Details'!$A:$A,'Order Summary'!$B148,'Order Details'!$B:$B,'Order Summary'!$C148,'Order Details'!$E:$E,"Yes")</f>
        <v>12</v>
      </c>
      <c r="I148" s="133" t="s">
        <v>58</v>
      </c>
      <c r="J148" s="133" t="str">
        <f>VLOOKUP($I148,'Master Data'!$L$5:$M$15,2,FALSE)</f>
        <v>Houston</v>
      </c>
      <c r="K148" s="137">
        <f>SUMIFS('Order Details'!$U:$U,'Order Details'!$A:$A,'Order Summary'!$B148,'Order Details'!$B:$B,'Order Summary'!$C148,'Order Details'!$E:$E,"Yes")</f>
        <v>64092.240000000005</v>
      </c>
      <c r="L148" s="138">
        <f>SUMIFS('Order Details'!$P:$P,'Order Details'!$A:$A,'Order Summary'!$B148,'Order Details'!$B:$B,'Order Summary'!$C148,'Order Details'!$E:$E,"Yes")</f>
        <v>8277.5070000000014</v>
      </c>
      <c r="M148" s="133" t="s">
        <v>537</v>
      </c>
      <c r="N148" s="164"/>
      <c r="O148" s="171" t="str">
        <f t="shared" si="36"/>
        <v/>
      </c>
      <c r="P148" s="174">
        <f>ROUND(SUMIFS('Order Details'!$V:$V,'Order Details'!$A:$A,'Order Summary'!$B148,'Order Details'!$B:$B,'Order Summary'!$C148,'Order Details'!$E:$E,"Yes"),2)</f>
        <v>63985.13</v>
      </c>
      <c r="Q148" s="164"/>
      <c r="R148" s="171" t="str">
        <f t="shared" si="39"/>
        <v/>
      </c>
      <c r="S148" s="137"/>
      <c r="T148" s="165" t="str">
        <f>IF(Q148="","",Q148+_xlfn.MAXIFS('Order Details'!$W:$W,'Order Details'!$A:$A,'Order Summary'!$B148,'Order Details'!$B:$B,'Order Summary'!$C148,'Order Details'!$E:$E,"Yes"))</f>
        <v/>
      </c>
      <c r="U148" s="164" t="str">
        <f>IF(T148="","",T148+VLOOKUP($J148,'Master Data'!$F$6:$G$9,2,FALSE))</f>
        <v/>
      </c>
      <c r="V148" s="133"/>
      <c r="W148" s="133"/>
      <c r="X148" s="133"/>
      <c r="Y148" s="133"/>
      <c r="Z148" s="309" t="str">
        <f>IF($Y148="","",IF(VLOOKUP($Y148,'Master Data'!$F$12:$I$17,2,FALSE)="","",VLOOKUP($Y148,'Master Data'!$F$12:$I$17,2,FALSE)))</f>
        <v/>
      </c>
      <c r="AA148" s="164"/>
      <c r="AB148" s="171" t="str">
        <f t="shared" si="43"/>
        <v/>
      </c>
      <c r="AC148" s="133"/>
      <c r="AD148" s="164"/>
      <c r="AE148" s="164"/>
      <c r="AF148" s="137"/>
      <c r="AG148" s="137"/>
      <c r="AH148" s="137">
        <f t="shared" si="44"/>
        <v>63985.13</v>
      </c>
      <c r="AI148" s="137">
        <f t="shared" si="40"/>
        <v>63985.13</v>
      </c>
      <c r="AJ148" s="164"/>
      <c r="AK148" s="171" t="str">
        <f t="shared" si="42"/>
        <v/>
      </c>
      <c r="AL148" s="137"/>
      <c r="AM148" s="164"/>
      <c r="AN148" s="244" t="str">
        <f t="shared" si="41"/>
        <v/>
      </c>
      <c r="AO148" s="164"/>
    </row>
    <row r="149" spans="1:41" x14ac:dyDescent="0.35">
      <c r="A149" s="133" cm="1">
        <f t="array" ref="A149">ROW(149:149)-3</f>
        <v>146</v>
      </c>
      <c r="B149" s="133">
        <v>53016428</v>
      </c>
      <c r="C149" s="133">
        <v>0</v>
      </c>
      <c r="D149" s="133" t="str">
        <f t="shared" si="38"/>
        <v>53016428-0</v>
      </c>
      <c r="E149" s="133" t="s">
        <v>313</v>
      </c>
      <c r="F149" s="164">
        <v>46099</v>
      </c>
      <c r="G149" s="134" t="str">
        <f t="shared" si="37"/>
        <v>Yes</v>
      </c>
      <c r="H149" s="135">
        <f>SUMIFS('Order Details'!$R:$R,'Order Details'!$A:$A,'Order Summary'!$B149,'Order Details'!$B:$B,'Order Summary'!$C149,'Order Details'!$E:$E,"Yes")</f>
        <v>12</v>
      </c>
      <c r="I149" s="133" t="s">
        <v>58</v>
      </c>
      <c r="J149" s="133" t="str">
        <f>VLOOKUP($I149,'Master Data'!$L$5:$M$15,2,FALSE)</f>
        <v>Houston</v>
      </c>
      <c r="K149" s="137">
        <f>SUMIFS('Order Details'!$U:$U,'Order Details'!$A:$A,'Order Summary'!$B149,'Order Details'!$B:$B,'Order Summary'!$C149,'Order Details'!$E:$E,"Yes")</f>
        <v>66885.460000000006</v>
      </c>
      <c r="L149" s="138">
        <f>SUMIFS('Order Details'!$P:$P,'Order Details'!$A:$A,'Order Summary'!$B149,'Order Details'!$B:$B,'Order Summary'!$C149,'Order Details'!$E:$E,"Yes")</f>
        <v>8242.6470000000008</v>
      </c>
      <c r="M149" s="133" t="s">
        <v>538</v>
      </c>
      <c r="N149" s="164"/>
      <c r="O149" s="171" t="str">
        <f t="shared" si="36"/>
        <v/>
      </c>
      <c r="P149" s="174">
        <f>ROUND(SUMIFS('Order Details'!$V:$V,'Order Details'!$A:$A,'Order Summary'!$B149,'Order Details'!$B:$B,'Order Summary'!$C149,'Order Details'!$E:$E,"Yes"),2)</f>
        <v>66791.16</v>
      </c>
      <c r="Q149" s="164"/>
      <c r="R149" s="171" t="str">
        <f t="shared" si="39"/>
        <v/>
      </c>
      <c r="S149" s="137"/>
      <c r="T149" s="165" t="str">
        <f>IF(Q149="","",Q149+_xlfn.MAXIFS('Order Details'!$W:$W,'Order Details'!$A:$A,'Order Summary'!$B149,'Order Details'!$B:$B,'Order Summary'!$C149,'Order Details'!$E:$E,"Yes"))</f>
        <v/>
      </c>
      <c r="U149" s="164" t="str">
        <f>IF(T149="","",T149+VLOOKUP($J149,'Master Data'!$F$6:$G$9,2,FALSE))</f>
        <v/>
      </c>
      <c r="V149" s="133"/>
      <c r="W149" s="133"/>
      <c r="X149" s="133"/>
      <c r="Y149" s="133"/>
      <c r="Z149" s="309" t="str">
        <f>IF($Y149="","",IF(VLOOKUP($Y149,'Master Data'!$F$12:$I$17,2,FALSE)="","",VLOOKUP($Y149,'Master Data'!$F$12:$I$17,2,FALSE)))</f>
        <v/>
      </c>
      <c r="AA149" s="164"/>
      <c r="AB149" s="171" t="str">
        <f t="shared" si="43"/>
        <v/>
      </c>
      <c r="AC149" s="133"/>
      <c r="AD149" s="164"/>
      <c r="AE149" s="164"/>
      <c r="AF149" s="137"/>
      <c r="AG149" s="137"/>
      <c r="AH149" s="137">
        <f t="shared" si="44"/>
        <v>66791.16</v>
      </c>
      <c r="AI149" s="137">
        <f t="shared" si="40"/>
        <v>66791.16</v>
      </c>
      <c r="AJ149" s="164"/>
      <c r="AK149" s="171" t="str">
        <f t="shared" si="42"/>
        <v/>
      </c>
      <c r="AL149" s="137"/>
      <c r="AM149" s="164"/>
      <c r="AN149" s="244" t="str">
        <f t="shared" si="41"/>
        <v/>
      </c>
      <c r="AO149" s="164"/>
    </row>
    <row r="150" spans="1:41" x14ac:dyDescent="0.35">
      <c r="A150" s="133" cm="1">
        <f t="array" ref="A150">ROW(150:150)-3</f>
        <v>147</v>
      </c>
      <c r="B150" s="133">
        <v>53016435</v>
      </c>
      <c r="C150" s="133">
        <v>0</v>
      </c>
      <c r="D150" s="133" t="str">
        <f t="shared" si="38"/>
        <v>53016435-0</v>
      </c>
      <c r="E150" s="133" t="s">
        <v>313</v>
      </c>
      <c r="F150" s="164">
        <v>46099</v>
      </c>
      <c r="G150" s="134" t="str">
        <f t="shared" si="37"/>
        <v>Yes</v>
      </c>
      <c r="H150" s="135">
        <f>SUMIFS('Order Details'!$R:$R,'Order Details'!$A:$A,'Order Summary'!$B150,'Order Details'!$B:$B,'Order Summary'!$C150,'Order Details'!$E:$E,"Yes")</f>
        <v>9</v>
      </c>
      <c r="I150" s="133" t="s">
        <v>58</v>
      </c>
      <c r="J150" s="133" t="str">
        <f>VLOOKUP($I150,'Master Data'!$L$5:$M$15,2,FALSE)</f>
        <v>Houston</v>
      </c>
      <c r="K150" s="137">
        <f>SUMIFS('Order Details'!$U:$U,'Order Details'!$A:$A,'Order Summary'!$B150,'Order Details'!$B:$B,'Order Summary'!$C150,'Order Details'!$E:$E,"Yes")</f>
        <v>57036.240000000005</v>
      </c>
      <c r="L150" s="138">
        <f>SUMIFS('Order Details'!$P:$P,'Order Details'!$A:$A,'Order Summary'!$B150,'Order Details'!$B:$B,'Order Summary'!$C150,'Order Details'!$E:$E,"Yes")</f>
        <v>7363.6770000000006</v>
      </c>
      <c r="M150" s="133" t="s">
        <v>539</v>
      </c>
      <c r="N150" s="164"/>
      <c r="O150" s="171" t="str">
        <f t="shared" si="36"/>
        <v/>
      </c>
      <c r="P150" s="174">
        <f>ROUND(SUMIFS('Order Details'!$V:$V,'Order Details'!$A:$A,'Order Summary'!$B150,'Order Details'!$B:$B,'Order Summary'!$C150,'Order Details'!$E:$E,"Yes"),2)</f>
        <v>56921.22</v>
      </c>
      <c r="Q150" s="164"/>
      <c r="R150" s="171" t="str">
        <f t="shared" si="39"/>
        <v/>
      </c>
      <c r="S150" s="137"/>
      <c r="T150" s="165" t="str">
        <f>IF(Q150="","",Q150+_xlfn.MAXIFS('Order Details'!$W:$W,'Order Details'!$A:$A,'Order Summary'!$B150,'Order Details'!$B:$B,'Order Summary'!$C150,'Order Details'!$E:$E,"Yes"))</f>
        <v/>
      </c>
      <c r="U150" s="164" t="str">
        <f>IF(T150="","",T150+VLOOKUP($J150,'Master Data'!$F$6:$G$9,2,FALSE))</f>
        <v/>
      </c>
      <c r="V150" s="133"/>
      <c r="W150" s="133"/>
      <c r="X150" s="133"/>
      <c r="Y150" s="133"/>
      <c r="Z150" s="309" t="str">
        <f>IF($Y150="","",IF(VLOOKUP($Y150,'Master Data'!$F$12:$I$17,2,FALSE)="","",VLOOKUP($Y150,'Master Data'!$F$12:$I$17,2,FALSE)))</f>
        <v/>
      </c>
      <c r="AA150" s="164"/>
      <c r="AB150" s="171" t="str">
        <f t="shared" si="43"/>
        <v/>
      </c>
      <c r="AC150" s="133"/>
      <c r="AD150" s="164"/>
      <c r="AE150" s="164"/>
      <c r="AF150" s="137"/>
      <c r="AG150" s="137"/>
      <c r="AH150" s="137">
        <f t="shared" si="44"/>
        <v>56921.22</v>
      </c>
      <c r="AI150" s="137">
        <f t="shared" si="40"/>
        <v>56921.22</v>
      </c>
      <c r="AJ150" s="164"/>
      <c r="AK150" s="171" t="str">
        <f t="shared" si="42"/>
        <v/>
      </c>
      <c r="AL150" s="137"/>
      <c r="AM150" s="164"/>
      <c r="AN150" s="244" t="str">
        <f t="shared" si="41"/>
        <v/>
      </c>
      <c r="AO150" s="164"/>
    </row>
    <row r="151" spans="1:41" x14ac:dyDescent="0.35">
      <c r="A151" s="133" cm="1">
        <f t="array" ref="A151">ROW(151:151)-3</f>
        <v>148</v>
      </c>
      <c r="B151" s="133">
        <v>24233947</v>
      </c>
      <c r="C151" s="133">
        <v>0</v>
      </c>
      <c r="D151" s="133" t="str">
        <f t="shared" si="38"/>
        <v>24233947-0</v>
      </c>
      <c r="E151" s="133" t="s">
        <v>313</v>
      </c>
      <c r="F151" s="164">
        <v>46106</v>
      </c>
      <c r="G151" s="134" t="str">
        <f t="shared" si="37"/>
        <v>Yes</v>
      </c>
      <c r="H151" s="135">
        <f>SUMIFS('Order Details'!$R:$R,'Order Details'!$A:$A,'Order Summary'!$B151,'Order Details'!$B:$B,'Order Summary'!$C151,'Order Details'!$E:$E,"Yes")</f>
        <v>14</v>
      </c>
      <c r="I151" s="133" t="s">
        <v>101</v>
      </c>
      <c r="J151" s="133" t="str">
        <f>VLOOKUP($I151,'Master Data'!$L$5:$M$15,2,FALSE)</f>
        <v>Baltimore</v>
      </c>
      <c r="K151" s="137">
        <f>SUMIFS('Order Details'!$U:$U,'Order Details'!$A:$A,'Order Summary'!$B151,'Order Details'!$B:$B,'Order Summary'!$C151,'Order Details'!$E:$E,"Yes")</f>
        <v>63006.57</v>
      </c>
      <c r="L151" s="138">
        <f>SUMIFS('Order Details'!$P:$P,'Order Details'!$A:$A,'Order Summary'!$B151,'Order Details'!$B:$B,'Order Summary'!$C151,'Order Details'!$E:$E,"Yes")</f>
        <v>8017.8000000000011</v>
      </c>
      <c r="M151" s="133" t="s">
        <v>540</v>
      </c>
      <c r="N151" s="164"/>
      <c r="O151" s="171" t="str">
        <f t="shared" si="36"/>
        <v/>
      </c>
      <c r="P151" s="174">
        <f>ROUND(SUMIFS('Order Details'!$V:$V,'Order Details'!$A:$A,'Order Summary'!$B151,'Order Details'!$B:$B,'Order Summary'!$C151,'Order Details'!$E:$E,"Yes"),2)</f>
        <v>62905.37</v>
      </c>
      <c r="Q151" s="164"/>
      <c r="R151" s="171" t="str">
        <f t="shared" si="39"/>
        <v/>
      </c>
      <c r="S151" s="137"/>
      <c r="T151" s="165" t="str">
        <f>IF(Q151="","",Q151+_xlfn.MAXIFS('Order Details'!$W:$W,'Order Details'!$A:$A,'Order Summary'!$B151,'Order Details'!$B:$B,'Order Summary'!$C151,'Order Details'!$E:$E,"Yes"))</f>
        <v/>
      </c>
      <c r="U151" s="164" t="str">
        <f>IF(T151="","",T151+VLOOKUP($J151,'Master Data'!$F$6:$G$9,2,FALSE))</f>
        <v/>
      </c>
      <c r="V151" s="133"/>
      <c r="W151" s="133"/>
      <c r="X151" s="133"/>
      <c r="Y151" s="133"/>
      <c r="Z151" s="309" t="str">
        <f>IF($Y151="","",IF(VLOOKUP($Y151,'Master Data'!$F$12:$I$17,2,FALSE)="","",VLOOKUP($Y151,'Master Data'!$F$12:$I$17,2,FALSE)))</f>
        <v/>
      </c>
      <c r="AA151" s="164"/>
      <c r="AB151" s="171" t="str">
        <f t="shared" si="43"/>
        <v/>
      </c>
      <c r="AC151" s="133"/>
      <c r="AD151" s="164"/>
      <c r="AE151" s="164"/>
      <c r="AF151" s="137"/>
      <c r="AG151" s="137"/>
      <c r="AH151" s="137">
        <f t="shared" si="44"/>
        <v>62905.37</v>
      </c>
      <c r="AI151" s="137">
        <f t="shared" si="40"/>
        <v>62905.37</v>
      </c>
      <c r="AJ151" s="164"/>
      <c r="AK151" s="171" t="str">
        <f t="shared" si="42"/>
        <v/>
      </c>
      <c r="AL151" s="137"/>
      <c r="AM151" s="164"/>
      <c r="AN151" s="244" t="str">
        <f t="shared" si="41"/>
        <v/>
      </c>
      <c r="AO151" s="164"/>
    </row>
    <row r="152" spans="1:41" x14ac:dyDescent="0.35">
      <c r="A152" s="133" cm="1">
        <f t="array" ref="A152">ROW(152:152)-3</f>
        <v>149</v>
      </c>
      <c r="B152" s="133">
        <v>52996151</v>
      </c>
      <c r="C152" s="133">
        <v>1</v>
      </c>
      <c r="D152" s="133" t="str">
        <f t="shared" si="38"/>
        <v>52996151-1</v>
      </c>
      <c r="E152" s="133" t="s">
        <v>110</v>
      </c>
      <c r="F152" s="164">
        <v>46056</v>
      </c>
      <c r="G152" s="134" t="str">
        <f t="shared" si="37"/>
        <v>Yes</v>
      </c>
      <c r="H152" s="135">
        <f>SUMIFS('Order Details'!$R:$R,'Order Details'!$A:$A,'Order Summary'!$B152,'Order Details'!$B:$B,'Order Summary'!$C152,'Order Details'!$E:$E,"Yes")</f>
        <v>12</v>
      </c>
      <c r="I152" s="133" t="s">
        <v>79</v>
      </c>
      <c r="J152" s="133" t="str">
        <f>VLOOKUP($I152,'Master Data'!$L$5:$M$15,2,FALSE)</f>
        <v>Oakland</v>
      </c>
      <c r="K152" s="137">
        <f>SUMIFS('Order Details'!$U:$U,'Order Details'!$A:$A,'Order Summary'!$B152,'Order Details'!$B:$B,'Order Summary'!$C152,'Order Details'!$E:$E,"Yes")</f>
        <v>57722.399999999994</v>
      </c>
      <c r="L152" s="138">
        <f>SUMIFS('Order Details'!$P:$P,'Order Details'!$A:$A,'Order Summary'!$B152,'Order Details'!$B:$B,'Order Summary'!$C152,'Order Details'!$E:$E,"Yes")</f>
        <v>7455.06</v>
      </c>
      <c r="M152" s="133" t="s">
        <v>277</v>
      </c>
      <c r="N152" s="164">
        <v>46057</v>
      </c>
      <c r="O152" s="171">
        <f t="shared" si="36"/>
        <v>1</v>
      </c>
      <c r="P152" s="174">
        <f>ROUND(SUMIFS('Order Details'!$V:$V,'Order Details'!$A:$A,'Order Summary'!$B152,'Order Details'!$B:$B,'Order Summary'!$C152,'Order Details'!$E:$E,"Yes"),2)</f>
        <v>57627.61</v>
      </c>
      <c r="Q152" s="164">
        <v>46071</v>
      </c>
      <c r="R152" s="171">
        <f t="shared" si="39"/>
        <v>14</v>
      </c>
      <c r="S152" s="137">
        <v>30224.51</v>
      </c>
      <c r="T152" s="165">
        <f>IF(Q152="","",Q152+_xlfn.MAXIFS('Order Details'!$W:$W,'Order Details'!$A:$A,'Order Summary'!$B152,'Order Details'!$B:$B,'Order Summary'!$C152,'Order Details'!$E:$E,"Yes"))</f>
        <v>46116</v>
      </c>
      <c r="U152" s="164">
        <v>46191</v>
      </c>
      <c r="V152" s="133" t="s">
        <v>569</v>
      </c>
      <c r="W152" s="133" t="s">
        <v>61</v>
      </c>
      <c r="X152" s="133" t="s">
        <v>568</v>
      </c>
      <c r="Y152" s="133" t="s">
        <v>63</v>
      </c>
      <c r="Z152" s="309" t="str">
        <f>IF($Y152="","",IF(VLOOKUP($Y152,'Master Data'!$F$12:$I$17,2,FALSE)="","",VLOOKUP($Y152,'Master Data'!$F$12:$I$17,2,FALSE)))</f>
        <v>https://www.maersk.com/tracking/</v>
      </c>
      <c r="AA152" s="164">
        <v>46135</v>
      </c>
      <c r="AB152" s="171">
        <f t="shared" si="43"/>
        <v>64</v>
      </c>
      <c r="AC152" s="133" t="s">
        <v>561</v>
      </c>
      <c r="AD152" s="164">
        <v>46126</v>
      </c>
      <c r="AE152" s="164" t="s">
        <v>61</v>
      </c>
      <c r="AF152" s="137">
        <v>8200</v>
      </c>
      <c r="AG152" s="137">
        <v>1000</v>
      </c>
      <c r="AH152" s="137">
        <f t="shared" si="44"/>
        <v>66827.61</v>
      </c>
      <c r="AI152" s="137">
        <f t="shared" si="40"/>
        <v>36603.100000000006</v>
      </c>
      <c r="AJ152" s="164">
        <v>46143</v>
      </c>
      <c r="AK152" s="171">
        <f t="shared" si="42"/>
        <v>17</v>
      </c>
      <c r="AL152" s="137">
        <v>36603.1</v>
      </c>
      <c r="AM152" s="164"/>
      <c r="AN152" s="244" t="str">
        <f t="shared" si="41"/>
        <v/>
      </c>
      <c r="AO152" s="164"/>
    </row>
    <row r="153" spans="1:41" x14ac:dyDescent="0.35">
      <c r="A153" s="133" cm="1">
        <f t="array" ref="A153">ROW(153:153)-3</f>
        <v>150</v>
      </c>
      <c r="B153" s="133">
        <v>53013961</v>
      </c>
      <c r="C153" s="133">
        <v>1</v>
      </c>
      <c r="D153" s="133" t="str">
        <f t="shared" si="38"/>
        <v>53013961-1</v>
      </c>
      <c r="E153" s="133" t="s">
        <v>313</v>
      </c>
      <c r="F153" s="164">
        <v>46099</v>
      </c>
      <c r="G153" s="134" t="s">
        <v>61</v>
      </c>
      <c r="H153" s="135">
        <v>16</v>
      </c>
      <c r="I153" s="133" t="s">
        <v>160</v>
      </c>
      <c r="J153" s="133" t="str">
        <f>VLOOKUP($I153,'Master Data'!$L$5:$M$15,2,FALSE)</f>
        <v>Houston</v>
      </c>
      <c r="K153" s="137">
        <f>SUMIFS('Order Details'!$U:$U,'Order Details'!$A:$A,'Order Summary'!$B153,'Order Details'!$B:$B,'Order Summary'!$C153,'Order Details'!$E:$E,"Yes")</f>
        <v>64606.5</v>
      </c>
      <c r="L153" s="138">
        <f>SUMIFS('Order Details'!$P:$P,'Order Details'!$A:$A,'Order Summary'!$B153,'Order Details'!$B:$B,'Order Summary'!$C153,'Order Details'!$E:$E,"Yes")</f>
        <v>8202.0600000000013</v>
      </c>
      <c r="M153" s="133" t="s">
        <v>533</v>
      </c>
      <c r="N153" s="164"/>
      <c r="O153" s="171" t="str">
        <f t="shared" si="36"/>
        <v/>
      </c>
      <c r="P153" s="174">
        <f>ROUND(SUMIFS('Order Details'!$V:$V,'Order Details'!$A:$A,'Order Summary'!$B153,'Order Details'!$B:$B,'Order Summary'!$C153,'Order Details'!$E:$E,"Yes"),2)</f>
        <v>64509.2</v>
      </c>
      <c r="Q153" s="164"/>
      <c r="R153" s="171" t="str">
        <f t="shared" si="39"/>
        <v/>
      </c>
      <c r="S153" s="137"/>
      <c r="T153" s="165" t="str">
        <f>IF(Q153="","",Q153+_xlfn.MAXIFS('Order Details'!$W:$W,'Order Details'!$A:$A,'Order Summary'!$B153,'Order Details'!$B:$B,'Order Summary'!$C153,'Order Details'!$E:$E,"Yes"))</f>
        <v/>
      </c>
      <c r="U153" s="164" t="str">
        <f>IF(T153="","",T153+VLOOKUP($J153,'Master Data'!$F$6:$G$9,2,FALSE))</f>
        <v/>
      </c>
      <c r="V153" s="133"/>
      <c r="W153" s="133"/>
      <c r="X153" s="133"/>
      <c r="Y153" s="133"/>
      <c r="Z153" s="309" t="str">
        <f>IF($Y153="","",IF(VLOOKUP($Y153,'Master Data'!$F$12:$I$17,2,FALSE)="","",VLOOKUP($Y153,'Master Data'!$F$12:$I$17,2,FALSE)))</f>
        <v/>
      </c>
      <c r="AA153" s="164"/>
      <c r="AB153" s="171" t="str">
        <f t="shared" si="43"/>
        <v/>
      </c>
      <c r="AC153" s="133"/>
      <c r="AD153" s="164"/>
      <c r="AE153" s="164"/>
      <c r="AF153" s="137"/>
      <c r="AG153" s="137"/>
      <c r="AH153" s="137">
        <f t="shared" si="44"/>
        <v>64509.2</v>
      </c>
      <c r="AI153" s="137">
        <f t="shared" si="40"/>
        <v>64509.2</v>
      </c>
      <c r="AJ153" s="164"/>
      <c r="AK153" s="171" t="str">
        <f t="shared" si="42"/>
        <v/>
      </c>
      <c r="AL153" s="137"/>
      <c r="AM153" s="164"/>
      <c r="AN153" s="244" t="str">
        <f t="shared" si="41"/>
        <v/>
      </c>
      <c r="AO153" s="164"/>
    </row>
    <row r="154" spans="1:41" x14ac:dyDescent="0.35">
      <c r="A154" s="133" cm="1">
        <f t="array" ref="A154">ROW(154:154)-3</f>
        <v>151</v>
      </c>
      <c r="B154" s="133">
        <v>53022400</v>
      </c>
      <c r="C154" s="133">
        <v>0</v>
      </c>
      <c r="D154" s="133" t="str">
        <f t="shared" si="38"/>
        <v>53022400-0</v>
      </c>
      <c r="E154" s="133" t="s">
        <v>313</v>
      </c>
      <c r="F154" s="164">
        <v>46112</v>
      </c>
      <c r="G154" s="134" t="str">
        <f t="shared" si="37"/>
        <v>Yes</v>
      </c>
      <c r="H154" s="135">
        <f>SUMIFS('Order Details'!$R:$R,'Order Details'!$A:$A,'Order Summary'!$B154,'Order Details'!$B:$B,'Order Summary'!$C154,'Order Details'!$E:$E,"Yes")</f>
        <v>13</v>
      </c>
      <c r="I154" s="133" t="s">
        <v>160</v>
      </c>
      <c r="J154" s="133" t="str">
        <f>VLOOKUP($I154,'Master Data'!$L$5:$M$15,2,FALSE)</f>
        <v>Houston</v>
      </c>
      <c r="K154" s="137">
        <f>SUMIFS('Order Details'!$U:$U,'Order Details'!$A:$A,'Order Summary'!$B154,'Order Details'!$B:$B,'Order Summary'!$C154,'Order Details'!$E:$E,"Yes")</f>
        <v>66591.239999999991</v>
      </c>
      <c r="L154" s="138">
        <f>SUMIFS('Order Details'!$P:$P,'Order Details'!$A:$A,'Order Summary'!$B154,'Order Details'!$B:$B,'Order Summary'!$C154,'Order Details'!$E:$E,"Yes")</f>
        <v>8505.84</v>
      </c>
      <c r="M154" s="133" t="s">
        <v>573</v>
      </c>
      <c r="N154" s="164"/>
      <c r="O154" s="171" t="str">
        <f t="shared" ref="O154:O185" si="45">IF(N154="","",$N154-$F154)</f>
        <v/>
      </c>
      <c r="P154" s="174">
        <f>ROUND(SUMIFS('Order Details'!$V:$V,'Order Details'!$A:$A,'Order Summary'!$B154,'Order Details'!$B:$B,'Order Summary'!$C154,'Order Details'!$E:$E,"Yes"),2)</f>
        <v>66488.33</v>
      </c>
      <c r="Q154" s="164"/>
      <c r="R154" s="171" t="str">
        <f t="shared" si="39"/>
        <v/>
      </c>
      <c r="S154" s="137"/>
      <c r="T154" s="165" t="str">
        <f>IF(Q154="","",Q154+_xlfn.MAXIFS('Order Details'!$W:$W,'Order Details'!$A:$A,'Order Summary'!$B154,'Order Details'!$B:$B,'Order Summary'!$C154,'Order Details'!$E:$E,"Yes"))</f>
        <v/>
      </c>
      <c r="U154" s="164" t="str">
        <f>IF(T154="","",T154+VLOOKUP($J154,'Master Data'!$F$6:$G$9,2,FALSE))</f>
        <v/>
      </c>
      <c r="V154" s="133"/>
      <c r="W154" s="133"/>
      <c r="X154" s="133"/>
      <c r="Y154" s="133"/>
      <c r="Z154" s="309" t="str">
        <f>IF($Y154="","",IF(VLOOKUP($Y154,'Master Data'!$F$12:$I$17,2,FALSE)="","",VLOOKUP($Y154,'Master Data'!$F$12:$I$17,2,FALSE)))</f>
        <v/>
      </c>
      <c r="AA154" s="164"/>
      <c r="AB154" s="171" t="str">
        <f t="shared" si="43"/>
        <v/>
      </c>
      <c r="AC154" s="133"/>
      <c r="AD154" s="164"/>
      <c r="AE154" s="164"/>
      <c r="AF154" s="137"/>
      <c r="AG154" s="137"/>
      <c r="AH154" s="137">
        <f t="shared" si="44"/>
        <v>66488.33</v>
      </c>
      <c r="AI154" s="137">
        <f t="shared" si="40"/>
        <v>66488.33</v>
      </c>
      <c r="AJ154" s="164"/>
      <c r="AK154" s="171" t="str">
        <f t="shared" si="42"/>
        <v/>
      </c>
      <c r="AL154" s="137"/>
      <c r="AM154" s="164"/>
      <c r="AN154" s="244" t="str">
        <f t="shared" si="41"/>
        <v/>
      </c>
      <c r="AO154" s="164"/>
    </row>
    <row r="155" spans="1:41" x14ac:dyDescent="0.35">
      <c r="A155" s="133" cm="1">
        <f t="array" ref="A155">ROW(155:155)-3</f>
        <v>152</v>
      </c>
      <c r="B155" s="133">
        <v>24169131</v>
      </c>
      <c r="C155" s="133">
        <v>1</v>
      </c>
      <c r="D155" s="133" t="str">
        <f t="shared" si="38"/>
        <v>24169131-1</v>
      </c>
      <c r="E155" s="133" t="s">
        <v>215</v>
      </c>
      <c r="F155" s="164">
        <v>46032</v>
      </c>
      <c r="G155" s="134" t="str">
        <f t="shared" si="37"/>
        <v>Yes</v>
      </c>
      <c r="H155" s="135">
        <f>SUMIFS('Order Details'!$R:$R,'Order Details'!$A:$A,'Order Summary'!$B155,'Order Details'!$B:$B,'Order Summary'!$C155,'Order Details'!$E:$E,"Yes")</f>
        <v>12</v>
      </c>
      <c r="I155" s="133" t="s">
        <v>70</v>
      </c>
      <c r="J155" s="133" t="str">
        <f>VLOOKUP($I155,'Master Data'!$L$5:$M$15,2,FALSE)</f>
        <v>Baltimore</v>
      </c>
      <c r="K155" s="137">
        <f>SUMIFS('Order Details'!$U:$U,'Order Details'!$A:$A,'Order Summary'!$B155,'Order Details'!$B:$B,'Order Summary'!$C155,'Order Details'!$E:$E,"Yes")</f>
        <v>64974</v>
      </c>
      <c r="L155" s="138">
        <f>SUMIFS('Order Details'!$P:$P,'Order Details'!$A:$A,'Order Summary'!$B155,'Order Details'!$B:$B,'Order Summary'!$C155,'Order Details'!$E:$E,"Yes")</f>
        <v>8202.0600000000013</v>
      </c>
      <c r="M155" s="133" t="s">
        <v>258</v>
      </c>
      <c r="N155" s="164">
        <v>46034</v>
      </c>
      <c r="O155" s="171">
        <f t="shared" si="45"/>
        <v>2</v>
      </c>
      <c r="P155" s="174">
        <f>ROUND(SUMIFS('Order Details'!$V:$V,'Order Details'!$A:$A,'Order Summary'!$B155,'Order Details'!$B:$B,'Order Summary'!$C155,'Order Details'!$E:$E,"Yes"),2)</f>
        <v>64878.29</v>
      </c>
      <c r="Q155" s="164">
        <v>46037</v>
      </c>
      <c r="R155" s="171">
        <f t="shared" si="39"/>
        <v>3</v>
      </c>
      <c r="S155" s="137">
        <v>31618.94</v>
      </c>
      <c r="T155" s="165">
        <f>IF(Q155="","",Q155+_xlfn.MAXIFS('Order Details'!$W:$W,'Order Details'!$A:$A,'Order Summary'!$B155,'Order Details'!$B:$B,'Order Summary'!$C155,'Order Details'!$E:$E,"Yes"))</f>
        <v>46127</v>
      </c>
      <c r="U155" s="164">
        <f>IF(T155="","",T155+VLOOKUP($J155,'Master Data'!$F$6:$G$9,2,FALSE))</f>
        <v>46185</v>
      </c>
      <c r="V155" s="133"/>
      <c r="W155" s="133"/>
      <c r="X155" s="133"/>
      <c r="Y155" s="133"/>
      <c r="Z155" s="309" t="str">
        <f>IF($Y155="","",IF(VLOOKUP($Y155,'Master Data'!$F$12:$I$17,2,FALSE)="","",VLOOKUP($Y155,'Master Data'!$F$12:$I$17,2,FALSE)))</f>
        <v/>
      </c>
      <c r="AA155" s="164"/>
      <c r="AB155" s="171" t="str">
        <f t="shared" si="43"/>
        <v/>
      </c>
      <c r="AC155" s="133"/>
      <c r="AD155" s="164"/>
      <c r="AE155" s="164"/>
      <c r="AF155" s="137"/>
      <c r="AG155" s="137"/>
      <c r="AH155" s="137">
        <f t="shared" si="44"/>
        <v>64878.29</v>
      </c>
      <c r="AI155" s="137">
        <f t="shared" si="40"/>
        <v>33259.350000000006</v>
      </c>
      <c r="AJ155" s="164"/>
      <c r="AK155" s="171" t="str">
        <f t="shared" si="42"/>
        <v/>
      </c>
      <c r="AL155" s="137"/>
      <c r="AM155" s="164"/>
      <c r="AN155" s="244" t="str">
        <f t="shared" si="41"/>
        <v/>
      </c>
      <c r="AO155" s="164"/>
    </row>
    <row r="156" spans="1:41" x14ac:dyDescent="0.35">
      <c r="A156" s="133" cm="1">
        <f t="array" ref="A156">ROW(156:156)-3</f>
        <v>153</v>
      </c>
      <c r="B156" s="304">
        <v>53023614</v>
      </c>
      <c r="C156" s="133">
        <v>0</v>
      </c>
      <c r="D156" s="133" t="str">
        <f t="shared" si="38"/>
        <v>53023614-0</v>
      </c>
      <c r="E156" s="304" t="s">
        <v>313</v>
      </c>
      <c r="F156" s="164">
        <v>46115</v>
      </c>
      <c r="G156" s="134" t="str">
        <f t="shared" si="37"/>
        <v>Yes</v>
      </c>
      <c r="H156" s="135">
        <f>SUMIFS('Order Details'!$R:$R,'Order Details'!$A:$A,'Order Summary'!$B156,'Order Details'!$B:$B,'Order Summary'!$C156,'Order Details'!$E:$E,"Yes")</f>
        <v>13</v>
      </c>
      <c r="I156" s="133" t="s">
        <v>58</v>
      </c>
      <c r="J156" s="133" t="str">
        <f>VLOOKUP($I156,'Master Data'!$L$5:$M$15,2,FALSE)</f>
        <v>Houston</v>
      </c>
      <c r="K156" s="306">
        <f>SUMIFS('Order Details'!$U:$U,'Order Details'!$A:$A,'Order Summary'!$B156,'Order Details'!$B:$B,'Order Summary'!$C156,'Order Details'!$E:$E,"Yes")</f>
        <v>63234.400000000001</v>
      </c>
      <c r="L156" s="138">
        <f>SUMIFS('Order Details'!$P:$P,'Order Details'!$A:$A,'Order Summary'!$B156,'Order Details'!$B:$B,'Order Summary'!$C156,'Order Details'!$E:$E,"Yes")</f>
        <v>8103.2070000000012</v>
      </c>
      <c r="M156" s="133" t="s">
        <v>572</v>
      </c>
      <c r="N156" s="164"/>
      <c r="O156" s="171" t="str">
        <f t="shared" si="45"/>
        <v/>
      </c>
      <c r="P156" s="174">
        <f>ROUND(SUMIFS('Order Details'!$V:$V,'Order Details'!$A:$A,'Order Summary'!$B156,'Order Details'!$B:$B,'Order Summary'!$C156,'Order Details'!$E:$E,"Yes"),2)</f>
        <v>63129.64</v>
      </c>
      <c r="Q156" s="164"/>
      <c r="R156" s="171" t="str">
        <f t="shared" si="39"/>
        <v/>
      </c>
      <c r="S156" s="137"/>
      <c r="T156" s="165" t="str">
        <f>IF(Q156="","",Q156+_xlfn.MAXIFS('Order Details'!$W:$W,'Order Details'!$A:$A,'Order Summary'!$B156,'Order Details'!$B:$B,'Order Summary'!$C156,'Order Details'!$E:$E,"Yes"))</f>
        <v/>
      </c>
      <c r="U156" s="164" t="str">
        <f>IF(T156="","",T156+VLOOKUP($J156,'Master Data'!$F$6:$G$9,2,FALSE))</f>
        <v/>
      </c>
      <c r="V156" s="133"/>
      <c r="W156" s="133"/>
      <c r="X156" s="133"/>
      <c r="Y156" s="133"/>
      <c r="Z156" s="309" t="str">
        <f>IF($Y156="","",IF(VLOOKUP($Y156,'Master Data'!$F$12:$I$17,2,FALSE)="","",VLOOKUP($Y156,'Master Data'!$F$12:$I$17,2,FALSE)))</f>
        <v/>
      </c>
      <c r="AA156" s="164"/>
      <c r="AB156" s="171" t="str">
        <f t="shared" si="43"/>
        <v/>
      </c>
      <c r="AC156" s="133"/>
      <c r="AD156" s="164"/>
      <c r="AE156" s="164"/>
      <c r="AF156" s="137"/>
      <c r="AG156" s="137"/>
      <c r="AH156" s="137">
        <f t="shared" si="44"/>
        <v>63129.64</v>
      </c>
      <c r="AI156" s="137">
        <f t="shared" si="40"/>
        <v>63129.64</v>
      </c>
      <c r="AJ156" s="164"/>
      <c r="AK156" s="171" t="str">
        <f t="shared" si="42"/>
        <v/>
      </c>
      <c r="AL156" s="137"/>
      <c r="AM156" s="164"/>
      <c r="AN156" s="244" t="str">
        <f t="shared" si="41"/>
        <v/>
      </c>
      <c r="AO156" s="164"/>
    </row>
    <row r="157" spans="1:41" x14ac:dyDescent="0.35">
      <c r="A157" s="133" cm="1">
        <f t="array" ref="A157">ROW(157:157)-3</f>
        <v>154</v>
      </c>
      <c r="B157" s="133">
        <v>53023619</v>
      </c>
      <c r="C157" s="133">
        <v>0</v>
      </c>
      <c r="D157" s="133" t="str">
        <f t="shared" si="38"/>
        <v>53023619-0</v>
      </c>
      <c r="E157" s="133" t="s">
        <v>313</v>
      </c>
      <c r="F157" s="164">
        <v>46115</v>
      </c>
      <c r="G157" s="134" t="str">
        <f t="shared" ref="G157:G188" si="46">IF(OR(E157="PO Revised",E157="PO Cancelled"),"No","Yes")</f>
        <v>Yes</v>
      </c>
      <c r="H157" s="135">
        <f>SUMIFS('Order Details'!$R:$R,'Order Details'!$A:$A,'Order Summary'!$B157,'Order Details'!$B:$B,'Order Summary'!$C157,'Order Details'!$E:$E,"Yes")</f>
        <v>13</v>
      </c>
      <c r="I157" s="133" t="s">
        <v>58</v>
      </c>
      <c r="J157" s="133" t="str">
        <f>VLOOKUP($I157,'Master Data'!$L$5:$M$15,2,FALSE)</f>
        <v>Houston</v>
      </c>
      <c r="K157" s="137">
        <f>SUMIFS('Order Details'!$U:$U,'Order Details'!$A:$A,'Order Summary'!$B157,'Order Details'!$B:$B,'Order Summary'!$C157,'Order Details'!$E:$E,"Yes")</f>
        <v>63430.559999999998</v>
      </c>
      <c r="L157" s="138">
        <f>SUMIFS('Order Details'!$P:$P,'Order Details'!$A:$A,'Order Summary'!$B157,'Order Details'!$B:$B,'Order Summary'!$C157,'Order Details'!$E:$E,"Yes")</f>
        <v>8191.1040000000012</v>
      </c>
      <c r="M157" s="133" t="s">
        <v>574</v>
      </c>
      <c r="N157" s="164"/>
      <c r="O157" s="171" t="str">
        <f t="shared" si="45"/>
        <v/>
      </c>
      <c r="P157" s="174">
        <f>ROUND(SUMIFS('Order Details'!$V:$V,'Order Details'!$A:$A,'Order Summary'!$B157,'Order Details'!$B:$B,'Order Summary'!$C157,'Order Details'!$E:$E,"Yes"),2)</f>
        <v>63317.23</v>
      </c>
      <c r="Q157" s="164"/>
      <c r="R157" s="171" t="str">
        <f t="shared" si="39"/>
        <v/>
      </c>
      <c r="S157" s="137"/>
      <c r="T157" s="165" t="str">
        <f>IF(Q157="","",Q157+_xlfn.MAXIFS('Order Details'!$W:$W,'Order Details'!$A:$A,'Order Summary'!$B157,'Order Details'!$B:$B,'Order Summary'!$C157,'Order Details'!$E:$E,"Yes"))</f>
        <v/>
      </c>
      <c r="U157" s="164" t="str">
        <f>IF(T157="","",T157+VLOOKUP($J157,'Master Data'!$F$6:$G$9,2,FALSE))</f>
        <v/>
      </c>
      <c r="V157" s="133"/>
      <c r="W157" s="133"/>
      <c r="X157" s="133"/>
      <c r="Y157" s="133"/>
      <c r="Z157" s="309" t="str">
        <f>IF($Y157="","",IF(VLOOKUP($Y157,'Master Data'!$F$12:$I$17,2,FALSE)="","",VLOOKUP($Y157,'Master Data'!$F$12:$I$17,2,FALSE)))</f>
        <v/>
      </c>
      <c r="AA157" s="164"/>
      <c r="AB157" s="171" t="str">
        <f t="shared" si="43"/>
        <v/>
      </c>
      <c r="AC157" s="133"/>
      <c r="AD157" s="164"/>
      <c r="AE157" s="164"/>
      <c r="AF157" s="137"/>
      <c r="AG157" s="137"/>
      <c r="AH157" s="137">
        <f t="shared" si="44"/>
        <v>63317.23</v>
      </c>
      <c r="AI157" s="137">
        <f t="shared" si="40"/>
        <v>63317.23</v>
      </c>
      <c r="AJ157" s="164"/>
      <c r="AK157" s="171" t="str">
        <f t="shared" si="42"/>
        <v/>
      </c>
      <c r="AL157" s="137"/>
      <c r="AM157" s="164"/>
      <c r="AN157" s="244" t="str">
        <f t="shared" si="41"/>
        <v/>
      </c>
      <c r="AO157" s="164"/>
    </row>
    <row r="158" spans="1:41" x14ac:dyDescent="0.35">
      <c r="A158" s="133" cm="1">
        <f t="array" ref="A158">ROW(158:158)-3</f>
        <v>155</v>
      </c>
      <c r="B158" s="133">
        <v>24202686</v>
      </c>
      <c r="C158" s="133">
        <v>1</v>
      </c>
      <c r="D158" s="133" t="str">
        <f t="shared" si="38"/>
        <v>24202686-1</v>
      </c>
      <c r="E158" s="133" t="s">
        <v>260</v>
      </c>
      <c r="F158" s="164">
        <v>46073</v>
      </c>
      <c r="G158" s="134" t="str">
        <f t="shared" si="46"/>
        <v>Yes</v>
      </c>
      <c r="H158" s="135">
        <f>SUMIFS('Order Details'!$R:$R,'Order Details'!$A:$A,'Order Summary'!$B158,'Order Details'!$B:$B,'Order Summary'!$C158,'Order Details'!$E:$E,"Yes")</f>
        <v>14</v>
      </c>
      <c r="I158" s="133" t="s">
        <v>101</v>
      </c>
      <c r="J158" s="133" t="str">
        <f>VLOOKUP($I158,'Master Data'!$L$5:$M$15,2,FALSE)</f>
        <v>Baltimore</v>
      </c>
      <c r="K158" s="137">
        <f>SUMIFS('Order Details'!$U:$U,'Order Details'!$A:$A,'Order Summary'!$B158,'Order Details'!$B:$B,'Order Summary'!$C158,'Order Details'!$E:$E,"Yes")</f>
        <v>67816.240000000005</v>
      </c>
      <c r="L158" s="138">
        <f>SUMIFS('Order Details'!$P:$P,'Order Details'!$A:$A,'Order Summary'!$B158,'Order Details'!$B:$B,'Order Summary'!$C158,'Order Details'!$E:$E,"Yes")</f>
        <v>8505.84</v>
      </c>
      <c r="M158" s="247" t="s">
        <v>308</v>
      </c>
      <c r="N158" s="164">
        <v>46076</v>
      </c>
      <c r="O158" s="171">
        <f t="shared" si="45"/>
        <v>3</v>
      </c>
      <c r="P158" s="174">
        <f>ROUND(SUMIFS('Order Details'!$V:$V,'Order Details'!$A:$A,'Order Summary'!$B158,'Order Details'!$B:$B,'Order Summary'!$C158,'Order Details'!$E:$E,"Yes"),2)</f>
        <v>67718.64</v>
      </c>
      <c r="Q158" s="164"/>
      <c r="R158" s="171" t="s">
        <v>571</v>
      </c>
      <c r="S158" s="137"/>
      <c r="T158" s="165" t="s">
        <v>571</v>
      </c>
      <c r="U158" s="164" t="s">
        <v>571</v>
      </c>
      <c r="V158" s="133"/>
      <c r="W158" s="133"/>
      <c r="X158" s="133"/>
      <c r="Y158" s="133"/>
      <c r="Z158" s="309" t="s">
        <v>571</v>
      </c>
      <c r="AA158" s="164"/>
      <c r="AB158" s="171" t="str">
        <f t="shared" si="43"/>
        <v/>
      </c>
      <c r="AC158" s="133"/>
      <c r="AD158" s="164"/>
      <c r="AE158" s="164"/>
      <c r="AF158" s="137"/>
      <c r="AG158" s="137"/>
      <c r="AH158" s="137">
        <v>67390.559999999998</v>
      </c>
      <c r="AI158" s="137">
        <v>67390.559999999998</v>
      </c>
      <c r="AJ158" s="164"/>
      <c r="AK158" s="171" t="s">
        <v>571</v>
      </c>
      <c r="AL158" s="137"/>
      <c r="AM158" s="164"/>
      <c r="AN158" s="244" t="s">
        <v>571</v>
      </c>
      <c r="AO158" s="164"/>
    </row>
    <row r="159" spans="1:41" x14ac:dyDescent="0.35">
      <c r="A159" s="133" cm="1">
        <f t="array" ref="A159">ROW(159:159)-3</f>
        <v>156</v>
      </c>
      <c r="B159" s="133">
        <v>24202634</v>
      </c>
      <c r="C159" s="133">
        <v>1</v>
      </c>
      <c r="D159" s="133" t="str">
        <f t="shared" si="38"/>
        <v>24202634-1</v>
      </c>
      <c r="E159" s="133" t="s">
        <v>260</v>
      </c>
      <c r="F159" s="164">
        <v>46076</v>
      </c>
      <c r="G159" s="134" t="str">
        <f t="shared" si="46"/>
        <v>Yes</v>
      </c>
      <c r="H159" s="135">
        <f>SUMIFS('Order Details'!$R:$R,'Order Details'!$A:$A,'Order Summary'!$B159,'Order Details'!$B:$B,'Order Summary'!$C159,'Order Details'!$E:$E,"Yes")</f>
        <v>13</v>
      </c>
      <c r="I159" s="133" t="s">
        <v>101</v>
      </c>
      <c r="J159" s="133" t="str">
        <f>VLOOKUP($I159,'Master Data'!$L$5:$M$15,2,FALSE)</f>
        <v>Baltimore</v>
      </c>
      <c r="K159" s="137">
        <f>SUMIFS('Order Details'!$U:$U,'Order Details'!$A:$A,'Order Summary'!$B159,'Order Details'!$B:$B,'Order Summary'!$C159,'Order Details'!$E:$E,"Yes")</f>
        <v>66239.08</v>
      </c>
      <c r="L159" s="138">
        <f>SUMIFS('Order Details'!$P:$P,'Order Details'!$A:$A,'Order Summary'!$B159,'Order Details'!$B:$B,'Order Summary'!$C159,'Order Details'!$E:$E,"Yes")</f>
        <v>8202.0600000000013</v>
      </c>
      <c r="M159" s="133" t="s">
        <v>314</v>
      </c>
      <c r="N159" s="164">
        <v>46077</v>
      </c>
      <c r="O159" s="171">
        <f t="shared" si="45"/>
        <v>1</v>
      </c>
      <c r="P159" s="174">
        <f>ROUND(SUMIFS('Order Details'!$V:$V,'Order Details'!$A:$A,'Order Summary'!$B159,'Order Details'!$B:$B,'Order Summary'!$C159,'Order Details'!$E:$E,"Yes"),2)</f>
        <v>66149.61</v>
      </c>
      <c r="Q159" s="164"/>
      <c r="R159" s="171" t="str">
        <f t="shared" si="39"/>
        <v/>
      </c>
      <c r="S159" s="137"/>
      <c r="T159" s="165" t="str">
        <f>IF(Q159="","",Q159+_xlfn.MAXIFS('Order Details'!$W:$W,'Order Details'!$A:$A,'Order Summary'!$B159,'Order Details'!$B:$B,'Order Summary'!$C159,'Order Details'!$E:$E,"Yes"))</f>
        <v/>
      </c>
      <c r="U159" s="164" t="str">
        <f>IF(T159="","",T159+VLOOKUP($J159,'Master Data'!$F$6:$G$9,2,FALSE))</f>
        <v/>
      </c>
      <c r="V159" s="133"/>
      <c r="W159" s="133"/>
      <c r="X159" s="133"/>
      <c r="Y159" s="133"/>
      <c r="Z159" s="309" t="str">
        <f>IF($Y159="","",IF(VLOOKUP($Y159,'Master Data'!$F$12:$I$17,2,FALSE)="","",VLOOKUP($Y159,'Master Data'!$F$12:$I$17,2,FALSE)))</f>
        <v/>
      </c>
      <c r="AA159" s="164"/>
      <c r="AB159" s="171" t="str">
        <f t="shared" si="43"/>
        <v/>
      </c>
      <c r="AC159" s="133"/>
      <c r="AD159" s="164"/>
      <c r="AE159" s="164"/>
      <c r="AF159" s="137"/>
      <c r="AG159" s="137"/>
      <c r="AH159" s="137">
        <f t="shared" si="44"/>
        <v>66149.61</v>
      </c>
      <c r="AI159" s="137">
        <f t="shared" si="40"/>
        <v>66149.61</v>
      </c>
      <c r="AJ159" s="164"/>
      <c r="AK159" s="171" t="str">
        <f t="shared" si="42"/>
        <v/>
      </c>
      <c r="AL159" s="137"/>
      <c r="AM159" s="164"/>
      <c r="AN159" s="244" t="str">
        <f t="shared" si="41"/>
        <v/>
      </c>
      <c r="AO159" s="164"/>
    </row>
    <row r="160" spans="1:41" x14ac:dyDescent="0.35">
      <c r="A160" s="133" cm="1">
        <f t="array" ref="A160">ROW(160:160)-3</f>
        <v>157</v>
      </c>
      <c r="B160" s="133">
        <v>24202608</v>
      </c>
      <c r="C160" s="133">
        <v>1</v>
      </c>
      <c r="D160" s="133" t="str">
        <f t="shared" si="38"/>
        <v>24202608-1</v>
      </c>
      <c r="E160" s="133" t="s">
        <v>260</v>
      </c>
      <c r="F160" s="164">
        <v>46076</v>
      </c>
      <c r="G160" s="134" t="str">
        <f t="shared" si="46"/>
        <v>Yes</v>
      </c>
      <c r="H160" s="135">
        <f>SUMIFS('Order Details'!$R:$R,'Order Details'!$A:$A,'Order Summary'!$B160,'Order Details'!$B:$B,'Order Summary'!$C160,'Order Details'!$E:$E,"Yes")</f>
        <v>13</v>
      </c>
      <c r="I160" s="133" t="s">
        <v>101</v>
      </c>
      <c r="J160" s="133" t="str">
        <f>VLOOKUP($I160,'Master Data'!$L$5:$M$15,2,FALSE)</f>
        <v>Baltimore</v>
      </c>
      <c r="K160" s="137">
        <f>SUMIFS('Order Details'!$U:$U,'Order Details'!$A:$A,'Order Summary'!$B160,'Order Details'!$B:$B,'Order Summary'!$C160,'Order Details'!$E:$E,"Yes")</f>
        <v>66133.17</v>
      </c>
      <c r="L160" s="138">
        <f>SUMIFS('Order Details'!$P:$P,'Order Details'!$A:$A,'Order Summary'!$B160,'Order Details'!$B:$B,'Order Summary'!$C160,'Order Details'!$E:$E,"Yes")</f>
        <v>8278.005000000001</v>
      </c>
      <c r="M160" s="133" t="s">
        <v>316</v>
      </c>
      <c r="N160" s="164">
        <v>46077</v>
      </c>
      <c r="O160" s="171">
        <f t="shared" si="45"/>
        <v>1</v>
      </c>
      <c r="P160" s="174">
        <f>ROUND(SUMIFS('Order Details'!$V:$V,'Order Details'!$A:$A,'Order Summary'!$B160,'Order Details'!$B:$B,'Order Summary'!$C160,'Order Details'!$E:$E,"Yes"),2)</f>
        <v>66039.490000000005</v>
      </c>
      <c r="Q160" s="164"/>
      <c r="R160" s="171" t="str">
        <f t="shared" si="39"/>
        <v/>
      </c>
      <c r="S160" s="137"/>
      <c r="T160" s="165" t="str">
        <f>IF(Q160="","",Q160+_xlfn.MAXIFS('Order Details'!$W:$W,'Order Details'!$A:$A,'Order Summary'!$B160,'Order Details'!$B:$B,'Order Summary'!$C160,'Order Details'!$E:$E,"Yes"))</f>
        <v/>
      </c>
      <c r="U160" s="164" t="str">
        <f>IF(T160="","",T160+VLOOKUP($J160,'Master Data'!$F$6:$G$9,2,FALSE))</f>
        <v/>
      </c>
      <c r="V160" s="133"/>
      <c r="W160" s="133"/>
      <c r="X160" s="133"/>
      <c r="Y160" s="133"/>
      <c r="Z160" s="309" t="str">
        <f>IF($Y160="","",IF(VLOOKUP($Y160,'Master Data'!$F$12:$I$17,2,FALSE)="","",VLOOKUP($Y160,'Master Data'!$F$12:$I$17,2,FALSE)))</f>
        <v/>
      </c>
      <c r="AA160" s="164"/>
      <c r="AB160" s="171" t="str">
        <f t="shared" si="43"/>
        <v/>
      </c>
      <c r="AC160" s="133"/>
      <c r="AD160" s="164"/>
      <c r="AE160" s="164"/>
      <c r="AF160" s="137"/>
      <c r="AG160" s="137"/>
      <c r="AH160" s="137">
        <f t="shared" si="44"/>
        <v>66039.490000000005</v>
      </c>
      <c r="AI160" s="137">
        <f t="shared" si="40"/>
        <v>66039.490000000005</v>
      </c>
      <c r="AJ160" s="164"/>
      <c r="AK160" s="171" t="str">
        <f t="shared" si="42"/>
        <v/>
      </c>
      <c r="AL160" s="137"/>
      <c r="AM160" s="164"/>
      <c r="AN160" s="244" t="str">
        <f t="shared" si="41"/>
        <v/>
      </c>
      <c r="AO160" s="164"/>
    </row>
    <row r="161" spans="1:41" x14ac:dyDescent="0.35">
      <c r="A161" s="133" cm="1">
        <f t="array" ref="A161">ROW(161:161)-3</f>
        <v>158</v>
      </c>
      <c r="B161" s="133">
        <v>24202721</v>
      </c>
      <c r="C161" s="133">
        <v>1</v>
      </c>
      <c r="D161" s="133" t="str">
        <f t="shared" si="38"/>
        <v>24202721-1</v>
      </c>
      <c r="E161" s="133" t="s">
        <v>260</v>
      </c>
      <c r="F161" s="164">
        <v>46073</v>
      </c>
      <c r="G161" s="134" t="str">
        <f t="shared" si="46"/>
        <v>Yes</v>
      </c>
      <c r="H161" s="135">
        <f>SUMIFS('Order Details'!$R:$R,'Order Details'!$A:$A,'Order Summary'!$B161,'Order Details'!$B:$B,'Order Summary'!$C161,'Order Details'!$E:$E,"Yes")</f>
        <v>14</v>
      </c>
      <c r="I161" s="133" t="s">
        <v>101</v>
      </c>
      <c r="J161" s="133" t="str">
        <f>VLOOKUP($I161,'Master Data'!$L$5:$M$15,2,FALSE)</f>
        <v>Baltimore</v>
      </c>
      <c r="K161" s="137">
        <f>SUMIFS('Order Details'!$U:$U,'Order Details'!$A:$A,'Order Summary'!$B161,'Order Details'!$B:$B,'Order Summary'!$C161,'Order Details'!$E:$E,"Yes")</f>
        <v>66835.51999999999</v>
      </c>
      <c r="L161" s="138">
        <f>SUMIFS('Order Details'!$P:$P,'Order Details'!$A:$A,'Order Summary'!$B161,'Order Details'!$B:$B,'Order Summary'!$C161,'Order Details'!$E:$E,"Yes")</f>
        <v>8505.84</v>
      </c>
      <c r="M161" s="247" t="s">
        <v>309</v>
      </c>
      <c r="N161" s="164">
        <v>46076</v>
      </c>
      <c r="O161" s="171">
        <f t="shared" si="45"/>
        <v>3</v>
      </c>
      <c r="P161" s="174">
        <f>ROUND(SUMIFS('Order Details'!$V:$V,'Order Details'!$A:$A,'Order Summary'!$B161,'Order Details'!$B:$B,'Order Summary'!$C161,'Order Details'!$E:$E,"Yes"),2)</f>
        <v>66734.39</v>
      </c>
      <c r="Q161" s="164"/>
      <c r="R161" s="171" t="str">
        <f t="shared" si="39"/>
        <v/>
      </c>
      <c r="S161" s="137"/>
      <c r="T161" s="165" t="str">
        <f>IF(Q161="","",Q161+_xlfn.MAXIFS('Order Details'!$W:$W,'Order Details'!$A:$A,'Order Summary'!$B161,'Order Details'!$B:$B,'Order Summary'!$C161,'Order Details'!$E:$E,"Yes"))</f>
        <v/>
      </c>
      <c r="U161" s="164" t="str">
        <f>IF(T161="","",T161+VLOOKUP($J161,'Master Data'!$F$6:$G$9,2,FALSE))</f>
        <v/>
      </c>
      <c r="V161" s="133"/>
      <c r="W161" s="133"/>
      <c r="X161" s="133"/>
      <c r="Y161" s="133"/>
      <c r="Z161" s="309" t="str">
        <f>IF($Y161="","",IF(VLOOKUP($Y161,'Master Data'!$F$12:$I$17,2,FALSE)="","",VLOOKUP($Y161,'Master Data'!$F$12:$I$17,2,FALSE)))</f>
        <v/>
      </c>
      <c r="AA161" s="164"/>
      <c r="AB161" s="171" t="str">
        <f t="shared" si="43"/>
        <v/>
      </c>
      <c r="AC161" s="133"/>
      <c r="AD161" s="164"/>
      <c r="AE161" s="164"/>
      <c r="AF161" s="137"/>
      <c r="AG161" s="137"/>
      <c r="AH161" s="137">
        <f t="shared" si="44"/>
        <v>66734.39</v>
      </c>
      <c r="AI161" s="137">
        <f t="shared" si="40"/>
        <v>66734.39</v>
      </c>
      <c r="AJ161" s="164"/>
      <c r="AK161" s="171" t="str">
        <f t="shared" si="42"/>
        <v/>
      </c>
      <c r="AL161" s="137"/>
      <c r="AM161" s="164"/>
      <c r="AN161" s="244" t="str">
        <f t="shared" si="41"/>
        <v/>
      </c>
      <c r="AO161" s="164"/>
    </row>
    <row r="162" spans="1:41" x14ac:dyDescent="0.35">
      <c r="A162" s="133" cm="1">
        <f t="array" ref="A162">ROW(162:162)-3</f>
        <v>159</v>
      </c>
      <c r="B162" s="133">
        <v>53036679</v>
      </c>
      <c r="C162" s="133">
        <v>0</v>
      </c>
      <c r="D162" s="133" t="str">
        <f t="shared" si="38"/>
        <v>53036679-0</v>
      </c>
      <c r="E162" s="133" t="s">
        <v>313</v>
      </c>
      <c r="F162" s="164">
        <v>46149</v>
      </c>
      <c r="G162" s="134" t="str">
        <f t="shared" si="46"/>
        <v>Yes</v>
      </c>
      <c r="H162" s="135">
        <f>SUMIFS('Order Details'!$R:$R,'Order Details'!$A:$A,'Order Summary'!$B162,'Order Details'!$B:$B,'Order Summary'!$C162,'Order Details'!$E:$E,"Yes")</f>
        <v>14</v>
      </c>
      <c r="I162" s="133" t="s">
        <v>70</v>
      </c>
      <c r="J162" s="133" t="str">
        <f>VLOOKUP($I162,'Master Data'!$L$5:$M$15,2,FALSE)</f>
        <v>Baltimore</v>
      </c>
      <c r="K162" s="137">
        <f>SUMIFS('Order Details'!$U:$U,'Order Details'!$A:$A,'Order Summary'!$B162,'Order Details'!$B:$B,'Order Summary'!$C162,'Order Details'!$E:$E,"Yes")</f>
        <v>68142.169999999984</v>
      </c>
      <c r="L162" s="138">
        <f>SUMIFS('Order Details'!$P:$P,'Order Details'!$A:$A,'Order Summary'!$B162,'Order Details'!$B:$B,'Order Summary'!$C162,'Order Details'!$E:$E,"Yes")</f>
        <v>8505.84</v>
      </c>
      <c r="M162" s="133" t="s">
        <v>593</v>
      </c>
      <c r="N162" s="164">
        <v>46167</v>
      </c>
      <c r="O162" s="171">
        <f t="shared" si="45"/>
        <v>18</v>
      </c>
      <c r="P162" s="174">
        <f>ROUND(SUMIFS('Order Details'!$V:$V,'Order Details'!$A:$A,'Order Summary'!$B162,'Order Details'!$B:$B,'Order Summary'!$C162,'Order Details'!$E:$E,"Yes"),2)</f>
        <v>68046.720000000001</v>
      </c>
      <c r="Q162" s="164"/>
      <c r="R162" s="171" t="str">
        <f t="shared" si="39"/>
        <v/>
      </c>
      <c r="S162" s="137"/>
      <c r="T162" s="165" t="str">
        <f>IF(Q162="","",Q162+_xlfn.MAXIFS('Order Details'!$W:$W,'Order Details'!$A:$A,'Order Summary'!$B162,'Order Details'!$B:$B,'Order Summary'!$C162,'Order Details'!$E:$E,"Yes"))</f>
        <v/>
      </c>
      <c r="U162" s="164" t="str">
        <f>IF(T162="","",T162+VLOOKUP($J162,'Master Data'!$F$6:$G$9,2,FALSE))</f>
        <v/>
      </c>
      <c r="V162" s="133"/>
      <c r="W162" s="133"/>
      <c r="X162" s="133"/>
      <c r="Y162" s="133"/>
      <c r="Z162" s="309" t="str">
        <f>IF($Y162="","",IF(VLOOKUP($Y162,'Master Data'!$F$12:$I$17,2,FALSE)="","",VLOOKUP($Y162,'Master Data'!$F$12:$I$17,2,FALSE)))</f>
        <v/>
      </c>
      <c r="AA162" s="164"/>
      <c r="AB162" s="171" t="str">
        <f t="shared" si="43"/>
        <v/>
      </c>
      <c r="AC162" s="133"/>
      <c r="AD162" s="164"/>
      <c r="AE162" s="164"/>
      <c r="AF162" s="137"/>
      <c r="AG162" s="137"/>
      <c r="AH162" s="137">
        <f t="shared" si="44"/>
        <v>68046.720000000001</v>
      </c>
      <c r="AI162" s="137">
        <f t="shared" si="40"/>
        <v>68046.720000000001</v>
      </c>
      <c r="AJ162" s="164"/>
      <c r="AK162" s="171" t="str">
        <f t="shared" si="42"/>
        <v/>
      </c>
      <c r="AL162" s="137"/>
      <c r="AM162" s="164"/>
      <c r="AN162" s="244" t="str">
        <f t="shared" si="41"/>
        <v/>
      </c>
      <c r="AO162" s="164"/>
    </row>
    <row r="163" spans="1:41" x14ac:dyDescent="0.35">
      <c r="A163" s="133" cm="1">
        <f t="array" ref="A163">ROW(163:163)-3</f>
        <v>160</v>
      </c>
      <c r="B163" s="133">
        <v>53036684</v>
      </c>
      <c r="C163" s="133">
        <v>0</v>
      </c>
      <c r="D163" s="133" t="str">
        <f t="shared" si="38"/>
        <v>53036684-0</v>
      </c>
      <c r="E163" s="133" t="s">
        <v>313</v>
      </c>
      <c r="F163" s="164">
        <v>46149</v>
      </c>
      <c r="G163" s="134" t="str">
        <f t="shared" si="46"/>
        <v>Yes</v>
      </c>
      <c r="H163" s="135">
        <f>SUMIFS('Order Details'!$R:$R,'Order Details'!$A:$A,'Order Summary'!$B163,'Order Details'!$B:$B,'Order Summary'!$C163,'Order Details'!$E:$E,"Yes")</f>
        <v>14</v>
      </c>
      <c r="I163" s="133" t="s">
        <v>160</v>
      </c>
      <c r="J163" s="133" t="str">
        <f>VLOOKUP($I163,'Master Data'!$L$5:$M$15,2,FALSE)</f>
        <v>Houston</v>
      </c>
      <c r="K163" s="137">
        <f>SUMIFS('Order Details'!$U:$U,'Order Details'!$A:$A,'Order Summary'!$B163,'Order Details'!$B:$B,'Order Summary'!$C163,'Order Details'!$E:$E,"Yes")</f>
        <v>65856.240000000005</v>
      </c>
      <c r="L163" s="138">
        <f>SUMIFS('Order Details'!$P:$P,'Order Details'!$A:$A,'Order Summary'!$B163,'Order Details'!$B:$B,'Order Summary'!$C163,'Order Details'!$E:$E,"Yes")</f>
        <v>8505.84</v>
      </c>
      <c r="M163" s="133" t="s">
        <v>594</v>
      </c>
      <c r="N163" s="164">
        <v>46167</v>
      </c>
      <c r="O163" s="171">
        <f t="shared" si="45"/>
        <v>18</v>
      </c>
      <c r="P163" s="174">
        <f>ROUND(SUMIFS('Order Details'!$V:$V,'Order Details'!$A:$A,'Order Summary'!$B163,'Order Details'!$B:$B,'Order Summary'!$C163,'Order Details'!$E:$E,"Yes"),2)</f>
        <v>65750.14</v>
      </c>
      <c r="Q163" s="164"/>
      <c r="R163" s="171" t="str">
        <f t="shared" si="39"/>
        <v/>
      </c>
      <c r="S163" s="137"/>
      <c r="T163" s="165" t="str">
        <f>IF(Q163="","",Q163+_xlfn.MAXIFS('Order Details'!$W:$W,'Order Details'!$A:$A,'Order Summary'!$B163,'Order Details'!$B:$B,'Order Summary'!$C163,'Order Details'!$E:$E,"Yes"))</f>
        <v/>
      </c>
      <c r="U163" s="164" t="str">
        <f>IF(T163="","",T163+VLOOKUP($J163,'Master Data'!$F$6:$G$9,2,FALSE))</f>
        <v/>
      </c>
      <c r="V163" s="133"/>
      <c r="W163" s="133"/>
      <c r="X163" s="133"/>
      <c r="Y163" s="133"/>
      <c r="Z163" s="309" t="str">
        <f>IF($Y163="","",IF(VLOOKUP($Y163,'Master Data'!$F$12:$I$17,2,FALSE)="","",VLOOKUP($Y163,'Master Data'!$F$12:$I$17,2,FALSE)))</f>
        <v/>
      </c>
      <c r="AA163" s="164"/>
      <c r="AB163" s="171" t="str">
        <f t="shared" si="43"/>
        <v/>
      </c>
      <c r="AC163" s="133"/>
      <c r="AD163" s="164"/>
      <c r="AE163" s="164"/>
      <c r="AF163" s="137"/>
      <c r="AG163" s="137"/>
      <c r="AH163" s="137">
        <f t="shared" si="44"/>
        <v>65750.14</v>
      </c>
      <c r="AI163" s="137">
        <f t="shared" si="40"/>
        <v>65750.14</v>
      </c>
      <c r="AJ163" s="164"/>
      <c r="AK163" s="171" t="str">
        <f t="shared" si="42"/>
        <v/>
      </c>
      <c r="AL163" s="137"/>
      <c r="AM163" s="164"/>
      <c r="AN163" s="244" t="str">
        <f t="shared" si="41"/>
        <v/>
      </c>
      <c r="AO163" s="164"/>
    </row>
    <row r="164" spans="1:41" x14ac:dyDescent="0.35">
      <c r="A164" s="133" cm="1">
        <f t="array" ref="A164">ROW(164:164)-3</f>
        <v>161</v>
      </c>
      <c r="B164" s="133">
        <v>53036682</v>
      </c>
      <c r="C164" s="133">
        <v>0</v>
      </c>
      <c r="D164" s="133" t="str">
        <f t="shared" ref="D164:D195" si="47">B164&amp;"-"&amp;C164</f>
        <v>53036682-0</v>
      </c>
      <c r="E164" s="133" t="s">
        <v>313</v>
      </c>
      <c r="F164" s="164">
        <v>46149</v>
      </c>
      <c r="G164" s="134" t="str">
        <f t="shared" si="46"/>
        <v>Yes</v>
      </c>
      <c r="H164" s="135">
        <f>SUMIFS('Order Details'!$R:$R,'Order Details'!$A:$A,'Order Summary'!$B164,'Order Details'!$B:$B,'Order Summary'!$C164,'Order Details'!$E:$E,"Yes")</f>
        <v>14</v>
      </c>
      <c r="I164" s="133" t="s">
        <v>160</v>
      </c>
      <c r="J164" s="133" t="str">
        <f>VLOOKUP($I164,'Master Data'!$L$5:$M$15,2,FALSE)</f>
        <v>Houston</v>
      </c>
      <c r="K164" s="137">
        <f>SUMIFS('Order Details'!$U:$U,'Order Details'!$A:$A,'Order Summary'!$B164,'Order Details'!$B:$B,'Order Summary'!$C164,'Order Details'!$E:$E,"Yes")</f>
        <v>65856.240000000005</v>
      </c>
      <c r="L164" s="138">
        <f>SUMIFS('Order Details'!$P:$P,'Order Details'!$A:$A,'Order Summary'!$B164,'Order Details'!$B:$B,'Order Summary'!$C164,'Order Details'!$E:$E,"Yes")</f>
        <v>8505.84</v>
      </c>
      <c r="M164" s="133" t="s">
        <v>595</v>
      </c>
      <c r="N164" s="164">
        <v>46167</v>
      </c>
      <c r="O164" s="171">
        <f t="shared" si="45"/>
        <v>18</v>
      </c>
      <c r="P164" s="174">
        <f>ROUND(SUMIFS('Order Details'!$V:$V,'Order Details'!$A:$A,'Order Summary'!$B164,'Order Details'!$B:$B,'Order Summary'!$C164,'Order Details'!$E:$E,"Yes"),2)</f>
        <v>65750.14</v>
      </c>
      <c r="Q164" s="164"/>
      <c r="R164" s="171" t="str">
        <f t="shared" ref="R164:R195" si="48">IF(Q164="","",$Q164-$N164)</f>
        <v/>
      </c>
      <c r="S164" s="137"/>
      <c r="T164" s="165" t="str">
        <f>IF(Q164="","",Q164+_xlfn.MAXIFS('Order Details'!$W:$W,'Order Details'!$A:$A,'Order Summary'!$B164,'Order Details'!$B:$B,'Order Summary'!$C164,'Order Details'!$E:$E,"Yes"))</f>
        <v/>
      </c>
      <c r="U164" s="164" t="str">
        <f>IF(T164="","",T164+VLOOKUP($J164,'Master Data'!$F$6:$G$9,2,FALSE))</f>
        <v/>
      </c>
      <c r="V164" s="133"/>
      <c r="W164" s="133"/>
      <c r="X164" s="133"/>
      <c r="Y164" s="133"/>
      <c r="Z164" s="309" t="str">
        <f>IF($Y164="","",IF(VLOOKUP($Y164,'Master Data'!$F$12:$I$17,2,FALSE)="","",VLOOKUP($Y164,'Master Data'!$F$12:$I$17,2,FALSE)))</f>
        <v/>
      </c>
      <c r="AA164" s="164"/>
      <c r="AB164" s="171" t="str">
        <f t="shared" si="43"/>
        <v/>
      </c>
      <c r="AC164" s="133"/>
      <c r="AD164" s="164"/>
      <c r="AE164" s="164"/>
      <c r="AF164" s="137"/>
      <c r="AG164" s="137"/>
      <c r="AH164" s="137">
        <f t="shared" si="44"/>
        <v>65750.14</v>
      </c>
      <c r="AI164" s="137">
        <f t="shared" ref="AI164:AI195" si="49">AH164-S164</f>
        <v>65750.14</v>
      </c>
      <c r="AJ164" s="164"/>
      <c r="AK164" s="171" t="str">
        <f t="shared" si="42"/>
        <v/>
      </c>
      <c r="AL164" s="137"/>
      <c r="AM164" s="164"/>
      <c r="AN164" s="244" t="str">
        <f t="shared" ref="AN164:AN195" si="50">IFERROR(IF(OR(AM164="",AJ164=""),"",$AM164-$AJ164),"")</f>
        <v/>
      </c>
      <c r="AO164" s="164"/>
    </row>
    <row r="165" spans="1:41" x14ac:dyDescent="0.35">
      <c r="A165" s="133" cm="1">
        <f t="array" ref="A165">ROW(165:165)-3</f>
        <v>162</v>
      </c>
      <c r="B165" s="133">
        <v>53036685</v>
      </c>
      <c r="C165" s="133">
        <v>0</v>
      </c>
      <c r="D165" s="133" t="str">
        <f t="shared" si="47"/>
        <v>53036685-0</v>
      </c>
      <c r="E165" s="133" t="s">
        <v>313</v>
      </c>
      <c r="F165" s="164">
        <v>46149</v>
      </c>
      <c r="G165" s="134" t="str">
        <f t="shared" si="46"/>
        <v>Yes</v>
      </c>
      <c r="H165" s="135">
        <f>SUMIFS('Order Details'!$R:$R,'Order Details'!$A:$A,'Order Summary'!$B165,'Order Details'!$B:$B,'Order Summary'!$C165,'Order Details'!$E:$E,"Yes")</f>
        <v>14</v>
      </c>
      <c r="I165" s="133" t="s">
        <v>160</v>
      </c>
      <c r="J165" s="133" t="str">
        <f>VLOOKUP($I165,'Master Data'!$L$5:$M$15,2,FALSE)</f>
        <v>Houston</v>
      </c>
      <c r="K165" s="137">
        <f>SUMIFS('Order Details'!$U:$U,'Order Details'!$A:$A,'Order Summary'!$B165,'Order Details'!$B:$B,'Order Summary'!$C165,'Order Details'!$E:$E,"Yes")</f>
        <v>65855.51999999999</v>
      </c>
      <c r="L165" s="138">
        <f>SUMIFS('Order Details'!$P:$P,'Order Details'!$A:$A,'Order Summary'!$B165,'Order Details'!$B:$B,'Order Summary'!$C165,'Order Details'!$E:$E,"Yes")</f>
        <v>8505.84</v>
      </c>
      <c r="M165" s="133" t="s">
        <v>596</v>
      </c>
      <c r="N165" s="164">
        <v>46167</v>
      </c>
      <c r="O165" s="171">
        <f t="shared" si="45"/>
        <v>18</v>
      </c>
      <c r="P165" s="174">
        <f>ROUND(SUMIFS('Order Details'!$V:$V,'Order Details'!$A:$A,'Order Summary'!$B165,'Order Details'!$B:$B,'Order Summary'!$C165,'Order Details'!$E:$E,"Yes"),2)</f>
        <v>65750.14</v>
      </c>
      <c r="Q165" s="164"/>
      <c r="R165" s="171" t="str">
        <f t="shared" si="48"/>
        <v/>
      </c>
      <c r="S165" s="137"/>
      <c r="T165" s="165" t="str">
        <f>IF(Q165="","",Q165+_xlfn.MAXIFS('Order Details'!$W:$W,'Order Details'!$A:$A,'Order Summary'!$B165,'Order Details'!$B:$B,'Order Summary'!$C165,'Order Details'!$E:$E,"Yes"))</f>
        <v/>
      </c>
      <c r="U165" s="164" t="str">
        <f>IF(T165="","",T165+VLOOKUP($J165,'Master Data'!$F$6:$G$9,2,FALSE))</f>
        <v/>
      </c>
      <c r="V165" s="133"/>
      <c r="W165" s="133"/>
      <c r="X165" s="133"/>
      <c r="Y165" s="133"/>
      <c r="Z165" s="309" t="str">
        <f>IF($Y165="","",IF(VLOOKUP($Y165,'Master Data'!$F$12:$I$17,2,FALSE)="","",VLOOKUP($Y165,'Master Data'!$F$12:$I$17,2,FALSE)))</f>
        <v/>
      </c>
      <c r="AA165" s="164"/>
      <c r="AB165" s="171" t="str">
        <f t="shared" si="43"/>
        <v/>
      </c>
      <c r="AC165" s="133"/>
      <c r="AD165" s="164"/>
      <c r="AE165" s="164"/>
      <c r="AF165" s="137"/>
      <c r="AG165" s="137"/>
      <c r="AH165" s="137">
        <f t="shared" si="44"/>
        <v>65750.14</v>
      </c>
      <c r="AI165" s="137">
        <f t="shared" si="49"/>
        <v>65750.14</v>
      </c>
      <c r="AJ165" s="164"/>
      <c r="AK165" s="171" t="str">
        <f t="shared" si="42"/>
        <v/>
      </c>
      <c r="AL165" s="137"/>
      <c r="AM165" s="164"/>
      <c r="AN165" s="244" t="str">
        <f t="shared" si="50"/>
        <v/>
      </c>
      <c r="AO165" s="164"/>
    </row>
    <row r="166" spans="1:41" x14ac:dyDescent="0.35">
      <c r="A166" s="133" cm="1">
        <f t="array" ref="A166">ROW(166:166)-3</f>
        <v>163</v>
      </c>
      <c r="B166" s="133">
        <v>24272100</v>
      </c>
      <c r="C166" s="133">
        <v>0</v>
      </c>
      <c r="D166" s="133" t="str">
        <f t="shared" si="47"/>
        <v>24272100-0</v>
      </c>
      <c r="E166" s="133" t="s">
        <v>313</v>
      </c>
      <c r="F166" s="164">
        <v>46149</v>
      </c>
      <c r="G166" s="134" t="str">
        <f t="shared" si="46"/>
        <v>Yes</v>
      </c>
      <c r="H166" s="135">
        <f>SUMIFS('Order Details'!$R:$R,'Order Details'!$A:$A,'Order Summary'!$B166,'Order Details'!$B:$B,'Order Summary'!$C166,'Order Details'!$E:$E,"Yes")</f>
        <v>14</v>
      </c>
      <c r="I166" s="133" t="s">
        <v>70</v>
      </c>
      <c r="J166" s="133" t="str">
        <f>VLOOKUP($I166,'Master Data'!$L$5:$M$15,2,FALSE)</f>
        <v>Baltimore</v>
      </c>
      <c r="K166" s="137">
        <f>SUMIFS('Order Details'!$U:$U,'Order Details'!$A:$A,'Order Summary'!$B166,'Order Details'!$B:$B,'Order Summary'!$C166,'Order Details'!$E:$E,"Yes")</f>
        <v>65856.240000000005</v>
      </c>
      <c r="L166" s="138">
        <f>SUMIFS('Order Details'!$P:$P,'Order Details'!$A:$A,'Order Summary'!$B166,'Order Details'!$B:$B,'Order Summary'!$C166,'Order Details'!$E:$E,"Yes")</f>
        <v>8505.84</v>
      </c>
      <c r="M166" s="133" t="s">
        <v>532</v>
      </c>
      <c r="N166" s="164">
        <v>46112</v>
      </c>
      <c r="O166" s="171">
        <f t="shared" si="45"/>
        <v>-37</v>
      </c>
      <c r="P166" s="174">
        <f>ROUND(SUMIFS('Order Details'!$V:$V,'Order Details'!$A:$A,'Order Summary'!$B166,'Order Details'!$B:$B,'Order Summary'!$C166,'Order Details'!$E:$E,"Yes"),2)</f>
        <v>65750.14</v>
      </c>
      <c r="Q166" s="164"/>
      <c r="R166" s="171" t="str">
        <f t="shared" si="48"/>
        <v/>
      </c>
      <c r="S166" s="137"/>
      <c r="T166" s="165" t="str">
        <f>IF(Q166="","",Q166+_xlfn.MAXIFS('Order Details'!$W:$W,'Order Details'!$A:$A,'Order Summary'!$B166,'Order Details'!$B:$B,'Order Summary'!$C166,'Order Details'!$E:$E,"Yes"))</f>
        <v/>
      </c>
      <c r="U166" s="164" t="str">
        <f>IF(T166="","",T166+VLOOKUP($J166,'Master Data'!$F$6:$G$9,2,FALSE))</f>
        <v/>
      </c>
      <c r="V166" s="133"/>
      <c r="W166" s="133"/>
      <c r="X166" s="133"/>
      <c r="Y166" s="133"/>
      <c r="Z166" s="309" t="str">
        <f>IF($Y166="","",IF(VLOOKUP($Y166,'Master Data'!$F$12:$I$17,2,FALSE)="","",VLOOKUP($Y166,'Master Data'!$F$12:$I$17,2,FALSE)))</f>
        <v/>
      </c>
      <c r="AA166" s="164"/>
      <c r="AB166" s="171" t="str">
        <f t="shared" si="43"/>
        <v/>
      </c>
      <c r="AC166" s="133"/>
      <c r="AD166" s="164"/>
      <c r="AE166" s="164"/>
      <c r="AF166" s="137"/>
      <c r="AG166" s="137"/>
      <c r="AH166" s="137">
        <f t="shared" si="44"/>
        <v>65750.14</v>
      </c>
      <c r="AI166" s="137">
        <f t="shared" si="49"/>
        <v>65750.14</v>
      </c>
      <c r="AJ166" s="164"/>
      <c r="AK166" s="171" t="str">
        <f t="shared" ref="AK166:AK197" si="51">IF(AJ166="","",$AJ166-$AD166)</f>
        <v/>
      </c>
      <c r="AL166" s="137"/>
      <c r="AM166" s="164"/>
      <c r="AN166" s="244" t="str">
        <f t="shared" si="50"/>
        <v/>
      </c>
      <c r="AO166" s="164"/>
    </row>
    <row r="167" spans="1:41" x14ac:dyDescent="0.35">
      <c r="A167" s="133" cm="1">
        <f t="array" ref="A167">ROW(167:167)-3</f>
        <v>164</v>
      </c>
      <c r="B167" s="133">
        <v>53036798</v>
      </c>
      <c r="C167" s="133">
        <v>0</v>
      </c>
      <c r="D167" s="133" t="str">
        <f t="shared" si="47"/>
        <v>53036798-0</v>
      </c>
      <c r="E167" s="133" t="s">
        <v>313</v>
      </c>
      <c r="F167" s="164">
        <v>46149</v>
      </c>
      <c r="G167" s="134" t="str">
        <f t="shared" si="46"/>
        <v>Yes</v>
      </c>
      <c r="H167" s="135">
        <f>SUMIFS('Order Details'!$R:$R,'Order Details'!$A:$A,'Order Summary'!$B167,'Order Details'!$B:$B,'Order Summary'!$C167,'Order Details'!$E:$E,"Yes")</f>
        <v>13</v>
      </c>
      <c r="I167" s="133" t="s">
        <v>280</v>
      </c>
      <c r="J167" s="133" t="str">
        <f>VLOOKUP($I167,'Master Data'!$L$5:$M$15,2,FALSE)</f>
        <v>Oakland</v>
      </c>
      <c r="K167" s="137">
        <f>SUMIFS('Order Details'!$U:$U,'Order Details'!$A:$A,'Order Summary'!$B167,'Order Details'!$B:$B,'Order Summary'!$C167,'Order Details'!$E:$E,"Yes")</f>
        <v>62328.240000000005</v>
      </c>
      <c r="L167" s="138">
        <f>SUMIFS('Order Details'!$P:$P,'Order Details'!$A:$A,'Order Summary'!$B167,'Order Details'!$B:$B,'Order Summary'!$C167,'Order Details'!$E:$E,"Yes")</f>
        <v>8050.170000000001</v>
      </c>
      <c r="M167" s="133" t="s">
        <v>531</v>
      </c>
      <c r="N167" s="164">
        <v>46112</v>
      </c>
      <c r="O167" s="171">
        <f t="shared" si="45"/>
        <v>-37</v>
      </c>
      <c r="P167" s="174">
        <f>ROUND(SUMIFS('Order Details'!$V:$V,'Order Details'!$A:$A,'Order Summary'!$B167,'Order Details'!$B:$B,'Order Summary'!$C167,'Order Details'!$E:$E,"Yes"),2)</f>
        <v>62227.81</v>
      </c>
      <c r="Q167" s="164"/>
      <c r="R167" s="171" t="str">
        <f t="shared" si="48"/>
        <v/>
      </c>
      <c r="S167" s="137"/>
      <c r="T167" s="165" t="str">
        <f>IF(Q167="","",Q167+_xlfn.MAXIFS('Order Details'!$W:$W,'Order Details'!$A:$A,'Order Summary'!$B167,'Order Details'!$B:$B,'Order Summary'!$C167,'Order Details'!$E:$E,"Yes"))</f>
        <v/>
      </c>
      <c r="U167" s="164" t="str">
        <f>IF(T167="","",T167+VLOOKUP($J167,'Master Data'!$F$6:$G$9,2,FALSE))</f>
        <v/>
      </c>
      <c r="V167" s="133"/>
      <c r="W167" s="133"/>
      <c r="X167" s="133"/>
      <c r="Y167" s="133"/>
      <c r="Z167" s="309" t="str">
        <f>IF($Y167="","",IF(VLOOKUP($Y167,'Master Data'!$F$12:$I$17,2,FALSE)="","",VLOOKUP($Y167,'Master Data'!$F$12:$I$17,2,FALSE)))</f>
        <v/>
      </c>
      <c r="AA167" s="164"/>
      <c r="AB167" s="171" t="str">
        <f t="shared" si="43"/>
        <v/>
      </c>
      <c r="AC167" s="133"/>
      <c r="AD167" s="164"/>
      <c r="AE167" s="164"/>
      <c r="AF167" s="137"/>
      <c r="AG167" s="137"/>
      <c r="AH167" s="137">
        <f t="shared" si="44"/>
        <v>62227.81</v>
      </c>
      <c r="AI167" s="137">
        <f t="shared" si="49"/>
        <v>62227.81</v>
      </c>
      <c r="AJ167" s="164"/>
      <c r="AK167" s="171" t="str">
        <f t="shared" si="51"/>
        <v/>
      </c>
      <c r="AL167" s="137"/>
      <c r="AM167" s="164"/>
      <c r="AN167" s="244" t="str">
        <f t="shared" si="50"/>
        <v/>
      </c>
      <c r="AO167" s="164"/>
    </row>
    <row r="168" spans="1:41" x14ac:dyDescent="0.35">
      <c r="A168" s="133" cm="1">
        <f t="array" ref="A168">ROW(168:168)-3</f>
        <v>165</v>
      </c>
      <c r="B168" s="133">
        <v>53036808</v>
      </c>
      <c r="C168" s="133">
        <v>0</v>
      </c>
      <c r="D168" s="133" t="str">
        <f t="shared" si="47"/>
        <v>53036808-0</v>
      </c>
      <c r="E168" s="133" t="s">
        <v>313</v>
      </c>
      <c r="F168" s="164">
        <v>46149</v>
      </c>
      <c r="G168" s="134" t="str">
        <f t="shared" si="46"/>
        <v>Yes</v>
      </c>
      <c r="H168" s="135">
        <f>SUMIFS('Order Details'!$R:$R,'Order Details'!$A:$A,'Order Summary'!$B168,'Order Details'!$B:$B,'Order Summary'!$C168,'Order Details'!$E:$E,"Yes")</f>
        <v>12</v>
      </c>
      <c r="I168" s="133" t="s">
        <v>58</v>
      </c>
      <c r="J168" s="133" t="str">
        <f>VLOOKUP($I168,'Master Data'!$L$5:$M$15,2,FALSE)</f>
        <v>Houston</v>
      </c>
      <c r="K168" s="137">
        <f>SUMIFS('Order Details'!$U:$U,'Order Details'!$A:$A,'Order Summary'!$B168,'Order Details'!$B:$B,'Order Summary'!$C168,'Order Details'!$E:$E,"Yes")</f>
        <v>62965.439999999995</v>
      </c>
      <c r="L168" s="138">
        <f>SUMIFS('Order Details'!$P:$P,'Order Details'!$A:$A,'Order Summary'!$B168,'Order Details'!$B:$B,'Order Summary'!$C168,'Order Details'!$E:$E,"Yes")</f>
        <v>8130.8460000000005</v>
      </c>
      <c r="M168" s="133" t="s">
        <v>530</v>
      </c>
      <c r="N168" s="164">
        <v>46112</v>
      </c>
      <c r="O168" s="171">
        <f t="shared" si="45"/>
        <v>-37</v>
      </c>
      <c r="P168" s="174">
        <f>ROUND(SUMIFS('Order Details'!$V:$V,'Order Details'!$A:$A,'Order Summary'!$B168,'Order Details'!$B:$B,'Order Summary'!$C168,'Order Details'!$E:$E,"Yes"),2)</f>
        <v>62851.44</v>
      </c>
      <c r="Q168" s="164"/>
      <c r="R168" s="171" t="str">
        <f t="shared" si="48"/>
        <v/>
      </c>
      <c r="S168" s="137"/>
      <c r="T168" s="165" t="str">
        <f>IF(Q168="","",Q168+_xlfn.MAXIFS('Order Details'!$W:$W,'Order Details'!$A:$A,'Order Summary'!$B168,'Order Details'!$B:$B,'Order Summary'!$C168,'Order Details'!$E:$E,"Yes"))</f>
        <v/>
      </c>
      <c r="U168" s="164" t="str">
        <f>IF(T168="","",T168+VLOOKUP($J168,'Master Data'!$F$6:$G$9,2,FALSE))</f>
        <v/>
      </c>
      <c r="V168" s="133"/>
      <c r="W168" s="133"/>
      <c r="X168" s="133"/>
      <c r="Y168" s="133"/>
      <c r="Z168" s="309" t="str">
        <f>IF($Y168="","",IF(VLOOKUP($Y168,'Master Data'!$F$12:$I$17,2,FALSE)="","",VLOOKUP($Y168,'Master Data'!$F$12:$I$17,2,FALSE)))</f>
        <v/>
      </c>
      <c r="AA168" s="164"/>
      <c r="AB168" s="171" t="str">
        <f t="shared" si="43"/>
        <v/>
      </c>
      <c r="AC168" s="133"/>
      <c r="AD168" s="164"/>
      <c r="AE168" s="164"/>
      <c r="AF168" s="137"/>
      <c r="AG168" s="137"/>
      <c r="AH168" s="137">
        <f t="shared" si="44"/>
        <v>62851.44</v>
      </c>
      <c r="AI168" s="137">
        <f t="shared" si="49"/>
        <v>62851.44</v>
      </c>
      <c r="AJ168" s="164"/>
      <c r="AK168" s="171" t="str">
        <f t="shared" si="51"/>
        <v/>
      </c>
      <c r="AL168" s="137"/>
      <c r="AM168" s="164"/>
      <c r="AN168" s="244" t="str">
        <f t="shared" si="50"/>
        <v/>
      </c>
      <c r="AO168" s="164"/>
    </row>
    <row r="169" spans="1:41" x14ac:dyDescent="0.35">
      <c r="A169" s="133" cm="1">
        <f t="array" ref="A169">ROW(169:169)-3</f>
        <v>166</v>
      </c>
      <c r="B169" s="133">
        <v>24272121</v>
      </c>
      <c r="C169" s="133">
        <v>0</v>
      </c>
      <c r="D169" s="133" t="str">
        <f t="shared" si="47"/>
        <v>24272121-0</v>
      </c>
      <c r="E169" s="133" t="s">
        <v>313</v>
      </c>
      <c r="F169" s="164">
        <v>46149</v>
      </c>
      <c r="G169" s="134" t="str">
        <f t="shared" si="46"/>
        <v>Yes</v>
      </c>
      <c r="H169" s="135">
        <f>SUMIFS('Order Details'!$R:$R,'Order Details'!$A:$A,'Order Summary'!$B169,'Order Details'!$B:$B,'Order Summary'!$C169,'Order Details'!$E:$E,"Yes")</f>
        <v>10</v>
      </c>
      <c r="I169" s="133" t="s">
        <v>70</v>
      </c>
      <c r="J169" s="133" t="str">
        <f>VLOOKUP($I169,'Master Data'!$L$5:$M$15,2,FALSE)</f>
        <v>Baltimore</v>
      </c>
      <c r="K169" s="137">
        <f>SUMIFS('Order Details'!$U:$U,'Order Details'!$A:$A,'Order Summary'!$B169,'Order Details'!$B:$B,'Order Summary'!$C169,'Order Details'!$E:$E,"Yes")</f>
        <v>61740</v>
      </c>
      <c r="L169" s="138">
        <f>SUMIFS('Order Details'!$P:$P,'Order Details'!$A:$A,'Order Summary'!$B169,'Order Details'!$B:$B,'Order Summary'!$C169,'Order Details'!$E:$E,"Yes")</f>
        <v>7971.7350000000006</v>
      </c>
      <c r="M169" s="133" t="s">
        <v>529</v>
      </c>
      <c r="N169" s="164">
        <v>46112</v>
      </c>
      <c r="O169" s="171">
        <f t="shared" si="45"/>
        <v>-37</v>
      </c>
      <c r="P169" s="174">
        <f>ROUND(SUMIFS('Order Details'!$V:$V,'Order Details'!$A:$A,'Order Summary'!$B169,'Order Details'!$B:$B,'Order Summary'!$C169,'Order Details'!$E:$E,"Yes"),2)</f>
        <v>61621.51</v>
      </c>
      <c r="Q169" s="164"/>
      <c r="R169" s="171" t="str">
        <f t="shared" si="48"/>
        <v/>
      </c>
      <c r="S169" s="137"/>
      <c r="T169" s="165" t="str">
        <f>IF(Q169="","",Q169+_xlfn.MAXIFS('Order Details'!$W:$W,'Order Details'!$A:$A,'Order Summary'!$B169,'Order Details'!$B:$B,'Order Summary'!$C169,'Order Details'!$E:$E,"Yes"))</f>
        <v/>
      </c>
      <c r="U169" s="164" t="str">
        <f>IF(T169="","",T169+VLOOKUP($J169,'Master Data'!$F$6:$G$9,2,FALSE))</f>
        <v/>
      </c>
      <c r="V169" s="133"/>
      <c r="W169" s="133"/>
      <c r="X169" s="133"/>
      <c r="Y169" s="133"/>
      <c r="Z169" s="309" t="str">
        <f>IF($Y169="","",IF(VLOOKUP($Y169,'Master Data'!$F$12:$I$17,2,FALSE)="","",VLOOKUP($Y169,'Master Data'!$F$12:$I$17,2,FALSE)))</f>
        <v/>
      </c>
      <c r="AA169" s="164"/>
      <c r="AB169" s="171" t="str">
        <f t="shared" si="43"/>
        <v/>
      </c>
      <c r="AC169" s="133"/>
      <c r="AD169" s="164"/>
      <c r="AE169" s="164"/>
      <c r="AF169" s="137"/>
      <c r="AG169" s="137"/>
      <c r="AH169" s="137">
        <f t="shared" si="44"/>
        <v>61621.51</v>
      </c>
      <c r="AI169" s="137">
        <f t="shared" si="49"/>
        <v>61621.51</v>
      </c>
      <c r="AJ169" s="164"/>
      <c r="AK169" s="171" t="str">
        <f t="shared" si="51"/>
        <v/>
      </c>
      <c r="AL169" s="137"/>
      <c r="AM169" s="164"/>
      <c r="AN169" s="244" t="str">
        <f t="shared" si="50"/>
        <v/>
      </c>
      <c r="AO169" s="164"/>
    </row>
    <row r="170" spans="1:41" x14ac:dyDescent="0.35">
      <c r="A170" s="133" cm="1">
        <f t="array" ref="A170">ROW(170:170)-3</f>
        <v>167</v>
      </c>
      <c r="B170" s="133">
        <v>24272132</v>
      </c>
      <c r="C170" s="133">
        <v>0</v>
      </c>
      <c r="D170" s="133" t="str">
        <f t="shared" si="47"/>
        <v>24272132-0</v>
      </c>
      <c r="E170" s="133" t="s">
        <v>313</v>
      </c>
      <c r="F170" s="164">
        <v>46149</v>
      </c>
      <c r="G170" s="134" t="str">
        <f t="shared" si="46"/>
        <v>Yes</v>
      </c>
      <c r="H170" s="135">
        <f>SUMIFS('Order Details'!$R:$R,'Order Details'!$A:$A,'Order Summary'!$B170,'Order Details'!$B:$B,'Order Summary'!$C170,'Order Details'!$E:$E,"Yes")</f>
        <v>13</v>
      </c>
      <c r="I170" s="133" t="s">
        <v>155</v>
      </c>
      <c r="J170" s="133" t="str">
        <f>VLOOKUP($I170,'Master Data'!$L$5:$M$15,2,FALSE)</f>
        <v>Baltimore</v>
      </c>
      <c r="K170" s="137">
        <f>SUMIFS('Order Details'!$U:$U,'Order Details'!$A:$A,'Order Summary'!$B170,'Order Details'!$B:$B,'Order Summary'!$C170,'Order Details'!$E:$E,"Yes")</f>
        <v>66591.240000000005</v>
      </c>
      <c r="L170" s="138">
        <f>SUMIFS('Order Details'!$P:$P,'Order Details'!$A:$A,'Order Summary'!$B170,'Order Details'!$B:$B,'Order Summary'!$C170,'Order Details'!$E:$E,"Yes")</f>
        <v>8505.840000000002</v>
      </c>
      <c r="M170" s="133" t="s">
        <v>528</v>
      </c>
      <c r="N170" s="164">
        <v>46112</v>
      </c>
      <c r="O170" s="171">
        <f t="shared" si="45"/>
        <v>-37</v>
      </c>
      <c r="P170" s="174">
        <f>ROUND(SUMIFS('Order Details'!$V:$V,'Order Details'!$A:$A,'Order Summary'!$B170,'Order Details'!$B:$B,'Order Summary'!$C170,'Order Details'!$E:$E,"Yes"),2)</f>
        <v>66488.33</v>
      </c>
      <c r="Q170" s="164"/>
      <c r="R170" s="171" t="str">
        <f t="shared" si="48"/>
        <v/>
      </c>
      <c r="S170" s="137"/>
      <c r="T170" s="165" t="str">
        <f>IF(Q170="","",Q170+_xlfn.MAXIFS('Order Details'!$W:$W,'Order Details'!$A:$A,'Order Summary'!$B170,'Order Details'!$B:$B,'Order Summary'!$C170,'Order Details'!$E:$E,"Yes"))</f>
        <v/>
      </c>
      <c r="U170" s="164" t="str">
        <f>IF(T170="","",T170+VLOOKUP($J170,'Master Data'!$F$6:$G$9,2,FALSE))</f>
        <v/>
      </c>
      <c r="V170" s="133"/>
      <c r="W170" s="133"/>
      <c r="X170" s="133"/>
      <c r="Y170" s="133"/>
      <c r="Z170" s="309" t="str">
        <f>IF($Y170="","",IF(VLOOKUP($Y170,'Master Data'!$F$12:$I$17,2,FALSE)="","",VLOOKUP($Y170,'Master Data'!$F$12:$I$17,2,FALSE)))</f>
        <v/>
      </c>
      <c r="AA170" s="164"/>
      <c r="AB170" s="171" t="str">
        <f t="shared" si="43"/>
        <v/>
      </c>
      <c r="AC170" s="133"/>
      <c r="AD170" s="164"/>
      <c r="AE170" s="164"/>
      <c r="AF170" s="137"/>
      <c r="AG170" s="137"/>
      <c r="AH170" s="137">
        <f t="shared" si="44"/>
        <v>66488.33</v>
      </c>
      <c r="AI170" s="137">
        <f t="shared" si="49"/>
        <v>66488.33</v>
      </c>
      <c r="AJ170" s="164"/>
      <c r="AK170" s="171" t="str">
        <f t="shared" si="51"/>
        <v/>
      </c>
      <c r="AL170" s="137"/>
      <c r="AM170" s="164"/>
      <c r="AN170" s="244" t="str">
        <f t="shared" si="50"/>
        <v/>
      </c>
      <c r="AO170" s="164"/>
    </row>
    <row r="171" spans="1:41" x14ac:dyDescent="0.35">
      <c r="A171" s="133" cm="1">
        <f t="array" ref="A171">ROW(171:171)-3</f>
        <v>168</v>
      </c>
      <c r="B171" s="133">
        <v>53036803</v>
      </c>
      <c r="C171" s="133">
        <v>0</v>
      </c>
      <c r="D171" s="133" t="str">
        <f t="shared" si="47"/>
        <v>53036803-0</v>
      </c>
      <c r="E171" s="133" t="s">
        <v>313</v>
      </c>
      <c r="F171" s="164">
        <v>46149</v>
      </c>
      <c r="G171" s="134" t="str">
        <f t="shared" si="46"/>
        <v>Yes</v>
      </c>
      <c r="H171" s="135">
        <f>SUMIFS('Order Details'!$R:$R,'Order Details'!$A:$A,'Order Summary'!$B171,'Order Details'!$B:$B,'Order Summary'!$C171,'Order Details'!$E:$E,"Yes")</f>
        <v>14</v>
      </c>
      <c r="I171" s="133" t="s">
        <v>79</v>
      </c>
      <c r="J171" s="133" t="str">
        <f>VLOOKUP($I171,'Master Data'!$L$5:$M$15,2,FALSE)</f>
        <v>Oakland</v>
      </c>
      <c r="K171" s="137">
        <f>SUMIFS('Order Details'!$U:$U,'Order Details'!$A:$A,'Order Summary'!$B171,'Order Details'!$B:$B,'Order Summary'!$C171,'Order Details'!$E:$E,"Yes")</f>
        <v>64777.68</v>
      </c>
      <c r="L171" s="138">
        <f>SUMIFS('Order Details'!$P:$P,'Order Details'!$A:$A,'Order Summary'!$B171,'Order Details'!$B:$B,'Order Summary'!$C171,'Order Details'!$E:$E,"Yes")</f>
        <v>8366.4000000000015</v>
      </c>
      <c r="M171" s="133" t="s">
        <v>527</v>
      </c>
      <c r="N171" s="164">
        <v>46112</v>
      </c>
      <c r="O171" s="171">
        <f t="shared" si="45"/>
        <v>-37</v>
      </c>
      <c r="P171" s="174">
        <f>ROUND(SUMIFS('Order Details'!$V:$V,'Order Details'!$A:$A,'Order Summary'!$B171,'Order Details'!$B:$B,'Order Summary'!$C171,'Order Details'!$E:$E,"Yes"),2)</f>
        <v>64672.27</v>
      </c>
      <c r="Q171" s="164"/>
      <c r="R171" s="171" t="str">
        <f t="shared" si="48"/>
        <v/>
      </c>
      <c r="S171" s="137"/>
      <c r="T171" s="165" t="str">
        <f>IF(Q171="","",Q171+_xlfn.MAXIFS('Order Details'!$W:$W,'Order Details'!$A:$A,'Order Summary'!$B171,'Order Details'!$B:$B,'Order Summary'!$C171,'Order Details'!$E:$E,"Yes"))</f>
        <v/>
      </c>
      <c r="U171" s="164" t="str">
        <f>IF(T171="","",T171+VLOOKUP($J171,'Master Data'!$F$6:$G$9,2,FALSE))</f>
        <v/>
      </c>
      <c r="V171" s="133"/>
      <c r="W171" s="133"/>
      <c r="X171" s="133"/>
      <c r="Y171" s="133"/>
      <c r="Z171" s="309" t="str">
        <f>IF($Y171="","",IF(VLOOKUP($Y171,'Master Data'!$F$12:$I$17,2,FALSE)="","",VLOOKUP($Y171,'Master Data'!$F$12:$I$17,2,FALSE)))</f>
        <v/>
      </c>
      <c r="AA171" s="164"/>
      <c r="AB171" s="171" t="str">
        <f t="shared" si="43"/>
        <v/>
      </c>
      <c r="AC171" s="133"/>
      <c r="AD171" s="164"/>
      <c r="AE171" s="164"/>
      <c r="AF171" s="137"/>
      <c r="AG171" s="137"/>
      <c r="AH171" s="137">
        <f t="shared" si="44"/>
        <v>64672.27</v>
      </c>
      <c r="AI171" s="137">
        <f t="shared" si="49"/>
        <v>64672.27</v>
      </c>
      <c r="AJ171" s="164"/>
      <c r="AK171" s="171" t="str">
        <f t="shared" si="51"/>
        <v/>
      </c>
      <c r="AL171" s="137"/>
      <c r="AM171" s="164"/>
      <c r="AN171" s="244" t="str">
        <f t="shared" si="50"/>
        <v/>
      </c>
      <c r="AO171" s="164"/>
    </row>
    <row r="172" spans="1:41" x14ac:dyDescent="0.35">
      <c r="A172" s="133" cm="1">
        <f t="array" ref="A172">ROW(172:172)-3</f>
        <v>169</v>
      </c>
      <c r="B172" s="133">
        <v>53036815</v>
      </c>
      <c r="C172" s="133">
        <v>0</v>
      </c>
      <c r="D172" s="133" t="str">
        <f t="shared" si="47"/>
        <v>53036815-0</v>
      </c>
      <c r="E172" s="133" t="s">
        <v>313</v>
      </c>
      <c r="F172" s="164">
        <v>46149</v>
      </c>
      <c r="G172" s="134" t="str">
        <f t="shared" si="46"/>
        <v>Yes</v>
      </c>
      <c r="H172" s="135">
        <f>SUMIFS('Order Details'!$R:$R,'Order Details'!$A:$A,'Order Summary'!$B172,'Order Details'!$B:$B,'Order Summary'!$C172,'Order Details'!$E:$E,"Yes")</f>
        <v>13</v>
      </c>
      <c r="I172" s="133" t="s">
        <v>160</v>
      </c>
      <c r="J172" s="133" t="str">
        <f>VLOOKUP($I172,'Master Data'!$L$5:$M$15,2,FALSE)</f>
        <v>Houston</v>
      </c>
      <c r="K172" s="137">
        <f>SUMIFS('Order Details'!$U:$U,'Order Details'!$A:$A,'Order Summary'!$B172,'Order Details'!$B:$B,'Order Summary'!$C172,'Order Details'!$E:$E,"Yes")</f>
        <v>64091.520000000004</v>
      </c>
      <c r="L172" s="138">
        <f>SUMIFS('Order Details'!$P:$P,'Order Details'!$A:$A,'Order Summary'!$B172,'Order Details'!$B:$B,'Order Summary'!$C172,'Order Details'!$E:$E,"Yes")</f>
        <v>8278.005000000001</v>
      </c>
      <c r="M172" s="133" t="s">
        <v>526</v>
      </c>
      <c r="N172" s="164">
        <v>46112</v>
      </c>
      <c r="O172" s="171">
        <f t="shared" si="45"/>
        <v>-37</v>
      </c>
      <c r="P172" s="174">
        <f>ROUND(SUMIFS('Order Details'!$V:$V,'Order Details'!$A:$A,'Order Summary'!$B172,'Order Details'!$B:$B,'Order Summary'!$C172,'Order Details'!$E:$E,"Yes"),2)</f>
        <v>63988.98</v>
      </c>
      <c r="Q172" s="164"/>
      <c r="R172" s="171" t="str">
        <f t="shared" si="48"/>
        <v/>
      </c>
      <c r="S172" s="137"/>
      <c r="T172" s="165" t="str">
        <f>IF(Q172="","",Q172+_xlfn.MAXIFS('Order Details'!$W:$W,'Order Details'!$A:$A,'Order Summary'!$B172,'Order Details'!$B:$B,'Order Summary'!$C172,'Order Details'!$E:$E,"Yes"))</f>
        <v/>
      </c>
      <c r="U172" s="164" t="str">
        <f>IF(T172="","",T172+VLOOKUP($J172,'Master Data'!$F$6:$G$9,2,FALSE))</f>
        <v/>
      </c>
      <c r="V172" s="133"/>
      <c r="W172" s="133"/>
      <c r="X172" s="133"/>
      <c r="Y172" s="133"/>
      <c r="Z172" s="309" t="str">
        <f>IF($Y172="","",IF(VLOOKUP($Y172,'Master Data'!$F$12:$I$17,2,FALSE)="","",VLOOKUP($Y172,'Master Data'!$F$12:$I$17,2,FALSE)))</f>
        <v/>
      </c>
      <c r="AA172" s="164"/>
      <c r="AB172" s="171" t="str">
        <f t="shared" si="43"/>
        <v/>
      </c>
      <c r="AC172" s="133"/>
      <c r="AD172" s="164"/>
      <c r="AE172" s="164"/>
      <c r="AF172" s="137"/>
      <c r="AG172" s="137"/>
      <c r="AH172" s="137">
        <f t="shared" si="44"/>
        <v>63988.98</v>
      </c>
      <c r="AI172" s="137">
        <f t="shared" si="49"/>
        <v>63988.98</v>
      </c>
      <c r="AJ172" s="164"/>
      <c r="AK172" s="171" t="str">
        <f t="shared" si="51"/>
        <v/>
      </c>
      <c r="AL172" s="137"/>
      <c r="AM172" s="164"/>
      <c r="AN172" s="244" t="str">
        <f t="shared" si="50"/>
        <v/>
      </c>
      <c r="AO172" s="164"/>
    </row>
    <row r="173" spans="1:41" x14ac:dyDescent="0.35">
      <c r="A173" s="133" cm="1">
        <f t="array" ref="A173">ROW(173:173)-3</f>
        <v>170</v>
      </c>
      <c r="B173" s="133">
        <v>24272103</v>
      </c>
      <c r="C173" s="133">
        <v>0</v>
      </c>
      <c r="D173" s="133" t="str">
        <f t="shared" si="47"/>
        <v>24272103-0</v>
      </c>
      <c r="E173" s="133" t="s">
        <v>313</v>
      </c>
      <c r="F173" s="164">
        <v>46149</v>
      </c>
      <c r="G173" s="134" t="str">
        <f t="shared" si="46"/>
        <v>Yes</v>
      </c>
      <c r="H173" s="135">
        <f>SUMIFS('Order Details'!$R:$R,'Order Details'!$A:$A,'Order Summary'!$B173,'Order Details'!$B:$B,'Order Summary'!$C173,'Order Details'!$E:$E,"Yes")</f>
        <v>13</v>
      </c>
      <c r="I173" s="133" t="s">
        <v>70</v>
      </c>
      <c r="J173" s="133" t="s">
        <v>408</v>
      </c>
      <c r="K173" s="137">
        <f>SUMIFS('Order Details'!$U:$U,'Order Details'!$A:$A,'Order Summary'!$B173,'Order Details'!$B:$B,'Order Summary'!$C173,'Order Details'!$E:$E,"Yes")</f>
        <v>62156.160000000003</v>
      </c>
      <c r="L173" s="138">
        <f>SUMIFS('Order Details'!$P:$P,'Order Details'!$A:$A,'Order Summary'!$B173,'Order Details'!$B:$B,'Order Summary'!$C173,'Order Details'!$E:$E,"Yes")</f>
        <v>8027.76</v>
      </c>
      <c r="M173" s="133" t="s">
        <v>525</v>
      </c>
      <c r="N173" s="164">
        <v>46112</v>
      </c>
      <c r="O173" s="171">
        <f t="shared" si="45"/>
        <v>-37</v>
      </c>
      <c r="P173" s="174">
        <f>ROUND(SUMIFS('Order Details'!$V:$V,'Order Details'!$A:$A,'Order Summary'!$B173,'Order Details'!$B:$B,'Order Summary'!$C173,'Order Details'!$E:$E,"Yes"),2)</f>
        <v>62054.58</v>
      </c>
      <c r="Q173" s="164"/>
      <c r="R173" s="171" t="str">
        <f t="shared" si="48"/>
        <v/>
      </c>
      <c r="S173" s="137"/>
      <c r="T173" s="165" t="str">
        <f>IF(Q173="","",Q173+_xlfn.MAXIFS('Order Details'!$W:$W,'Order Details'!$A:$A,'Order Summary'!$B173,'Order Details'!$B:$B,'Order Summary'!$C173,'Order Details'!$E:$E,"Yes"))</f>
        <v/>
      </c>
      <c r="U173" s="164" t="str">
        <f>IF(T173="","",T173+VLOOKUP($J173,'Master Data'!$F$6:$G$9,2,FALSE))</f>
        <v/>
      </c>
      <c r="V173" s="133"/>
      <c r="W173" s="133"/>
      <c r="X173" s="133"/>
      <c r="Y173" s="133"/>
      <c r="Z173" s="309" t="str">
        <f>IF($Y173="","",IF(VLOOKUP($Y173,'Master Data'!$F$12:$I$17,2,FALSE)="","",VLOOKUP($Y173,'Master Data'!$F$12:$I$17,2,FALSE)))</f>
        <v/>
      </c>
      <c r="AA173" s="164"/>
      <c r="AB173" s="171" t="str">
        <f t="shared" si="43"/>
        <v/>
      </c>
      <c r="AC173" s="133"/>
      <c r="AD173" s="164"/>
      <c r="AE173" s="164"/>
      <c r="AF173" s="137"/>
      <c r="AG173" s="137"/>
      <c r="AH173" s="137">
        <f t="shared" si="44"/>
        <v>62054.58</v>
      </c>
      <c r="AI173" s="137">
        <f t="shared" si="49"/>
        <v>62054.58</v>
      </c>
      <c r="AJ173" s="164"/>
      <c r="AK173" s="171" t="str">
        <f t="shared" si="51"/>
        <v/>
      </c>
      <c r="AL173" s="137"/>
      <c r="AM173" s="164"/>
      <c r="AN173" s="244" t="str">
        <f t="shared" si="50"/>
        <v/>
      </c>
      <c r="AO173" s="164"/>
    </row>
    <row r="174" spans="1:41" x14ac:dyDescent="0.35">
      <c r="A174" s="133" cm="1">
        <f t="array" ref="A174">ROW(174:174)-3</f>
        <v>171</v>
      </c>
      <c r="B174" s="133">
        <v>24272114</v>
      </c>
      <c r="C174" s="133">
        <v>0</v>
      </c>
      <c r="D174" s="133" t="str">
        <f t="shared" si="47"/>
        <v>24272114-0</v>
      </c>
      <c r="E174" s="133" t="s">
        <v>313</v>
      </c>
      <c r="F174" s="164">
        <v>46149</v>
      </c>
      <c r="G174" s="134" t="str">
        <f t="shared" si="46"/>
        <v>Yes</v>
      </c>
      <c r="H174" s="135">
        <f>SUMIFS('Order Details'!$R:$R,'Order Details'!$A:$A,'Order Summary'!$B174,'Order Details'!$B:$B,'Order Summary'!$C174,'Order Details'!$E:$E,"Yes")</f>
        <v>12</v>
      </c>
      <c r="I174" s="133" t="s">
        <v>70</v>
      </c>
      <c r="J174" s="133" t="s">
        <v>288</v>
      </c>
      <c r="K174" s="137">
        <f>SUMIFS('Order Details'!$U:$U,'Order Details'!$A:$A,'Order Summary'!$B174,'Order Details'!$B:$B,'Order Summary'!$C174,'Order Details'!$E:$E,"Yes")</f>
        <v>61249.679999999993</v>
      </c>
      <c r="L174" s="138">
        <f>SUMIFS('Order Details'!$P:$P,'Order Details'!$A:$A,'Order Summary'!$B174,'Order Details'!$B:$B,'Order Summary'!$C174,'Order Details'!$E:$E,"Yes")</f>
        <v>7909.7340000000013</v>
      </c>
      <c r="M174" s="133" t="s">
        <v>524</v>
      </c>
      <c r="N174" s="164">
        <v>46112</v>
      </c>
      <c r="O174" s="171">
        <f t="shared" si="45"/>
        <v>-37</v>
      </c>
      <c r="P174" s="174">
        <f>ROUND(SUMIFS('Order Details'!$V:$V,'Order Details'!$A:$A,'Order Summary'!$B174,'Order Details'!$B:$B,'Order Summary'!$C174,'Order Details'!$E:$E,"Yes"),2)</f>
        <v>61142.239999999998</v>
      </c>
      <c r="Q174" s="164"/>
      <c r="R174" s="171" t="str">
        <f t="shared" si="48"/>
        <v/>
      </c>
      <c r="S174" s="137"/>
      <c r="T174" s="165" t="str">
        <f>IF(Q174="","",Q174+_xlfn.MAXIFS('Order Details'!$W:$W,'Order Details'!$A:$A,'Order Summary'!$B174,'Order Details'!$B:$B,'Order Summary'!$C174,'Order Details'!$E:$E,"Yes"))</f>
        <v/>
      </c>
      <c r="U174" s="164" t="str">
        <f>IF(T174="","",T174+VLOOKUP($J174,'Master Data'!$F$6:$G$9,2,FALSE))</f>
        <v/>
      </c>
      <c r="V174" s="133"/>
      <c r="W174" s="133"/>
      <c r="X174" s="133"/>
      <c r="Y174" s="133"/>
      <c r="Z174" s="309" t="str">
        <f>IF($Y174="","",IF(VLOOKUP($Y174,'Master Data'!$F$12:$I$17,2,FALSE)="","",VLOOKUP($Y174,'Master Data'!$F$12:$I$17,2,FALSE)))</f>
        <v/>
      </c>
      <c r="AA174" s="164"/>
      <c r="AB174" s="171" t="str">
        <f t="shared" si="43"/>
        <v/>
      </c>
      <c r="AC174" s="133"/>
      <c r="AD174" s="164"/>
      <c r="AE174" s="164"/>
      <c r="AF174" s="137"/>
      <c r="AG174" s="137"/>
      <c r="AH174" s="137">
        <f t="shared" si="44"/>
        <v>61142.239999999998</v>
      </c>
      <c r="AI174" s="137">
        <f t="shared" si="49"/>
        <v>61142.239999999998</v>
      </c>
      <c r="AJ174" s="164"/>
      <c r="AK174" s="171" t="str">
        <f t="shared" si="51"/>
        <v/>
      </c>
      <c r="AL174" s="137"/>
      <c r="AM174" s="164"/>
      <c r="AN174" s="244" t="str">
        <f t="shared" si="50"/>
        <v/>
      </c>
      <c r="AO174" s="164"/>
    </row>
    <row r="175" spans="1:41" x14ac:dyDescent="0.35">
      <c r="A175" s="133" cm="1">
        <f t="array" ref="A175">ROW(175:175)-3</f>
        <v>172</v>
      </c>
      <c r="B175" s="133">
        <v>24190757</v>
      </c>
      <c r="C175" s="133">
        <v>1</v>
      </c>
      <c r="D175" s="133" t="str">
        <f>B175&amp;"-"&amp;C175</f>
        <v>24190757-1</v>
      </c>
      <c r="E175" s="133" t="s">
        <v>215</v>
      </c>
      <c r="F175" s="164">
        <v>46063</v>
      </c>
      <c r="G175" s="134" t="str">
        <f>IF(OR(E175="PO Revised",E175="PO Cancelled"),"No","Yes")</f>
        <v>Yes</v>
      </c>
      <c r="H175" s="135">
        <f>SUMIFS('Order Details'!$R:$R,'Order Details'!$A:$A,'Order Summary'!$B175,'Order Details'!$B:$B,'Order Summary'!$C175,'Order Details'!$E:$E,"Yes")</f>
        <v>14</v>
      </c>
      <c r="I175" s="133" t="s">
        <v>116</v>
      </c>
      <c r="J175" s="133" t="str">
        <f>VLOOKUP($I175,'Master Data'!$L$5:$M$15,2,FALSE)</f>
        <v>Savannah</v>
      </c>
      <c r="K175" s="137">
        <f>SUMIFS('Order Details'!$U:$U,'Order Details'!$A:$A,'Order Summary'!$B175,'Order Details'!$B:$B,'Order Summary'!$C175,'Order Details'!$E:$E,"Yes")</f>
        <v>64508.399999999994</v>
      </c>
      <c r="L175" s="138">
        <f>SUMIFS('Order Details'!$P:$P,'Order Details'!$A:$A,'Order Summary'!$B175,'Order Details'!$B:$B,'Order Summary'!$C175,'Order Details'!$E:$E,"Yes")</f>
        <v>8331.5400000000009</v>
      </c>
      <c r="M175" s="133" t="s">
        <v>289</v>
      </c>
      <c r="N175" s="164">
        <v>46066</v>
      </c>
      <c r="O175" s="171">
        <f>IF(N175="","",$N175-$F175)</f>
        <v>3</v>
      </c>
      <c r="P175" s="174">
        <f>ROUND(SUMIFS('Order Details'!$V:$V,'Order Details'!$A:$A,'Order Summary'!$B175,'Order Details'!$B:$B,'Order Summary'!$C175,'Order Details'!$E:$E,"Yes"),2)</f>
        <v>64402.8</v>
      </c>
      <c r="Q175" s="164">
        <v>46135</v>
      </c>
      <c r="R175" s="171">
        <f>IF(Q175="","",$Q175-$N175)</f>
        <v>69</v>
      </c>
      <c r="S175" s="137">
        <v>28091.74</v>
      </c>
      <c r="T175" s="165">
        <f>IF(Q175="","",Q175+_xlfn.MAXIFS('Order Details'!$W:$W,'Order Details'!$A:$A,'Order Summary'!$B175,'Order Details'!$B:$B,'Order Summary'!$C175,'Order Details'!$E:$E,"Yes"))</f>
        <v>46225</v>
      </c>
      <c r="U175" s="164">
        <f>IF(T175="","",T175+VLOOKUP($J175,'Master Data'!$F$6:$G$9,2,FALSE))</f>
        <v>46271</v>
      </c>
      <c r="V175" s="133"/>
      <c r="W175" s="133"/>
      <c r="X175" s="133"/>
      <c r="Y175" s="133"/>
      <c r="Z175" s="309" t="str">
        <f>IF($Y175="","",IF(VLOOKUP($Y175,'Master Data'!$F$12:$I$17,2,FALSE)="","",VLOOKUP($Y175,'Master Data'!$F$12:$I$17,2,FALSE)))</f>
        <v/>
      </c>
      <c r="AA175" s="164"/>
      <c r="AB175" s="171" t="str">
        <f>IF(OR(AA175="",AA175="COMPLETE"),"",IF($AA175-#REF!&lt;0,"",$AA175-#REF!))</f>
        <v/>
      </c>
      <c r="AC175" s="133"/>
      <c r="AD175" s="164"/>
      <c r="AE175" s="164"/>
      <c r="AF175" s="137"/>
      <c r="AG175" s="137"/>
      <c r="AH175" s="137" t="e">
        <f>#REF!+AF175+AG175</f>
        <v>#REF!</v>
      </c>
      <c r="AI175" s="137" t="e">
        <f>AH175-#REF!</f>
        <v>#REF!</v>
      </c>
      <c r="AJ175" s="164"/>
      <c r="AK175" s="171" t="str">
        <f t="shared" si="51"/>
        <v/>
      </c>
      <c r="AL175" s="137"/>
      <c r="AM175" s="164"/>
      <c r="AN175" s="244" t="str">
        <f t="shared" si="50"/>
        <v/>
      </c>
      <c r="AO175" s="164"/>
    </row>
    <row r="176" spans="1:41" x14ac:dyDescent="0.35">
      <c r="A176" s="133"/>
      <c r="C176" s="133"/>
      <c r="G176" s="134" t="str">
        <f>IF(OR(E176="PO Revised",E176="PO Cancelled"),"No","Yes")</f>
        <v>Yes</v>
      </c>
      <c r="H176" s="135">
        <f>SUMIFS('Order Details'!$R:$R,'Order Details'!$A:$A,'Order Summary'!$B176,'Order Details'!$B:$B,'Order Summary'!$C176,'Order Details'!$E:$E,"Yes")</f>
        <v>0</v>
      </c>
      <c r="J176" s="133" t="e">
        <f>VLOOKUP($I176,'Master Data'!$L$5:$M$15,2,FALSE)</f>
        <v>#N/A</v>
      </c>
      <c r="K176" s="137">
        <f>SUMIFS('Order Details'!$U:$U,'Order Details'!$A:$A,'Order Summary'!$B176,'Order Details'!$B:$B,'Order Summary'!$C176,'Order Details'!$E:$E,"Yes")</f>
        <v>0</v>
      </c>
      <c r="L176" s="138">
        <f>SUMIFS('Order Details'!$P:$P,'Order Details'!$A:$A,'Order Summary'!$B176,'Order Details'!$B:$B,'Order Summary'!$C176,'Order Details'!$E:$E,"Yes")</f>
        <v>0</v>
      </c>
      <c r="M176" s="133"/>
      <c r="N176" s="164"/>
      <c r="O176" s="171" t="str">
        <f>IF(N176="","",$N176-$F176)</f>
        <v/>
      </c>
      <c r="P176" s="174">
        <f>ROUND(SUMIFS('Order Details'!$V:$V,'Order Details'!$A:$A,'Order Summary'!$B176,'Order Details'!$B:$B,'Order Summary'!$C176,'Order Details'!$E:$E,"Yes"),2)</f>
        <v>0</v>
      </c>
      <c r="R176" s="171" t="str">
        <f>IF(Q176="","",$Q176-$N176)</f>
        <v/>
      </c>
      <c r="T176" s="165" t="str">
        <f>IF(Q176="","",Q176+_xlfn.MAXIFS('Order Details'!$W:$W,'Order Details'!$A:$A,'Order Summary'!$B176,'Order Details'!$B:$B,'Order Summary'!$C176,'Order Details'!$E:$E,"Yes"))</f>
        <v/>
      </c>
      <c r="U176" s="164" t="str">
        <f>IF(T176="","",T176+VLOOKUP($J176,'Master Data'!$F$6:$G$9,2,FALSE))</f>
        <v/>
      </c>
      <c r="V176" s="133"/>
      <c r="W176" s="133"/>
      <c r="X176" s="133"/>
      <c r="Y176" s="133"/>
      <c r="Z176" s="309" t="str">
        <f>IF($Y176="","",IF(VLOOKUP($Y176,'Master Data'!$F$12:$I$17,2,FALSE)="","",VLOOKUP($Y176,'Master Data'!$F$12:$I$17,2,FALSE)))</f>
        <v/>
      </c>
      <c r="AA176" s="164"/>
      <c r="AB176" s="171" t="str">
        <f>IF(OR(AA176="",AA176="COMPLETE"),"",IF($AA176-$Q175&lt;0,"",$AA176-$Q175))</f>
        <v/>
      </c>
      <c r="AC176" s="133"/>
      <c r="AD176" s="164"/>
      <c r="AE176" s="164"/>
      <c r="AF176" s="137"/>
      <c r="AG176" s="137"/>
      <c r="AH176" s="137">
        <f>P175+AF176+AG176</f>
        <v>64402.8</v>
      </c>
      <c r="AI176" s="137">
        <f>AH176-S175</f>
        <v>36311.06</v>
      </c>
      <c r="AJ176" s="164"/>
      <c r="AK176" s="171" t="str">
        <f t="shared" si="51"/>
        <v/>
      </c>
      <c r="AL176" s="137"/>
      <c r="AM176" s="164"/>
      <c r="AN176" s="244" t="str">
        <f t="shared" si="50"/>
        <v/>
      </c>
      <c r="AO176" s="164"/>
    </row>
    <row r="177" spans="1:41" x14ac:dyDescent="0.35">
      <c r="A177" s="133"/>
      <c r="B177" s="133"/>
      <c r="C177" s="133"/>
      <c r="D177" s="133" t="str">
        <f t="shared" si="47"/>
        <v>-</v>
      </c>
      <c r="E177" s="133"/>
      <c r="F177" s="164"/>
      <c r="G177" s="134" t="str">
        <f t="shared" si="46"/>
        <v>Yes</v>
      </c>
      <c r="H177" s="135">
        <f>SUMIFS('Order Details'!$R:$R,'Order Details'!$A:$A,'Order Summary'!$B177,'Order Details'!$B:$B,'Order Summary'!$C177,'Order Details'!$E:$E,"Yes")</f>
        <v>0</v>
      </c>
      <c r="I177" s="133"/>
      <c r="J177" s="133" t="e">
        <f>VLOOKUP($I177,'Master Data'!$L$5:$M$15,2,FALSE)</f>
        <v>#N/A</v>
      </c>
      <c r="K177" s="137">
        <f>SUMIFS('Order Details'!$U:$U,'Order Details'!$A:$A,'Order Summary'!$B177,'Order Details'!$B:$B,'Order Summary'!$C177,'Order Details'!$E:$E,"Yes")</f>
        <v>0</v>
      </c>
      <c r="L177" s="138">
        <f>SUMIFS('Order Details'!$P:$P,'Order Details'!$A:$A,'Order Summary'!$B177,'Order Details'!$B:$B,'Order Summary'!$C177,'Order Details'!$E:$E,"Yes")</f>
        <v>0</v>
      </c>
      <c r="M177" s="133"/>
      <c r="N177" s="164"/>
      <c r="O177" s="171"/>
      <c r="P177" s="174">
        <f>ROUND(SUMIFS('Order Details'!$V:$V,'Order Details'!$A:$A,'Order Summary'!$B177,'Order Details'!$B:$B,'Order Summary'!$C177,'Order Details'!$E:$E,"Yes"),2)</f>
        <v>0</v>
      </c>
      <c r="Q177" s="164"/>
      <c r="R177" s="171" t="str">
        <f t="shared" si="48"/>
        <v/>
      </c>
      <c r="S177" s="137"/>
      <c r="T177" s="165" t="str">
        <f>IF(Q177="","",Q177+_xlfn.MAXIFS('Order Details'!$W:$W,'Order Details'!$A:$A,'Order Summary'!$B177,'Order Details'!$B:$B,'Order Summary'!$C177,'Order Details'!$E:$E,"Yes"))</f>
        <v/>
      </c>
      <c r="U177" s="164" t="str">
        <f>IF(T177="","",T177+VLOOKUP($J177,'Master Data'!$F$6:$G$9,2,FALSE))</f>
        <v/>
      </c>
      <c r="V177" s="133"/>
      <c r="W177" s="133"/>
      <c r="X177" s="133"/>
      <c r="Y177" s="133"/>
      <c r="Z177" s="309" t="str">
        <f>IF($Y177="","",IF(VLOOKUP($Y177,'Master Data'!$F$12:$I$17,2,FALSE)="","",VLOOKUP($Y177,'Master Data'!$F$12:$I$17,2,FALSE)))</f>
        <v/>
      </c>
      <c r="AA177" s="164"/>
      <c r="AB177" s="171" t="str">
        <f t="shared" si="43"/>
        <v/>
      </c>
      <c r="AC177" s="133"/>
      <c r="AD177" s="164"/>
      <c r="AE177" s="164"/>
      <c r="AF177" s="137"/>
      <c r="AG177" s="137"/>
      <c r="AH177" s="137">
        <f t="shared" ref="AH177:AH200" si="52">P177+AF177+AG177</f>
        <v>0</v>
      </c>
      <c r="AI177" s="137">
        <f t="shared" si="49"/>
        <v>0</v>
      </c>
      <c r="AJ177" s="164"/>
      <c r="AK177" s="171" t="str">
        <f t="shared" si="51"/>
        <v/>
      </c>
      <c r="AL177" s="137"/>
      <c r="AM177" s="164" t="str">
        <f t="shared" ref="AM177:AM200" si="53">U177</f>
        <v/>
      </c>
      <c r="AN177" s="244" t="str">
        <f t="shared" si="50"/>
        <v/>
      </c>
      <c r="AO177" s="164"/>
    </row>
    <row r="178" spans="1:41" x14ac:dyDescent="0.35">
      <c r="A178" s="133"/>
      <c r="B178" s="133"/>
      <c r="C178" s="133"/>
      <c r="D178" s="133" t="str">
        <f t="shared" si="47"/>
        <v>-</v>
      </c>
      <c r="E178" s="133"/>
      <c r="F178" s="164"/>
      <c r="G178" s="134" t="str">
        <f t="shared" si="46"/>
        <v>Yes</v>
      </c>
      <c r="H178" s="135">
        <f>SUMIFS('Order Details'!$R:$R,'Order Details'!$A:$A,'Order Summary'!$B178,'Order Details'!$B:$B,'Order Summary'!$C178,'Order Details'!$E:$E,"Yes")</f>
        <v>0</v>
      </c>
      <c r="I178" s="133"/>
      <c r="J178" s="133" t="e">
        <f>VLOOKUP($I178,'Master Data'!$L$5:$M$15,2,FALSE)</f>
        <v>#N/A</v>
      </c>
      <c r="K178" s="137">
        <f>SUMIFS('Order Details'!$U:$U,'Order Details'!$A:$A,'Order Summary'!$B178,'Order Details'!$B:$B,'Order Summary'!$C178,'Order Details'!$E:$E,"Yes")</f>
        <v>0</v>
      </c>
      <c r="L178" s="138">
        <f>SUMIFS('Order Details'!$P:$P,'Order Details'!$A:$A,'Order Summary'!$B178,'Order Details'!$B:$B,'Order Summary'!$C178,'Order Details'!$E:$E,"Yes")</f>
        <v>0</v>
      </c>
      <c r="M178" s="133"/>
      <c r="N178" s="164"/>
      <c r="O178" s="171" t="str">
        <f t="shared" si="45"/>
        <v/>
      </c>
      <c r="P178" s="174">
        <f>ROUND(SUMIFS('Order Details'!$V:$V,'Order Details'!$A:$A,'Order Summary'!$B178,'Order Details'!$B:$B,'Order Summary'!$C178,'Order Details'!$E:$E,"Yes"),2)</f>
        <v>0</v>
      </c>
      <c r="Q178" s="164"/>
      <c r="R178" s="171" t="str">
        <f t="shared" si="48"/>
        <v/>
      </c>
      <c r="S178" s="137"/>
      <c r="T178" s="165" t="str">
        <f>IF(Q178="","",Q178+_xlfn.MAXIFS('Order Details'!$W:$W,'Order Details'!$A:$A,'Order Summary'!$B178,'Order Details'!$B:$B,'Order Summary'!$C178,'Order Details'!$E:$E,"Yes"))</f>
        <v/>
      </c>
      <c r="U178" s="164" t="str">
        <f>IF(T178="","",T178+VLOOKUP($J178,'Master Data'!$F$6:$G$9,2,FALSE))</f>
        <v/>
      </c>
      <c r="V178" s="133"/>
      <c r="W178" s="133"/>
      <c r="X178" s="133"/>
      <c r="Y178" s="133"/>
      <c r="Z178" s="309" t="str">
        <f>IF($Y178="","",IF(VLOOKUP($Y178,'Master Data'!$F$12:$I$17,2,FALSE)="","",VLOOKUP($Y178,'Master Data'!$F$12:$I$17,2,FALSE)))</f>
        <v/>
      </c>
      <c r="AA178" s="164"/>
      <c r="AB178" s="171" t="str">
        <f t="shared" si="43"/>
        <v/>
      </c>
      <c r="AC178" s="133"/>
      <c r="AD178" s="164"/>
      <c r="AE178" s="164"/>
      <c r="AF178" s="137"/>
      <c r="AG178" s="137"/>
      <c r="AH178" s="137">
        <f t="shared" si="52"/>
        <v>0</v>
      </c>
      <c r="AI178" s="137">
        <f t="shared" si="49"/>
        <v>0</v>
      </c>
      <c r="AJ178" s="164"/>
      <c r="AK178" s="171" t="str">
        <f t="shared" si="51"/>
        <v/>
      </c>
      <c r="AL178" s="137"/>
      <c r="AM178" s="164" t="str">
        <f t="shared" si="53"/>
        <v/>
      </c>
      <c r="AN178" s="244" t="str">
        <f t="shared" si="50"/>
        <v/>
      </c>
      <c r="AO178" s="164"/>
    </row>
    <row r="179" spans="1:41" x14ac:dyDescent="0.35">
      <c r="A179" s="133"/>
      <c r="B179" s="133"/>
      <c r="C179" s="133"/>
      <c r="D179" s="133" t="str">
        <f t="shared" si="47"/>
        <v>-</v>
      </c>
      <c r="E179" s="133"/>
      <c r="F179" s="164"/>
      <c r="G179" s="134" t="str">
        <f t="shared" si="46"/>
        <v>Yes</v>
      </c>
      <c r="H179" s="135">
        <f>SUMIFS('Order Details'!$R:$R,'Order Details'!$A:$A,'Order Summary'!$B179,'Order Details'!$B:$B,'Order Summary'!$C179,'Order Details'!$E:$E,"Yes")</f>
        <v>0</v>
      </c>
      <c r="I179" s="133"/>
      <c r="J179" s="133" t="e">
        <f>VLOOKUP($I179,'Master Data'!$L$5:$M$15,2,FALSE)</f>
        <v>#N/A</v>
      </c>
      <c r="K179" s="137">
        <f>SUMIFS('Order Details'!$U:$U,'Order Details'!$A:$A,'Order Summary'!$B179,'Order Details'!$B:$B,'Order Summary'!$C179,'Order Details'!$E:$E,"Yes")</f>
        <v>0</v>
      </c>
      <c r="L179" s="138">
        <f>SUMIFS('Order Details'!$P:$P,'Order Details'!$A:$A,'Order Summary'!$B179,'Order Details'!$B:$B,'Order Summary'!$C179,'Order Details'!$E:$E,"Yes")</f>
        <v>0</v>
      </c>
      <c r="M179" s="133"/>
      <c r="N179" s="164"/>
      <c r="O179" s="171" t="str">
        <f t="shared" si="45"/>
        <v/>
      </c>
      <c r="P179" s="174">
        <f>ROUND(SUMIFS('Order Details'!$V:$V,'Order Details'!$A:$A,'Order Summary'!$B179,'Order Details'!$B:$B,'Order Summary'!$C179,'Order Details'!$E:$E,"Yes"),2)</f>
        <v>0</v>
      </c>
      <c r="Q179" s="164"/>
      <c r="R179" s="171" t="str">
        <f t="shared" si="48"/>
        <v/>
      </c>
      <c r="S179" s="137"/>
      <c r="T179" s="165" t="str">
        <f>IF(Q179="","",Q179+_xlfn.MAXIFS('Order Details'!$W:$W,'Order Details'!$A:$A,'Order Summary'!$B179,'Order Details'!$B:$B,'Order Summary'!$C179,'Order Details'!$E:$E,"Yes"))</f>
        <v/>
      </c>
      <c r="U179" s="164" t="str">
        <f>IF(T179="","",T179+VLOOKUP($J179,'Master Data'!$F$6:$G$9,2,FALSE))</f>
        <v/>
      </c>
      <c r="V179" s="133"/>
      <c r="W179" s="133"/>
      <c r="X179" s="133"/>
      <c r="Y179" s="133"/>
      <c r="Z179" s="309" t="str">
        <f>IF($Y179="","",IF(VLOOKUP($Y179,'Master Data'!$F$12:$I$17,2,FALSE)="","",VLOOKUP($Y179,'Master Data'!$F$12:$I$17,2,FALSE)))</f>
        <v/>
      </c>
      <c r="AA179" s="164"/>
      <c r="AB179" s="171" t="str">
        <f t="shared" si="43"/>
        <v/>
      </c>
      <c r="AC179" s="133"/>
      <c r="AD179" s="164"/>
      <c r="AE179" s="164"/>
      <c r="AF179" s="137"/>
      <c r="AG179" s="137"/>
      <c r="AH179" s="137">
        <f t="shared" si="52"/>
        <v>0</v>
      </c>
      <c r="AI179" s="137">
        <f t="shared" si="49"/>
        <v>0</v>
      </c>
      <c r="AJ179" s="164"/>
      <c r="AK179" s="171" t="str">
        <f t="shared" si="51"/>
        <v/>
      </c>
      <c r="AL179" s="137"/>
      <c r="AM179" s="164" t="str">
        <f t="shared" si="53"/>
        <v/>
      </c>
      <c r="AN179" s="244" t="str">
        <f t="shared" si="50"/>
        <v/>
      </c>
      <c r="AO179" s="164"/>
    </row>
    <row r="180" spans="1:41" x14ac:dyDescent="0.35">
      <c r="A180" s="133"/>
      <c r="B180" s="133"/>
      <c r="C180" s="133"/>
      <c r="D180" s="133" t="str">
        <f t="shared" si="47"/>
        <v>-</v>
      </c>
      <c r="E180" s="133"/>
      <c r="F180" s="164"/>
      <c r="G180" s="134" t="str">
        <f t="shared" si="46"/>
        <v>Yes</v>
      </c>
      <c r="H180" s="135">
        <f>SUMIFS('Order Details'!$R:$R,'Order Details'!$A:$A,'Order Summary'!$B180,'Order Details'!$B:$B,'Order Summary'!$C180,'Order Details'!$E:$E,"Yes")</f>
        <v>0</v>
      </c>
      <c r="I180" s="133"/>
      <c r="J180" s="133" t="e">
        <f>VLOOKUP($I180,'Master Data'!$L$5:$M$15,2,FALSE)</f>
        <v>#N/A</v>
      </c>
      <c r="K180" s="137">
        <f>SUMIFS('Order Details'!$U:$U,'Order Details'!$A:$A,'Order Summary'!$B180,'Order Details'!$B:$B,'Order Summary'!$C180,'Order Details'!$E:$E,"Yes")</f>
        <v>0</v>
      </c>
      <c r="L180" s="138">
        <f>SUMIFS('Order Details'!$P:$P,'Order Details'!$A:$A,'Order Summary'!$B180,'Order Details'!$B:$B,'Order Summary'!$C180,'Order Details'!$E:$E,"Yes")</f>
        <v>0</v>
      </c>
      <c r="M180" s="133"/>
      <c r="N180" s="164"/>
      <c r="O180" s="171" t="str">
        <f t="shared" si="45"/>
        <v/>
      </c>
      <c r="P180" s="174">
        <f>ROUND(SUMIFS('Order Details'!$V:$V,'Order Details'!$A:$A,'Order Summary'!$B180,'Order Details'!$B:$B,'Order Summary'!$C180,'Order Details'!$E:$E,"Yes"),2)</f>
        <v>0</v>
      </c>
      <c r="Q180" s="164"/>
      <c r="R180" s="171" t="str">
        <f t="shared" si="48"/>
        <v/>
      </c>
      <c r="S180" s="137"/>
      <c r="T180" s="165" t="str">
        <f>IF(Q180="","",Q180+_xlfn.MAXIFS('Order Details'!$W:$W,'Order Details'!$A:$A,'Order Summary'!$B180,'Order Details'!$B:$B,'Order Summary'!$C180,'Order Details'!$E:$E,"Yes"))</f>
        <v/>
      </c>
      <c r="U180" s="164" t="str">
        <f>IF(T180="","",T180+VLOOKUP($J180,'Master Data'!$F$6:$G$9,2,FALSE))</f>
        <v/>
      </c>
      <c r="V180" s="133"/>
      <c r="W180" s="133"/>
      <c r="X180" s="133"/>
      <c r="Y180" s="133"/>
      <c r="Z180" s="309" t="str">
        <f>IF($Y180="","",IF(VLOOKUP($Y180,'Master Data'!$F$12:$I$17,2,FALSE)="","",VLOOKUP($Y180,'Master Data'!$F$12:$I$17,2,FALSE)))</f>
        <v/>
      </c>
      <c r="AA180" s="164"/>
      <c r="AB180" s="171" t="str">
        <f t="shared" si="43"/>
        <v/>
      </c>
      <c r="AC180" s="133"/>
      <c r="AD180" s="164"/>
      <c r="AE180" s="164"/>
      <c r="AF180" s="137"/>
      <c r="AG180" s="137"/>
      <c r="AH180" s="137">
        <f t="shared" si="52"/>
        <v>0</v>
      </c>
      <c r="AI180" s="137">
        <f t="shared" si="49"/>
        <v>0</v>
      </c>
      <c r="AJ180" s="164"/>
      <c r="AK180" s="171" t="str">
        <f t="shared" si="51"/>
        <v/>
      </c>
      <c r="AL180" s="137"/>
      <c r="AM180" s="164" t="str">
        <f t="shared" si="53"/>
        <v/>
      </c>
      <c r="AN180" s="244" t="str">
        <f t="shared" si="50"/>
        <v/>
      </c>
      <c r="AO180" s="164"/>
    </row>
    <row r="181" spans="1:41" x14ac:dyDescent="0.35">
      <c r="A181" s="133"/>
      <c r="B181" s="133"/>
      <c r="C181" s="133"/>
      <c r="D181" s="133" t="str">
        <f t="shared" si="47"/>
        <v>-</v>
      </c>
      <c r="E181" s="133"/>
      <c r="F181" s="164"/>
      <c r="G181" s="134" t="str">
        <f t="shared" si="46"/>
        <v>Yes</v>
      </c>
      <c r="H181" s="135">
        <f>SUMIFS('Order Details'!$R:$R,'Order Details'!$A:$A,'Order Summary'!$B181,'Order Details'!$B:$B,'Order Summary'!$C181,'Order Details'!$E:$E,"Yes")</f>
        <v>0</v>
      </c>
      <c r="I181" s="133"/>
      <c r="J181" s="133" t="e">
        <f>VLOOKUP($I181,'Master Data'!$L$5:$M$15,2,FALSE)</f>
        <v>#N/A</v>
      </c>
      <c r="K181" s="137">
        <f>SUMIFS('Order Details'!$U:$U,'Order Details'!$A:$A,'Order Summary'!$B181,'Order Details'!$B:$B,'Order Summary'!$C181,'Order Details'!$E:$E,"Yes")</f>
        <v>0</v>
      </c>
      <c r="L181" s="138">
        <f>SUMIFS('Order Details'!$P:$P,'Order Details'!$A:$A,'Order Summary'!$B181,'Order Details'!$B:$B,'Order Summary'!$C181,'Order Details'!$E:$E,"Yes")</f>
        <v>0</v>
      </c>
      <c r="M181" s="133"/>
      <c r="N181" s="164"/>
      <c r="O181" s="171" t="str">
        <f t="shared" si="45"/>
        <v/>
      </c>
      <c r="P181" s="174">
        <f>ROUND(SUMIFS('Order Details'!$V:$V,'Order Details'!$A:$A,'Order Summary'!$B181,'Order Details'!$B:$B,'Order Summary'!$C181,'Order Details'!$E:$E,"Yes"),2)</f>
        <v>0</v>
      </c>
      <c r="Q181" s="164"/>
      <c r="R181" s="171" t="str">
        <f t="shared" si="48"/>
        <v/>
      </c>
      <c r="S181" s="137"/>
      <c r="T181" s="165" t="str">
        <f>IF(Q181="","",Q181+_xlfn.MAXIFS('Order Details'!$W:$W,'Order Details'!$A:$A,'Order Summary'!$B181,'Order Details'!$B:$B,'Order Summary'!$C181,'Order Details'!$E:$E,"Yes"))</f>
        <v/>
      </c>
      <c r="U181" s="164" t="str">
        <f>IF(T181="","",T181+VLOOKUP($J181,'Master Data'!$F$6:$G$9,2,FALSE))</f>
        <v/>
      </c>
      <c r="V181" s="133"/>
      <c r="W181" s="133"/>
      <c r="X181" s="133"/>
      <c r="Y181" s="133"/>
      <c r="Z181" s="309" t="str">
        <f>IF($Y181="","",IF(VLOOKUP($Y181,'Master Data'!$F$12:$I$17,2,FALSE)="","",VLOOKUP($Y181,'Master Data'!$F$12:$I$17,2,FALSE)))</f>
        <v/>
      </c>
      <c r="AA181" s="164"/>
      <c r="AB181" s="171" t="str">
        <f t="shared" si="43"/>
        <v/>
      </c>
      <c r="AC181" s="133"/>
      <c r="AD181" s="164"/>
      <c r="AE181" s="164"/>
      <c r="AF181" s="137"/>
      <c r="AG181" s="137"/>
      <c r="AH181" s="137">
        <f t="shared" si="52"/>
        <v>0</v>
      </c>
      <c r="AI181" s="137">
        <f t="shared" si="49"/>
        <v>0</v>
      </c>
      <c r="AJ181" s="164"/>
      <c r="AK181" s="171" t="str">
        <f t="shared" si="51"/>
        <v/>
      </c>
      <c r="AL181" s="137"/>
      <c r="AM181" s="164" t="str">
        <f t="shared" si="53"/>
        <v/>
      </c>
      <c r="AN181" s="244" t="str">
        <f t="shared" si="50"/>
        <v/>
      </c>
      <c r="AO181" s="164"/>
    </row>
    <row r="182" spans="1:41" x14ac:dyDescent="0.35">
      <c r="A182" s="133"/>
      <c r="B182" s="133"/>
      <c r="C182" s="133"/>
      <c r="D182" s="133" t="str">
        <f t="shared" si="47"/>
        <v>-</v>
      </c>
      <c r="E182" s="133"/>
      <c r="F182" s="164"/>
      <c r="G182" s="134" t="str">
        <f t="shared" si="46"/>
        <v>Yes</v>
      </c>
      <c r="H182" s="135">
        <f>SUMIFS('Order Details'!$R:$R,'Order Details'!$A:$A,'Order Summary'!$B182,'Order Details'!$B:$B,'Order Summary'!$C182,'Order Details'!$E:$E,"Yes")</f>
        <v>0</v>
      </c>
      <c r="I182" s="133"/>
      <c r="J182" s="133" t="e">
        <f>VLOOKUP($I182,'Master Data'!$L$5:$M$15,2,FALSE)</f>
        <v>#N/A</v>
      </c>
      <c r="K182" s="137">
        <f>SUMIFS('Order Details'!$U:$U,'Order Details'!$A:$A,'Order Summary'!$B182,'Order Details'!$B:$B,'Order Summary'!$C182,'Order Details'!$E:$E,"Yes")</f>
        <v>0</v>
      </c>
      <c r="L182" s="138">
        <f>SUMIFS('Order Details'!$P:$P,'Order Details'!$A:$A,'Order Summary'!$B182,'Order Details'!$B:$B,'Order Summary'!$C182,'Order Details'!$E:$E,"Yes")</f>
        <v>0</v>
      </c>
      <c r="M182" s="133"/>
      <c r="N182" s="164"/>
      <c r="O182" s="171" t="str">
        <f t="shared" si="45"/>
        <v/>
      </c>
      <c r="P182" s="174">
        <f>ROUND(SUMIFS('Order Details'!$V:$V,'Order Details'!$A:$A,'Order Summary'!$B182,'Order Details'!$B:$B,'Order Summary'!$C182,'Order Details'!$E:$E,"Yes"),2)</f>
        <v>0</v>
      </c>
      <c r="Q182" s="164"/>
      <c r="R182" s="171" t="str">
        <f t="shared" si="48"/>
        <v/>
      </c>
      <c r="S182" s="137"/>
      <c r="T182" s="165" t="str">
        <f>IF(Q182="","",Q182+_xlfn.MAXIFS('Order Details'!$W:$W,'Order Details'!$A:$A,'Order Summary'!$B182,'Order Details'!$B:$B,'Order Summary'!$C182,'Order Details'!$E:$E,"Yes"))</f>
        <v/>
      </c>
      <c r="U182" s="164" t="str">
        <f>IF(T182="","",T182+VLOOKUP($J182,'Master Data'!$F$6:$G$9,2,FALSE))</f>
        <v/>
      </c>
      <c r="V182" s="133"/>
      <c r="W182" s="133"/>
      <c r="X182" s="133"/>
      <c r="Y182" s="133"/>
      <c r="Z182" s="309" t="str">
        <f>IF($Y182="","",IF(VLOOKUP($Y182,'Master Data'!$F$12:$I$17,2,FALSE)="","",VLOOKUP($Y182,'Master Data'!$F$12:$I$17,2,FALSE)))</f>
        <v/>
      </c>
      <c r="AA182" s="164"/>
      <c r="AB182" s="171" t="str">
        <f t="shared" si="43"/>
        <v/>
      </c>
      <c r="AC182" s="133"/>
      <c r="AD182" s="164"/>
      <c r="AE182" s="164"/>
      <c r="AF182" s="137"/>
      <c r="AG182" s="137"/>
      <c r="AH182" s="137">
        <f t="shared" si="52"/>
        <v>0</v>
      </c>
      <c r="AI182" s="137">
        <f t="shared" si="49"/>
        <v>0</v>
      </c>
      <c r="AJ182" s="164"/>
      <c r="AK182" s="171" t="str">
        <f t="shared" si="51"/>
        <v/>
      </c>
      <c r="AL182" s="137"/>
      <c r="AM182" s="164" t="str">
        <f t="shared" si="53"/>
        <v/>
      </c>
      <c r="AN182" s="244" t="str">
        <f t="shared" si="50"/>
        <v/>
      </c>
      <c r="AO182" s="164"/>
    </row>
    <row r="183" spans="1:41" x14ac:dyDescent="0.35">
      <c r="A183" s="133"/>
      <c r="B183" s="133"/>
      <c r="C183" s="133"/>
      <c r="D183" s="133" t="str">
        <f t="shared" si="47"/>
        <v>-</v>
      </c>
      <c r="E183" s="133"/>
      <c r="F183" s="164"/>
      <c r="G183" s="134" t="str">
        <f t="shared" si="46"/>
        <v>Yes</v>
      </c>
      <c r="H183" s="135">
        <f>SUMIFS('Order Details'!$R:$R,'Order Details'!$A:$A,'Order Summary'!$B183,'Order Details'!$B:$B,'Order Summary'!$C183,'Order Details'!$E:$E,"Yes")</f>
        <v>0</v>
      </c>
      <c r="I183" s="133"/>
      <c r="J183" s="133" t="e">
        <f>VLOOKUP($I183,'Master Data'!$L$5:$M$15,2,FALSE)</f>
        <v>#N/A</v>
      </c>
      <c r="K183" s="137">
        <f>SUMIFS('Order Details'!$U:$U,'Order Details'!$A:$A,'Order Summary'!$B183,'Order Details'!$B:$B,'Order Summary'!$C183,'Order Details'!$E:$E,"Yes")</f>
        <v>0</v>
      </c>
      <c r="L183" s="138">
        <f>SUMIFS('Order Details'!$P:$P,'Order Details'!$A:$A,'Order Summary'!$B183,'Order Details'!$B:$B,'Order Summary'!$C183,'Order Details'!$E:$E,"Yes")</f>
        <v>0</v>
      </c>
      <c r="M183" s="133"/>
      <c r="N183" s="164"/>
      <c r="O183" s="171" t="str">
        <f t="shared" si="45"/>
        <v/>
      </c>
      <c r="P183" s="174">
        <f>ROUND(SUMIFS('Order Details'!$V:$V,'Order Details'!$A:$A,'Order Summary'!$B183,'Order Details'!$B:$B,'Order Summary'!$C183,'Order Details'!$E:$E,"Yes"),2)</f>
        <v>0</v>
      </c>
      <c r="Q183" s="164"/>
      <c r="R183" s="171" t="str">
        <f t="shared" si="48"/>
        <v/>
      </c>
      <c r="S183" s="137"/>
      <c r="T183" s="165" t="str">
        <f>IF(Q183="","",Q183+_xlfn.MAXIFS('Order Details'!$W:$W,'Order Details'!$A:$A,'Order Summary'!$B183,'Order Details'!$B:$B,'Order Summary'!$C183,'Order Details'!$E:$E,"Yes"))</f>
        <v/>
      </c>
      <c r="U183" s="164" t="str">
        <f>IF(T183="","",T183+VLOOKUP($J183,'Master Data'!$F$6:$G$9,2,FALSE))</f>
        <v/>
      </c>
      <c r="V183" s="133"/>
      <c r="W183" s="133"/>
      <c r="X183" s="133"/>
      <c r="Y183" s="133"/>
      <c r="Z183" s="309" t="str">
        <f>IF($Y183="","",IF(VLOOKUP($Y183,'Master Data'!$F$12:$I$17,2,FALSE)="","",VLOOKUP($Y183,'Master Data'!$F$12:$I$17,2,FALSE)))</f>
        <v/>
      </c>
      <c r="AA183" s="164"/>
      <c r="AB183" s="171" t="str">
        <f t="shared" si="43"/>
        <v/>
      </c>
      <c r="AC183" s="133"/>
      <c r="AD183" s="164"/>
      <c r="AE183" s="164"/>
      <c r="AF183" s="137"/>
      <c r="AG183" s="137"/>
      <c r="AH183" s="137">
        <f t="shared" si="52"/>
        <v>0</v>
      </c>
      <c r="AI183" s="137">
        <f t="shared" si="49"/>
        <v>0</v>
      </c>
      <c r="AJ183" s="164"/>
      <c r="AK183" s="171" t="str">
        <f t="shared" si="51"/>
        <v/>
      </c>
      <c r="AL183" s="137"/>
      <c r="AM183" s="164" t="str">
        <f t="shared" si="53"/>
        <v/>
      </c>
      <c r="AN183" s="244" t="str">
        <f t="shared" si="50"/>
        <v/>
      </c>
      <c r="AO183" s="164"/>
    </row>
    <row r="184" spans="1:41" x14ac:dyDescent="0.35">
      <c r="A184" s="133"/>
      <c r="B184" s="133"/>
      <c r="C184" s="133"/>
      <c r="D184" s="133" t="str">
        <f t="shared" si="47"/>
        <v>-</v>
      </c>
      <c r="E184" s="133"/>
      <c r="F184" s="164"/>
      <c r="G184" s="134" t="str">
        <f t="shared" si="46"/>
        <v>Yes</v>
      </c>
      <c r="H184" s="135">
        <f>SUMIFS('Order Details'!$R:$R,'Order Details'!$A:$A,'Order Summary'!$B184,'Order Details'!$B:$B,'Order Summary'!$C184,'Order Details'!$E:$E,"Yes")</f>
        <v>0</v>
      </c>
      <c r="I184" s="133"/>
      <c r="J184" s="133" t="e">
        <f>VLOOKUP($I184,'Master Data'!$L$5:$M$15,2,FALSE)</f>
        <v>#N/A</v>
      </c>
      <c r="K184" s="137">
        <f>SUMIFS('Order Details'!$U:$U,'Order Details'!$A:$A,'Order Summary'!$B184,'Order Details'!$B:$B,'Order Summary'!$C184,'Order Details'!$E:$E,"Yes")</f>
        <v>0</v>
      </c>
      <c r="L184" s="138">
        <f>SUMIFS('Order Details'!$P:$P,'Order Details'!$A:$A,'Order Summary'!$B184,'Order Details'!$B:$B,'Order Summary'!$C184,'Order Details'!$E:$E,"Yes")</f>
        <v>0</v>
      </c>
      <c r="M184" s="133"/>
      <c r="N184" s="164"/>
      <c r="O184" s="171" t="str">
        <f t="shared" si="45"/>
        <v/>
      </c>
      <c r="P184" s="174">
        <f>ROUND(SUMIFS('Order Details'!$V:$V,'Order Details'!$A:$A,'Order Summary'!$B184,'Order Details'!$B:$B,'Order Summary'!$C184,'Order Details'!$E:$E,"Yes"),2)</f>
        <v>0</v>
      </c>
      <c r="Q184" s="164"/>
      <c r="R184" s="171" t="str">
        <f t="shared" si="48"/>
        <v/>
      </c>
      <c r="S184" s="137"/>
      <c r="T184" s="165" t="str">
        <f>IF(Q184="","",Q184+_xlfn.MAXIFS('Order Details'!$W:$W,'Order Details'!$A:$A,'Order Summary'!$B184,'Order Details'!$B:$B,'Order Summary'!$C184,'Order Details'!$E:$E,"Yes"))</f>
        <v/>
      </c>
      <c r="U184" s="164" t="str">
        <f>IF(T184="","",T184+VLOOKUP($J184,'Master Data'!$F$6:$G$9,2,FALSE))</f>
        <v/>
      </c>
      <c r="V184" s="133"/>
      <c r="W184" s="133"/>
      <c r="X184" s="133"/>
      <c r="Y184" s="133"/>
      <c r="Z184" s="309" t="str">
        <f>IF($Y184="","",IF(VLOOKUP($Y184,'Master Data'!$F$12:$I$17,2,FALSE)="","",VLOOKUP($Y184,'Master Data'!$F$12:$I$17,2,FALSE)))</f>
        <v/>
      </c>
      <c r="AA184" s="164"/>
      <c r="AB184" s="171" t="str">
        <f t="shared" si="43"/>
        <v/>
      </c>
      <c r="AC184" s="133"/>
      <c r="AD184" s="164"/>
      <c r="AE184" s="164"/>
      <c r="AF184" s="137"/>
      <c r="AG184" s="137"/>
      <c r="AH184" s="137">
        <f t="shared" si="52"/>
        <v>0</v>
      </c>
      <c r="AI184" s="137">
        <f t="shared" si="49"/>
        <v>0</v>
      </c>
      <c r="AJ184" s="164"/>
      <c r="AK184" s="171" t="str">
        <f t="shared" si="51"/>
        <v/>
      </c>
      <c r="AL184" s="137"/>
      <c r="AM184" s="164" t="str">
        <f t="shared" si="53"/>
        <v/>
      </c>
      <c r="AN184" s="244" t="str">
        <f t="shared" si="50"/>
        <v/>
      </c>
      <c r="AO184" s="164"/>
    </row>
    <row r="185" spans="1:41" x14ac:dyDescent="0.35">
      <c r="A185" s="133"/>
      <c r="B185" s="133"/>
      <c r="C185" s="133"/>
      <c r="D185" s="133" t="str">
        <f t="shared" si="47"/>
        <v>-</v>
      </c>
      <c r="E185" s="133"/>
      <c r="F185" s="164"/>
      <c r="G185" s="134" t="str">
        <f t="shared" si="46"/>
        <v>Yes</v>
      </c>
      <c r="H185" s="135">
        <f>SUMIFS('Order Details'!$R:$R,'Order Details'!$A:$A,'Order Summary'!$B185,'Order Details'!$B:$B,'Order Summary'!$C185,'Order Details'!$E:$E,"Yes")</f>
        <v>0</v>
      </c>
      <c r="I185" s="133"/>
      <c r="J185" s="133" t="e">
        <f>VLOOKUP($I185,'Master Data'!$L$5:$M$15,2,FALSE)</f>
        <v>#N/A</v>
      </c>
      <c r="K185" s="137">
        <f>SUMIFS('Order Details'!$U:$U,'Order Details'!$A:$A,'Order Summary'!$B185,'Order Details'!$B:$B,'Order Summary'!$C185,'Order Details'!$E:$E,"Yes")</f>
        <v>0</v>
      </c>
      <c r="L185" s="138">
        <f>SUMIFS('Order Details'!$P:$P,'Order Details'!$A:$A,'Order Summary'!$B185,'Order Details'!$B:$B,'Order Summary'!$C185,'Order Details'!$E:$E,"Yes")</f>
        <v>0</v>
      </c>
      <c r="M185" s="133"/>
      <c r="N185" s="164"/>
      <c r="O185" s="171" t="str">
        <f t="shared" si="45"/>
        <v/>
      </c>
      <c r="P185" s="174">
        <f>ROUND(SUMIFS('Order Details'!$V:$V,'Order Details'!$A:$A,'Order Summary'!$B185,'Order Details'!$B:$B,'Order Summary'!$C185,'Order Details'!$E:$E,"Yes"),2)</f>
        <v>0</v>
      </c>
      <c r="Q185" s="164"/>
      <c r="R185" s="171" t="str">
        <f t="shared" si="48"/>
        <v/>
      </c>
      <c r="S185" s="137"/>
      <c r="T185" s="165" t="str">
        <f>IF(Q185="","",Q185+_xlfn.MAXIFS('Order Details'!$W:$W,'Order Details'!$A:$A,'Order Summary'!$B185,'Order Details'!$B:$B,'Order Summary'!$C185,'Order Details'!$E:$E,"Yes"))</f>
        <v/>
      </c>
      <c r="U185" s="164" t="str">
        <f>IF(T185="","",T185+VLOOKUP($J185,'Master Data'!$F$6:$G$9,2,FALSE))</f>
        <v/>
      </c>
      <c r="V185" s="133"/>
      <c r="W185" s="133"/>
      <c r="X185" s="133"/>
      <c r="Y185" s="133"/>
      <c r="Z185" s="309" t="str">
        <f>IF($Y185="","",IF(VLOOKUP($Y185,'Master Data'!$F$12:$I$17,2,FALSE)="","",VLOOKUP($Y185,'Master Data'!$F$12:$I$17,2,FALSE)))</f>
        <v/>
      </c>
      <c r="AA185" s="164"/>
      <c r="AB185" s="171" t="str">
        <f t="shared" si="43"/>
        <v/>
      </c>
      <c r="AC185" s="133"/>
      <c r="AD185" s="164"/>
      <c r="AE185" s="164"/>
      <c r="AF185" s="137"/>
      <c r="AG185" s="137"/>
      <c r="AH185" s="137">
        <f t="shared" si="52"/>
        <v>0</v>
      </c>
      <c r="AI185" s="137">
        <f t="shared" si="49"/>
        <v>0</v>
      </c>
      <c r="AJ185" s="164"/>
      <c r="AK185" s="171" t="str">
        <f t="shared" si="51"/>
        <v/>
      </c>
      <c r="AL185" s="137"/>
      <c r="AM185" s="164" t="str">
        <f t="shared" si="53"/>
        <v/>
      </c>
      <c r="AN185" s="244" t="str">
        <f t="shared" si="50"/>
        <v/>
      </c>
      <c r="AO185" s="164"/>
    </row>
    <row r="186" spans="1:41" x14ac:dyDescent="0.35">
      <c r="A186" s="133"/>
      <c r="B186" s="133"/>
      <c r="C186" s="133"/>
      <c r="D186" s="133" t="str">
        <f t="shared" si="47"/>
        <v>-</v>
      </c>
      <c r="E186" s="133"/>
      <c r="F186" s="164"/>
      <c r="G186" s="134" t="str">
        <f t="shared" si="46"/>
        <v>Yes</v>
      </c>
      <c r="H186" s="135">
        <f>SUMIFS('Order Details'!$R:$R,'Order Details'!$A:$A,'Order Summary'!$B186,'Order Details'!$B:$B,'Order Summary'!$C186,'Order Details'!$E:$E,"Yes")</f>
        <v>0</v>
      </c>
      <c r="I186" s="133"/>
      <c r="J186" s="133" t="e">
        <f>VLOOKUP($I186,'Master Data'!$L$5:$M$15,2,FALSE)</f>
        <v>#N/A</v>
      </c>
      <c r="K186" s="137">
        <f>SUMIFS('Order Details'!$U:$U,'Order Details'!$A:$A,'Order Summary'!$B186,'Order Details'!$B:$B,'Order Summary'!$C186,'Order Details'!$E:$E,"Yes")</f>
        <v>0</v>
      </c>
      <c r="L186" s="138">
        <f>SUMIFS('Order Details'!$P:$P,'Order Details'!$A:$A,'Order Summary'!$B186,'Order Details'!$B:$B,'Order Summary'!$C186,'Order Details'!$E:$E,"Yes")</f>
        <v>0</v>
      </c>
      <c r="M186" s="133"/>
      <c r="N186" s="164"/>
      <c r="O186" s="171" t="str">
        <f t="shared" ref="O186:O200" si="54">IF(N186="","",$N186-$F186)</f>
        <v/>
      </c>
      <c r="P186" s="174">
        <f>ROUND(SUMIFS('Order Details'!$V:$V,'Order Details'!$A:$A,'Order Summary'!$B186,'Order Details'!$B:$B,'Order Summary'!$C186,'Order Details'!$E:$E,"Yes"),2)</f>
        <v>0</v>
      </c>
      <c r="Q186" s="164"/>
      <c r="R186" s="171" t="str">
        <f t="shared" si="48"/>
        <v/>
      </c>
      <c r="S186" s="137"/>
      <c r="T186" s="165" t="str">
        <f>IF(Q186="","",Q186+_xlfn.MAXIFS('Order Details'!$W:$W,'Order Details'!$A:$A,'Order Summary'!$B186,'Order Details'!$B:$B,'Order Summary'!$C186,'Order Details'!$E:$E,"Yes"))</f>
        <v/>
      </c>
      <c r="U186" s="164" t="str">
        <f>IF(T186="","",T186+VLOOKUP($J186,'Master Data'!$F$6:$G$9,2,FALSE))</f>
        <v/>
      </c>
      <c r="V186" s="133"/>
      <c r="W186" s="133"/>
      <c r="X186" s="133"/>
      <c r="Y186" s="133"/>
      <c r="Z186" s="309" t="str">
        <f>IF($Y186="","",IF(VLOOKUP($Y186,'Master Data'!$F$12:$I$17,2,FALSE)="","",VLOOKUP($Y186,'Master Data'!$F$12:$I$17,2,FALSE)))</f>
        <v/>
      </c>
      <c r="AA186" s="164"/>
      <c r="AB186" s="171" t="str">
        <f t="shared" si="43"/>
        <v/>
      </c>
      <c r="AC186" s="133"/>
      <c r="AD186" s="164"/>
      <c r="AE186" s="164"/>
      <c r="AF186" s="137"/>
      <c r="AG186" s="137"/>
      <c r="AH186" s="137">
        <f t="shared" si="52"/>
        <v>0</v>
      </c>
      <c r="AI186" s="137">
        <f t="shared" si="49"/>
        <v>0</v>
      </c>
      <c r="AJ186" s="164"/>
      <c r="AK186" s="171" t="str">
        <f t="shared" si="51"/>
        <v/>
      </c>
      <c r="AL186" s="137"/>
      <c r="AM186" s="164" t="str">
        <f t="shared" si="53"/>
        <v/>
      </c>
      <c r="AN186" s="244" t="str">
        <f t="shared" si="50"/>
        <v/>
      </c>
      <c r="AO186" s="164"/>
    </row>
    <row r="187" spans="1:41" x14ac:dyDescent="0.35">
      <c r="A187" s="133"/>
      <c r="B187" s="133"/>
      <c r="C187" s="133"/>
      <c r="D187" s="133" t="str">
        <f t="shared" si="47"/>
        <v>-</v>
      </c>
      <c r="E187" s="133"/>
      <c r="F187" s="164"/>
      <c r="G187" s="134" t="str">
        <f t="shared" si="46"/>
        <v>Yes</v>
      </c>
      <c r="H187" s="135">
        <f>SUMIFS('Order Details'!$R:$R,'Order Details'!$A:$A,'Order Summary'!$B187,'Order Details'!$B:$B,'Order Summary'!$C187,'Order Details'!$E:$E,"Yes")</f>
        <v>0</v>
      </c>
      <c r="I187" s="133"/>
      <c r="J187" s="133" t="e">
        <f>VLOOKUP($I187,'Master Data'!$L$5:$M$15,2,FALSE)</f>
        <v>#N/A</v>
      </c>
      <c r="K187" s="137">
        <f>SUMIFS('Order Details'!$U:$U,'Order Details'!$A:$A,'Order Summary'!$B187,'Order Details'!$B:$B,'Order Summary'!$C187,'Order Details'!$E:$E,"Yes")</f>
        <v>0</v>
      </c>
      <c r="L187" s="138">
        <f>SUMIFS('Order Details'!$P:$P,'Order Details'!$A:$A,'Order Summary'!$B187,'Order Details'!$B:$B,'Order Summary'!$C187,'Order Details'!$E:$E,"Yes")</f>
        <v>0</v>
      </c>
      <c r="M187" s="133"/>
      <c r="N187" s="164"/>
      <c r="O187" s="171" t="str">
        <f t="shared" si="54"/>
        <v/>
      </c>
      <c r="P187" s="174">
        <f>ROUND(SUMIFS('Order Details'!$V:$V,'Order Details'!$A:$A,'Order Summary'!$B187,'Order Details'!$B:$B,'Order Summary'!$C187,'Order Details'!$E:$E,"Yes"),2)</f>
        <v>0</v>
      </c>
      <c r="Q187" s="164"/>
      <c r="R187" s="171" t="str">
        <f t="shared" si="48"/>
        <v/>
      </c>
      <c r="S187" s="137"/>
      <c r="T187" s="165" t="str">
        <f>IF(Q187="","",Q187+_xlfn.MAXIFS('Order Details'!$W:$W,'Order Details'!$A:$A,'Order Summary'!$B187,'Order Details'!$B:$B,'Order Summary'!$C187,'Order Details'!$E:$E,"Yes"))</f>
        <v/>
      </c>
      <c r="U187" s="164" t="str">
        <f>IF(T187="","",T187+VLOOKUP($J187,'Master Data'!$F$6:$G$9,2,FALSE))</f>
        <v/>
      </c>
      <c r="V187" s="133"/>
      <c r="W187" s="133"/>
      <c r="X187" s="133"/>
      <c r="Y187" s="133"/>
      <c r="Z187" s="309" t="str">
        <f>IF($Y187="","",IF(VLOOKUP($Y187,'Master Data'!$F$12:$I$17,2,FALSE)="","",VLOOKUP($Y187,'Master Data'!$F$12:$I$17,2,FALSE)))</f>
        <v/>
      </c>
      <c r="AA187" s="164"/>
      <c r="AB187" s="171" t="str">
        <f t="shared" si="43"/>
        <v/>
      </c>
      <c r="AC187" s="133"/>
      <c r="AD187" s="164"/>
      <c r="AE187" s="164"/>
      <c r="AF187" s="137"/>
      <c r="AG187" s="137"/>
      <c r="AH187" s="137">
        <f t="shared" si="52"/>
        <v>0</v>
      </c>
      <c r="AI187" s="137">
        <f t="shared" si="49"/>
        <v>0</v>
      </c>
      <c r="AJ187" s="164"/>
      <c r="AK187" s="171" t="str">
        <f t="shared" si="51"/>
        <v/>
      </c>
      <c r="AL187" s="137"/>
      <c r="AM187" s="164" t="str">
        <f t="shared" si="53"/>
        <v/>
      </c>
      <c r="AN187" s="244" t="str">
        <f t="shared" si="50"/>
        <v/>
      </c>
      <c r="AO187" s="164"/>
    </row>
    <row r="188" spans="1:41" x14ac:dyDescent="0.35">
      <c r="A188" s="133"/>
      <c r="B188" s="133"/>
      <c r="C188" s="133"/>
      <c r="D188" s="133" t="str">
        <f t="shared" si="47"/>
        <v>-</v>
      </c>
      <c r="E188" s="133"/>
      <c r="F188" s="164"/>
      <c r="G188" s="134" t="str">
        <f t="shared" si="46"/>
        <v>Yes</v>
      </c>
      <c r="H188" s="135">
        <f>SUMIFS('Order Details'!$R:$R,'Order Details'!$A:$A,'Order Summary'!$B188,'Order Details'!$B:$B,'Order Summary'!$C188,'Order Details'!$E:$E,"Yes")</f>
        <v>0</v>
      </c>
      <c r="I188" s="133"/>
      <c r="J188" s="133" t="e">
        <f>VLOOKUP($I188,'Master Data'!$L$5:$M$15,2,FALSE)</f>
        <v>#N/A</v>
      </c>
      <c r="K188" s="137">
        <f>SUMIFS('Order Details'!$U:$U,'Order Details'!$A:$A,'Order Summary'!$B188,'Order Details'!$B:$B,'Order Summary'!$C188,'Order Details'!$E:$E,"Yes")</f>
        <v>0</v>
      </c>
      <c r="L188" s="138">
        <f>SUMIFS('Order Details'!$P:$P,'Order Details'!$A:$A,'Order Summary'!$B188,'Order Details'!$B:$B,'Order Summary'!$C188,'Order Details'!$E:$E,"Yes")</f>
        <v>0</v>
      </c>
      <c r="M188" s="133"/>
      <c r="N188" s="164"/>
      <c r="O188" s="171" t="str">
        <f t="shared" si="54"/>
        <v/>
      </c>
      <c r="P188" s="174">
        <f>ROUND(SUMIFS('Order Details'!$V:$V,'Order Details'!$A:$A,'Order Summary'!$B188,'Order Details'!$B:$B,'Order Summary'!$C188,'Order Details'!$E:$E,"Yes"),2)</f>
        <v>0</v>
      </c>
      <c r="Q188" s="164"/>
      <c r="R188" s="171" t="str">
        <f t="shared" si="48"/>
        <v/>
      </c>
      <c r="S188" s="137"/>
      <c r="T188" s="165" t="str">
        <f>IF(Q188="","",Q188+_xlfn.MAXIFS('Order Details'!$W:$W,'Order Details'!$A:$A,'Order Summary'!$B188,'Order Details'!$B:$B,'Order Summary'!$C188,'Order Details'!$E:$E,"Yes"))</f>
        <v/>
      </c>
      <c r="U188" s="164" t="str">
        <f>IF(T188="","",T188+VLOOKUP($J188,'Master Data'!$F$6:$G$9,2,FALSE))</f>
        <v/>
      </c>
      <c r="V188" s="133"/>
      <c r="W188" s="133"/>
      <c r="X188" s="133"/>
      <c r="Y188" s="133"/>
      <c r="Z188" s="309" t="str">
        <f>IF($Y188="","",IF(VLOOKUP($Y188,'Master Data'!$F$12:$I$17,2,FALSE)="","",VLOOKUP($Y188,'Master Data'!$F$12:$I$17,2,FALSE)))</f>
        <v/>
      </c>
      <c r="AA188" s="164"/>
      <c r="AB188" s="171" t="str">
        <f t="shared" si="43"/>
        <v/>
      </c>
      <c r="AC188" s="133"/>
      <c r="AD188" s="164"/>
      <c r="AE188" s="164"/>
      <c r="AF188" s="137"/>
      <c r="AG188" s="137"/>
      <c r="AH188" s="137">
        <f t="shared" si="52"/>
        <v>0</v>
      </c>
      <c r="AI188" s="137">
        <f t="shared" si="49"/>
        <v>0</v>
      </c>
      <c r="AJ188" s="164"/>
      <c r="AK188" s="171" t="str">
        <f t="shared" si="51"/>
        <v/>
      </c>
      <c r="AL188" s="137"/>
      <c r="AM188" s="164" t="str">
        <f t="shared" si="53"/>
        <v/>
      </c>
      <c r="AN188" s="244" t="str">
        <f t="shared" si="50"/>
        <v/>
      </c>
      <c r="AO188" s="164"/>
    </row>
    <row r="189" spans="1:41" x14ac:dyDescent="0.35">
      <c r="A189" s="133"/>
      <c r="B189" s="133"/>
      <c r="C189" s="133"/>
      <c r="D189" s="133" t="str">
        <f t="shared" si="47"/>
        <v>-</v>
      </c>
      <c r="E189" s="133"/>
      <c r="F189" s="164"/>
      <c r="G189" s="134" t="str">
        <f t="shared" ref="G189:G200" si="55">IF(OR(E189="PO Revised",E189="PO Cancelled"),"No","Yes")</f>
        <v>Yes</v>
      </c>
      <c r="H189" s="135">
        <f>SUMIFS('Order Details'!$R:$R,'Order Details'!$A:$A,'Order Summary'!$B189,'Order Details'!$B:$B,'Order Summary'!$C189,'Order Details'!$E:$E,"Yes")</f>
        <v>0</v>
      </c>
      <c r="I189" s="133"/>
      <c r="J189" s="133" t="e">
        <f>VLOOKUP($I189,'Master Data'!$L$5:$M$15,2,FALSE)</f>
        <v>#N/A</v>
      </c>
      <c r="K189" s="137">
        <f>SUMIFS('Order Details'!$U:$U,'Order Details'!$A:$A,'Order Summary'!$B189,'Order Details'!$B:$B,'Order Summary'!$C189,'Order Details'!$E:$E,"Yes")</f>
        <v>0</v>
      </c>
      <c r="L189" s="138">
        <f>SUMIFS('Order Details'!$P:$P,'Order Details'!$A:$A,'Order Summary'!$B189,'Order Details'!$B:$B,'Order Summary'!$C189,'Order Details'!$E:$E,"Yes")</f>
        <v>0</v>
      </c>
      <c r="M189" s="133"/>
      <c r="N189" s="164"/>
      <c r="O189" s="171" t="str">
        <f t="shared" si="54"/>
        <v/>
      </c>
      <c r="P189" s="174">
        <f>ROUND(SUMIFS('Order Details'!$V:$V,'Order Details'!$A:$A,'Order Summary'!$B189,'Order Details'!$B:$B,'Order Summary'!$C189,'Order Details'!$E:$E,"Yes"),2)</f>
        <v>0</v>
      </c>
      <c r="Q189" s="164"/>
      <c r="R189" s="171" t="str">
        <f t="shared" si="48"/>
        <v/>
      </c>
      <c r="S189" s="137"/>
      <c r="T189" s="165" t="str">
        <f>IF(Q189="","",Q189+_xlfn.MAXIFS('Order Details'!$W:$W,'Order Details'!$A:$A,'Order Summary'!$B189,'Order Details'!$B:$B,'Order Summary'!$C189,'Order Details'!$E:$E,"Yes"))</f>
        <v/>
      </c>
      <c r="U189" s="164" t="str">
        <f>IF(T189="","",T189+VLOOKUP($J189,'Master Data'!$F$6:$G$9,2,FALSE))</f>
        <v/>
      </c>
      <c r="V189" s="133"/>
      <c r="W189" s="133"/>
      <c r="X189" s="133"/>
      <c r="Y189" s="133"/>
      <c r="Z189" s="309" t="str">
        <f>IF($Y189="","",IF(VLOOKUP($Y189,'Master Data'!$F$12:$I$17,2,FALSE)="","",VLOOKUP($Y189,'Master Data'!$F$12:$I$17,2,FALSE)))</f>
        <v/>
      </c>
      <c r="AA189" s="164"/>
      <c r="AB189" s="171" t="str">
        <f t="shared" si="43"/>
        <v/>
      </c>
      <c r="AC189" s="133"/>
      <c r="AD189" s="164"/>
      <c r="AE189" s="164"/>
      <c r="AF189" s="137"/>
      <c r="AG189" s="137"/>
      <c r="AH189" s="137">
        <f t="shared" si="52"/>
        <v>0</v>
      </c>
      <c r="AI189" s="137">
        <f t="shared" si="49"/>
        <v>0</v>
      </c>
      <c r="AJ189" s="164"/>
      <c r="AK189" s="171" t="str">
        <f t="shared" si="51"/>
        <v/>
      </c>
      <c r="AL189" s="137"/>
      <c r="AM189" s="164" t="str">
        <f t="shared" si="53"/>
        <v/>
      </c>
      <c r="AN189" s="244" t="str">
        <f t="shared" si="50"/>
        <v/>
      </c>
      <c r="AO189" s="164"/>
    </row>
    <row r="190" spans="1:41" x14ac:dyDescent="0.35">
      <c r="A190" s="133"/>
      <c r="B190" s="133"/>
      <c r="C190" s="133"/>
      <c r="D190" s="133" t="str">
        <f t="shared" si="47"/>
        <v>-</v>
      </c>
      <c r="E190" s="133"/>
      <c r="F190" s="164"/>
      <c r="G190" s="134" t="str">
        <f t="shared" si="55"/>
        <v>Yes</v>
      </c>
      <c r="H190" s="135">
        <f>SUMIFS('Order Details'!$R:$R,'Order Details'!$A:$A,'Order Summary'!$B190,'Order Details'!$B:$B,'Order Summary'!$C190,'Order Details'!$E:$E,"Yes")</f>
        <v>0</v>
      </c>
      <c r="I190" s="133"/>
      <c r="J190" s="133" t="e">
        <f>VLOOKUP($I190,'Master Data'!$L$5:$M$15,2,FALSE)</f>
        <v>#N/A</v>
      </c>
      <c r="K190" s="137">
        <f>SUMIFS('Order Details'!$U:$U,'Order Details'!$A:$A,'Order Summary'!$B190,'Order Details'!$B:$B,'Order Summary'!$C190,'Order Details'!$E:$E,"Yes")</f>
        <v>0</v>
      </c>
      <c r="L190" s="138">
        <f>SUMIFS('Order Details'!$P:$P,'Order Details'!$A:$A,'Order Summary'!$B190,'Order Details'!$B:$B,'Order Summary'!$C190,'Order Details'!$E:$E,"Yes")</f>
        <v>0</v>
      </c>
      <c r="M190" s="133"/>
      <c r="N190" s="164"/>
      <c r="O190" s="171" t="str">
        <f t="shared" si="54"/>
        <v/>
      </c>
      <c r="P190" s="174">
        <f>ROUND(SUMIFS('Order Details'!$V:$V,'Order Details'!$A:$A,'Order Summary'!$B190,'Order Details'!$B:$B,'Order Summary'!$C190,'Order Details'!$E:$E,"Yes"),2)</f>
        <v>0</v>
      </c>
      <c r="Q190" s="164"/>
      <c r="R190" s="171" t="str">
        <f t="shared" si="48"/>
        <v/>
      </c>
      <c r="S190" s="137"/>
      <c r="T190" s="165" t="str">
        <f>IF(Q190="","",Q190+_xlfn.MAXIFS('Order Details'!$W:$W,'Order Details'!$A:$A,'Order Summary'!$B190,'Order Details'!$B:$B,'Order Summary'!$C190,'Order Details'!$E:$E,"Yes"))</f>
        <v/>
      </c>
      <c r="U190" s="164" t="str">
        <f>IF(T190="","",T190+VLOOKUP($J190,'Master Data'!$F$6:$G$9,2,FALSE))</f>
        <v/>
      </c>
      <c r="V190" s="133"/>
      <c r="W190" s="133"/>
      <c r="X190" s="133"/>
      <c r="Y190" s="133"/>
      <c r="Z190" s="309" t="str">
        <f>IF($Y190="","",IF(VLOOKUP($Y190,'Master Data'!$F$12:$I$17,2,FALSE)="","",VLOOKUP($Y190,'Master Data'!$F$12:$I$17,2,FALSE)))</f>
        <v/>
      </c>
      <c r="AA190" s="164"/>
      <c r="AB190" s="171" t="str">
        <f t="shared" si="43"/>
        <v/>
      </c>
      <c r="AC190" s="133"/>
      <c r="AD190" s="164"/>
      <c r="AE190" s="164"/>
      <c r="AF190" s="137"/>
      <c r="AG190" s="137"/>
      <c r="AH190" s="137">
        <f t="shared" si="52"/>
        <v>0</v>
      </c>
      <c r="AI190" s="137">
        <f t="shared" si="49"/>
        <v>0</v>
      </c>
      <c r="AJ190" s="164"/>
      <c r="AK190" s="171" t="str">
        <f t="shared" si="51"/>
        <v/>
      </c>
      <c r="AL190" s="137"/>
      <c r="AM190" s="164" t="str">
        <f t="shared" si="53"/>
        <v/>
      </c>
      <c r="AN190" s="244" t="str">
        <f t="shared" si="50"/>
        <v/>
      </c>
      <c r="AO190" s="164"/>
    </row>
    <row r="191" spans="1:41" x14ac:dyDescent="0.35">
      <c r="A191" s="133"/>
      <c r="B191" s="133"/>
      <c r="C191" s="133"/>
      <c r="D191" s="133" t="str">
        <f t="shared" si="47"/>
        <v>-</v>
      </c>
      <c r="E191" s="133"/>
      <c r="F191" s="164"/>
      <c r="G191" s="134" t="str">
        <f t="shared" si="55"/>
        <v>Yes</v>
      </c>
      <c r="H191" s="135">
        <f>SUMIFS('Order Details'!$R:$R,'Order Details'!$A:$A,'Order Summary'!$B191,'Order Details'!$B:$B,'Order Summary'!$C191,'Order Details'!$E:$E,"Yes")</f>
        <v>0</v>
      </c>
      <c r="I191" s="133"/>
      <c r="J191" s="133" t="e">
        <f>VLOOKUP($I191,'Master Data'!$L$5:$M$15,2,FALSE)</f>
        <v>#N/A</v>
      </c>
      <c r="K191" s="137">
        <f>SUMIFS('Order Details'!$U:$U,'Order Details'!$A:$A,'Order Summary'!$B191,'Order Details'!$B:$B,'Order Summary'!$C191,'Order Details'!$E:$E,"Yes")</f>
        <v>0</v>
      </c>
      <c r="L191" s="138">
        <f>SUMIFS('Order Details'!$P:$P,'Order Details'!$A:$A,'Order Summary'!$B191,'Order Details'!$B:$B,'Order Summary'!$C191,'Order Details'!$E:$E,"Yes")</f>
        <v>0</v>
      </c>
      <c r="M191" s="133"/>
      <c r="N191" s="164"/>
      <c r="O191" s="171" t="str">
        <f t="shared" si="54"/>
        <v/>
      </c>
      <c r="P191" s="174">
        <f>ROUND(SUMIFS('Order Details'!$V:$V,'Order Details'!$A:$A,'Order Summary'!$B191,'Order Details'!$B:$B,'Order Summary'!$C191,'Order Details'!$E:$E,"Yes"),2)</f>
        <v>0</v>
      </c>
      <c r="Q191" s="164"/>
      <c r="R191" s="171" t="str">
        <f t="shared" si="48"/>
        <v/>
      </c>
      <c r="S191" s="137"/>
      <c r="T191" s="165" t="str">
        <f>IF(Q191="","",Q191+_xlfn.MAXIFS('Order Details'!$W:$W,'Order Details'!$A:$A,'Order Summary'!$B191,'Order Details'!$B:$B,'Order Summary'!$C191,'Order Details'!$E:$E,"Yes"))</f>
        <v/>
      </c>
      <c r="U191" s="164" t="str">
        <f>IF(T191="","",T191+VLOOKUP($J191,'Master Data'!$F$6:$G$9,2,FALSE))</f>
        <v/>
      </c>
      <c r="V191" s="133"/>
      <c r="W191" s="133"/>
      <c r="X191" s="133"/>
      <c r="Y191" s="133"/>
      <c r="Z191" s="309" t="str">
        <f>IF($Y191="","",IF(VLOOKUP($Y191,'Master Data'!$F$12:$I$17,2,FALSE)="","",VLOOKUP($Y191,'Master Data'!$F$12:$I$17,2,FALSE)))</f>
        <v/>
      </c>
      <c r="AA191" s="164"/>
      <c r="AB191" s="171" t="str">
        <f t="shared" si="43"/>
        <v/>
      </c>
      <c r="AC191" s="133"/>
      <c r="AD191" s="164"/>
      <c r="AE191" s="164"/>
      <c r="AF191" s="137"/>
      <c r="AG191" s="137"/>
      <c r="AH191" s="137">
        <f t="shared" si="52"/>
        <v>0</v>
      </c>
      <c r="AI191" s="137">
        <f t="shared" si="49"/>
        <v>0</v>
      </c>
      <c r="AJ191" s="164"/>
      <c r="AK191" s="171" t="str">
        <f t="shared" si="51"/>
        <v/>
      </c>
      <c r="AL191" s="137"/>
      <c r="AM191" s="164" t="str">
        <f t="shared" si="53"/>
        <v/>
      </c>
      <c r="AN191" s="244" t="str">
        <f t="shared" si="50"/>
        <v/>
      </c>
      <c r="AO191" s="164"/>
    </row>
    <row r="192" spans="1:41" x14ac:dyDescent="0.35">
      <c r="A192" s="133"/>
      <c r="B192" s="133"/>
      <c r="C192" s="133"/>
      <c r="D192" s="133" t="str">
        <f t="shared" si="47"/>
        <v>-</v>
      </c>
      <c r="E192" s="133"/>
      <c r="F192" s="164"/>
      <c r="G192" s="134" t="str">
        <f t="shared" si="55"/>
        <v>Yes</v>
      </c>
      <c r="H192" s="135">
        <f>SUMIFS('Order Details'!$R:$R,'Order Details'!$A:$A,'Order Summary'!$B192,'Order Details'!$B:$B,'Order Summary'!$C192,'Order Details'!$E:$E,"Yes")</f>
        <v>0</v>
      </c>
      <c r="I192" s="133"/>
      <c r="J192" s="133" t="e">
        <f>VLOOKUP($I192,'Master Data'!$L$5:$M$15,2,FALSE)</f>
        <v>#N/A</v>
      </c>
      <c r="K192" s="137">
        <f>SUMIFS('Order Details'!$U:$U,'Order Details'!$A:$A,'Order Summary'!$B192,'Order Details'!$B:$B,'Order Summary'!$C192,'Order Details'!$E:$E,"Yes")</f>
        <v>0</v>
      </c>
      <c r="L192" s="138">
        <f>SUMIFS('Order Details'!$P:$P,'Order Details'!$A:$A,'Order Summary'!$B192,'Order Details'!$B:$B,'Order Summary'!$C192,'Order Details'!$E:$E,"Yes")</f>
        <v>0</v>
      </c>
      <c r="M192" s="133"/>
      <c r="N192" s="164"/>
      <c r="O192" s="171" t="str">
        <f t="shared" si="54"/>
        <v/>
      </c>
      <c r="P192" s="174">
        <f>ROUND(SUMIFS('Order Details'!$V:$V,'Order Details'!$A:$A,'Order Summary'!$B192,'Order Details'!$B:$B,'Order Summary'!$C192,'Order Details'!$E:$E,"Yes"),2)</f>
        <v>0</v>
      </c>
      <c r="Q192" s="164"/>
      <c r="R192" s="171" t="str">
        <f t="shared" si="48"/>
        <v/>
      </c>
      <c r="S192" s="137"/>
      <c r="T192" s="165" t="str">
        <f>IF(Q192="","",Q192+_xlfn.MAXIFS('Order Details'!$W:$W,'Order Details'!$A:$A,'Order Summary'!$B192,'Order Details'!$B:$B,'Order Summary'!$C192,'Order Details'!$E:$E,"Yes"))</f>
        <v/>
      </c>
      <c r="U192" s="164" t="str">
        <f>IF(T192="","",T192+VLOOKUP($J192,'Master Data'!$F$6:$G$9,2,FALSE))</f>
        <v/>
      </c>
      <c r="V192" s="133"/>
      <c r="W192" s="133"/>
      <c r="X192" s="133"/>
      <c r="Y192" s="133"/>
      <c r="Z192" s="309" t="str">
        <f>IF($Y192="","",IF(VLOOKUP($Y192,'Master Data'!$F$12:$I$17,2,FALSE)="","",VLOOKUP($Y192,'Master Data'!$F$12:$I$17,2,FALSE)))</f>
        <v/>
      </c>
      <c r="AA192" s="164"/>
      <c r="AB192" s="171" t="str">
        <f t="shared" si="43"/>
        <v/>
      </c>
      <c r="AC192" s="133"/>
      <c r="AD192" s="164"/>
      <c r="AE192" s="164"/>
      <c r="AF192" s="137"/>
      <c r="AG192" s="137"/>
      <c r="AH192" s="137">
        <f t="shared" si="52"/>
        <v>0</v>
      </c>
      <c r="AI192" s="137">
        <f t="shared" si="49"/>
        <v>0</v>
      </c>
      <c r="AJ192" s="164"/>
      <c r="AK192" s="171" t="str">
        <f t="shared" si="51"/>
        <v/>
      </c>
      <c r="AL192" s="137"/>
      <c r="AM192" s="164" t="str">
        <f t="shared" si="53"/>
        <v/>
      </c>
      <c r="AN192" s="244" t="str">
        <f t="shared" si="50"/>
        <v/>
      </c>
      <c r="AO192" s="164"/>
    </row>
    <row r="193" spans="1:41" x14ac:dyDescent="0.35">
      <c r="A193" s="133"/>
      <c r="B193" s="133"/>
      <c r="C193" s="133"/>
      <c r="D193" s="133" t="str">
        <f t="shared" si="47"/>
        <v>-</v>
      </c>
      <c r="E193" s="133"/>
      <c r="F193" s="164"/>
      <c r="G193" s="134" t="str">
        <f t="shared" si="55"/>
        <v>Yes</v>
      </c>
      <c r="H193" s="135">
        <f>SUMIFS('Order Details'!$R:$R,'Order Details'!$A:$A,'Order Summary'!$B193,'Order Details'!$B:$B,'Order Summary'!$C193,'Order Details'!$E:$E,"Yes")</f>
        <v>0</v>
      </c>
      <c r="I193" s="133"/>
      <c r="J193" s="133" t="e">
        <f>VLOOKUP($I193,'Master Data'!$L$5:$M$15,2,FALSE)</f>
        <v>#N/A</v>
      </c>
      <c r="K193" s="137">
        <f>SUMIFS('Order Details'!$U:$U,'Order Details'!$A:$A,'Order Summary'!$B193,'Order Details'!$B:$B,'Order Summary'!$C193,'Order Details'!$E:$E,"Yes")</f>
        <v>0</v>
      </c>
      <c r="L193" s="138">
        <f>SUMIFS('Order Details'!$P:$P,'Order Details'!$A:$A,'Order Summary'!$B193,'Order Details'!$B:$B,'Order Summary'!$C193,'Order Details'!$E:$E,"Yes")</f>
        <v>0</v>
      </c>
      <c r="M193" s="133"/>
      <c r="N193" s="164"/>
      <c r="O193" s="171" t="str">
        <f t="shared" si="54"/>
        <v/>
      </c>
      <c r="P193" s="174">
        <f>ROUND(SUMIFS('Order Details'!$V:$V,'Order Details'!$A:$A,'Order Summary'!$B193,'Order Details'!$B:$B,'Order Summary'!$C193,'Order Details'!$E:$E,"Yes"),2)</f>
        <v>0</v>
      </c>
      <c r="Q193" s="164"/>
      <c r="R193" s="171" t="str">
        <f t="shared" si="48"/>
        <v/>
      </c>
      <c r="S193" s="137"/>
      <c r="T193" s="165" t="str">
        <f>IF(Q193="","",Q193+_xlfn.MAXIFS('Order Details'!$W:$W,'Order Details'!$A:$A,'Order Summary'!$B193,'Order Details'!$B:$B,'Order Summary'!$C193,'Order Details'!$E:$E,"Yes"))</f>
        <v/>
      </c>
      <c r="U193" s="164" t="str">
        <f>IF(T193="","",T193+VLOOKUP($J193,'Master Data'!$F$6:$G$9,2,FALSE))</f>
        <v/>
      </c>
      <c r="V193" s="133"/>
      <c r="W193" s="133"/>
      <c r="X193" s="133"/>
      <c r="Y193" s="133"/>
      <c r="Z193" s="309" t="str">
        <f>IF($Y193="","",IF(VLOOKUP($Y193,'Master Data'!$F$12:$I$17,2,FALSE)="","",VLOOKUP($Y193,'Master Data'!$F$12:$I$17,2,FALSE)))</f>
        <v/>
      </c>
      <c r="AA193" s="164"/>
      <c r="AB193" s="171" t="str">
        <f t="shared" si="43"/>
        <v/>
      </c>
      <c r="AC193" s="133"/>
      <c r="AD193" s="164"/>
      <c r="AE193" s="164"/>
      <c r="AF193" s="137"/>
      <c r="AG193" s="137"/>
      <c r="AH193" s="137">
        <f t="shared" si="52"/>
        <v>0</v>
      </c>
      <c r="AI193" s="137">
        <f t="shared" si="49"/>
        <v>0</v>
      </c>
      <c r="AJ193" s="164"/>
      <c r="AK193" s="171" t="str">
        <f t="shared" si="51"/>
        <v/>
      </c>
      <c r="AL193" s="137"/>
      <c r="AM193" s="164" t="str">
        <f t="shared" si="53"/>
        <v/>
      </c>
      <c r="AN193" s="244" t="str">
        <f t="shared" si="50"/>
        <v/>
      </c>
      <c r="AO193" s="164"/>
    </row>
    <row r="194" spans="1:41" x14ac:dyDescent="0.35">
      <c r="A194" s="133"/>
      <c r="B194" s="133"/>
      <c r="C194" s="133"/>
      <c r="D194" s="133" t="str">
        <f t="shared" si="47"/>
        <v>-</v>
      </c>
      <c r="E194" s="133"/>
      <c r="F194" s="164"/>
      <c r="G194" s="134" t="str">
        <f t="shared" si="55"/>
        <v>Yes</v>
      </c>
      <c r="H194" s="135">
        <f>SUMIFS('Order Details'!$R:$R,'Order Details'!$A:$A,'Order Summary'!$B194,'Order Details'!$B:$B,'Order Summary'!$C194,'Order Details'!$E:$E,"Yes")</f>
        <v>0</v>
      </c>
      <c r="I194" s="133"/>
      <c r="J194" s="133" t="e">
        <f>VLOOKUP($I194,'Master Data'!$L$5:$M$15,2,FALSE)</f>
        <v>#N/A</v>
      </c>
      <c r="K194" s="137">
        <f>SUMIFS('Order Details'!$U:$U,'Order Details'!$A:$A,'Order Summary'!$B194,'Order Details'!$B:$B,'Order Summary'!$C194,'Order Details'!$E:$E,"Yes")</f>
        <v>0</v>
      </c>
      <c r="L194" s="138">
        <f>SUMIFS('Order Details'!$P:$P,'Order Details'!$A:$A,'Order Summary'!$B194,'Order Details'!$B:$B,'Order Summary'!$C194,'Order Details'!$E:$E,"Yes")</f>
        <v>0</v>
      </c>
      <c r="M194" s="133"/>
      <c r="N194" s="164"/>
      <c r="O194" s="171" t="str">
        <f t="shared" si="54"/>
        <v/>
      </c>
      <c r="P194" s="174">
        <f>ROUND(SUMIFS('Order Details'!$V:$V,'Order Details'!$A:$A,'Order Summary'!$B194,'Order Details'!$B:$B,'Order Summary'!$C194,'Order Details'!$E:$E,"Yes"),2)</f>
        <v>0</v>
      </c>
      <c r="Q194" s="164"/>
      <c r="R194" s="171" t="str">
        <f t="shared" si="48"/>
        <v/>
      </c>
      <c r="S194" s="137"/>
      <c r="T194" s="165" t="str">
        <f>IF(Q194="","",Q194+_xlfn.MAXIFS('Order Details'!$W:$W,'Order Details'!$A:$A,'Order Summary'!$B194,'Order Details'!$B:$B,'Order Summary'!$C194,'Order Details'!$E:$E,"Yes"))</f>
        <v/>
      </c>
      <c r="U194" s="164" t="str">
        <f>IF(T194="","",T194+VLOOKUP($J194,'Master Data'!$F$6:$G$9,2,FALSE))</f>
        <v/>
      </c>
      <c r="V194" s="133"/>
      <c r="W194" s="133"/>
      <c r="X194" s="133"/>
      <c r="Y194" s="133"/>
      <c r="Z194" s="309" t="str">
        <f>IF($Y194="","",IF(VLOOKUP($Y194,'Master Data'!$F$12:$I$17,2,FALSE)="","",VLOOKUP($Y194,'Master Data'!$F$12:$I$17,2,FALSE)))</f>
        <v/>
      </c>
      <c r="AA194" s="164"/>
      <c r="AB194" s="171" t="str">
        <f t="shared" si="43"/>
        <v/>
      </c>
      <c r="AC194" s="133"/>
      <c r="AD194" s="164"/>
      <c r="AE194" s="164"/>
      <c r="AF194" s="137"/>
      <c r="AG194" s="137"/>
      <c r="AH194" s="137">
        <f t="shared" si="52"/>
        <v>0</v>
      </c>
      <c r="AI194" s="137">
        <f t="shared" si="49"/>
        <v>0</v>
      </c>
      <c r="AJ194" s="164"/>
      <c r="AK194" s="171" t="str">
        <f t="shared" si="51"/>
        <v/>
      </c>
      <c r="AL194" s="137"/>
      <c r="AM194" s="164" t="str">
        <f t="shared" si="53"/>
        <v/>
      </c>
      <c r="AN194" s="244" t="str">
        <f t="shared" si="50"/>
        <v/>
      </c>
      <c r="AO194" s="164"/>
    </row>
    <row r="195" spans="1:41" x14ac:dyDescent="0.35">
      <c r="A195" s="133"/>
      <c r="B195" s="133"/>
      <c r="C195" s="133"/>
      <c r="D195" s="133" t="str">
        <f t="shared" si="47"/>
        <v>-</v>
      </c>
      <c r="E195" s="133"/>
      <c r="F195" s="164"/>
      <c r="G195" s="134" t="str">
        <f t="shared" si="55"/>
        <v>Yes</v>
      </c>
      <c r="H195" s="135">
        <f>SUMIFS('Order Details'!$R:$R,'Order Details'!$A:$A,'Order Summary'!$B195,'Order Details'!$B:$B,'Order Summary'!$C195,'Order Details'!$E:$E,"Yes")</f>
        <v>0</v>
      </c>
      <c r="I195" s="133"/>
      <c r="J195" s="133" t="e">
        <f>VLOOKUP($I195,'Master Data'!$L$5:$M$15,2,FALSE)</f>
        <v>#N/A</v>
      </c>
      <c r="K195" s="137">
        <f>SUMIFS('Order Details'!$U:$U,'Order Details'!$A:$A,'Order Summary'!$B195,'Order Details'!$B:$B,'Order Summary'!$C195,'Order Details'!$E:$E,"Yes")</f>
        <v>0</v>
      </c>
      <c r="L195" s="138">
        <f>SUMIFS('Order Details'!$P:$P,'Order Details'!$A:$A,'Order Summary'!$B195,'Order Details'!$B:$B,'Order Summary'!$C195,'Order Details'!$E:$E,"Yes")</f>
        <v>0</v>
      </c>
      <c r="M195" s="133"/>
      <c r="N195" s="164"/>
      <c r="O195" s="171" t="str">
        <f t="shared" si="54"/>
        <v/>
      </c>
      <c r="P195" s="174">
        <f>ROUND(SUMIFS('Order Details'!$V:$V,'Order Details'!$A:$A,'Order Summary'!$B195,'Order Details'!$B:$B,'Order Summary'!$C195,'Order Details'!$E:$E,"Yes"),2)</f>
        <v>0</v>
      </c>
      <c r="Q195" s="164"/>
      <c r="R195" s="171" t="str">
        <f t="shared" si="48"/>
        <v/>
      </c>
      <c r="S195" s="137"/>
      <c r="T195" s="165" t="str">
        <f>IF(Q195="","",Q195+_xlfn.MAXIFS('Order Details'!$W:$W,'Order Details'!$A:$A,'Order Summary'!$B195,'Order Details'!$B:$B,'Order Summary'!$C195,'Order Details'!$E:$E,"Yes"))</f>
        <v/>
      </c>
      <c r="U195" s="164" t="str">
        <f>IF(T195="","",T195+VLOOKUP($J195,'Master Data'!$F$6:$G$9,2,FALSE))</f>
        <v/>
      </c>
      <c r="V195" s="133"/>
      <c r="W195" s="133"/>
      <c r="X195" s="133"/>
      <c r="Y195" s="133"/>
      <c r="Z195" s="309" t="str">
        <f>IF($Y195="","",IF(VLOOKUP($Y195,'Master Data'!$F$12:$I$17,2,FALSE)="","",VLOOKUP($Y195,'Master Data'!$F$12:$I$17,2,FALSE)))</f>
        <v/>
      </c>
      <c r="AA195" s="164"/>
      <c r="AB195" s="171" t="str">
        <f t="shared" si="43"/>
        <v/>
      </c>
      <c r="AC195" s="133"/>
      <c r="AD195" s="164"/>
      <c r="AE195" s="164"/>
      <c r="AF195" s="137"/>
      <c r="AG195" s="137"/>
      <c r="AH195" s="137">
        <f t="shared" si="52"/>
        <v>0</v>
      </c>
      <c r="AI195" s="137">
        <f t="shared" si="49"/>
        <v>0</v>
      </c>
      <c r="AJ195" s="164"/>
      <c r="AK195" s="171" t="str">
        <f t="shared" si="51"/>
        <v/>
      </c>
      <c r="AL195" s="137"/>
      <c r="AM195" s="164" t="str">
        <f t="shared" si="53"/>
        <v/>
      </c>
      <c r="AN195" s="244" t="str">
        <f t="shared" si="50"/>
        <v/>
      </c>
      <c r="AO195" s="164"/>
    </row>
    <row r="196" spans="1:41" x14ac:dyDescent="0.35">
      <c r="A196" s="133"/>
      <c r="B196" s="133"/>
      <c r="C196" s="133"/>
      <c r="D196" s="133" t="str">
        <f t="shared" ref="D196:D200" si="56">B196&amp;"-"&amp;C196</f>
        <v>-</v>
      </c>
      <c r="E196" s="133"/>
      <c r="F196" s="164"/>
      <c r="G196" s="134" t="str">
        <f t="shared" si="55"/>
        <v>Yes</v>
      </c>
      <c r="H196" s="135">
        <f>SUMIFS('Order Details'!$R:$R,'Order Details'!$A:$A,'Order Summary'!$B196,'Order Details'!$B:$B,'Order Summary'!$C196,'Order Details'!$E:$E,"Yes")</f>
        <v>0</v>
      </c>
      <c r="I196" s="133"/>
      <c r="J196" s="133" t="e">
        <f>VLOOKUP($I196,'Master Data'!$L$5:$M$15,2,FALSE)</f>
        <v>#N/A</v>
      </c>
      <c r="K196" s="137">
        <f>SUMIFS('Order Details'!$U:$U,'Order Details'!$A:$A,'Order Summary'!$B196,'Order Details'!$B:$B,'Order Summary'!$C196,'Order Details'!$E:$E,"Yes")</f>
        <v>0</v>
      </c>
      <c r="L196" s="138">
        <f>SUMIFS('Order Details'!$P:$P,'Order Details'!$A:$A,'Order Summary'!$B196,'Order Details'!$B:$B,'Order Summary'!$C196,'Order Details'!$E:$E,"Yes")</f>
        <v>0</v>
      </c>
      <c r="M196" s="133"/>
      <c r="N196" s="164"/>
      <c r="O196" s="171" t="str">
        <f t="shared" si="54"/>
        <v/>
      </c>
      <c r="P196" s="174">
        <f>ROUND(SUMIFS('Order Details'!$V:$V,'Order Details'!$A:$A,'Order Summary'!$B196,'Order Details'!$B:$B,'Order Summary'!$C196,'Order Details'!$E:$E,"Yes"),2)</f>
        <v>0</v>
      </c>
      <c r="Q196" s="164"/>
      <c r="R196" s="171" t="str">
        <f t="shared" ref="R196:R200" si="57">IF(Q196="","",$Q196-$N196)</f>
        <v/>
      </c>
      <c r="S196" s="137"/>
      <c r="T196" s="165" t="str">
        <f>IF(Q196="","",Q196+_xlfn.MAXIFS('Order Details'!$W:$W,'Order Details'!$A:$A,'Order Summary'!$B196,'Order Details'!$B:$B,'Order Summary'!$C196,'Order Details'!$E:$E,"Yes"))</f>
        <v/>
      </c>
      <c r="U196" s="164" t="str">
        <f>IF(T196="","",T196+VLOOKUP($J196,'Master Data'!$F$6:$G$9,2,FALSE))</f>
        <v/>
      </c>
      <c r="V196" s="133"/>
      <c r="W196" s="133"/>
      <c r="X196" s="133"/>
      <c r="Y196" s="133"/>
      <c r="Z196" s="309" t="str">
        <f>IF($Y196="","",IF(VLOOKUP($Y196,'Master Data'!$F$12:$I$17,2,FALSE)="","",VLOOKUP($Y196,'Master Data'!$F$12:$I$17,2,FALSE)))</f>
        <v/>
      </c>
      <c r="AA196" s="164"/>
      <c r="AB196" s="171" t="str">
        <f t="shared" si="43"/>
        <v/>
      </c>
      <c r="AC196" s="133"/>
      <c r="AD196" s="164"/>
      <c r="AE196" s="164"/>
      <c r="AF196" s="137"/>
      <c r="AG196" s="137"/>
      <c r="AH196" s="137">
        <f t="shared" si="52"/>
        <v>0</v>
      </c>
      <c r="AI196" s="137">
        <f t="shared" ref="AI196:AI200" si="58">AH196-S196</f>
        <v>0</v>
      </c>
      <c r="AJ196" s="164"/>
      <c r="AK196" s="171" t="str">
        <f t="shared" si="51"/>
        <v/>
      </c>
      <c r="AL196" s="137"/>
      <c r="AM196" s="164" t="str">
        <f t="shared" si="53"/>
        <v/>
      </c>
      <c r="AN196" s="244" t="str">
        <f t="shared" ref="AN196:AN200" si="59">IFERROR(IF(OR(AM196="",AJ196=""),"",$AM196-$AJ196),"")</f>
        <v/>
      </c>
      <c r="AO196" s="164"/>
    </row>
    <row r="197" spans="1:41" x14ac:dyDescent="0.35">
      <c r="A197" s="133"/>
      <c r="B197" s="133"/>
      <c r="C197" s="133"/>
      <c r="D197" s="133" t="str">
        <f t="shared" si="56"/>
        <v>-</v>
      </c>
      <c r="E197" s="133"/>
      <c r="F197" s="164"/>
      <c r="G197" s="134" t="str">
        <f t="shared" si="55"/>
        <v>Yes</v>
      </c>
      <c r="H197" s="135">
        <f>SUMIFS('Order Details'!$R:$R,'Order Details'!$A:$A,'Order Summary'!$B197,'Order Details'!$B:$B,'Order Summary'!$C197,'Order Details'!$E:$E,"Yes")</f>
        <v>0</v>
      </c>
      <c r="I197" s="133"/>
      <c r="J197" s="133" t="e">
        <f>VLOOKUP($I197,'Master Data'!$L$5:$M$15,2,FALSE)</f>
        <v>#N/A</v>
      </c>
      <c r="K197" s="137">
        <f>SUMIFS('Order Details'!$U:$U,'Order Details'!$A:$A,'Order Summary'!$B197,'Order Details'!$B:$B,'Order Summary'!$C197,'Order Details'!$E:$E,"Yes")</f>
        <v>0</v>
      </c>
      <c r="L197" s="138">
        <f>SUMIFS('Order Details'!$P:$P,'Order Details'!$A:$A,'Order Summary'!$B197,'Order Details'!$B:$B,'Order Summary'!$C197,'Order Details'!$E:$E,"Yes")</f>
        <v>0</v>
      </c>
      <c r="M197" s="133"/>
      <c r="N197" s="164"/>
      <c r="O197" s="171" t="str">
        <f t="shared" si="54"/>
        <v/>
      </c>
      <c r="P197" s="174">
        <f>ROUND(SUMIFS('Order Details'!$V:$V,'Order Details'!$A:$A,'Order Summary'!$B197,'Order Details'!$B:$B,'Order Summary'!$C197,'Order Details'!$E:$E,"Yes"),2)</f>
        <v>0</v>
      </c>
      <c r="Q197" s="164"/>
      <c r="R197" s="171" t="str">
        <f t="shared" si="57"/>
        <v/>
      </c>
      <c r="S197" s="137"/>
      <c r="T197" s="165" t="str">
        <f>IF(Q197="","",Q197+_xlfn.MAXIFS('Order Details'!$W:$W,'Order Details'!$A:$A,'Order Summary'!$B197,'Order Details'!$B:$B,'Order Summary'!$C197,'Order Details'!$E:$E,"Yes"))</f>
        <v/>
      </c>
      <c r="U197" s="164" t="str">
        <f>IF(T197="","",T197+VLOOKUP($J197,'Master Data'!$F$6:$G$9,2,FALSE))</f>
        <v/>
      </c>
      <c r="V197" s="133"/>
      <c r="W197" s="133"/>
      <c r="X197" s="133"/>
      <c r="Y197" s="133"/>
      <c r="Z197" s="309" t="str">
        <f>IF($Y197="","",IF(VLOOKUP($Y197,'Master Data'!$F$12:$I$17,2,FALSE)="","",VLOOKUP($Y197,'Master Data'!$F$12:$I$17,2,FALSE)))</f>
        <v/>
      </c>
      <c r="AA197" s="164"/>
      <c r="AB197" s="171" t="str">
        <f t="shared" si="43"/>
        <v/>
      </c>
      <c r="AC197" s="133"/>
      <c r="AD197" s="164"/>
      <c r="AE197" s="164"/>
      <c r="AF197" s="137"/>
      <c r="AG197" s="137"/>
      <c r="AH197" s="137">
        <f t="shared" si="52"/>
        <v>0</v>
      </c>
      <c r="AI197" s="137">
        <f t="shared" si="58"/>
        <v>0</v>
      </c>
      <c r="AJ197" s="164"/>
      <c r="AK197" s="171" t="str">
        <f t="shared" si="51"/>
        <v/>
      </c>
      <c r="AL197" s="137"/>
      <c r="AM197" s="164" t="str">
        <f t="shared" si="53"/>
        <v/>
      </c>
      <c r="AN197" s="244" t="str">
        <f t="shared" si="59"/>
        <v/>
      </c>
      <c r="AO197" s="164"/>
    </row>
    <row r="198" spans="1:41" x14ac:dyDescent="0.35">
      <c r="A198" s="133"/>
      <c r="B198" s="133"/>
      <c r="C198" s="133"/>
      <c r="D198" s="133" t="str">
        <f t="shared" si="56"/>
        <v>-</v>
      </c>
      <c r="E198" s="133"/>
      <c r="F198" s="164"/>
      <c r="G198" s="134" t="str">
        <f t="shared" si="55"/>
        <v>Yes</v>
      </c>
      <c r="H198" s="135">
        <f>SUMIFS('Order Details'!$R:$R,'Order Details'!$A:$A,'Order Summary'!$B198,'Order Details'!$B:$B,'Order Summary'!$C198,'Order Details'!$E:$E,"Yes")</f>
        <v>0</v>
      </c>
      <c r="I198" s="133"/>
      <c r="J198" s="133" t="e">
        <f>VLOOKUP($I198,'Master Data'!$L$5:$M$15,2,FALSE)</f>
        <v>#N/A</v>
      </c>
      <c r="K198" s="137">
        <f>SUMIFS('Order Details'!$U:$U,'Order Details'!$A:$A,'Order Summary'!$B198,'Order Details'!$B:$B,'Order Summary'!$C198,'Order Details'!$E:$E,"Yes")</f>
        <v>0</v>
      </c>
      <c r="L198" s="138">
        <f>SUMIFS('Order Details'!$P:$P,'Order Details'!$A:$A,'Order Summary'!$B198,'Order Details'!$B:$B,'Order Summary'!$C198,'Order Details'!$E:$E,"Yes")</f>
        <v>0</v>
      </c>
      <c r="M198" s="133"/>
      <c r="N198" s="164"/>
      <c r="O198" s="171" t="str">
        <f t="shared" si="54"/>
        <v/>
      </c>
      <c r="P198" s="174">
        <f>ROUND(SUMIFS('Order Details'!$V:$V,'Order Details'!$A:$A,'Order Summary'!$B198,'Order Details'!$B:$B,'Order Summary'!$C198,'Order Details'!$E:$E,"Yes"),2)</f>
        <v>0</v>
      </c>
      <c r="Q198" s="164"/>
      <c r="R198" s="171" t="str">
        <f t="shared" si="57"/>
        <v/>
      </c>
      <c r="S198" s="137"/>
      <c r="T198" s="165" t="str">
        <f>IF(Q198="","",Q198+_xlfn.MAXIFS('Order Details'!$W:$W,'Order Details'!$A:$A,'Order Summary'!$B198,'Order Details'!$B:$B,'Order Summary'!$C198,'Order Details'!$E:$E,"Yes"))</f>
        <v/>
      </c>
      <c r="U198" s="164" t="str">
        <f>IF(T198="","",T198+VLOOKUP($J198,'Master Data'!$F$6:$G$9,2,FALSE))</f>
        <v/>
      </c>
      <c r="V198" s="133"/>
      <c r="W198" s="133"/>
      <c r="X198" s="133"/>
      <c r="Y198" s="133"/>
      <c r="Z198" s="309" t="str">
        <f>IF($Y198="","",IF(VLOOKUP($Y198,'Master Data'!$F$12:$I$17,2,FALSE)="","",VLOOKUP($Y198,'Master Data'!$F$12:$I$17,2,FALSE)))</f>
        <v/>
      </c>
      <c r="AA198" s="164"/>
      <c r="AB198" s="171" t="str">
        <f t="shared" si="43"/>
        <v/>
      </c>
      <c r="AC198" s="133"/>
      <c r="AD198" s="164"/>
      <c r="AE198" s="164"/>
      <c r="AF198" s="137"/>
      <c r="AG198" s="137"/>
      <c r="AH198" s="137">
        <f t="shared" si="52"/>
        <v>0</v>
      </c>
      <c r="AI198" s="137">
        <f t="shared" si="58"/>
        <v>0</v>
      </c>
      <c r="AJ198" s="164"/>
      <c r="AK198" s="171" t="str">
        <f t="shared" ref="AK198:AK200" si="60">IF(AJ198="","",$AJ198-$AD198)</f>
        <v/>
      </c>
      <c r="AL198" s="137"/>
      <c r="AM198" s="164" t="str">
        <f t="shared" si="53"/>
        <v/>
      </c>
      <c r="AN198" s="244" t="str">
        <f t="shared" si="59"/>
        <v/>
      </c>
      <c r="AO198" s="164"/>
    </row>
    <row r="199" spans="1:41" x14ac:dyDescent="0.35">
      <c r="A199" s="133"/>
      <c r="B199" s="133"/>
      <c r="C199" s="133"/>
      <c r="D199" s="133" t="str">
        <f t="shared" si="56"/>
        <v>-</v>
      </c>
      <c r="E199" s="133"/>
      <c r="F199" s="164"/>
      <c r="G199" s="134" t="str">
        <f t="shared" si="55"/>
        <v>Yes</v>
      </c>
      <c r="H199" s="135">
        <f>SUMIFS('Order Details'!$R:$R,'Order Details'!$A:$A,'Order Summary'!$B199,'Order Details'!$B:$B,'Order Summary'!$C199,'Order Details'!$E:$E,"Yes")</f>
        <v>0</v>
      </c>
      <c r="I199" s="133"/>
      <c r="J199" s="133" t="e">
        <f>VLOOKUP($I199,'Master Data'!$L$5:$M$15,2,FALSE)</f>
        <v>#N/A</v>
      </c>
      <c r="K199" s="137">
        <f>SUMIFS('Order Details'!$U:$U,'Order Details'!$A:$A,'Order Summary'!$B199,'Order Details'!$B:$B,'Order Summary'!$C199,'Order Details'!$E:$E,"Yes")</f>
        <v>0</v>
      </c>
      <c r="L199" s="138">
        <f>SUMIFS('Order Details'!$P:$P,'Order Details'!$A:$A,'Order Summary'!$B199,'Order Details'!$B:$B,'Order Summary'!$C199,'Order Details'!$E:$E,"Yes")</f>
        <v>0</v>
      </c>
      <c r="M199" s="133"/>
      <c r="N199" s="164"/>
      <c r="O199" s="171" t="str">
        <f t="shared" si="54"/>
        <v/>
      </c>
      <c r="P199" s="174">
        <f>ROUND(SUMIFS('Order Details'!$V:$V,'Order Details'!$A:$A,'Order Summary'!$B199,'Order Details'!$B:$B,'Order Summary'!$C199,'Order Details'!$E:$E,"Yes"),2)</f>
        <v>0</v>
      </c>
      <c r="Q199" s="164"/>
      <c r="R199" s="171" t="str">
        <f t="shared" si="57"/>
        <v/>
      </c>
      <c r="S199" s="137"/>
      <c r="T199" s="165" t="str">
        <f>IF(Q199="","",Q199+_xlfn.MAXIFS('Order Details'!$W:$W,'Order Details'!$A:$A,'Order Summary'!$B199,'Order Details'!$B:$B,'Order Summary'!$C199,'Order Details'!$E:$E,"Yes"))</f>
        <v/>
      </c>
      <c r="U199" s="164" t="str">
        <f>IF(T199="","",T199+VLOOKUP($J199,'Master Data'!$F$6:$G$9,2,FALSE))</f>
        <v/>
      </c>
      <c r="V199" s="133"/>
      <c r="W199" s="133"/>
      <c r="X199" s="133"/>
      <c r="Y199" s="133"/>
      <c r="Z199" s="309" t="str">
        <f>IF($Y199="","",IF(VLOOKUP($Y199,'Master Data'!$F$12:$I$17,2,FALSE)="","",VLOOKUP($Y199,'Master Data'!$F$12:$I$17,2,FALSE)))</f>
        <v/>
      </c>
      <c r="AA199" s="164"/>
      <c r="AB199" s="171" t="str">
        <f t="shared" si="43"/>
        <v/>
      </c>
      <c r="AC199" s="133"/>
      <c r="AD199" s="164"/>
      <c r="AE199" s="164"/>
      <c r="AF199" s="137"/>
      <c r="AG199" s="137"/>
      <c r="AH199" s="137">
        <f t="shared" si="52"/>
        <v>0</v>
      </c>
      <c r="AI199" s="137">
        <f t="shared" si="58"/>
        <v>0</v>
      </c>
      <c r="AJ199" s="164"/>
      <c r="AK199" s="171" t="str">
        <f t="shared" si="60"/>
        <v/>
      </c>
      <c r="AL199" s="137"/>
      <c r="AM199" s="164" t="str">
        <f t="shared" si="53"/>
        <v/>
      </c>
      <c r="AN199" s="244" t="str">
        <f t="shared" si="59"/>
        <v/>
      </c>
      <c r="AO199" s="164"/>
    </row>
    <row r="200" spans="1:41" x14ac:dyDescent="0.35">
      <c r="A200" s="133"/>
      <c r="B200" s="133"/>
      <c r="C200" s="133"/>
      <c r="D200" s="133" t="str">
        <f t="shared" si="56"/>
        <v>-</v>
      </c>
      <c r="E200" s="133"/>
      <c r="F200" s="164"/>
      <c r="G200" s="134" t="str">
        <f t="shared" si="55"/>
        <v>Yes</v>
      </c>
      <c r="H200" s="135">
        <f>SUMIFS('Order Details'!$R:$R,'Order Details'!$A:$A,'Order Summary'!$B200,'Order Details'!$B:$B,'Order Summary'!$C200,'Order Details'!$E:$E,"Yes")</f>
        <v>0</v>
      </c>
      <c r="I200" s="133"/>
      <c r="J200" s="133" t="e">
        <f>VLOOKUP($I200,'Master Data'!$L$5:$M$15,2,FALSE)</f>
        <v>#N/A</v>
      </c>
      <c r="K200" s="137">
        <f>SUMIFS('Order Details'!$U:$U,'Order Details'!$A:$A,'Order Summary'!$B200,'Order Details'!$B:$B,'Order Summary'!$C200,'Order Details'!$E:$E,"Yes")</f>
        <v>0</v>
      </c>
      <c r="L200" s="138">
        <f>SUMIFS('Order Details'!$P:$P,'Order Details'!$A:$A,'Order Summary'!$B200,'Order Details'!$B:$B,'Order Summary'!$C200,'Order Details'!$E:$E,"Yes")</f>
        <v>0</v>
      </c>
      <c r="M200" s="133"/>
      <c r="N200" s="164"/>
      <c r="O200" s="171" t="str">
        <f t="shared" si="54"/>
        <v/>
      </c>
      <c r="P200" s="174">
        <f>ROUND(SUMIFS('Order Details'!$V:$V,'Order Details'!$A:$A,'Order Summary'!$B200,'Order Details'!$B:$B,'Order Summary'!$C200,'Order Details'!$E:$E,"Yes"),2)</f>
        <v>0</v>
      </c>
      <c r="Q200" s="164"/>
      <c r="R200" s="171" t="str">
        <f t="shared" si="57"/>
        <v/>
      </c>
      <c r="S200" s="137"/>
      <c r="T200" s="165" t="str">
        <f>IF(Q200="","",Q200+_xlfn.MAXIFS('Order Details'!$W:$W,'Order Details'!$A:$A,'Order Summary'!$B200,'Order Details'!$B:$B,'Order Summary'!$C200,'Order Details'!$E:$E,"Yes"))</f>
        <v/>
      </c>
      <c r="U200" s="164" t="str">
        <f>IF(T200="","",T200+VLOOKUP($J200,'Master Data'!$F$6:$G$9,2,FALSE))</f>
        <v/>
      </c>
      <c r="V200" s="133"/>
      <c r="W200" s="133"/>
      <c r="X200" s="133"/>
      <c r="Y200" s="133"/>
      <c r="Z200" s="309" t="str">
        <f>IF($Y200="","",IF(VLOOKUP($Y200,'Master Data'!$F$12:$I$17,2,FALSE)="","",VLOOKUP($Y200,'Master Data'!$F$12:$I$17,2,FALSE)))</f>
        <v/>
      </c>
      <c r="AA200" s="164"/>
      <c r="AB200" s="171" t="str">
        <f t="shared" ref="AB200:AB263" si="61">IF(OR(AA200="",AA200="COMPLETE"),"",IF($AA200-$Q200&lt;0,"",$AA200-$Q200))</f>
        <v/>
      </c>
      <c r="AC200" s="133"/>
      <c r="AD200" s="164"/>
      <c r="AE200" s="164"/>
      <c r="AF200" s="137"/>
      <c r="AG200" s="137"/>
      <c r="AH200" s="137">
        <f t="shared" si="52"/>
        <v>0</v>
      </c>
      <c r="AI200" s="137">
        <f t="shared" si="58"/>
        <v>0</v>
      </c>
      <c r="AJ200" s="164"/>
      <c r="AK200" s="171" t="str">
        <f t="shared" si="60"/>
        <v/>
      </c>
      <c r="AL200" s="137"/>
      <c r="AM200" s="164" t="str">
        <f t="shared" si="53"/>
        <v/>
      </c>
      <c r="AN200" s="244" t="str">
        <f t="shared" si="59"/>
        <v/>
      </c>
      <c r="AO200" s="164"/>
    </row>
    <row r="201" spans="1:41" x14ac:dyDescent="0.35">
      <c r="A201" s="133"/>
      <c r="B201" s="133"/>
      <c r="C201" s="133"/>
      <c r="D201" s="133" t="str">
        <f t="shared" ref="D201:D232" si="62">B201&amp;"-"&amp;C201</f>
        <v>-</v>
      </c>
      <c r="E201" s="133"/>
      <c r="F201" s="164"/>
      <c r="G201" s="134" t="str">
        <f t="shared" ref="G201:G232" si="63">IF(OR(E201="PO Revised",E201="PO Cancelled"),"No","Yes")</f>
        <v>Yes</v>
      </c>
      <c r="H201" s="135">
        <f>SUMIFS('Order Details'!$R:$R,'Order Details'!$A:$A,'Order Summary'!$B201,'Order Details'!$B:$B,'Order Summary'!$C201,'Order Details'!$E:$E,"Yes")</f>
        <v>0</v>
      </c>
      <c r="I201" s="133"/>
      <c r="J201" s="133" t="e">
        <f>VLOOKUP($I201,'Master Data'!$L$5:$M$15,2,FALSE)</f>
        <v>#N/A</v>
      </c>
      <c r="K201" s="137">
        <f>SUMIFS('Order Details'!$U:$U,'Order Details'!$A:$A,'Order Summary'!$B201,'Order Details'!$B:$B,'Order Summary'!$C201,'Order Details'!$E:$E,"Yes")</f>
        <v>0</v>
      </c>
      <c r="L201" s="261">
        <f>SUMIFS('Order Details'!$P:$P,'Order Details'!$A:$A,'Order Summary'!$B201,'Order Details'!$B:$B,'Order Summary'!$C201,'Order Details'!$E:$E,"Yes")</f>
        <v>0</v>
      </c>
      <c r="M201" s="133"/>
      <c r="N201" s="164"/>
      <c r="O201" s="171" t="str">
        <f t="shared" ref="O201:O232" si="64">IF(N201="","",$N201-$F201)</f>
        <v/>
      </c>
      <c r="P201" s="302">
        <f>ROUND(SUMIFS('Order Details'!$V:$V,'Order Details'!$A:$A,'Order Summary'!$B201,'Order Details'!$B:$B,'Order Summary'!$C201,'Order Details'!$E:$E,"Yes"),2)</f>
        <v>0</v>
      </c>
      <c r="Q201" s="164"/>
      <c r="R201" s="171" t="str">
        <f t="shared" ref="R201:R232" si="65">IF(Q201="","",$Q201-$N201)</f>
        <v/>
      </c>
      <c r="S201" s="137"/>
      <c r="T201" s="165" t="str">
        <f>IF(Q201="","",Q201+_xlfn.MAXIFS('Order Details'!$W:$W,'Order Details'!$A:$A,'Order Summary'!$B201,'Order Details'!$B:$B,'Order Summary'!$C201,'Order Details'!$E:$E,"Yes"))</f>
        <v/>
      </c>
      <c r="U201" s="164" t="str">
        <f>IF(T201="","",T201+VLOOKUP($J201,'Master Data'!$F$6:$G$9,2,FALSE))</f>
        <v/>
      </c>
      <c r="V201" s="133"/>
      <c r="W201" s="133"/>
      <c r="X201" s="133"/>
      <c r="Y201" s="133"/>
      <c r="Z201" s="309" t="str">
        <f>IF($Y201="","",IF(VLOOKUP($Y201,'Master Data'!$F$12:$I$17,2,FALSE)="","",VLOOKUP($Y201,'Master Data'!$F$12:$I$17,2,FALSE)))</f>
        <v/>
      </c>
      <c r="AA201" s="164"/>
      <c r="AB201" s="171" t="str">
        <f t="shared" si="61"/>
        <v/>
      </c>
      <c r="AC201" s="133"/>
      <c r="AD201" s="164"/>
      <c r="AE201" s="164"/>
      <c r="AF201" s="137"/>
      <c r="AG201" s="137"/>
      <c r="AH201" s="137">
        <f t="shared" ref="AH201:AH232" si="66">P201+AF201+AG201</f>
        <v>0</v>
      </c>
      <c r="AI201" s="137">
        <f t="shared" ref="AI201:AI232" si="67">AH201-S201</f>
        <v>0</v>
      </c>
      <c r="AJ201" s="164"/>
      <c r="AK201" s="171" t="str">
        <f t="shared" ref="AK201:AK232" si="68">IF(AJ201="","",$AJ201-$AD201)</f>
        <v/>
      </c>
      <c r="AL201" s="137"/>
      <c r="AM201" s="164" t="str">
        <f t="shared" ref="AM201:AM232" si="69">U201</f>
        <v/>
      </c>
      <c r="AN201" s="303" t="str">
        <f t="shared" ref="AN201:AN232" si="70">IFERROR(IF(OR(AM201="",AJ201=""),"",$AM201-$AJ201),"")</f>
        <v/>
      </c>
      <c r="AO201" s="164"/>
    </row>
    <row r="202" spans="1:41" x14ac:dyDescent="0.35">
      <c r="A202" s="133"/>
      <c r="B202" s="133"/>
      <c r="C202" s="133"/>
      <c r="D202" s="133" t="str">
        <f t="shared" si="62"/>
        <v>-</v>
      </c>
      <c r="E202" s="133"/>
      <c r="F202" s="164"/>
      <c r="G202" s="134" t="str">
        <f t="shared" si="63"/>
        <v>Yes</v>
      </c>
      <c r="H202" s="135">
        <f>SUMIFS('Order Details'!$R:$R,'Order Details'!$A:$A,'Order Summary'!$B202,'Order Details'!$B:$B,'Order Summary'!$C202,'Order Details'!$E:$E,"Yes")</f>
        <v>0</v>
      </c>
      <c r="I202" s="133"/>
      <c r="J202" s="133" t="e">
        <f>VLOOKUP($I202,'Master Data'!$L$5:$M$15,2,FALSE)</f>
        <v>#N/A</v>
      </c>
      <c r="K202" s="137">
        <f>SUMIFS('Order Details'!$U:$U,'Order Details'!$A:$A,'Order Summary'!$B202,'Order Details'!$B:$B,'Order Summary'!$C202,'Order Details'!$E:$E,"Yes")</f>
        <v>0</v>
      </c>
      <c r="L202" s="261">
        <f>SUMIFS('Order Details'!$P:$P,'Order Details'!$A:$A,'Order Summary'!$B202,'Order Details'!$B:$B,'Order Summary'!$C202,'Order Details'!$E:$E,"Yes")</f>
        <v>0</v>
      </c>
      <c r="M202" s="133"/>
      <c r="N202" s="164"/>
      <c r="O202" s="171" t="str">
        <f t="shared" si="64"/>
        <v/>
      </c>
      <c r="P202" s="302">
        <f>ROUND(SUMIFS('Order Details'!$V:$V,'Order Details'!$A:$A,'Order Summary'!$B202,'Order Details'!$B:$B,'Order Summary'!$C202,'Order Details'!$E:$E,"Yes"),2)</f>
        <v>0</v>
      </c>
      <c r="Q202" s="164"/>
      <c r="R202" s="171" t="str">
        <f t="shared" si="65"/>
        <v/>
      </c>
      <c r="S202" s="137"/>
      <c r="T202" s="165" t="str">
        <f>IF(Q202="","",Q202+_xlfn.MAXIFS('Order Details'!$W:$W,'Order Details'!$A:$A,'Order Summary'!$B202,'Order Details'!$B:$B,'Order Summary'!$C202,'Order Details'!$E:$E,"Yes"))</f>
        <v/>
      </c>
      <c r="U202" s="164" t="str">
        <f>IF(T202="","",T202+VLOOKUP($J202,'Master Data'!$F$6:$G$9,2,FALSE))</f>
        <v/>
      </c>
      <c r="V202" s="133"/>
      <c r="W202" s="133"/>
      <c r="X202" s="133"/>
      <c r="Y202" s="133"/>
      <c r="Z202" s="309" t="str">
        <f>IF($Y202="","",IF(VLOOKUP($Y202,'Master Data'!$F$12:$I$17,2,FALSE)="","",VLOOKUP($Y202,'Master Data'!$F$12:$I$17,2,FALSE)))</f>
        <v/>
      </c>
      <c r="AA202" s="164"/>
      <c r="AB202" s="171" t="str">
        <f t="shared" si="61"/>
        <v/>
      </c>
      <c r="AC202" s="133"/>
      <c r="AD202" s="164"/>
      <c r="AE202" s="164"/>
      <c r="AF202" s="137"/>
      <c r="AG202" s="137"/>
      <c r="AH202" s="137">
        <f t="shared" si="66"/>
        <v>0</v>
      </c>
      <c r="AI202" s="137">
        <f t="shared" si="67"/>
        <v>0</v>
      </c>
      <c r="AJ202" s="164"/>
      <c r="AK202" s="171" t="str">
        <f t="shared" si="68"/>
        <v/>
      </c>
      <c r="AL202" s="137"/>
      <c r="AM202" s="164" t="str">
        <f t="shared" si="69"/>
        <v/>
      </c>
      <c r="AN202" s="303" t="str">
        <f t="shared" si="70"/>
        <v/>
      </c>
      <c r="AO202" s="164"/>
    </row>
    <row r="203" spans="1:41" x14ac:dyDescent="0.35">
      <c r="A203" s="133"/>
      <c r="B203" s="133"/>
      <c r="C203" s="133"/>
      <c r="D203" s="133" t="str">
        <f t="shared" si="62"/>
        <v>-</v>
      </c>
      <c r="E203" s="133"/>
      <c r="F203" s="164"/>
      <c r="G203" s="134" t="str">
        <f t="shared" si="63"/>
        <v>Yes</v>
      </c>
      <c r="H203" s="135">
        <f>SUMIFS('Order Details'!$R:$R,'Order Details'!$A:$A,'Order Summary'!$B203,'Order Details'!$B:$B,'Order Summary'!$C203,'Order Details'!$E:$E,"Yes")</f>
        <v>0</v>
      </c>
      <c r="I203" s="133"/>
      <c r="J203" s="133" t="e">
        <f>VLOOKUP($I203,'Master Data'!$L$5:$M$15,2,FALSE)</f>
        <v>#N/A</v>
      </c>
      <c r="K203" s="137">
        <f>SUMIFS('Order Details'!$U:$U,'Order Details'!$A:$A,'Order Summary'!$B203,'Order Details'!$B:$B,'Order Summary'!$C203,'Order Details'!$E:$E,"Yes")</f>
        <v>0</v>
      </c>
      <c r="L203" s="261">
        <f>SUMIFS('Order Details'!$P:$P,'Order Details'!$A:$A,'Order Summary'!$B203,'Order Details'!$B:$B,'Order Summary'!$C203,'Order Details'!$E:$E,"Yes")</f>
        <v>0</v>
      </c>
      <c r="M203" s="133"/>
      <c r="N203" s="164"/>
      <c r="O203" s="171" t="str">
        <f t="shared" si="64"/>
        <v/>
      </c>
      <c r="P203" s="302">
        <f>ROUND(SUMIFS('Order Details'!$V:$V,'Order Details'!$A:$A,'Order Summary'!$B203,'Order Details'!$B:$B,'Order Summary'!$C203,'Order Details'!$E:$E,"Yes"),2)</f>
        <v>0</v>
      </c>
      <c r="Q203" s="164"/>
      <c r="R203" s="171" t="str">
        <f t="shared" si="65"/>
        <v/>
      </c>
      <c r="S203" s="137"/>
      <c r="T203" s="165" t="str">
        <f>IF(Q203="","",Q203+_xlfn.MAXIFS('Order Details'!$W:$W,'Order Details'!$A:$A,'Order Summary'!$B203,'Order Details'!$B:$B,'Order Summary'!$C203,'Order Details'!$E:$E,"Yes"))</f>
        <v/>
      </c>
      <c r="U203" s="164" t="str">
        <f>IF(T203="","",T203+VLOOKUP($J203,'Master Data'!$F$6:$G$9,2,FALSE))</f>
        <v/>
      </c>
      <c r="V203" s="133"/>
      <c r="W203" s="133"/>
      <c r="X203" s="133"/>
      <c r="Y203" s="133"/>
      <c r="Z203" s="309" t="str">
        <f>IF($Y203="","",IF(VLOOKUP($Y203,'Master Data'!$F$12:$I$17,2,FALSE)="","",VLOOKUP($Y203,'Master Data'!$F$12:$I$17,2,FALSE)))</f>
        <v/>
      </c>
      <c r="AA203" s="164"/>
      <c r="AB203" s="171" t="str">
        <f t="shared" si="61"/>
        <v/>
      </c>
      <c r="AC203" s="133"/>
      <c r="AD203" s="164"/>
      <c r="AE203" s="164"/>
      <c r="AF203" s="137"/>
      <c r="AG203" s="137"/>
      <c r="AH203" s="137">
        <f t="shared" si="66"/>
        <v>0</v>
      </c>
      <c r="AI203" s="137">
        <f t="shared" si="67"/>
        <v>0</v>
      </c>
      <c r="AJ203" s="164"/>
      <c r="AK203" s="171" t="str">
        <f t="shared" si="68"/>
        <v/>
      </c>
      <c r="AL203" s="137"/>
      <c r="AM203" s="164" t="str">
        <f t="shared" si="69"/>
        <v/>
      </c>
      <c r="AN203" s="303" t="str">
        <f t="shared" si="70"/>
        <v/>
      </c>
      <c r="AO203" s="164"/>
    </row>
    <row r="204" spans="1:41" x14ac:dyDescent="0.35">
      <c r="A204" s="133"/>
      <c r="B204" s="133"/>
      <c r="C204" s="133"/>
      <c r="D204" s="133" t="str">
        <f t="shared" si="62"/>
        <v>-</v>
      </c>
      <c r="E204" s="133"/>
      <c r="F204" s="164"/>
      <c r="G204" s="134" t="str">
        <f t="shared" si="63"/>
        <v>Yes</v>
      </c>
      <c r="H204" s="135">
        <f>SUMIFS('Order Details'!$R:$R,'Order Details'!$A:$A,'Order Summary'!$B204,'Order Details'!$B:$B,'Order Summary'!$C204,'Order Details'!$E:$E,"Yes")</f>
        <v>0</v>
      </c>
      <c r="I204" s="133"/>
      <c r="J204" s="133" t="e">
        <f>VLOOKUP($I204,'Master Data'!$L$5:$M$15,2,FALSE)</f>
        <v>#N/A</v>
      </c>
      <c r="K204" s="137">
        <f>SUMIFS('Order Details'!$U:$U,'Order Details'!$A:$A,'Order Summary'!$B204,'Order Details'!$B:$B,'Order Summary'!$C204,'Order Details'!$E:$E,"Yes")</f>
        <v>0</v>
      </c>
      <c r="L204" s="261">
        <f>SUMIFS('Order Details'!$P:$P,'Order Details'!$A:$A,'Order Summary'!$B204,'Order Details'!$B:$B,'Order Summary'!$C204,'Order Details'!$E:$E,"Yes")</f>
        <v>0</v>
      </c>
      <c r="M204" s="133"/>
      <c r="N204" s="164"/>
      <c r="O204" s="171" t="str">
        <f t="shared" si="64"/>
        <v/>
      </c>
      <c r="P204" s="302">
        <f>ROUND(SUMIFS('Order Details'!$V:$V,'Order Details'!$A:$A,'Order Summary'!$B204,'Order Details'!$B:$B,'Order Summary'!$C204,'Order Details'!$E:$E,"Yes"),2)</f>
        <v>0</v>
      </c>
      <c r="Q204" s="164"/>
      <c r="R204" s="171" t="str">
        <f t="shared" si="65"/>
        <v/>
      </c>
      <c r="S204" s="137"/>
      <c r="T204" s="165" t="str">
        <f>IF(Q204="","",Q204+_xlfn.MAXIFS('Order Details'!$W:$W,'Order Details'!$A:$A,'Order Summary'!$B204,'Order Details'!$B:$B,'Order Summary'!$C204,'Order Details'!$E:$E,"Yes"))</f>
        <v/>
      </c>
      <c r="U204" s="164" t="str">
        <f>IF(T204="","",T204+VLOOKUP($J204,'Master Data'!$F$6:$G$9,2,FALSE))</f>
        <v/>
      </c>
      <c r="V204" s="133"/>
      <c r="W204" s="133"/>
      <c r="X204" s="133"/>
      <c r="Y204" s="133"/>
      <c r="Z204" s="309" t="str">
        <f>IF($Y204="","",IF(VLOOKUP($Y204,'Master Data'!$F$12:$I$17,2,FALSE)="","",VLOOKUP($Y204,'Master Data'!$F$12:$I$17,2,FALSE)))</f>
        <v/>
      </c>
      <c r="AA204" s="164"/>
      <c r="AB204" s="171" t="str">
        <f t="shared" si="61"/>
        <v/>
      </c>
      <c r="AC204" s="133"/>
      <c r="AD204" s="164"/>
      <c r="AE204" s="164"/>
      <c r="AF204" s="137"/>
      <c r="AG204" s="137"/>
      <c r="AH204" s="137">
        <f t="shared" si="66"/>
        <v>0</v>
      </c>
      <c r="AI204" s="137">
        <f t="shared" si="67"/>
        <v>0</v>
      </c>
      <c r="AJ204" s="164"/>
      <c r="AK204" s="171" t="str">
        <f t="shared" si="68"/>
        <v/>
      </c>
      <c r="AL204" s="137"/>
      <c r="AM204" s="164" t="str">
        <f t="shared" si="69"/>
        <v/>
      </c>
      <c r="AN204" s="303" t="str">
        <f t="shared" si="70"/>
        <v/>
      </c>
      <c r="AO204" s="164"/>
    </row>
    <row r="205" spans="1:41" x14ac:dyDescent="0.35">
      <c r="A205" s="133"/>
      <c r="B205" s="133"/>
      <c r="C205" s="133"/>
      <c r="D205" s="133" t="str">
        <f t="shared" si="62"/>
        <v>-</v>
      </c>
      <c r="E205" s="133"/>
      <c r="F205" s="164"/>
      <c r="G205" s="134" t="str">
        <f t="shared" si="63"/>
        <v>Yes</v>
      </c>
      <c r="H205" s="135">
        <f>SUMIFS('Order Details'!$R:$R,'Order Details'!$A:$A,'Order Summary'!$B205,'Order Details'!$B:$B,'Order Summary'!$C205,'Order Details'!$E:$E,"Yes")</f>
        <v>0</v>
      </c>
      <c r="I205" s="133"/>
      <c r="J205" s="133" t="e">
        <f>VLOOKUP($I205,'Master Data'!$L$5:$M$15,2,FALSE)</f>
        <v>#N/A</v>
      </c>
      <c r="K205" s="137">
        <f>SUMIFS('Order Details'!$U:$U,'Order Details'!$A:$A,'Order Summary'!$B205,'Order Details'!$B:$B,'Order Summary'!$C205,'Order Details'!$E:$E,"Yes")</f>
        <v>0</v>
      </c>
      <c r="L205" s="261">
        <f>SUMIFS('Order Details'!$P:$P,'Order Details'!$A:$A,'Order Summary'!$B205,'Order Details'!$B:$B,'Order Summary'!$C205,'Order Details'!$E:$E,"Yes")</f>
        <v>0</v>
      </c>
      <c r="M205" s="133"/>
      <c r="N205" s="164"/>
      <c r="O205" s="171" t="str">
        <f t="shared" si="64"/>
        <v/>
      </c>
      <c r="P205" s="302">
        <f>ROUND(SUMIFS('Order Details'!$V:$V,'Order Details'!$A:$A,'Order Summary'!$B205,'Order Details'!$B:$B,'Order Summary'!$C205,'Order Details'!$E:$E,"Yes"),2)</f>
        <v>0</v>
      </c>
      <c r="Q205" s="164"/>
      <c r="R205" s="171" t="str">
        <f t="shared" si="65"/>
        <v/>
      </c>
      <c r="S205" s="137"/>
      <c r="T205" s="165" t="str">
        <f>IF(Q205="","",Q205+_xlfn.MAXIFS('Order Details'!$W:$W,'Order Details'!$A:$A,'Order Summary'!$B205,'Order Details'!$B:$B,'Order Summary'!$C205,'Order Details'!$E:$E,"Yes"))</f>
        <v/>
      </c>
      <c r="U205" s="164" t="str">
        <f>IF(T205="","",T205+VLOOKUP($J205,'Master Data'!$F$6:$G$9,2,FALSE))</f>
        <v/>
      </c>
      <c r="V205" s="133"/>
      <c r="W205" s="133"/>
      <c r="X205" s="133"/>
      <c r="Y205" s="133"/>
      <c r="Z205" s="309" t="str">
        <f>IF($Y205="","",IF(VLOOKUP($Y205,'Master Data'!$F$12:$I$17,2,FALSE)="","",VLOOKUP($Y205,'Master Data'!$F$12:$I$17,2,FALSE)))</f>
        <v/>
      </c>
      <c r="AA205" s="164"/>
      <c r="AB205" s="171" t="str">
        <f t="shared" si="61"/>
        <v/>
      </c>
      <c r="AC205" s="133"/>
      <c r="AD205" s="164"/>
      <c r="AE205" s="164"/>
      <c r="AF205" s="137"/>
      <c r="AG205" s="137"/>
      <c r="AH205" s="137">
        <f t="shared" si="66"/>
        <v>0</v>
      </c>
      <c r="AI205" s="137">
        <f t="shared" si="67"/>
        <v>0</v>
      </c>
      <c r="AJ205" s="164"/>
      <c r="AK205" s="171" t="str">
        <f t="shared" si="68"/>
        <v/>
      </c>
      <c r="AL205" s="137"/>
      <c r="AM205" s="164" t="str">
        <f t="shared" si="69"/>
        <v/>
      </c>
      <c r="AN205" s="303" t="str">
        <f t="shared" si="70"/>
        <v/>
      </c>
      <c r="AO205" s="164"/>
    </row>
    <row r="206" spans="1:41" x14ac:dyDescent="0.35">
      <c r="A206" s="133"/>
      <c r="B206" s="133"/>
      <c r="C206" s="133"/>
      <c r="D206" s="133" t="str">
        <f t="shared" si="62"/>
        <v>-</v>
      </c>
      <c r="E206" s="133"/>
      <c r="F206" s="164"/>
      <c r="G206" s="134" t="str">
        <f t="shared" si="63"/>
        <v>Yes</v>
      </c>
      <c r="H206" s="135">
        <f>SUMIFS('Order Details'!$R:$R,'Order Details'!$A:$A,'Order Summary'!$B206,'Order Details'!$B:$B,'Order Summary'!$C206,'Order Details'!$E:$E,"Yes")</f>
        <v>0</v>
      </c>
      <c r="I206" s="133"/>
      <c r="J206" s="133" t="e">
        <f>VLOOKUP($I206,'Master Data'!$L$5:$M$15,2,FALSE)</f>
        <v>#N/A</v>
      </c>
      <c r="K206" s="137">
        <f>SUMIFS('Order Details'!$U:$U,'Order Details'!$A:$A,'Order Summary'!$B206,'Order Details'!$B:$B,'Order Summary'!$C206,'Order Details'!$E:$E,"Yes")</f>
        <v>0</v>
      </c>
      <c r="L206" s="261">
        <f>SUMIFS('Order Details'!$P:$P,'Order Details'!$A:$A,'Order Summary'!$B206,'Order Details'!$B:$B,'Order Summary'!$C206,'Order Details'!$E:$E,"Yes")</f>
        <v>0</v>
      </c>
      <c r="M206" s="133"/>
      <c r="N206" s="164"/>
      <c r="O206" s="171" t="str">
        <f t="shared" si="64"/>
        <v/>
      </c>
      <c r="P206" s="302">
        <f>ROUND(SUMIFS('Order Details'!$V:$V,'Order Details'!$A:$A,'Order Summary'!$B206,'Order Details'!$B:$B,'Order Summary'!$C206,'Order Details'!$E:$E,"Yes"),2)</f>
        <v>0</v>
      </c>
      <c r="Q206" s="164"/>
      <c r="R206" s="171" t="str">
        <f t="shared" si="65"/>
        <v/>
      </c>
      <c r="S206" s="137"/>
      <c r="T206" s="165" t="str">
        <f>IF(Q206="","",Q206+_xlfn.MAXIFS('Order Details'!$W:$W,'Order Details'!$A:$A,'Order Summary'!$B206,'Order Details'!$B:$B,'Order Summary'!$C206,'Order Details'!$E:$E,"Yes"))</f>
        <v/>
      </c>
      <c r="U206" s="164" t="str">
        <f>IF(T206="","",T206+VLOOKUP($J206,'Master Data'!$F$6:$G$9,2,FALSE))</f>
        <v/>
      </c>
      <c r="V206" s="133"/>
      <c r="W206" s="133"/>
      <c r="X206" s="133"/>
      <c r="Y206" s="133"/>
      <c r="Z206" s="309" t="str">
        <f>IF($Y206="","",IF(VLOOKUP($Y206,'Master Data'!$F$12:$I$17,2,FALSE)="","",VLOOKUP($Y206,'Master Data'!$F$12:$I$17,2,FALSE)))</f>
        <v/>
      </c>
      <c r="AA206" s="164"/>
      <c r="AB206" s="171" t="str">
        <f t="shared" si="61"/>
        <v/>
      </c>
      <c r="AC206" s="133"/>
      <c r="AD206" s="164"/>
      <c r="AE206" s="164"/>
      <c r="AF206" s="137"/>
      <c r="AG206" s="137"/>
      <c r="AH206" s="137">
        <f t="shared" si="66"/>
        <v>0</v>
      </c>
      <c r="AI206" s="137">
        <f t="shared" si="67"/>
        <v>0</v>
      </c>
      <c r="AJ206" s="164"/>
      <c r="AK206" s="171" t="str">
        <f t="shared" si="68"/>
        <v/>
      </c>
      <c r="AL206" s="137"/>
      <c r="AM206" s="164" t="str">
        <f t="shared" si="69"/>
        <v/>
      </c>
      <c r="AN206" s="303" t="str">
        <f t="shared" si="70"/>
        <v/>
      </c>
      <c r="AO206" s="164"/>
    </row>
    <row r="207" spans="1:41" x14ac:dyDescent="0.35">
      <c r="A207" s="133"/>
      <c r="B207" s="133"/>
      <c r="C207" s="133"/>
      <c r="D207" s="133" t="str">
        <f t="shared" si="62"/>
        <v>-</v>
      </c>
      <c r="E207" s="133"/>
      <c r="F207" s="164"/>
      <c r="G207" s="134" t="str">
        <f t="shared" si="63"/>
        <v>Yes</v>
      </c>
      <c r="H207" s="135">
        <f>SUMIFS('Order Details'!$R:$R,'Order Details'!$A:$A,'Order Summary'!$B207,'Order Details'!$B:$B,'Order Summary'!$C207,'Order Details'!$E:$E,"Yes")</f>
        <v>0</v>
      </c>
      <c r="I207" s="133"/>
      <c r="J207" s="133" t="e">
        <f>VLOOKUP($I207,'Master Data'!$L$5:$M$15,2,FALSE)</f>
        <v>#N/A</v>
      </c>
      <c r="K207" s="137">
        <f>SUMIFS('Order Details'!$U:$U,'Order Details'!$A:$A,'Order Summary'!$B207,'Order Details'!$B:$B,'Order Summary'!$C207,'Order Details'!$E:$E,"Yes")</f>
        <v>0</v>
      </c>
      <c r="L207" s="261">
        <f>SUMIFS('Order Details'!$P:$P,'Order Details'!$A:$A,'Order Summary'!$B207,'Order Details'!$B:$B,'Order Summary'!$C207,'Order Details'!$E:$E,"Yes")</f>
        <v>0</v>
      </c>
      <c r="M207" s="133"/>
      <c r="N207" s="164"/>
      <c r="O207" s="171" t="str">
        <f t="shared" si="64"/>
        <v/>
      </c>
      <c r="P207" s="302">
        <f>ROUND(SUMIFS('Order Details'!$V:$V,'Order Details'!$A:$A,'Order Summary'!$B207,'Order Details'!$B:$B,'Order Summary'!$C207,'Order Details'!$E:$E,"Yes"),2)</f>
        <v>0</v>
      </c>
      <c r="Q207" s="164"/>
      <c r="R207" s="171" t="str">
        <f t="shared" si="65"/>
        <v/>
      </c>
      <c r="S207" s="137"/>
      <c r="T207" s="165" t="str">
        <f>IF(Q207="","",Q207+_xlfn.MAXIFS('Order Details'!$W:$W,'Order Details'!$A:$A,'Order Summary'!$B207,'Order Details'!$B:$B,'Order Summary'!$C207,'Order Details'!$E:$E,"Yes"))</f>
        <v/>
      </c>
      <c r="U207" s="164" t="str">
        <f>IF(T207="","",T207+VLOOKUP($J207,'Master Data'!$F$6:$G$9,2,FALSE))</f>
        <v/>
      </c>
      <c r="V207" s="133"/>
      <c r="W207" s="133"/>
      <c r="X207" s="133"/>
      <c r="Y207" s="133"/>
      <c r="Z207" s="309" t="str">
        <f>IF($Y207="","",IF(VLOOKUP($Y207,'Master Data'!$F$12:$I$17,2,FALSE)="","",VLOOKUP($Y207,'Master Data'!$F$12:$I$17,2,FALSE)))</f>
        <v/>
      </c>
      <c r="AA207" s="164"/>
      <c r="AB207" s="171" t="str">
        <f t="shared" si="61"/>
        <v/>
      </c>
      <c r="AC207" s="133"/>
      <c r="AD207" s="164"/>
      <c r="AE207" s="164"/>
      <c r="AF207" s="137"/>
      <c r="AG207" s="137"/>
      <c r="AH207" s="137">
        <f t="shared" si="66"/>
        <v>0</v>
      </c>
      <c r="AI207" s="137">
        <f t="shared" si="67"/>
        <v>0</v>
      </c>
      <c r="AJ207" s="164"/>
      <c r="AK207" s="171" t="str">
        <f t="shared" si="68"/>
        <v/>
      </c>
      <c r="AL207" s="137"/>
      <c r="AM207" s="164" t="str">
        <f t="shared" si="69"/>
        <v/>
      </c>
      <c r="AN207" s="303" t="str">
        <f t="shared" si="70"/>
        <v/>
      </c>
      <c r="AO207" s="164"/>
    </row>
    <row r="208" spans="1:41" x14ac:dyDescent="0.35">
      <c r="A208" s="133"/>
      <c r="B208" s="133"/>
      <c r="C208" s="133"/>
      <c r="D208" s="133" t="str">
        <f t="shared" si="62"/>
        <v>-</v>
      </c>
      <c r="E208" s="133"/>
      <c r="F208" s="164"/>
      <c r="G208" s="134" t="str">
        <f t="shared" si="63"/>
        <v>Yes</v>
      </c>
      <c r="H208" s="135">
        <f>SUMIFS('Order Details'!$R:$R,'Order Details'!$A:$A,'Order Summary'!$B208,'Order Details'!$B:$B,'Order Summary'!$C208,'Order Details'!$E:$E,"Yes")</f>
        <v>0</v>
      </c>
      <c r="I208" s="133"/>
      <c r="J208" s="133" t="e">
        <f>VLOOKUP($I208,'Master Data'!$L$5:$M$15,2,FALSE)</f>
        <v>#N/A</v>
      </c>
      <c r="K208" s="137">
        <f>SUMIFS('Order Details'!$U:$U,'Order Details'!$A:$A,'Order Summary'!$B208,'Order Details'!$B:$B,'Order Summary'!$C208,'Order Details'!$E:$E,"Yes")</f>
        <v>0</v>
      </c>
      <c r="L208" s="261">
        <f>SUMIFS('Order Details'!$P:$P,'Order Details'!$A:$A,'Order Summary'!$B208,'Order Details'!$B:$B,'Order Summary'!$C208,'Order Details'!$E:$E,"Yes")</f>
        <v>0</v>
      </c>
      <c r="M208" s="133"/>
      <c r="N208" s="164"/>
      <c r="O208" s="171" t="str">
        <f t="shared" si="64"/>
        <v/>
      </c>
      <c r="P208" s="302">
        <f>ROUND(SUMIFS('Order Details'!$V:$V,'Order Details'!$A:$A,'Order Summary'!$B208,'Order Details'!$B:$B,'Order Summary'!$C208,'Order Details'!$E:$E,"Yes"),2)</f>
        <v>0</v>
      </c>
      <c r="Q208" s="164"/>
      <c r="R208" s="171" t="str">
        <f t="shared" si="65"/>
        <v/>
      </c>
      <c r="S208" s="137"/>
      <c r="T208" s="165" t="str">
        <f>IF(Q208="","",Q208+_xlfn.MAXIFS('Order Details'!$W:$W,'Order Details'!$A:$A,'Order Summary'!$B208,'Order Details'!$B:$B,'Order Summary'!$C208,'Order Details'!$E:$E,"Yes"))</f>
        <v/>
      </c>
      <c r="U208" s="164" t="str">
        <f>IF(T208="","",T208+VLOOKUP($J208,'Master Data'!$F$6:$G$9,2,FALSE))</f>
        <v/>
      </c>
      <c r="V208" s="133"/>
      <c r="W208" s="133"/>
      <c r="X208" s="133"/>
      <c r="Y208" s="133"/>
      <c r="Z208" s="309" t="str">
        <f>IF($Y208="","",IF(VLOOKUP($Y208,'Master Data'!$F$12:$I$17,2,FALSE)="","",VLOOKUP($Y208,'Master Data'!$F$12:$I$17,2,FALSE)))</f>
        <v/>
      </c>
      <c r="AA208" s="164"/>
      <c r="AB208" s="171" t="str">
        <f t="shared" si="61"/>
        <v/>
      </c>
      <c r="AC208" s="133"/>
      <c r="AD208" s="164"/>
      <c r="AE208" s="164"/>
      <c r="AF208" s="137"/>
      <c r="AG208" s="137"/>
      <c r="AH208" s="137">
        <f t="shared" si="66"/>
        <v>0</v>
      </c>
      <c r="AI208" s="137">
        <f t="shared" si="67"/>
        <v>0</v>
      </c>
      <c r="AJ208" s="164"/>
      <c r="AK208" s="171" t="str">
        <f t="shared" si="68"/>
        <v/>
      </c>
      <c r="AL208" s="137"/>
      <c r="AM208" s="164" t="str">
        <f t="shared" si="69"/>
        <v/>
      </c>
      <c r="AN208" s="303" t="str">
        <f t="shared" si="70"/>
        <v/>
      </c>
      <c r="AO208" s="164"/>
    </row>
    <row r="209" spans="1:41" x14ac:dyDescent="0.35">
      <c r="A209" s="133"/>
      <c r="B209" s="133"/>
      <c r="C209" s="133"/>
      <c r="D209" s="133" t="str">
        <f t="shared" si="62"/>
        <v>-</v>
      </c>
      <c r="E209" s="133"/>
      <c r="F209" s="164"/>
      <c r="G209" s="134" t="str">
        <f t="shared" si="63"/>
        <v>Yes</v>
      </c>
      <c r="H209" s="135">
        <f>SUMIFS('Order Details'!$R:$R,'Order Details'!$A:$A,'Order Summary'!$B209,'Order Details'!$B:$B,'Order Summary'!$C209,'Order Details'!$E:$E,"Yes")</f>
        <v>0</v>
      </c>
      <c r="I209" s="133"/>
      <c r="J209" s="133" t="e">
        <f>VLOOKUP($I209,'Master Data'!$L$5:$M$15,2,FALSE)</f>
        <v>#N/A</v>
      </c>
      <c r="K209" s="137">
        <f>SUMIFS('Order Details'!$U:$U,'Order Details'!$A:$A,'Order Summary'!$B209,'Order Details'!$B:$B,'Order Summary'!$C209,'Order Details'!$E:$E,"Yes")</f>
        <v>0</v>
      </c>
      <c r="L209" s="261">
        <f>SUMIFS('Order Details'!$P:$P,'Order Details'!$A:$A,'Order Summary'!$B209,'Order Details'!$B:$B,'Order Summary'!$C209,'Order Details'!$E:$E,"Yes")</f>
        <v>0</v>
      </c>
      <c r="M209" s="133"/>
      <c r="N209" s="164"/>
      <c r="O209" s="171" t="str">
        <f t="shared" si="64"/>
        <v/>
      </c>
      <c r="P209" s="302">
        <f>ROUND(SUMIFS('Order Details'!$V:$V,'Order Details'!$A:$A,'Order Summary'!$B209,'Order Details'!$B:$B,'Order Summary'!$C209,'Order Details'!$E:$E,"Yes"),2)</f>
        <v>0</v>
      </c>
      <c r="Q209" s="164"/>
      <c r="R209" s="171" t="str">
        <f t="shared" si="65"/>
        <v/>
      </c>
      <c r="S209" s="137"/>
      <c r="T209" s="165" t="str">
        <f>IF(Q209="","",Q209+_xlfn.MAXIFS('Order Details'!$W:$W,'Order Details'!$A:$A,'Order Summary'!$B209,'Order Details'!$B:$B,'Order Summary'!$C209,'Order Details'!$E:$E,"Yes"))</f>
        <v/>
      </c>
      <c r="U209" s="164" t="str">
        <f>IF(T209="","",T209+VLOOKUP($J209,'Master Data'!$F$6:$G$9,2,FALSE))</f>
        <v/>
      </c>
      <c r="V209" s="133"/>
      <c r="W209" s="133"/>
      <c r="X209" s="133"/>
      <c r="Y209" s="133"/>
      <c r="Z209" s="309" t="str">
        <f>IF($Y209="","",IF(VLOOKUP($Y209,'Master Data'!$F$12:$I$17,2,FALSE)="","",VLOOKUP($Y209,'Master Data'!$F$12:$I$17,2,FALSE)))</f>
        <v/>
      </c>
      <c r="AA209" s="164"/>
      <c r="AB209" s="171" t="str">
        <f t="shared" si="61"/>
        <v/>
      </c>
      <c r="AC209" s="133"/>
      <c r="AD209" s="164"/>
      <c r="AE209" s="164"/>
      <c r="AF209" s="137"/>
      <c r="AG209" s="137"/>
      <c r="AH209" s="137">
        <f t="shared" si="66"/>
        <v>0</v>
      </c>
      <c r="AI209" s="137">
        <f t="shared" si="67"/>
        <v>0</v>
      </c>
      <c r="AJ209" s="164"/>
      <c r="AK209" s="171" t="str">
        <f t="shared" si="68"/>
        <v/>
      </c>
      <c r="AL209" s="137"/>
      <c r="AM209" s="164" t="str">
        <f t="shared" si="69"/>
        <v/>
      </c>
      <c r="AN209" s="303" t="str">
        <f t="shared" si="70"/>
        <v/>
      </c>
      <c r="AO209" s="164"/>
    </row>
    <row r="210" spans="1:41" x14ac:dyDescent="0.35">
      <c r="A210" s="133"/>
      <c r="B210" s="133"/>
      <c r="C210" s="133"/>
      <c r="D210" s="133" t="str">
        <f t="shared" si="62"/>
        <v>-</v>
      </c>
      <c r="E210" s="133"/>
      <c r="F210" s="164"/>
      <c r="G210" s="134" t="str">
        <f t="shared" si="63"/>
        <v>Yes</v>
      </c>
      <c r="H210" s="135">
        <f>SUMIFS('Order Details'!$R:$R,'Order Details'!$A:$A,'Order Summary'!$B210,'Order Details'!$B:$B,'Order Summary'!$C210,'Order Details'!$E:$E,"Yes")</f>
        <v>0</v>
      </c>
      <c r="I210" s="133"/>
      <c r="J210" s="133" t="e">
        <f>VLOOKUP($I210,'Master Data'!$L$5:$M$15,2,FALSE)</f>
        <v>#N/A</v>
      </c>
      <c r="K210" s="137">
        <f>SUMIFS('Order Details'!$U:$U,'Order Details'!$A:$A,'Order Summary'!$B210,'Order Details'!$B:$B,'Order Summary'!$C210,'Order Details'!$E:$E,"Yes")</f>
        <v>0</v>
      </c>
      <c r="L210" s="261">
        <f>SUMIFS('Order Details'!$P:$P,'Order Details'!$A:$A,'Order Summary'!$B210,'Order Details'!$B:$B,'Order Summary'!$C210,'Order Details'!$E:$E,"Yes")</f>
        <v>0</v>
      </c>
      <c r="M210" s="133"/>
      <c r="N210" s="164"/>
      <c r="O210" s="171" t="str">
        <f t="shared" si="64"/>
        <v/>
      </c>
      <c r="P210" s="302">
        <f>ROUND(SUMIFS('Order Details'!$V:$V,'Order Details'!$A:$A,'Order Summary'!$B210,'Order Details'!$B:$B,'Order Summary'!$C210,'Order Details'!$E:$E,"Yes"),2)</f>
        <v>0</v>
      </c>
      <c r="Q210" s="164"/>
      <c r="R210" s="171" t="str">
        <f t="shared" si="65"/>
        <v/>
      </c>
      <c r="S210" s="137"/>
      <c r="T210" s="165" t="str">
        <f>IF(Q210="","",Q210+_xlfn.MAXIFS('Order Details'!$W:$W,'Order Details'!$A:$A,'Order Summary'!$B210,'Order Details'!$B:$B,'Order Summary'!$C210,'Order Details'!$E:$E,"Yes"))</f>
        <v/>
      </c>
      <c r="U210" s="164" t="str">
        <f>IF(T210="","",T210+VLOOKUP($J210,'Master Data'!$F$6:$G$9,2,FALSE))</f>
        <v/>
      </c>
      <c r="V210" s="133"/>
      <c r="W210" s="133"/>
      <c r="X210" s="133"/>
      <c r="Y210" s="133"/>
      <c r="Z210" s="309" t="str">
        <f>IF($Y210="","",IF(VLOOKUP($Y210,'Master Data'!$F$12:$I$17,2,FALSE)="","",VLOOKUP($Y210,'Master Data'!$F$12:$I$17,2,FALSE)))</f>
        <v/>
      </c>
      <c r="AA210" s="164"/>
      <c r="AB210" s="171" t="str">
        <f t="shared" si="61"/>
        <v/>
      </c>
      <c r="AC210" s="133"/>
      <c r="AD210" s="164"/>
      <c r="AE210" s="164"/>
      <c r="AF210" s="137"/>
      <c r="AG210" s="137"/>
      <c r="AH210" s="137">
        <f t="shared" si="66"/>
        <v>0</v>
      </c>
      <c r="AI210" s="137">
        <f t="shared" si="67"/>
        <v>0</v>
      </c>
      <c r="AJ210" s="164"/>
      <c r="AK210" s="171" t="str">
        <f t="shared" si="68"/>
        <v/>
      </c>
      <c r="AL210" s="137"/>
      <c r="AM210" s="164" t="str">
        <f t="shared" si="69"/>
        <v/>
      </c>
      <c r="AN210" s="303" t="str">
        <f t="shared" si="70"/>
        <v/>
      </c>
      <c r="AO210" s="164"/>
    </row>
    <row r="211" spans="1:41" x14ac:dyDescent="0.35">
      <c r="A211" s="133"/>
      <c r="B211" s="133"/>
      <c r="C211" s="133"/>
      <c r="D211" s="133" t="str">
        <f t="shared" si="62"/>
        <v>-</v>
      </c>
      <c r="E211" s="133"/>
      <c r="F211" s="164"/>
      <c r="G211" s="134" t="str">
        <f t="shared" si="63"/>
        <v>Yes</v>
      </c>
      <c r="H211" s="135">
        <f>SUMIFS('Order Details'!$R:$R,'Order Details'!$A:$A,'Order Summary'!$B211,'Order Details'!$B:$B,'Order Summary'!$C211,'Order Details'!$E:$E,"Yes")</f>
        <v>0</v>
      </c>
      <c r="I211" s="133"/>
      <c r="J211" s="133" t="e">
        <f>VLOOKUP($I211,'Master Data'!$L$5:$M$15,2,FALSE)</f>
        <v>#N/A</v>
      </c>
      <c r="K211" s="137">
        <f>SUMIFS('Order Details'!$U:$U,'Order Details'!$A:$A,'Order Summary'!$B211,'Order Details'!$B:$B,'Order Summary'!$C211,'Order Details'!$E:$E,"Yes")</f>
        <v>0</v>
      </c>
      <c r="L211" s="261">
        <f>SUMIFS('Order Details'!$P:$P,'Order Details'!$A:$A,'Order Summary'!$B211,'Order Details'!$B:$B,'Order Summary'!$C211,'Order Details'!$E:$E,"Yes")</f>
        <v>0</v>
      </c>
      <c r="M211" s="133"/>
      <c r="N211" s="164"/>
      <c r="O211" s="171" t="str">
        <f t="shared" si="64"/>
        <v/>
      </c>
      <c r="P211" s="302">
        <f>ROUND(SUMIFS('Order Details'!$V:$V,'Order Details'!$A:$A,'Order Summary'!$B211,'Order Details'!$B:$B,'Order Summary'!$C211,'Order Details'!$E:$E,"Yes"),2)</f>
        <v>0</v>
      </c>
      <c r="Q211" s="164"/>
      <c r="R211" s="171" t="str">
        <f t="shared" si="65"/>
        <v/>
      </c>
      <c r="S211" s="137"/>
      <c r="T211" s="165" t="str">
        <f>IF(Q211="","",Q211+_xlfn.MAXIFS('Order Details'!$W:$W,'Order Details'!$A:$A,'Order Summary'!$B211,'Order Details'!$B:$B,'Order Summary'!$C211,'Order Details'!$E:$E,"Yes"))</f>
        <v/>
      </c>
      <c r="U211" s="164" t="str">
        <f>IF(T211="","",T211+VLOOKUP($J211,'Master Data'!$F$6:$G$9,2,FALSE))</f>
        <v/>
      </c>
      <c r="V211" s="133"/>
      <c r="W211" s="133"/>
      <c r="X211" s="133"/>
      <c r="Y211" s="133"/>
      <c r="Z211" s="309" t="str">
        <f>IF($Y211="","",IF(VLOOKUP($Y211,'Master Data'!$F$12:$I$17,2,FALSE)="","",VLOOKUP($Y211,'Master Data'!$F$12:$I$17,2,FALSE)))</f>
        <v/>
      </c>
      <c r="AA211" s="164"/>
      <c r="AB211" s="171" t="str">
        <f t="shared" si="61"/>
        <v/>
      </c>
      <c r="AC211" s="133"/>
      <c r="AD211" s="164"/>
      <c r="AE211" s="164"/>
      <c r="AF211" s="137"/>
      <c r="AG211" s="137"/>
      <c r="AH211" s="137">
        <f t="shared" si="66"/>
        <v>0</v>
      </c>
      <c r="AI211" s="137">
        <f t="shared" si="67"/>
        <v>0</v>
      </c>
      <c r="AJ211" s="164"/>
      <c r="AK211" s="171" t="str">
        <f t="shared" si="68"/>
        <v/>
      </c>
      <c r="AL211" s="137"/>
      <c r="AM211" s="164" t="str">
        <f t="shared" si="69"/>
        <v/>
      </c>
      <c r="AN211" s="303" t="str">
        <f t="shared" si="70"/>
        <v/>
      </c>
      <c r="AO211" s="164"/>
    </row>
    <row r="212" spans="1:41" x14ac:dyDescent="0.35">
      <c r="A212" s="133"/>
      <c r="B212" s="133"/>
      <c r="C212" s="133"/>
      <c r="D212" s="133" t="str">
        <f t="shared" si="62"/>
        <v>-</v>
      </c>
      <c r="E212" s="133"/>
      <c r="F212" s="164"/>
      <c r="G212" s="134" t="str">
        <f t="shared" si="63"/>
        <v>Yes</v>
      </c>
      <c r="H212" s="135">
        <f>SUMIFS('Order Details'!$R:$R,'Order Details'!$A:$A,'Order Summary'!$B212,'Order Details'!$B:$B,'Order Summary'!$C212,'Order Details'!$E:$E,"Yes")</f>
        <v>0</v>
      </c>
      <c r="I212" s="133"/>
      <c r="J212" s="133" t="e">
        <f>VLOOKUP($I212,'Master Data'!$L$5:$M$15,2,FALSE)</f>
        <v>#N/A</v>
      </c>
      <c r="K212" s="137">
        <f>SUMIFS('Order Details'!$U:$U,'Order Details'!$A:$A,'Order Summary'!$B212,'Order Details'!$B:$B,'Order Summary'!$C212,'Order Details'!$E:$E,"Yes")</f>
        <v>0</v>
      </c>
      <c r="L212" s="261">
        <f>SUMIFS('Order Details'!$P:$P,'Order Details'!$A:$A,'Order Summary'!$B212,'Order Details'!$B:$B,'Order Summary'!$C212,'Order Details'!$E:$E,"Yes")</f>
        <v>0</v>
      </c>
      <c r="M212" s="133"/>
      <c r="N212" s="164"/>
      <c r="O212" s="171" t="str">
        <f t="shared" si="64"/>
        <v/>
      </c>
      <c r="P212" s="302">
        <f>ROUND(SUMIFS('Order Details'!$V:$V,'Order Details'!$A:$A,'Order Summary'!$B212,'Order Details'!$B:$B,'Order Summary'!$C212,'Order Details'!$E:$E,"Yes"),2)</f>
        <v>0</v>
      </c>
      <c r="Q212" s="164"/>
      <c r="R212" s="171" t="str">
        <f t="shared" si="65"/>
        <v/>
      </c>
      <c r="S212" s="137"/>
      <c r="T212" s="165" t="str">
        <f>IF(Q212="","",Q212+_xlfn.MAXIFS('Order Details'!$W:$W,'Order Details'!$A:$A,'Order Summary'!$B212,'Order Details'!$B:$B,'Order Summary'!$C212,'Order Details'!$E:$E,"Yes"))</f>
        <v/>
      </c>
      <c r="U212" s="164" t="str">
        <f>IF(T212="","",T212+VLOOKUP($J212,'Master Data'!$F$6:$G$9,2,FALSE))</f>
        <v/>
      </c>
      <c r="V212" s="133"/>
      <c r="W212" s="133"/>
      <c r="X212" s="133"/>
      <c r="Y212" s="133"/>
      <c r="Z212" s="309" t="str">
        <f>IF($Y212="","",IF(VLOOKUP($Y212,'Master Data'!$F$12:$I$17,2,FALSE)="","",VLOOKUP($Y212,'Master Data'!$F$12:$I$17,2,FALSE)))</f>
        <v/>
      </c>
      <c r="AA212" s="164"/>
      <c r="AB212" s="171" t="str">
        <f t="shared" si="61"/>
        <v/>
      </c>
      <c r="AC212" s="133"/>
      <c r="AD212" s="164"/>
      <c r="AE212" s="164"/>
      <c r="AF212" s="137"/>
      <c r="AG212" s="137"/>
      <c r="AH212" s="137">
        <f t="shared" si="66"/>
        <v>0</v>
      </c>
      <c r="AI212" s="137">
        <f t="shared" si="67"/>
        <v>0</v>
      </c>
      <c r="AJ212" s="164"/>
      <c r="AK212" s="171" t="str">
        <f t="shared" si="68"/>
        <v/>
      </c>
      <c r="AL212" s="137"/>
      <c r="AM212" s="164" t="str">
        <f t="shared" si="69"/>
        <v/>
      </c>
      <c r="AN212" s="303" t="str">
        <f t="shared" si="70"/>
        <v/>
      </c>
      <c r="AO212" s="164"/>
    </row>
    <row r="213" spans="1:41" x14ac:dyDescent="0.35">
      <c r="A213" s="133"/>
      <c r="B213" s="133"/>
      <c r="C213" s="133"/>
      <c r="D213" s="133" t="str">
        <f t="shared" si="62"/>
        <v>-</v>
      </c>
      <c r="E213" s="133"/>
      <c r="F213" s="164"/>
      <c r="G213" s="134" t="str">
        <f t="shared" si="63"/>
        <v>Yes</v>
      </c>
      <c r="H213" s="135">
        <f>SUMIFS('Order Details'!$R:$R,'Order Details'!$A:$A,'Order Summary'!$B213,'Order Details'!$B:$B,'Order Summary'!$C213,'Order Details'!$E:$E,"Yes")</f>
        <v>0</v>
      </c>
      <c r="I213" s="133"/>
      <c r="J213" s="133" t="e">
        <f>VLOOKUP($I213,'Master Data'!$L$5:$M$15,2,FALSE)</f>
        <v>#N/A</v>
      </c>
      <c r="K213" s="137">
        <f>SUMIFS('Order Details'!$U:$U,'Order Details'!$A:$A,'Order Summary'!$B213,'Order Details'!$B:$B,'Order Summary'!$C213,'Order Details'!$E:$E,"Yes")</f>
        <v>0</v>
      </c>
      <c r="L213" s="261">
        <f>SUMIFS('Order Details'!$P:$P,'Order Details'!$A:$A,'Order Summary'!$B213,'Order Details'!$B:$B,'Order Summary'!$C213,'Order Details'!$E:$E,"Yes")</f>
        <v>0</v>
      </c>
      <c r="M213" s="133"/>
      <c r="N213" s="164"/>
      <c r="O213" s="171" t="str">
        <f t="shared" si="64"/>
        <v/>
      </c>
      <c r="P213" s="302">
        <f>ROUND(SUMIFS('Order Details'!$V:$V,'Order Details'!$A:$A,'Order Summary'!$B213,'Order Details'!$B:$B,'Order Summary'!$C213,'Order Details'!$E:$E,"Yes"),2)</f>
        <v>0</v>
      </c>
      <c r="Q213" s="164"/>
      <c r="R213" s="171" t="str">
        <f t="shared" si="65"/>
        <v/>
      </c>
      <c r="S213" s="137"/>
      <c r="T213" s="165" t="str">
        <f>IF(Q213="","",Q213+_xlfn.MAXIFS('Order Details'!$W:$W,'Order Details'!$A:$A,'Order Summary'!$B213,'Order Details'!$B:$B,'Order Summary'!$C213,'Order Details'!$E:$E,"Yes"))</f>
        <v/>
      </c>
      <c r="U213" s="164" t="str">
        <f>IF(T213="","",T213+VLOOKUP($J213,'Master Data'!$F$6:$G$9,2,FALSE))</f>
        <v/>
      </c>
      <c r="V213" s="133"/>
      <c r="W213" s="133"/>
      <c r="X213" s="133"/>
      <c r="Y213" s="133"/>
      <c r="Z213" s="309" t="str">
        <f>IF($Y213="","",IF(VLOOKUP($Y213,'Master Data'!$F$12:$I$17,2,FALSE)="","",VLOOKUP($Y213,'Master Data'!$F$12:$I$17,2,FALSE)))</f>
        <v/>
      </c>
      <c r="AA213" s="164"/>
      <c r="AB213" s="171" t="str">
        <f t="shared" si="61"/>
        <v/>
      </c>
      <c r="AC213" s="133"/>
      <c r="AD213" s="164"/>
      <c r="AE213" s="164"/>
      <c r="AF213" s="137"/>
      <c r="AG213" s="137"/>
      <c r="AH213" s="137">
        <f t="shared" si="66"/>
        <v>0</v>
      </c>
      <c r="AI213" s="137">
        <f t="shared" si="67"/>
        <v>0</v>
      </c>
      <c r="AJ213" s="164"/>
      <c r="AK213" s="171" t="str">
        <f t="shared" si="68"/>
        <v/>
      </c>
      <c r="AL213" s="137"/>
      <c r="AM213" s="164" t="str">
        <f t="shared" si="69"/>
        <v/>
      </c>
      <c r="AN213" s="303" t="str">
        <f t="shared" si="70"/>
        <v/>
      </c>
      <c r="AO213" s="164"/>
    </row>
    <row r="214" spans="1:41" x14ac:dyDescent="0.35">
      <c r="A214" s="133"/>
      <c r="B214" s="133"/>
      <c r="C214" s="133"/>
      <c r="D214" s="133" t="str">
        <f t="shared" si="62"/>
        <v>-</v>
      </c>
      <c r="E214" s="133"/>
      <c r="F214" s="164"/>
      <c r="G214" s="134" t="str">
        <f t="shared" si="63"/>
        <v>Yes</v>
      </c>
      <c r="H214" s="135">
        <f>SUMIFS('Order Details'!$R:$R,'Order Details'!$A:$A,'Order Summary'!$B214,'Order Details'!$B:$B,'Order Summary'!$C214,'Order Details'!$E:$E,"Yes")</f>
        <v>0</v>
      </c>
      <c r="I214" s="133"/>
      <c r="J214" s="133" t="e">
        <f>VLOOKUP($I214,'Master Data'!$L$5:$M$15,2,FALSE)</f>
        <v>#N/A</v>
      </c>
      <c r="K214" s="137">
        <f>SUMIFS('Order Details'!$U:$U,'Order Details'!$A:$A,'Order Summary'!$B214,'Order Details'!$B:$B,'Order Summary'!$C214,'Order Details'!$E:$E,"Yes")</f>
        <v>0</v>
      </c>
      <c r="L214" s="261">
        <f>SUMIFS('Order Details'!$P:$P,'Order Details'!$A:$A,'Order Summary'!$B214,'Order Details'!$B:$B,'Order Summary'!$C214,'Order Details'!$E:$E,"Yes")</f>
        <v>0</v>
      </c>
      <c r="M214" s="133"/>
      <c r="N214" s="164"/>
      <c r="O214" s="171" t="str">
        <f t="shared" si="64"/>
        <v/>
      </c>
      <c r="P214" s="302">
        <f>ROUND(SUMIFS('Order Details'!$V:$V,'Order Details'!$A:$A,'Order Summary'!$B214,'Order Details'!$B:$B,'Order Summary'!$C214,'Order Details'!$E:$E,"Yes"),2)</f>
        <v>0</v>
      </c>
      <c r="Q214" s="164"/>
      <c r="R214" s="171" t="str">
        <f t="shared" si="65"/>
        <v/>
      </c>
      <c r="S214" s="137"/>
      <c r="T214" s="165" t="str">
        <f>IF(Q214="","",Q214+_xlfn.MAXIFS('Order Details'!$W:$W,'Order Details'!$A:$A,'Order Summary'!$B214,'Order Details'!$B:$B,'Order Summary'!$C214,'Order Details'!$E:$E,"Yes"))</f>
        <v/>
      </c>
      <c r="U214" s="164" t="str">
        <f>IF(T214="","",T214+VLOOKUP($J214,'Master Data'!$F$6:$G$9,2,FALSE))</f>
        <v/>
      </c>
      <c r="V214" s="133"/>
      <c r="W214" s="133"/>
      <c r="X214" s="133"/>
      <c r="Y214" s="133"/>
      <c r="Z214" s="309" t="str">
        <f>IF($Y214="","",IF(VLOOKUP($Y214,'Master Data'!$F$12:$I$17,2,FALSE)="","",VLOOKUP($Y214,'Master Data'!$F$12:$I$17,2,FALSE)))</f>
        <v/>
      </c>
      <c r="AA214" s="164"/>
      <c r="AB214" s="171" t="str">
        <f t="shared" si="61"/>
        <v/>
      </c>
      <c r="AC214" s="133"/>
      <c r="AD214" s="164"/>
      <c r="AE214" s="164"/>
      <c r="AF214" s="137"/>
      <c r="AG214" s="137"/>
      <c r="AH214" s="137">
        <f t="shared" si="66"/>
        <v>0</v>
      </c>
      <c r="AI214" s="137">
        <f t="shared" si="67"/>
        <v>0</v>
      </c>
      <c r="AJ214" s="164"/>
      <c r="AK214" s="171" t="str">
        <f t="shared" si="68"/>
        <v/>
      </c>
      <c r="AL214" s="137"/>
      <c r="AM214" s="164" t="str">
        <f t="shared" si="69"/>
        <v/>
      </c>
      <c r="AN214" s="303" t="str">
        <f t="shared" si="70"/>
        <v/>
      </c>
      <c r="AO214" s="164"/>
    </row>
    <row r="215" spans="1:41" x14ac:dyDescent="0.35">
      <c r="A215" s="133"/>
      <c r="B215" s="133"/>
      <c r="C215" s="133"/>
      <c r="D215" s="133" t="str">
        <f t="shared" si="62"/>
        <v>-</v>
      </c>
      <c r="E215" s="133"/>
      <c r="F215" s="164"/>
      <c r="G215" s="134" t="str">
        <f t="shared" si="63"/>
        <v>Yes</v>
      </c>
      <c r="H215" s="135">
        <f>SUMIFS('Order Details'!$R:$R,'Order Details'!$A:$A,'Order Summary'!$B215,'Order Details'!$B:$B,'Order Summary'!$C215,'Order Details'!$E:$E,"Yes")</f>
        <v>0</v>
      </c>
      <c r="I215" s="133"/>
      <c r="J215" s="133" t="e">
        <f>VLOOKUP($I215,'Master Data'!$L$5:$M$15,2,FALSE)</f>
        <v>#N/A</v>
      </c>
      <c r="K215" s="137">
        <f>SUMIFS('Order Details'!$U:$U,'Order Details'!$A:$A,'Order Summary'!$B215,'Order Details'!$B:$B,'Order Summary'!$C215,'Order Details'!$E:$E,"Yes")</f>
        <v>0</v>
      </c>
      <c r="L215" s="261">
        <f>SUMIFS('Order Details'!$P:$P,'Order Details'!$A:$A,'Order Summary'!$B215,'Order Details'!$B:$B,'Order Summary'!$C215,'Order Details'!$E:$E,"Yes")</f>
        <v>0</v>
      </c>
      <c r="M215" s="133"/>
      <c r="N215" s="164"/>
      <c r="O215" s="171" t="str">
        <f t="shared" si="64"/>
        <v/>
      </c>
      <c r="P215" s="302">
        <f>ROUND(SUMIFS('Order Details'!$V:$V,'Order Details'!$A:$A,'Order Summary'!$B215,'Order Details'!$B:$B,'Order Summary'!$C215,'Order Details'!$E:$E,"Yes"),2)</f>
        <v>0</v>
      </c>
      <c r="Q215" s="164"/>
      <c r="R215" s="171" t="str">
        <f t="shared" si="65"/>
        <v/>
      </c>
      <c r="S215" s="137"/>
      <c r="T215" s="165" t="str">
        <f>IF(Q215="","",Q215+_xlfn.MAXIFS('Order Details'!$W:$W,'Order Details'!$A:$A,'Order Summary'!$B215,'Order Details'!$B:$B,'Order Summary'!$C215,'Order Details'!$E:$E,"Yes"))</f>
        <v/>
      </c>
      <c r="U215" s="164" t="str">
        <f>IF(T215="","",T215+VLOOKUP($J215,'Master Data'!$F$6:$G$9,2,FALSE))</f>
        <v/>
      </c>
      <c r="V215" s="133"/>
      <c r="W215" s="133"/>
      <c r="X215" s="133"/>
      <c r="Y215" s="133"/>
      <c r="Z215" s="309" t="str">
        <f>IF($Y215="","",IF(VLOOKUP($Y215,'Master Data'!$F$12:$I$17,2,FALSE)="","",VLOOKUP($Y215,'Master Data'!$F$12:$I$17,2,FALSE)))</f>
        <v/>
      </c>
      <c r="AA215" s="164"/>
      <c r="AB215" s="171" t="str">
        <f t="shared" si="61"/>
        <v/>
      </c>
      <c r="AC215" s="133"/>
      <c r="AD215" s="164"/>
      <c r="AE215" s="164"/>
      <c r="AF215" s="137"/>
      <c r="AG215" s="137"/>
      <c r="AH215" s="137">
        <f t="shared" si="66"/>
        <v>0</v>
      </c>
      <c r="AI215" s="137">
        <f t="shared" si="67"/>
        <v>0</v>
      </c>
      <c r="AJ215" s="164"/>
      <c r="AK215" s="171" t="str">
        <f t="shared" si="68"/>
        <v/>
      </c>
      <c r="AL215" s="137"/>
      <c r="AM215" s="164" t="str">
        <f t="shared" si="69"/>
        <v/>
      </c>
      <c r="AN215" s="303" t="str">
        <f t="shared" si="70"/>
        <v/>
      </c>
      <c r="AO215" s="164"/>
    </row>
    <row r="216" spans="1:41" x14ac:dyDescent="0.35">
      <c r="A216" s="133"/>
      <c r="B216" s="133"/>
      <c r="C216" s="133"/>
      <c r="D216" s="133" t="str">
        <f t="shared" si="62"/>
        <v>-</v>
      </c>
      <c r="E216" s="133"/>
      <c r="F216" s="164"/>
      <c r="G216" s="134" t="str">
        <f t="shared" si="63"/>
        <v>Yes</v>
      </c>
      <c r="H216" s="135">
        <f>SUMIFS('Order Details'!$R:$R,'Order Details'!$A:$A,'Order Summary'!$B216,'Order Details'!$B:$B,'Order Summary'!$C216,'Order Details'!$E:$E,"Yes")</f>
        <v>0</v>
      </c>
      <c r="I216" s="133"/>
      <c r="J216" s="133" t="e">
        <f>VLOOKUP($I216,'Master Data'!$L$5:$M$15,2,FALSE)</f>
        <v>#N/A</v>
      </c>
      <c r="K216" s="137">
        <f>SUMIFS('Order Details'!$U:$U,'Order Details'!$A:$A,'Order Summary'!$B216,'Order Details'!$B:$B,'Order Summary'!$C216,'Order Details'!$E:$E,"Yes")</f>
        <v>0</v>
      </c>
      <c r="L216" s="261">
        <f>SUMIFS('Order Details'!$P:$P,'Order Details'!$A:$A,'Order Summary'!$B216,'Order Details'!$B:$B,'Order Summary'!$C216,'Order Details'!$E:$E,"Yes")</f>
        <v>0</v>
      </c>
      <c r="M216" s="133"/>
      <c r="N216" s="164"/>
      <c r="O216" s="171" t="str">
        <f t="shared" si="64"/>
        <v/>
      </c>
      <c r="P216" s="302">
        <f>ROUND(SUMIFS('Order Details'!$V:$V,'Order Details'!$A:$A,'Order Summary'!$B216,'Order Details'!$B:$B,'Order Summary'!$C216,'Order Details'!$E:$E,"Yes"),2)</f>
        <v>0</v>
      </c>
      <c r="Q216" s="164"/>
      <c r="R216" s="171" t="str">
        <f t="shared" si="65"/>
        <v/>
      </c>
      <c r="S216" s="137"/>
      <c r="T216" s="165" t="str">
        <f>IF(Q216="","",Q216+_xlfn.MAXIFS('Order Details'!$W:$W,'Order Details'!$A:$A,'Order Summary'!$B216,'Order Details'!$B:$B,'Order Summary'!$C216,'Order Details'!$E:$E,"Yes"))</f>
        <v/>
      </c>
      <c r="U216" s="164" t="str">
        <f>IF(T216="","",T216+VLOOKUP($J216,'Master Data'!$F$6:$G$9,2,FALSE))</f>
        <v/>
      </c>
      <c r="V216" s="133"/>
      <c r="W216" s="133"/>
      <c r="X216" s="133"/>
      <c r="Y216" s="133"/>
      <c r="Z216" s="309" t="str">
        <f>IF($Y216="","",IF(VLOOKUP($Y216,'Master Data'!$F$12:$I$17,2,FALSE)="","",VLOOKUP($Y216,'Master Data'!$F$12:$I$17,2,FALSE)))</f>
        <v/>
      </c>
      <c r="AA216" s="164"/>
      <c r="AB216" s="171" t="str">
        <f t="shared" si="61"/>
        <v/>
      </c>
      <c r="AC216" s="133"/>
      <c r="AD216" s="164"/>
      <c r="AE216" s="164"/>
      <c r="AF216" s="137"/>
      <c r="AG216" s="137"/>
      <c r="AH216" s="137">
        <f t="shared" si="66"/>
        <v>0</v>
      </c>
      <c r="AI216" s="137">
        <f t="shared" si="67"/>
        <v>0</v>
      </c>
      <c r="AJ216" s="164"/>
      <c r="AK216" s="171" t="str">
        <f t="shared" si="68"/>
        <v/>
      </c>
      <c r="AL216" s="137"/>
      <c r="AM216" s="164" t="str">
        <f t="shared" si="69"/>
        <v/>
      </c>
      <c r="AN216" s="303" t="str">
        <f t="shared" si="70"/>
        <v/>
      </c>
      <c r="AO216" s="164"/>
    </row>
    <row r="217" spans="1:41" x14ac:dyDescent="0.35">
      <c r="A217" s="133"/>
      <c r="B217" s="133"/>
      <c r="C217" s="133"/>
      <c r="D217" s="133" t="str">
        <f t="shared" si="62"/>
        <v>-</v>
      </c>
      <c r="E217" s="133"/>
      <c r="F217" s="164"/>
      <c r="G217" s="134" t="str">
        <f t="shared" si="63"/>
        <v>Yes</v>
      </c>
      <c r="H217" s="135">
        <f>SUMIFS('Order Details'!$R:$R,'Order Details'!$A:$A,'Order Summary'!$B217,'Order Details'!$B:$B,'Order Summary'!$C217,'Order Details'!$E:$E,"Yes")</f>
        <v>0</v>
      </c>
      <c r="I217" s="133"/>
      <c r="J217" s="133" t="e">
        <f>VLOOKUP($I217,'Master Data'!$L$5:$M$15,2,FALSE)</f>
        <v>#N/A</v>
      </c>
      <c r="K217" s="137">
        <f>SUMIFS('Order Details'!$U:$U,'Order Details'!$A:$A,'Order Summary'!$B217,'Order Details'!$B:$B,'Order Summary'!$C217,'Order Details'!$E:$E,"Yes")</f>
        <v>0</v>
      </c>
      <c r="L217" s="261">
        <f>SUMIFS('Order Details'!$P:$P,'Order Details'!$A:$A,'Order Summary'!$B217,'Order Details'!$B:$B,'Order Summary'!$C217,'Order Details'!$E:$E,"Yes")</f>
        <v>0</v>
      </c>
      <c r="M217" s="133"/>
      <c r="N217" s="164"/>
      <c r="O217" s="171" t="str">
        <f t="shared" si="64"/>
        <v/>
      </c>
      <c r="P217" s="302">
        <f>ROUND(SUMIFS('Order Details'!$V:$V,'Order Details'!$A:$A,'Order Summary'!$B217,'Order Details'!$B:$B,'Order Summary'!$C217,'Order Details'!$E:$E,"Yes"),2)</f>
        <v>0</v>
      </c>
      <c r="Q217" s="164"/>
      <c r="R217" s="171" t="str">
        <f t="shared" si="65"/>
        <v/>
      </c>
      <c r="S217" s="137"/>
      <c r="T217" s="165" t="str">
        <f>IF(Q217="","",Q217+_xlfn.MAXIFS('Order Details'!$W:$W,'Order Details'!$A:$A,'Order Summary'!$B217,'Order Details'!$B:$B,'Order Summary'!$C217,'Order Details'!$E:$E,"Yes"))</f>
        <v/>
      </c>
      <c r="U217" s="164" t="str">
        <f>IF(T217="","",T217+VLOOKUP($J217,'Master Data'!$F$6:$G$9,2,FALSE))</f>
        <v/>
      </c>
      <c r="V217" s="133"/>
      <c r="W217" s="133"/>
      <c r="X217" s="133"/>
      <c r="Y217" s="133"/>
      <c r="Z217" s="309" t="str">
        <f>IF($Y217="","",IF(VLOOKUP($Y217,'Master Data'!$F$12:$I$17,2,FALSE)="","",VLOOKUP($Y217,'Master Data'!$F$12:$I$17,2,FALSE)))</f>
        <v/>
      </c>
      <c r="AA217" s="164"/>
      <c r="AB217" s="171" t="str">
        <f t="shared" si="61"/>
        <v/>
      </c>
      <c r="AC217" s="133"/>
      <c r="AD217" s="164"/>
      <c r="AE217" s="164"/>
      <c r="AF217" s="137"/>
      <c r="AG217" s="137"/>
      <c r="AH217" s="137">
        <f t="shared" si="66"/>
        <v>0</v>
      </c>
      <c r="AI217" s="137">
        <f t="shared" si="67"/>
        <v>0</v>
      </c>
      <c r="AJ217" s="164"/>
      <c r="AK217" s="171" t="str">
        <f t="shared" si="68"/>
        <v/>
      </c>
      <c r="AL217" s="137"/>
      <c r="AM217" s="164" t="str">
        <f t="shared" si="69"/>
        <v/>
      </c>
      <c r="AN217" s="303" t="str">
        <f t="shared" si="70"/>
        <v/>
      </c>
      <c r="AO217" s="164"/>
    </row>
    <row r="218" spans="1:41" x14ac:dyDescent="0.35">
      <c r="A218" s="133"/>
      <c r="B218" s="133"/>
      <c r="C218" s="133"/>
      <c r="D218" s="133" t="str">
        <f t="shared" si="62"/>
        <v>-</v>
      </c>
      <c r="E218" s="133"/>
      <c r="F218" s="164"/>
      <c r="G218" s="134" t="str">
        <f t="shared" si="63"/>
        <v>Yes</v>
      </c>
      <c r="H218" s="135">
        <f>SUMIFS('Order Details'!$R:$R,'Order Details'!$A:$A,'Order Summary'!$B218,'Order Details'!$B:$B,'Order Summary'!$C218,'Order Details'!$E:$E,"Yes")</f>
        <v>0</v>
      </c>
      <c r="I218" s="133"/>
      <c r="J218" s="133" t="e">
        <f>VLOOKUP($I218,'Master Data'!$L$5:$M$15,2,FALSE)</f>
        <v>#N/A</v>
      </c>
      <c r="K218" s="137">
        <f>SUMIFS('Order Details'!$U:$U,'Order Details'!$A:$A,'Order Summary'!$B218,'Order Details'!$B:$B,'Order Summary'!$C218,'Order Details'!$E:$E,"Yes")</f>
        <v>0</v>
      </c>
      <c r="L218" s="261">
        <f>SUMIFS('Order Details'!$P:$P,'Order Details'!$A:$A,'Order Summary'!$B218,'Order Details'!$B:$B,'Order Summary'!$C218,'Order Details'!$E:$E,"Yes")</f>
        <v>0</v>
      </c>
      <c r="M218" s="133"/>
      <c r="N218" s="164"/>
      <c r="O218" s="171" t="str">
        <f t="shared" si="64"/>
        <v/>
      </c>
      <c r="P218" s="302">
        <f>ROUND(SUMIFS('Order Details'!$V:$V,'Order Details'!$A:$A,'Order Summary'!$B218,'Order Details'!$B:$B,'Order Summary'!$C218,'Order Details'!$E:$E,"Yes"),2)</f>
        <v>0</v>
      </c>
      <c r="Q218" s="164"/>
      <c r="R218" s="171" t="str">
        <f t="shared" si="65"/>
        <v/>
      </c>
      <c r="S218" s="137"/>
      <c r="T218" s="165" t="str">
        <f>IF(Q218="","",Q218+_xlfn.MAXIFS('Order Details'!$W:$W,'Order Details'!$A:$A,'Order Summary'!$B218,'Order Details'!$B:$B,'Order Summary'!$C218,'Order Details'!$E:$E,"Yes"))</f>
        <v/>
      </c>
      <c r="U218" s="164" t="str">
        <f>IF(T218="","",T218+VLOOKUP($J218,'Master Data'!$F$6:$G$9,2,FALSE))</f>
        <v/>
      </c>
      <c r="V218" s="133"/>
      <c r="W218" s="133"/>
      <c r="X218" s="133"/>
      <c r="Y218" s="133"/>
      <c r="Z218" s="309" t="str">
        <f>IF($Y218="","",IF(VLOOKUP($Y218,'Master Data'!$F$12:$I$17,2,FALSE)="","",VLOOKUP($Y218,'Master Data'!$F$12:$I$17,2,FALSE)))</f>
        <v/>
      </c>
      <c r="AA218" s="164"/>
      <c r="AB218" s="171" t="str">
        <f t="shared" si="61"/>
        <v/>
      </c>
      <c r="AC218" s="133"/>
      <c r="AD218" s="164"/>
      <c r="AE218" s="164"/>
      <c r="AF218" s="137"/>
      <c r="AG218" s="137"/>
      <c r="AH218" s="137">
        <f t="shared" si="66"/>
        <v>0</v>
      </c>
      <c r="AI218" s="137">
        <f t="shared" si="67"/>
        <v>0</v>
      </c>
      <c r="AJ218" s="164"/>
      <c r="AK218" s="171" t="str">
        <f t="shared" si="68"/>
        <v/>
      </c>
      <c r="AL218" s="137"/>
      <c r="AM218" s="164" t="str">
        <f t="shared" si="69"/>
        <v/>
      </c>
      <c r="AN218" s="303" t="str">
        <f t="shared" si="70"/>
        <v/>
      </c>
      <c r="AO218" s="164"/>
    </row>
    <row r="219" spans="1:41" x14ac:dyDescent="0.35">
      <c r="A219" s="133"/>
      <c r="B219" s="133"/>
      <c r="C219" s="133"/>
      <c r="D219" s="133" t="str">
        <f t="shared" si="62"/>
        <v>-</v>
      </c>
      <c r="E219" s="133"/>
      <c r="F219" s="164"/>
      <c r="G219" s="134" t="str">
        <f t="shared" si="63"/>
        <v>Yes</v>
      </c>
      <c r="H219" s="135">
        <f>SUMIFS('Order Details'!$R:$R,'Order Details'!$A:$A,'Order Summary'!$B219,'Order Details'!$B:$B,'Order Summary'!$C219,'Order Details'!$E:$E,"Yes")</f>
        <v>0</v>
      </c>
      <c r="I219" s="133"/>
      <c r="J219" s="133" t="e">
        <f>VLOOKUP($I219,'Master Data'!$L$5:$M$15,2,FALSE)</f>
        <v>#N/A</v>
      </c>
      <c r="K219" s="137">
        <f>SUMIFS('Order Details'!$U:$U,'Order Details'!$A:$A,'Order Summary'!$B219,'Order Details'!$B:$B,'Order Summary'!$C219,'Order Details'!$E:$E,"Yes")</f>
        <v>0</v>
      </c>
      <c r="L219" s="261">
        <f>SUMIFS('Order Details'!$P:$P,'Order Details'!$A:$A,'Order Summary'!$B219,'Order Details'!$B:$B,'Order Summary'!$C219,'Order Details'!$E:$E,"Yes")</f>
        <v>0</v>
      </c>
      <c r="M219" s="133"/>
      <c r="N219" s="164"/>
      <c r="O219" s="171" t="str">
        <f t="shared" si="64"/>
        <v/>
      </c>
      <c r="P219" s="302">
        <f>ROUND(SUMIFS('Order Details'!$V:$V,'Order Details'!$A:$A,'Order Summary'!$B219,'Order Details'!$B:$B,'Order Summary'!$C219,'Order Details'!$E:$E,"Yes"),2)</f>
        <v>0</v>
      </c>
      <c r="Q219" s="164"/>
      <c r="R219" s="171" t="str">
        <f t="shared" si="65"/>
        <v/>
      </c>
      <c r="S219" s="137"/>
      <c r="T219" s="165" t="str">
        <f>IF(Q219="","",Q219+_xlfn.MAXIFS('Order Details'!$W:$W,'Order Details'!$A:$A,'Order Summary'!$B219,'Order Details'!$B:$B,'Order Summary'!$C219,'Order Details'!$E:$E,"Yes"))</f>
        <v/>
      </c>
      <c r="U219" s="164" t="str">
        <f>IF(T219="","",T219+VLOOKUP($J219,'Master Data'!$F$6:$G$9,2,FALSE))</f>
        <v/>
      </c>
      <c r="V219" s="133"/>
      <c r="W219" s="133"/>
      <c r="X219" s="133"/>
      <c r="Y219" s="133"/>
      <c r="Z219" s="309" t="str">
        <f>IF($Y219="","",IF(VLOOKUP($Y219,'Master Data'!$F$12:$I$17,2,FALSE)="","",VLOOKUP($Y219,'Master Data'!$F$12:$I$17,2,FALSE)))</f>
        <v/>
      </c>
      <c r="AA219" s="164"/>
      <c r="AB219" s="171" t="str">
        <f t="shared" si="61"/>
        <v/>
      </c>
      <c r="AC219" s="133"/>
      <c r="AD219" s="164"/>
      <c r="AE219" s="164"/>
      <c r="AF219" s="137"/>
      <c r="AG219" s="137"/>
      <c r="AH219" s="137">
        <f t="shared" si="66"/>
        <v>0</v>
      </c>
      <c r="AI219" s="137">
        <f t="shared" si="67"/>
        <v>0</v>
      </c>
      <c r="AJ219" s="164"/>
      <c r="AK219" s="171" t="str">
        <f t="shared" si="68"/>
        <v/>
      </c>
      <c r="AL219" s="137"/>
      <c r="AM219" s="164" t="str">
        <f t="shared" si="69"/>
        <v/>
      </c>
      <c r="AN219" s="303" t="str">
        <f t="shared" si="70"/>
        <v/>
      </c>
      <c r="AO219" s="164"/>
    </row>
    <row r="220" spans="1:41" x14ac:dyDescent="0.35">
      <c r="A220" s="133"/>
      <c r="B220" s="133"/>
      <c r="C220" s="133"/>
      <c r="D220" s="133" t="str">
        <f t="shared" si="62"/>
        <v>-</v>
      </c>
      <c r="E220" s="133"/>
      <c r="F220" s="164"/>
      <c r="G220" s="134" t="str">
        <f t="shared" si="63"/>
        <v>Yes</v>
      </c>
      <c r="H220" s="135">
        <f>SUMIFS('Order Details'!$R:$R,'Order Details'!$A:$A,'Order Summary'!$B220,'Order Details'!$B:$B,'Order Summary'!$C220,'Order Details'!$E:$E,"Yes")</f>
        <v>0</v>
      </c>
      <c r="I220" s="133"/>
      <c r="J220" s="133" t="e">
        <f>VLOOKUP($I220,'Master Data'!$L$5:$M$15,2,FALSE)</f>
        <v>#N/A</v>
      </c>
      <c r="K220" s="137">
        <f>SUMIFS('Order Details'!$U:$U,'Order Details'!$A:$A,'Order Summary'!$B220,'Order Details'!$B:$B,'Order Summary'!$C220,'Order Details'!$E:$E,"Yes")</f>
        <v>0</v>
      </c>
      <c r="L220" s="261">
        <f>SUMIFS('Order Details'!$P:$P,'Order Details'!$A:$A,'Order Summary'!$B220,'Order Details'!$B:$B,'Order Summary'!$C220,'Order Details'!$E:$E,"Yes")</f>
        <v>0</v>
      </c>
      <c r="M220" s="133"/>
      <c r="N220" s="164"/>
      <c r="O220" s="171" t="str">
        <f t="shared" si="64"/>
        <v/>
      </c>
      <c r="P220" s="302">
        <f>ROUND(SUMIFS('Order Details'!$V:$V,'Order Details'!$A:$A,'Order Summary'!$B220,'Order Details'!$B:$B,'Order Summary'!$C220,'Order Details'!$E:$E,"Yes"),2)</f>
        <v>0</v>
      </c>
      <c r="Q220" s="164"/>
      <c r="R220" s="171" t="str">
        <f t="shared" si="65"/>
        <v/>
      </c>
      <c r="S220" s="137"/>
      <c r="T220" s="165" t="str">
        <f>IF(Q220="","",Q220+_xlfn.MAXIFS('Order Details'!$W:$W,'Order Details'!$A:$A,'Order Summary'!$B220,'Order Details'!$B:$B,'Order Summary'!$C220,'Order Details'!$E:$E,"Yes"))</f>
        <v/>
      </c>
      <c r="U220" s="164" t="str">
        <f>IF(T220="","",T220+VLOOKUP($J220,'Master Data'!$F$6:$G$9,2,FALSE))</f>
        <v/>
      </c>
      <c r="V220" s="133"/>
      <c r="W220" s="133"/>
      <c r="X220" s="133"/>
      <c r="Y220" s="133"/>
      <c r="Z220" s="309" t="str">
        <f>IF($Y220="","",IF(VLOOKUP($Y220,'Master Data'!$F$12:$I$17,2,FALSE)="","",VLOOKUP($Y220,'Master Data'!$F$12:$I$17,2,FALSE)))</f>
        <v/>
      </c>
      <c r="AA220" s="164"/>
      <c r="AB220" s="171" t="str">
        <f t="shared" si="61"/>
        <v/>
      </c>
      <c r="AC220" s="133"/>
      <c r="AD220" s="164"/>
      <c r="AE220" s="164"/>
      <c r="AF220" s="137"/>
      <c r="AG220" s="137"/>
      <c r="AH220" s="137">
        <f t="shared" si="66"/>
        <v>0</v>
      </c>
      <c r="AI220" s="137">
        <f t="shared" si="67"/>
        <v>0</v>
      </c>
      <c r="AJ220" s="164"/>
      <c r="AK220" s="171" t="str">
        <f t="shared" si="68"/>
        <v/>
      </c>
      <c r="AL220" s="137"/>
      <c r="AM220" s="164" t="str">
        <f t="shared" si="69"/>
        <v/>
      </c>
      <c r="AN220" s="303" t="str">
        <f t="shared" si="70"/>
        <v/>
      </c>
      <c r="AO220" s="164"/>
    </row>
    <row r="221" spans="1:41" x14ac:dyDescent="0.35">
      <c r="A221" s="133"/>
      <c r="B221" s="133"/>
      <c r="C221" s="133"/>
      <c r="D221" s="133" t="str">
        <f t="shared" si="62"/>
        <v>-</v>
      </c>
      <c r="E221" s="133"/>
      <c r="F221" s="164"/>
      <c r="G221" s="134" t="str">
        <f t="shared" si="63"/>
        <v>Yes</v>
      </c>
      <c r="H221" s="135">
        <f>SUMIFS('Order Details'!$R:$R,'Order Details'!$A:$A,'Order Summary'!$B221,'Order Details'!$B:$B,'Order Summary'!$C221,'Order Details'!$E:$E,"Yes")</f>
        <v>0</v>
      </c>
      <c r="I221" s="133"/>
      <c r="J221" s="133" t="e">
        <f>VLOOKUP($I221,'Master Data'!$L$5:$M$15,2,FALSE)</f>
        <v>#N/A</v>
      </c>
      <c r="K221" s="137">
        <f>SUMIFS('Order Details'!$U:$U,'Order Details'!$A:$A,'Order Summary'!$B221,'Order Details'!$B:$B,'Order Summary'!$C221,'Order Details'!$E:$E,"Yes")</f>
        <v>0</v>
      </c>
      <c r="L221" s="261">
        <f>SUMIFS('Order Details'!$P:$P,'Order Details'!$A:$A,'Order Summary'!$B221,'Order Details'!$B:$B,'Order Summary'!$C221,'Order Details'!$E:$E,"Yes")</f>
        <v>0</v>
      </c>
      <c r="M221" s="133"/>
      <c r="N221" s="164"/>
      <c r="O221" s="171" t="str">
        <f t="shared" si="64"/>
        <v/>
      </c>
      <c r="P221" s="302">
        <f>ROUND(SUMIFS('Order Details'!$V:$V,'Order Details'!$A:$A,'Order Summary'!$B221,'Order Details'!$B:$B,'Order Summary'!$C221,'Order Details'!$E:$E,"Yes"),2)</f>
        <v>0</v>
      </c>
      <c r="Q221" s="164"/>
      <c r="R221" s="171" t="str">
        <f t="shared" si="65"/>
        <v/>
      </c>
      <c r="S221" s="137"/>
      <c r="T221" s="165" t="str">
        <f>IF(Q221="","",Q221+_xlfn.MAXIFS('Order Details'!$W:$W,'Order Details'!$A:$A,'Order Summary'!$B221,'Order Details'!$B:$B,'Order Summary'!$C221,'Order Details'!$E:$E,"Yes"))</f>
        <v/>
      </c>
      <c r="U221" s="164" t="str">
        <f>IF(T221="","",T221+VLOOKUP($J221,'Master Data'!$F$6:$G$9,2,FALSE))</f>
        <v/>
      </c>
      <c r="V221" s="133"/>
      <c r="W221" s="133"/>
      <c r="X221" s="133"/>
      <c r="Y221" s="133"/>
      <c r="Z221" s="309" t="str">
        <f>IF($Y221="","",IF(VLOOKUP($Y221,'Master Data'!$F$12:$I$17,2,FALSE)="","",VLOOKUP($Y221,'Master Data'!$F$12:$I$17,2,FALSE)))</f>
        <v/>
      </c>
      <c r="AA221" s="164"/>
      <c r="AB221" s="171" t="str">
        <f t="shared" si="61"/>
        <v/>
      </c>
      <c r="AC221" s="133"/>
      <c r="AD221" s="164"/>
      <c r="AE221" s="164"/>
      <c r="AF221" s="137"/>
      <c r="AG221" s="137"/>
      <c r="AH221" s="137">
        <f t="shared" si="66"/>
        <v>0</v>
      </c>
      <c r="AI221" s="137">
        <f t="shared" si="67"/>
        <v>0</v>
      </c>
      <c r="AJ221" s="164"/>
      <c r="AK221" s="171" t="str">
        <f t="shared" si="68"/>
        <v/>
      </c>
      <c r="AL221" s="137"/>
      <c r="AM221" s="164" t="str">
        <f t="shared" si="69"/>
        <v/>
      </c>
      <c r="AN221" s="303" t="str">
        <f t="shared" si="70"/>
        <v/>
      </c>
      <c r="AO221" s="164"/>
    </row>
    <row r="222" spans="1:41" x14ac:dyDescent="0.35">
      <c r="A222" s="133"/>
      <c r="B222" s="133"/>
      <c r="C222" s="133"/>
      <c r="D222" s="133" t="str">
        <f t="shared" si="62"/>
        <v>-</v>
      </c>
      <c r="E222" s="133"/>
      <c r="F222" s="164"/>
      <c r="G222" s="134" t="str">
        <f t="shared" si="63"/>
        <v>Yes</v>
      </c>
      <c r="H222" s="135">
        <f>SUMIFS('Order Details'!$R:$R,'Order Details'!$A:$A,'Order Summary'!$B222,'Order Details'!$B:$B,'Order Summary'!$C222,'Order Details'!$E:$E,"Yes")</f>
        <v>0</v>
      </c>
      <c r="I222" s="133"/>
      <c r="J222" s="133" t="e">
        <f>VLOOKUP($I222,'Master Data'!$L$5:$M$15,2,FALSE)</f>
        <v>#N/A</v>
      </c>
      <c r="K222" s="137">
        <f>SUMIFS('Order Details'!$U:$U,'Order Details'!$A:$A,'Order Summary'!$B222,'Order Details'!$B:$B,'Order Summary'!$C222,'Order Details'!$E:$E,"Yes")</f>
        <v>0</v>
      </c>
      <c r="L222" s="261">
        <f>SUMIFS('Order Details'!$P:$P,'Order Details'!$A:$A,'Order Summary'!$B222,'Order Details'!$B:$B,'Order Summary'!$C222,'Order Details'!$E:$E,"Yes")</f>
        <v>0</v>
      </c>
      <c r="M222" s="133"/>
      <c r="N222" s="164"/>
      <c r="O222" s="171" t="str">
        <f t="shared" si="64"/>
        <v/>
      </c>
      <c r="P222" s="302">
        <f>ROUND(SUMIFS('Order Details'!$V:$V,'Order Details'!$A:$A,'Order Summary'!$B222,'Order Details'!$B:$B,'Order Summary'!$C222,'Order Details'!$E:$E,"Yes"),2)</f>
        <v>0</v>
      </c>
      <c r="Q222" s="164"/>
      <c r="R222" s="171" t="str">
        <f t="shared" si="65"/>
        <v/>
      </c>
      <c r="S222" s="137"/>
      <c r="T222" s="165" t="str">
        <f>IF(Q222="","",Q222+_xlfn.MAXIFS('Order Details'!$W:$W,'Order Details'!$A:$A,'Order Summary'!$B222,'Order Details'!$B:$B,'Order Summary'!$C222,'Order Details'!$E:$E,"Yes"))</f>
        <v/>
      </c>
      <c r="U222" s="164" t="str">
        <f>IF(T222="","",T222+VLOOKUP($J222,'Master Data'!$F$6:$G$9,2,FALSE))</f>
        <v/>
      </c>
      <c r="V222" s="133"/>
      <c r="W222" s="133"/>
      <c r="X222" s="133"/>
      <c r="Y222" s="133"/>
      <c r="Z222" s="309" t="str">
        <f>IF($Y222="","",IF(VLOOKUP($Y222,'Master Data'!$F$12:$I$17,2,FALSE)="","",VLOOKUP($Y222,'Master Data'!$F$12:$I$17,2,FALSE)))</f>
        <v/>
      </c>
      <c r="AA222" s="164"/>
      <c r="AB222" s="171" t="str">
        <f t="shared" si="61"/>
        <v/>
      </c>
      <c r="AC222" s="133"/>
      <c r="AD222" s="164"/>
      <c r="AE222" s="164"/>
      <c r="AF222" s="137"/>
      <c r="AG222" s="137"/>
      <c r="AH222" s="137">
        <f t="shared" si="66"/>
        <v>0</v>
      </c>
      <c r="AI222" s="137">
        <f t="shared" si="67"/>
        <v>0</v>
      </c>
      <c r="AJ222" s="164"/>
      <c r="AK222" s="171" t="str">
        <f t="shared" si="68"/>
        <v/>
      </c>
      <c r="AL222" s="137"/>
      <c r="AM222" s="164" t="str">
        <f t="shared" si="69"/>
        <v/>
      </c>
      <c r="AN222" s="303" t="str">
        <f t="shared" si="70"/>
        <v/>
      </c>
      <c r="AO222" s="164"/>
    </row>
    <row r="223" spans="1:41" x14ac:dyDescent="0.35">
      <c r="A223" s="133"/>
      <c r="B223" s="133"/>
      <c r="C223" s="133"/>
      <c r="D223" s="133" t="str">
        <f t="shared" si="62"/>
        <v>-</v>
      </c>
      <c r="E223" s="133"/>
      <c r="F223" s="164"/>
      <c r="G223" s="134" t="str">
        <f t="shared" si="63"/>
        <v>Yes</v>
      </c>
      <c r="H223" s="135">
        <f>SUMIFS('Order Details'!$R:$R,'Order Details'!$A:$A,'Order Summary'!$B223,'Order Details'!$B:$B,'Order Summary'!$C223,'Order Details'!$E:$E,"Yes")</f>
        <v>0</v>
      </c>
      <c r="I223" s="133"/>
      <c r="J223" s="133" t="e">
        <f>VLOOKUP($I223,'Master Data'!$L$5:$M$15,2,FALSE)</f>
        <v>#N/A</v>
      </c>
      <c r="K223" s="137">
        <f>SUMIFS('Order Details'!$U:$U,'Order Details'!$A:$A,'Order Summary'!$B223,'Order Details'!$B:$B,'Order Summary'!$C223,'Order Details'!$E:$E,"Yes")</f>
        <v>0</v>
      </c>
      <c r="L223" s="261">
        <f>SUMIFS('Order Details'!$P:$P,'Order Details'!$A:$A,'Order Summary'!$B223,'Order Details'!$B:$B,'Order Summary'!$C223,'Order Details'!$E:$E,"Yes")</f>
        <v>0</v>
      </c>
      <c r="M223" s="133"/>
      <c r="N223" s="164"/>
      <c r="O223" s="171" t="str">
        <f t="shared" si="64"/>
        <v/>
      </c>
      <c r="P223" s="302">
        <f>ROUND(SUMIFS('Order Details'!$V:$V,'Order Details'!$A:$A,'Order Summary'!$B223,'Order Details'!$B:$B,'Order Summary'!$C223,'Order Details'!$E:$E,"Yes"),2)</f>
        <v>0</v>
      </c>
      <c r="Q223" s="164"/>
      <c r="R223" s="171" t="str">
        <f t="shared" si="65"/>
        <v/>
      </c>
      <c r="S223" s="137"/>
      <c r="T223" s="165" t="str">
        <f>IF(Q223="","",Q223+_xlfn.MAXIFS('Order Details'!$W:$W,'Order Details'!$A:$A,'Order Summary'!$B223,'Order Details'!$B:$B,'Order Summary'!$C223,'Order Details'!$E:$E,"Yes"))</f>
        <v/>
      </c>
      <c r="U223" s="164" t="str">
        <f>IF(T223="","",T223+VLOOKUP($J223,'Master Data'!$F$6:$G$9,2,FALSE))</f>
        <v/>
      </c>
      <c r="V223" s="133"/>
      <c r="W223" s="133"/>
      <c r="X223" s="133"/>
      <c r="Y223" s="133"/>
      <c r="Z223" s="309" t="str">
        <f>IF($Y223="","",IF(VLOOKUP($Y223,'Master Data'!$F$12:$I$17,2,FALSE)="","",VLOOKUP($Y223,'Master Data'!$F$12:$I$17,2,FALSE)))</f>
        <v/>
      </c>
      <c r="AA223" s="164"/>
      <c r="AB223" s="171" t="str">
        <f t="shared" si="61"/>
        <v/>
      </c>
      <c r="AC223" s="133"/>
      <c r="AD223" s="164"/>
      <c r="AE223" s="164"/>
      <c r="AF223" s="137"/>
      <c r="AG223" s="137"/>
      <c r="AH223" s="137">
        <f t="shared" si="66"/>
        <v>0</v>
      </c>
      <c r="AI223" s="137">
        <f t="shared" si="67"/>
        <v>0</v>
      </c>
      <c r="AJ223" s="164"/>
      <c r="AK223" s="171" t="str">
        <f t="shared" si="68"/>
        <v/>
      </c>
      <c r="AL223" s="137"/>
      <c r="AM223" s="164" t="str">
        <f t="shared" si="69"/>
        <v/>
      </c>
      <c r="AN223" s="303" t="str">
        <f t="shared" si="70"/>
        <v/>
      </c>
      <c r="AO223" s="164"/>
    </row>
    <row r="224" spans="1:41" x14ac:dyDescent="0.35">
      <c r="A224" s="133"/>
      <c r="B224" s="133"/>
      <c r="C224" s="133"/>
      <c r="D224" s="133" t="str">
        <f t="shared" si="62"/>
        <v>-</v>
      </c>
      <c r="E224" s="133"/>
      <c r="F224" s="164"/>
      <c r="G224" s="134" t="str">
        <f t="shared" si="63"/>
        <v>Yes</v>
      </c>
      <c r="H224" s="135">
        <f>SUMIFS('Order Details'!$R:$R,'Order Details'!$A:$A,'Order Summary'!$B224,'Order Details'!$B:$B,'Order Summary'!$C224,'Order Details'!$E:$E,"Yes")</f>
        <v>0</v>
      </c>
      <c r="I224" s="133"/>
      <c r="J224" s="133" t="e">
        <f>VLOOKUP($I224,'Master Data'!$L$5:$M$15,2,FALSE)</f>
        <v>#N/A</v>
      </c>
      <c r="K224" s="137">
        <f>SUMIFS('Order Details'!$U:$U,'Order Details'!$A:$A,'Order Summary'!$B224,'Order Details'!$B:$B,'Order Summary'!$C224,'Order Details'!$E:$E,"Yes")</f>
        <v>0</v>
      </c>
      <c r="L224" s="261">
        <f>SUMIFS('Order Details'!$P:$P,'Order Details'!$A:$A,'Order Summary'!$B224,'Order Details'!$B:$B,'Order Summary'!$C224,'Order Details'!$E:$E,"Yes")</f>
        <v>0</v>
      </c>
      <c r="M224" s="133"/>
      <c r="N224" s="164"/>
      <c r="O224" s="171" t="str">
        <f t="shared" si="64"/>
        <v/>
      </c>
      <c r="P224" s="302">
        <f>ROUND(SUMIFS('Order Details'!$V:$V,'Order Details'!$A:$A,'Order Summary'!$B224,'Order Details'!$B:$B,'Order Summary'!$C224,'Order Details'!$E:$E,"Yes"),2)</f>
        <v>0</v>
      </c>
      <c r="Q224" s="164"/>
      <c r="R224" s="171" t="str">
        <f t="shared" si="65"/>
        <v/>
      </c>
      <c r="S224" s="137"/>
      <c r="T224" s="165" t="str">
        <f>IF(Q224="","",Q224+_xlfn.MAXIFS('Order Details'!$W:$W,'Order Details'!$A:$A,'Order Summary'!$B224,'Order Details'!$B:$B,'Order Summary'!$C224,'Order Details'!$E:$E,"Yes"))</f>
        <v/>
      </c>
      <c r="U224" s="164" t="str">
        <f>IF(T224="","",T224+VLOOKUP($J224,'Master Data'!$F$6:$G$9,2,FALSE))</f>
        <v/>
      </c>
      <c r="V224" s="133"/>
      <c r="W224" s="133"/>
      <c r="X224" s="133"/>
      <c r="Y224" s="133"/>
      <c r="Z224" s="309" t="str">
        <f>IF($Y224="","",IF(VLOOKUP($Y224,'Master Data'!$F$12:$I$17,2,FALSE)="","",VLOOKUP($Y224,'Master Data'!$F$12:$I$17,2,FALSE)))</f>
        <v/>
      </c>
      <c r="AA224" s="164"/>
      <c r="AB224" s="171" t="str">
        <f t="shared" si="61"/>
        <v/>
      </c>
      <c r="AC224" s="133"/>
      <c r="AD224" s="164"/>
      <c r="AE224" s="164"/>
      <c r="AF224" s="137"/>
      <c r="AG224" s="137"/>
      <c r="AH224" s="137">
        <f t="shared" si="66"/>
        <v>0</v>
      </c>
      <c r="AI224" s="137">
        <f t="shared" si="67"/>
        <v>0</v>
      </c>
      <c r="AJ224" s="164"/>
      <c r="AK224" s="171" t="str">
        <f t="shared" si="68"/>
        <v/>
      </c>
      <c r="AL224" s="137"/>
      <c r="AM224" s="164" t="str">
        <f t="shared" si="69"/>
        <v/>
      </c>
      <c r="AN224" s="303" t="str">
        <f t="shared" si="70"/>
        <v/>
      </c>
      <c r="AO224" s="164"/>
    </row>
    <row r="225" spans="1:41" x14ac:dyDescent="0.35">
      <c r="A225" s="133"/>
      <c r="B225" s="133"/>
      <c r="C225" s="133"/>
      <c r="D225" s="133" t="str">
        <f t="shared" si="62"/>
        <v>-</v>
      </c>
      <c r="E225" s="133"/>
      <c r="F225" s="164"/>
      <c r="G225" s="134" t="str">
        <f t="shared" si="63"/>
        <v>Yes</v>
      </c>
      <c r="H225" s="135">
        <f>SUMIFS('Order Details'!$R:$R,'Order Details'!$A:$A,'Order Summary'!$B225,'Order Details'!$B:$B,'Order Summary'!$C225,'Order Details'!$E:$E,"Yes")</f>
        <v>0</v>
      </c>
      <c r="I225" s="133"/>
      <c r="J225" s="133" t="e">
        <f>VLOOKUP($I225,'Master Data'!$L$5:$M$15,2,FALSE)</f>
        <v>#N/A</v>
      </c>
      <c r="K225" s="137">
        <f>SUMIFS('Order Details'!$U:$U,'Order Details'!$A:$A,'Order Summary'!$B225,'Order Details'!$B:$B,'Order Summary'!$C225,'Order Details'!$E:$E,"Yes")</f>
        <v>0</v>
      </c>
      <c r="L225" s="261">
        <f>SUMIFS('Order Details'!$P:$P,'Order Details'!$A:$A,'Order Summary'!$B225,'Order Details'!$B:$B,'Order Summary'!$C225,'Order Details'!$E:$E,"Yes")</f>
        <v>0</v>
      </c>
      <c r="M225" s="133"/>
      <c r="N225" s="164"/>
      <c r="O225" s="171" t="str">
        <f t="shared" si="64"/>
        <v/>
      </c>
      <c r="P225" s="302">
        <f>ROUND(SUMIFS('Order Details'!$V:$V,'Order Details'!$A:$A,'Order Summary'!$B225,'Order Details'!$B:$B,'Order Summary'!$C225,'Order Details'!$E:$E,"Yes"),2)</f>
        <v>0</v>
      </c>
      <c r="Q225" s="164"/>
      <c r="R225" s="171" t="str">
        <f t="shared" si="65"/>
        <v/>
      </c>
      <c r="S225" s="137"/>
      <c r="T225" s="165" t="str">
        <f>IF(Q225="","",Q225+_xlfn.MAXIFS('Order Details'!$W:$W,'Order Details'!$A:$A,'Order Summary'!$B225,'Order Details'!$B:$B,'Order Summary'!$C225,'Order Details'!$E:$E,"Yes"))</f>
        <v/>
      </c>
      <c r="U225" s="164" t="str">
        <f>IF(T225="","",T225+VLOOKUP($J225,'Master Data'!$F$6:$G$9,2,FALSE))</f>
        <v/>
      </c>
      <c r="V225" s="133"/>
      <c r="W225" s="133"/>
      <c r="X225" s="133"/>
      <c r="Y225" s="133"/>
      <c r="Z225" s="309" t="str">
        <f>IF($Y225="","",IF(VLOOKUP($Y225,'Master Data'!$F$12:$I$17,2,FALSE)="","",VLOOKUP($Y225,'Master Data'!$F$12:$I$17,2,FALSE)))</f>
        <v/>
      </c>
      <c r="AA225" s="164"/>
      <c r="AB225" s="171" t="str">
        <f t="shared" si="61"/>
        <v/>
      </c>
      <c r="AC225" s="133"/>
      <c r="AD225" s="164"/>
      <c r="AE225" s="164"/>
      <c r="AF225" s="137"/>
      <c r="AG225" s="137"/>
      <c r="AH225" s="137">
        <f t="shared" si="66"/>
        <v>0</v>
      </c>
      <c r="AI225" s="137">
        <f t="shared" si="67"/>
        <v>0</v>
      </c>
      <c r="AJ225" s="164"/>
      <c r="AK225" s="171" t="str">
        <f t="shared" si="68"/>
        <v/>
      </c>
      <c r="AL225" s="137"/>
      <c r="AM225" s="164" t="str">
        <f t="shared" si="69"/>
        <v/>
      </c>
      <c r="AN225" s="303" t="str">
        <f t="shared" si="70"/>
        <v/>
      </c>
      <c r="AO225" s="164"/>
    </row>
    <row r="226" spans="1:41" x14ac:dyDescent="0.35">
      <c r="A226" s="133"/>
      <c r="B226" s="133"/>
      <c r="C226" s="133"/>
      <c r="D226" s="133" t="str">
        <f t="shared" si="62"/>
        <v>-</v>
      </c>
      <c r="E226" s="133"/>
      <c r="F226" s="164"/>
      <c r="G226" s="134" t="str">
        <f t="shared" si="63"/>
        <v>Yes</v>
      </c>
      <c r="H226" s="135">
        <f>SUMIFS('Order Details'!$R:$R,'Order Details'!$A:$A,'Order Summary'!$B226,'Order Details'!$B:$B,'Order Summary'!$C226,'Order Details'!$E:$E,"Yes")</f>
        <v>0</v>
      </c>
      <c r="I226" s="133"/>
      <c r="J226" s="133" t="e">
        <f>VLOOKUP($I226,'Master Data'!$L$5:$M$15,2,FALSE)</f>
        <v>#N/A</v>
      </c>
      <c r="K226" s="137">
        <f>SUMIFS('Order Details'!$U:$U,'Order Details'!$A:$A,'Order Summary'!$B226,'Order Details'!$B:$B,'Order Summary'!$C226,'Order Details'!$E:$E,"Yes")</f>
        <v>0</v>
      </c>
      <c r="L226" s="261">
        <f>SUMIFS('Order Details'!$P:$P,'Order Details'!$A:$A,'Order Summary'!$B226,'Order Details'!$B:$B,'Order Summary'!$C226,'Order Details'!$E:$E,"Yes")</f>
        <v>0</v>
      </c>
      <c r="M226" s="133"/>
      <c r="N226" s="164"/>
      <c r="O226" s="171" t="str">
        <f t="shared" si="64"/>
        <v/>
      </c>
      <c r="P226" s="302">
        <f>ROUND(SUMIFS('Order Details'!$V:$V,'Order Details'!$A:$A,'Order Summary'!$B226,'Order Details'!$B:$B,'Order Summary'!$C226,'Order Details'!$E:$E,"Yes"),2)</f>
        <v>0</v>
      </c>
      <c r="Q226" s="164"/>
      <c r="R226" s="171" t="str">
        <f t="shared" si="65"/>
        <v/>
      </c>
      <c r="S226" s="137"/>
      <c r="T226" s="165" t="str">
        <f>IF(Q226="","",Q226+_xlfn.MAXIFS('Order Details'!$W:$W,'Order Details'!$A:$A,'Order Summary'!$B226,'Order Details'!$B:$B,'Order Summary'!$C226,'Order Details'!$E:$E,"Yes"))</f>
        <v/>
      </c>
      <c r="U226" s="164" t="str">
        <f>IF(T226="","",T226+VLOOKUP($J226,'Master Data'!$F$6:$G$9,2,FALSE))</f>
        <v/>
      </c>
      <c r="V226" s="133"/>
      <c r="W226" s="133"/>
      <c r="X226" s="133"/>
      <c r="Y226" s="133"/>
      <c r="Z226" s="309" t="str">
        <f>IF($Y226="","",IF(VLOOKUP($Y226,'Master Data'!$F$12:$I$17,2,FALSE)="","",VLOOKUP($Y226,'Master Data'!$F$12:$I$17,2,FALSE)))</f>
        <v/>
      </c>
      <c r="AA226" s="164"/>
      <c r="AB226" s="171" t="str">
        <f t="shared" si="61"/>
        <v/>
      </c>
      <c r="AC226" s="133"/>
      <c r="AD226" s="164"/>
      <c r="AE226" s="164"/>
      <c r="AF226" s="137"/>
      <c r="AG226" s="137"/>
      <c r="AH226" s="137">
        <f t="shared" si="66"/>
        <v>0</v>
      </c>
      <c r="AI226" s="137">
        <f t="shared" si="67"/>
        <v>0</v>
      </c>
      <c r="AJ226" s="164"/>
      <c r="AK226" s="171" t="str">
        <f t="shared" si="68"/>
        <v/>
      </c>
      <c r="AL226" s="137"/>
      <c r="AM226" s="164" t="str">
        <f t="shared" si="69"/>
        <v/>
      </c>
      <c r="AN226" s="303" t="str">
        <f t="shared" si="70"/>
        <v/>
      </c>
      <c r="AO226" s="164"/>
    </row>
    <row r="227" spans="1:41" x14ac:dyDescent="0.35">
      <c r="A227" s="133"/>
      <c r="B227" s="133"/>
      <c r="C227" s="133"/>
      <c r="D227" s="133" t="str">
        <f t="shared" si="62"/>
        <v>-</v>
      </c>
      <c r="E227" s="133"/>
      <c r="F227" s="164"/>
      <c r="G227" s="134" t="str">
        <f t="shared" si="63"/>
        <v>Yes</v>
      </c>
      <c r="H227" s="135">
        <f>SUMIFS('Order Details'!$R:$R,'Order Details'!$A:$A,'Order Summary'!$B227,'Order Details'!$B:$B,'Order Summary'!$C227,'Order Details'!$E:$E,"Yes")</f>
        <v>0</v>
      </c>
      <c r="I227" s="133"/>
      <c r="J227" s="133" t="e">
        <f>VLOOKUP($I227,'Master Data'!$L$5:$M$15,2,FALSE)</f>
        <v>#N/A</v>
      </c>
      <c r="K227" s="137">
        <f>SUMIFS('Order Details'!$U:$U,'Order Details'!$A:$A,'Order Summary'!$B227,'Order Details'!$B:$B,'Order Summary'!$C227,'Order Details'!$E:$E,"Yes")</f>
        <v>0</v>
      </c>
      <c r="L227" s="261">
        <f>SUMIFS('Order Details'!$P:$P,'Order Details'!$A:$A,'Order Summary'!$B227,'Order Details'!$B:$B,'Order Summary'!$C227,'Order Details'!$E:$E,"Yes")</f>
        <v>0</v>
      </c>
      <c r="M227" s="133"/>
      <c r="N227" s="164"/>
      <c r="O227" s="171" t="str">
        <f t="shared" si="64"/>
        <v/>
      </c>
      <c r="P227" s="302">
        <f>ROUND(SUMIFS('Order Details'!$V:$V,'Order Details'!$A:$A,'Order Summary'!$B227,'Order Details'!$B:$B,'Order Summary'!$C227,'Order Details'!$E:$E,"Yes"),2)</f>
        <v>0</v>
      </c>
      <c r="Q227" s="164"/>
      <c r="R227" s="171" t="str">
        <f t="shared" si="65"/>
        <v/>
      </c>
      <c r="S227" s="137"/>
      <c r="T227" s="165" t="str">
        <f>IF(Q227="","",Q227+_xlfn.MAXIFS('Order Details'!$W:$W,'Order Details'!$A:$A,'Order Summary'!$B227,'Order Details'!$B:$B,'Order Summary'!$C227,'Order Details'!$E:$E,"Yes"))</f>
        <v/>
      </c>
      <c r="U227" s="164" t="str">
        <f>IF(T227="","",T227+VLOOKUP($J227,'Master Data'!$F$6:$G$9,2,FALSE))</f>
        <v/>
      </c>
      <c r="V227" s="133"/>
      <c r="W227" s="133"/>
      <c r="X227" s="133"/>
      <c r="Y227" s="133"/>
      <c r="Z227" s="309" t="str">
        <f>IF($Y227="","",IF(VLOOKUP($Y227,'Master Data'!$F$12:$I$17,2,FALSE)="","",VLOOKUP($Y227,'Master Data'!$F$12:$I$17,2,FALSE)))</f>
        <v/>
      </c>
      <c r="AA227" s="164"/>
      <c r="AB227" s="171" t="str">
        <f t="shared" si="61"/>
        <v/>
      </c>
      <c r="AC227" s="133"/>
      <c r="AD227" s="164"/>
      <c r="AE227" s="164"/>
      <c r="AF227" s="137"/>
      <c r="AG227" s="137"/>
      <c r="AH227" s="137">
        <f t="shared" si="66"/>
        <v>0</v>
      </c>
      <c r="AI227" s="137">
        <f t="shared" si="67"/>
        <v>0</v>
      </c>
      <c r="AJ227" s="164"/>
      <c r="AK227" s="171" t="str">
        <f t="shared" si="68"/>
        <v/>
      </c>
      <c r="AL227" s="137"/>
      <c r="AM227" s="164" t="str">
        <f t="shared" si="69"/>
        <v/>
      </c>
      <c r="AN227" s="303" t="str">
        <f t="shared" si="70"/>
        <v/>
      </c>
      <c r="AO227" s="164"/>
    </row>
    <row r="228" spans="1:41" x14ac:dyDescent="0.35">
      <c r="A228" s="133"/>
      <c r="B228" s="133"/>
      <c r="C228" s="133"/>
      <c r="D228" s="133" t="str">
        <f t="shared" si="62"/>
        <v>-</v>
      </c>
      <c r="E228" s="133"/>
      <c r="F228" s="164"/>
      <c r="G228" s="134" t="str">
        <f t="shared" si="63"/>
        <v>Yes</v>
      </c>
      <c r="H228" s="135">
        <f>SUMIFS('Order Details'!$R:$R,'Order Details'!$A:$A,'Order Summary'!$B228,'Order Details'!$B:$B,'Order Summary'!$C228,'Order Details'!$E:$E,"Yes")</f>
        <v>0</v>
      </c>
      <c r="I228" s="133"/>
      <c r="J228" s="133" t="e">
        <f>VLOOKUP($I228,'Master Data'!$L$5:$M$15,2,FALSE)</f>
        <v>#N/A</v>
      </c>
      <c r="K228" s="137">
        <f>SUMIFS('Order Details'!$U:$U,'Order Details'!$A:$A,'Order Summary'!$B228,'Order Details'!$B:$B,'Order Summary'!$C228,'Order Details'!$E:$E,"Yes")</f>
        <v>0</v>
      </c>
      <c r="L228" s="261">
        <f>SUMIFS('Order Details'!$P:$P,'Order Details'!$A:$A,'Order Summary'!$B228,'Order Details'!$B:$B,'Order Summary'!$C228,'Order Details'!$E:$E,"Yes")</f>
        <v>0</v>
      </c>
      <c r="M228" s="133"/>
      <c r="N228" s="164"/>
      <c r="O228" s="171" t="str">
        <f t="shared" si="64"/>
        <v/>
      </c>
      <c r="P228" s="302">
        <f>ROUND(SUMIFS('Order Details'!$V:$V,'Order Details'!$A:$A,'Order Summary'!$B228,'Order Details'!$B:$B,'Order Summary'!$C228,'Order Details'!$E:$E,"Yes"),2)</f>
        <v>0</v>
      </c>
      <c r="Q228" s="164"/>
      <c r="R228" s="171" t="str">
        <f t="shared" si="65"/>
        <v/>
      </c>
      <c r="S228" s="137"/>
      <c r="T228" s="165" t="str">
        <f>IF(Q228="","",Q228+_xlfn.MAXIFS('Order Details'!$W:$W,'Order Details'!$A:$A,'Order Summary'!$B228,'Order Details'!$B:$B,'Order Summary'!$C228,'Order Details'!$E:$E,"Yes"))</f>
        <v/>
      </c>
      <c r="U228" s="164" t="str">
        <f>IF(T228="","",T228+VLOOKUP($J228,'Master Data'!$F$6:$G$9,2,FALSE))</f>
        <v/>
      </c>
      <c r="V228" s="133"/>
      <c r="W228" s="133"/>
      <c r="X228" s="133"/>
      <c r="Y228" s="133"/>
      <c r="Z228" s="309" t="str">
        <f>IF($Y228="","",IF(VLOOKUP($Y228,'Master Data'!$F$12:$I$17,2,FALSE)="","",VLOOKUP($Y228,'Master Data'!$F$12:$I$17,2,FALSE)))</f>
        <v/>
      </c>
      <c r="AA228" s="164"/>
      <c r="AB228" s="171" t="str">
        <f t="shared" si="61"/>
        <v/>
      </c>
      <c r="AC228" s="133"/>
      <c r="AD228" s="164"/>
      <c r="AE228" s="164"/>
      <c r="AF228" s="137"/>
      <c r="AG228" s="137"/>
      <c r="AH228" s="137">
        <f t="shared" si="66"/>
        <v>0</v>
      </c>
      <c r="AI228" s="137">
        <f t="shared" si="67"/>
        <v>0</v>
      </c>
      <c r="AJ228" s="164"/>
      <c r="AK228" s="171" t="str">
        <f t="shared" si="68"/>
        <v/>
      </c>
      <c r="AL228" s="137"/>
      <c r="AM228" s="164" t="str">
        <f t="shared" si="69"/>
        <v/>
      </c>
      <c r="AN228" s="303" t="str">
        <f t="shared" si="70"/>
        <v/>
      </c>
      <c r="AO228" s="164"/>
    </row>
    <row r="229" spans="1:41" x14ac:dyDescent="0.35">
      <c r="A229" s="133"/>
      <c r="B229" s="133"/>
      <c r="C229" s="133"/>
      <c r="D229" s="133" t="str">
        <f t="shared" si="62"/>
        <v>-</v>
      </c>
      <c r="E229" s="133"/>
      <c r="F229" s="164"/>
      <c r="G229" s="134" t="str">
        <f t="shared" si="63"/>
        <v>Yes</v>
      </c>
      <c r="H229" s="135">
        <f>SUMIFS('Order Details'!$R:$R,'Order Details'!$A:$A,'Order Summary'!$B229,'Order Details'!$B:$B,'Order Summary'!$C229,'Order Details'!$E:$E,"Yes")</f>
        <v>0</v>
      </c>
      <c r="I229" s="133"/>
      <c r="J229" s="133" t="e">
        <f>VLOOKUP($I229,'Master Data'!$L$5:$M$15,2,FALSE)</f>
        <v>#N/A</v>
      </c>
      <c r="K229" s="137">
        <f>SUMIFS('Order Details'!$U:$U,'Order Details'!$A:$A,'Order Summary'!$B229,'Order Details'!$B:$B,'Order Summary'!$C229,'Order Details'!$E:$E,"Yes")</f>
        <v>0</v>
      </c>
      <c r="L229" s="261">
        <f>SUMIFS('Order Details'!$P:$P,'Order Details'!$A:$A,'Order Summary'!$B229,'Order Details'!$B:$B,'Order Summary'!$C229,'Order Details'!$E:$E,"Yes")</f>
        <v>0</v>
      </c>
      <c r="M229" s="133"/>
      <c r="N229" s="164"/>
      <c r="O229" s="171" t="str">
        <f t="shared" si="64"/>
        <v/>
      </c>
      <c r="P229" s="302">
        <f>ROUND(SUMIFS('Order Details'!$V:$V,'Order Details'!$A:$A,'Order Summary'!$B229,'Order Details'!$B:$B,'Order Summary'!$C229,'Order Details'!$E:$E,"Yes"),2)</f>
        <v>0</v>
      </c>
      <c r="Q229" s="164"/>
      <c r="R229" s="171" t="str">
        <f t="shared" si="65"/>
        <v/>
      </c>
      <c r="S229" s="137"/>
      <c r="T229" s="165" t="str">
        <f>IF(Q229="","",Q229+_xlfn.MAXIFS('Order Details'!$W:$W,'Order Details'!$A:$A,'Order Summary'!$B229,'Order Details'!$B:$B,'Order Summary'!$C229,'Order Details'!$E:$E,"Yes"))</f>
        <v/>
      </c>
      <c r="U229" s="164" t="str">
        <f>IF(T229="","",T229+VLOOKUP($J229,'Master Data'!$F$6:$G$9,2,FALSE))</f>
        <v/>
      </c>
      <c r="V229" s="133"/>
      <c r="W229" s="133"/>
      <c r="X229" s="133"/>
      <c r="Y229" s="133"/>
      <c r="Z229" s="309" t="str">
        <f>IF($Y229="","",IF(VLOOKUP($Y229,'Master Data'!$F$12:$I$17,2,FALSE)="","",VLOOKUP($Y229,'Master Data'!$F$12:$I$17,2,FALSE)))</f>
        <v/>
      </c>
      <c r="AA229" s="164"/>
      <c r="AB229" s="171" t="str">
        <f t="shared" si="61"/>
        <v/>
      </c>
      <c r="AC229" s="133"/>
      <c r="AD229" s="164"/>
      <c r="AE229" s="164"/>
      <c r="AF229" s="137"/>
      <c r="AG229" s="137"/>
      <c r="AH229" s="137">
        <f t="shared" si="66"/>
        <v>0</v>
      </c>
      <c r="AI229" s="137">
        <f t="shared" si="67"/>
        <v>0</v>
      </c>
      <c r="AJ229" s="164"/>
      <c r="AK229" s="171" t="str">
        <f t="shared" si="68"/>
        <v/>
      </c>
      <c r="AL229" s="137"/>
      <c r="AM229" s="164" t="str">
        <f t="shared" si="69"/>
        <v/>
      </c>
      <c r="AN229" s="303" t="str">
        <f t="shared" si="70"/>
        <v/>
      </c>
      <c r="AO229" s="164"/>
    </row>
    <row r="230" spans="1:41" x14ac:dyDescent="0.35">
      <c r="A230" s="133"/>
      <c r="B230" s="133"/>
      <c r="C230" s="133"/>
      <c r="D230" s="133" t="str">
        <f t="shared" si="62"/>
        <v>-</v>
      </c>
      <c r="E230" s="133"/>
      <c r="F230" s="164"/>
      <c r="G230" s="134" t="str">
        <f t="shared" si="63"/>
        <v>Yes</v>
      </c>
      <c r="H230" s="135">
        <f>SUMIFS('Order Details'!$R:$R,'Order Details'!$A:$A,'Order Summary'!$B230,'Order Details'!$B:$B,'Order Summary'!$C230,'Order Details'!$E:$E,"Yes")</f>
        <v>0</v>
      </c>
      <c r="I230" s="133"/>
      <c r="J230" s="133" t="e">
        <f>VLOOKUP($I230,'Master Data'!$L$5:$M$15,2,FALSE)</f>
        <v>#N/A</v>
      </c>
      <c r="K230" s="137">
        <f>SUMIFS('Order Details'!$U:$U,'Order Details'!$A:$A,'Order Summary'!$B230,'Order Details'!$B:$B,'Order Summary'!$C230,'Order Details'!$E:$E,"Yes")</f>
        <v>0</v>
      </c>
      <c r="L230" s="261">
        <f>SUMIFS('Order Details'!$P:$P,'Order Details'!$A:$A,'Order Summary'!$B230,'Order Details'!$B:$B,'Order Summary'!$C230,'Order Details'!$E:$E,"Yes")</f>
        <v>0</v>
      </c>
      <c r="M230" s="133"/>
      <c r="N230" s="164"/>
      <c r="O230" s="171" t="str">
        <f t="shared" si="64"/>
        <v/>
      </c>
      <c r="P230" s="302">
        <f>ROUND(SUMIFS('Order Details'!$V:$V,'Order Details'!$A:$A,'Order Summary'!$B230,'Order Details'!$B:$B,'Order Summary'!$C230,'Order Details'!$E:$E,"Yes"),2)</f>
        <v>0</v>
      </c>
      <c r="Q230" s="164"/>
      <c r="R230" s="171" t="str">
        <f t="shared" si="65"/>
        <v/>
      </c>
      <c r="S230" s="137"/>
      <c r="T230" s="165" t="str">
        <f>IF(Q230="","",Q230+_xlfn.MAXIFS('Order Details'!$W:$W,'Order Details'!$A:$A,'Order Summary'!$B230,'Order Details'!$B:$B,'Order Summary'!$C230,'Order Details'!$E:$E,"Yes"))</f>
        <v/>
      </c>
      <c r="U230" s="164" t="str">
        <f>IF(T230="","",T230+VLOOKUP($J230,'Master Data'!$F$6:$G$9,2,FALSE))</f>
        <v/>
      </c>
      <c r="V230" s="133"/>
      <c r="W230" s="133"/>
      <c r="X230" s="133"/>
      <c r="Y230" s="133"/>
      <c r="Z230" s="309" t="str">
        <f>IF($Y230="","",IF(VLOOKUP($Y230,'Master Data'!$F$12:$I$17,2,FALSE)="","",VLOOKUP($Y230,'Master Data'!$F$12:$I$17,2,FALSE)))</f>
        <v/>
      </c>
      <c r="AA230" s="164"/>
      <c r="AB230" s="171" t="str">
        <f t="shared" si="61"/>
        <v/>
      </c>
      <c r="AC230" s="133"/>
      <c r="AD230" s="164"/>
      <c r="AE230" s="164"/>
      <c r="AF230" s="137"/>
      <c r="AG230" s="137"/>
      <c r="AH230" s="137">
        <f t="shared" si="66"/>
        <v>0</v>
      </c>
      <c r="AI230" s="137">
        <f t="shared" si="67"/>
        <v>0</v>
      </c>
      <c r="AJ230" s="164"/>
      <c r="AK230" s="171" t="str">
        <f t="shared" si="68"/>
        <v/>
      </c>
      <c r="AL230" s="137"/>
      <c r="AM230" s="164" t="str">
        <f t="shared" si="69"/>
        <v/>
      </c>
      <c r="AN230" s="303" t="str">
        <f t="shared" si="70"/>
        <v/>
      </c>
      <c r="AO230" s="164"/>
    </row>
    <row r="231" spans="1:41" x14ac:dyDescent="0.35">
      <c r="A231" s="133"/>
      <c r="B231" s="133"/>
      <c r="C231" s="133"/>
      <c r="D231" s="133" t="str">
        <f t="shared" si="62"/>
        <v>-</v>
      </c>
      <c r="E231" s="133"/>
      <c r="F231" s="164"/>
      <c r="G231" s="134" t="str">
        <f t="shared" si="63"/>
        <v>Yes</v>
      </c>
      <c r="H231" s="135">
        <f>SUMIFS('Order Details'!$R:$R,'Order Details'!$A:$A,'Order Summary'!$B231,'Order Details'!$B:$B,'Order Summary'!$C231,'Order Details'!$E:$E,"Yes")</f>
        <v>0</v>
      </c>
      <c r="I231" s="133"/>
      <c r="J231" s="133" t="e">
        <f>VLOOKUP($I231,'Master Data'!$L$5:$M$15,2,FALSE)</f>
        <v>#N/A</v>
      </c>
      <c r="K231" s="137">
        <f>SUMIFS('Order Details'!$U:$U,'Order Details'!$A:$A,'Order Summary'!$B231,'Order Details'!$B:$B,'Order Summary'!$C231,'Order Details'!$E:$E,"Yes")</f>
        <v>0</v>
      </c>
      <c r="L231" s="261">
        <f>SUMIFS('Order Details'!$P:$P,'Order Details'!$A:$A,'Order Summary'!$B231,'Order Details'!$B:$B,'Order Summary'!$C231,'Order Details'!$E:$E,"Yes")</f>
        <v>0</v>
      </c>
      <c r="M231" s="133"/>
      <c r="N231" s="164"/>
      <c r="O231" s="171" t="str">
        <f t="shared" si="64"/>
        <v/>
      </c>
      <c r="P231" s="302">
        <f>ROUND(SUMIFS('Order Details'!$V:$V,'Order Details'!$A:$A,'Order Summary'!$B231,'Order Details'!$B:$B,'Order Summary'!$C231,'Order Details'!$E:$E,"Yes"),2)</f>
        <v>0</v>
      </c>
      <c r="Q231" s="164"/>
      <c r="R231" s="171" t="str">
        <f t="shared" si="65"/>
        <v/>
      </c>
      <c r="S231" s="137"/>
      <c r="T231" s="165" t="str">
        <f>IF(Q231="","",Q231+_xlfn.MAXIFS('Order Details'!$W:$W,'Order Details'!$A:$A,'Order Summary'!$B231,'Order Details'!$B:$B,'Order Summary'!$C231,'Order Details'!$E:$E,"Yes"))</f>
        <v/>
      </c>
      <c r="U231" s="164" t="str">
        <f>IF(T231="","",T231+VLOOKUP($J231,'Master Data'!$F$6:$G$9,2,FALSE))</f>
        <v/>
      </c>
      <c r="V231" s="133"/>
      <c r="W231" s="133"/>
      <c r="X231" s="133"/>
      <c r="Y231" s="133"/>
      <c r="Z231" s="309" t="str">
        <f>IF($Y231="","",IF(VLOOKUP($Y231,'Master Data'!$F$12:$I$17,2,FALSE)="","",VLOOKUP($Y231,'Master Data'!$F$12:$I$17,2,FALSE)))</f>
        <v/>
      </c>
      <c r="AA231" s="164"/>
      <c r="AB231" s="171" t="str">
        <f t="shared" si="61"/>
        <v/>
      </c>
      <c r="AC231" s="133"/>
      <c r="AD231" s="164"/>
      <c r="AE231" s="164"/>
      <c r="AF231" s="137"/>
      <c r="AG231" s="137"/>
      <c r="AH231" s="137">
        <f t="shared" si="66"/>
        <v>0</v>
      </c>
      <c r="AI231" s="137">
        <f t="shared" si="67"/>
        <v>0</v>
      </c>
      <c r="AJ231" s="164"/>
      <c r="AK231" s="171" t="str">
        <f t="shared" si="68"/>
        <v/>
      </c>
      <c r="AL231" s="137"/>
      <c r="AM231" s="164" t="str">
        <f t="shared" si="69"/>
        <v/>
      </c>
      <c r="AN231" s="303" t="str">
        <f t="shared" si="70"/>
        <v/>
      </c>
      <c r="AO231" s="164"/>
    </row>
    <row r="232" spans="1:41" x14ac:dyDescent="0.35">
      <c r="A232" s="133"/>
      <c r="B232" s="133"/>
      <c r="C232" s="133"/>
      <c r="D232" s="133" t="str">
        <f t="shared" si="62"/>
        <v>-</v>
      </c>
      <c r="E232" s="133"/>
      <c r="F232" s="164"/>
      <c r="G232" s="134" t="str">
        <f t="shared" si="63"/>
        <v>Yes</v>
      </c>
      <c r="H232" s="135">
        <f>SUMIFS('Order Details'!$R:$R,'Order Details'!$A:$A,'Order Summary'!$B232,'Order Details'!$B:$B,'Order Summary'!$C232,'Order Details'!$E:$E,"Yes")</f>
        <v>0</v>
      </c>
      <c r="I232" s="133"/>
      <c r="J232" s="133" t="e">
        <f>VLOOKUP($I232,'Master Data'!$L$5:$M$15,2,FALSE)</f>
        <v>#N/A</v>
      </c>
      <c r="K232" s="137">
        <f>SUMIFS('Order Details'!$U:$U,'Order Details'!$A:$A,'Order Summary'!$B232,'Order Details'!$B:$B,'Order Summary'!$C232,'Order Details'!$E:$E,"Yes")</f>
        <v>0</v>
      </c>
      <c r="L232" s="261">
        <f>SUMIFS('Order Details'!$P:$P,'Order Details'!$A:$A,'Order Summary'!$B232,'Order Details'!$B:$B,'Order Summary'!$C232,'Order Details'!$E:$E,"Yes")</f>
        <v>0</v>
      </c>
      <c r="M232" s="133"/>
      <c r="N232" s="164"/>
      <c r="O232" s="171" t="str">
        <f t="shared" si="64"/>
        <v/>
      </c>
      <c r="P232" s="302">
        <f>ROUND(SUMIFS('Order Details'!$V:$V,'Order Details'!$A:$A,'Order Summary'!$B232,'Order Details'!$B:$B,'Order Summary'!$C232,'Order Details'!$E:$E,"Yes"),2)</f>
        <v>0</v>
      </c>
      <c r="Q232" s="164"/>
      <c r="R232" s="171" t="str">
        <f t="shared" si="65"/>
        <v/>
      </c>
      <c r="S232" s="137"/>
      <c r="T232" s="165" t="str">
        <f>IF(Q232="","",Q232+_xlfn.MAXIFS('Order Details'!$W:$W,'Order Details'!$A:$A,'Order Summary'!$B232,'Order Details'!$B:$B,'Order Summary'!$C232,'Order Details'!$E:$E,"Yes"))</f>
        <v/>
      </c>
      <c r="U232" s="164" t="str">
        <f>IF(T232="","",T232+VLOOKUP($J232,'Master Data'!$F$6:$G$9,2,FALSE))</f>
        <v/>
      </c>
      <c r="V232" s="133"/>
      <c r="W232" s="133"/>
      <c r="X232" s="133"/>
      <c r="Y232" s="133"/>
      <c r="Z232" s="309" t="str">
        <f>IF($Y232="","",IF(VLOOKUP($Y232,'Master Data'!$F$12:$I$17,2,FALSE)="","",VLOOKUP($Y232,'Master Data'!$F$12:$I$17,2,FALSE)))</f>
        <v/>
      </c>
      <c r="AA232" s="164"/>
      <c r="AB232" s="171" t="str">
        <f t="shared" si="61"/>
        <v/>
      </c>
      <c r="AC232" s="133"/>
      <c r="AD232" s="164"/>
      <c r="AE232" s="164"/>
      <c r="AF232" s="137"/>
      <c r="AG232" s="137"/>
      <c r="AH232" s="137">
        <f t="shared" si="66"/>
        <v>0</v>
      </c>
      <c r="AI232" s="137">
        <f t="shared" si="67"/>
        <v>0</v>
      </c>
      <c r="AJ232" s="164"/>
      <c r="AK232" s="171" t="str">
        <f t="shared" si="68"/>
        <v/>
      </c>
      <c r="AL232" s="137"/>
      <c r="AM232" s="164" t="str">
        <f t="shared" si="69"/>
        <v/>
      </c>
      <c r="AN232" s="303" t="str">
        <f t="shared" si="70"/>
        <v/>
      </c>
      <c r="AO232" s="164"/>
    </row>
    <row r="233" spans="1:41" x14ac:dyDescent="0.35">
      <c r="A233" s="133"/>
      <c r="B233" s="133"/>
      <c r="C233" s="133"/>
      <c r="D233" s="133" t="str">
        <f t="shared" ref="D233:D264" si="71">B233&amp;"-"&amp;C233</f>
        <v>-</v>
      </c>
      <c r="E233" s="133"/>
      <c r="F233" s="164"/>
      <c r="G233" s="134" t="str">
        <f t="shared" ref="G233:G264" si="72">IF(OR(E233="PO Revised",E233="PO Cancelled"),"No","Yes")</f>
        <v>Yes</v>
      </c>
      <c r="H233" s="135">
        <f>SUMIFS('Order Details'!$R:$R,'Order Details'!$A:$A,'Order Summary'!$B233,'Order Details'!$B:$B,'Order Summary'!$C233,'Order Details'!$E:$E,"Yes")</f>
        <v>0</v>
      </c>
      <c r="I233" s="133"/>
      <c r="J233" s="133" t="e">
        <f>VLOOKUP($I233,'Master Data'!$L$5:$M$15,2,FALSE)</f>
        <v>#N/A</v>
      </c>
      <c r="K233" s="137">
        <f>SUMIFS('Order Details'!$U:$U,'Order Details'!$A:$A,'Order Summary'!$B233,'Order Details'!$B:$B,'Order Summary'!$C233,'Order Details'!$E:$E,"Yes")</f>
        <v>0</v>
      </c>
      <c r="L233" s="261">
        <f>SUMIFS('Order Details'!$P:$P,'Order Details'!$A:$A,'Order Summary'!$B233,'Order Details'!$B:$B,'Order Summary'!$C233,'Order Details'!$E:$E,"Yes")</f>
        <v>0</v>
      </c>
      <c r="M233" s="133"/>
      <c r="N233" s="164"/>
      <c r="O233" s="171" t="str">
        <f t="shared" ref="O233:O264" si="73">IF(N233="","",$N233-$F233)</f>
        <v/>
      </c>
      <c r="P233" s="302">
        <f>ROUND(SUMIFS('Order Details'!$V:$V,'Order Details'!$A:$A,'Order Summary'!$B233,'Order Details'!$B:$B,'Order Summary'!$C233,'Order Details'!$E:$E,"Yes"),2)</f>
        <v>0</v>
      </c>
      <c r="Q233" s="164"/>
      <c r="R233" s="171" t="str">
        <f t="shared" ref="R233:R264" si="74">IF(Q233="","",$Q233-$N233)</f>
        <v/>
      </c>
      <c r="S233" s="137"/>
      <c r="T233" s="165" t="str">
        <f>IF(Q233="","",Q233+_xlfn.MAXIFS('Order Details'!$W:$W,'Order Details'!$A:$A,'Order Summary'!$B233,'Order Details'!$B:$B,'Order Summary'!$C233,'Order Details'!$E:$E,"Yes"))</f>
        <v/>
      </c>
      <c r="U233" s="164" t="str">
        <f>IF(T233="","",T233+VLOOKUP($J233,'Master Data'!$F$6:$G$9,2,FALSE))</f>
        <v/>
      </c>
      <c r="V233" s="133"/>
      <c r="W233" s="133"/>
      <c r="X233" s="133"/>
      <c r="Y233" s="133"/>
      <c r="Z233" s="309" t="str">
        <f>IF($Y233="","",IF(VLOOKUP($Y233,'Master Data'!$F$12:$I$17,2,FALSE)="","",VLOOKUP($Y233,'Master Data'!$F$12:$I$17,2,FALSE)))</f>
        <v/>
      </c>
      <c r="AA233" s="164"/>
      <c r="AB233" s="171" t="str">
        <f t="shared" si="61"/>
        <v/>
      </c>
      <c r="AC233" s="133"/>
      <c r="AD233" s="164"/>
      <c r="AE233" s="164"/>
      <c r="AF233" s="137"/>
      <c r="AG233" s="137"/>
      <c r="AH233" s="137">
        <f t="shared" ref="AH233:AH264" si="75">P233+AF233+AG233</f>
        <v>0</v>
      </c>
      <c r="AI233" s="137">
        <f t="shared" ref="AI233:AI264" si="76">AH233-S233</f>
        <v>0</v>
      </c>
      <c r="AJ233" s="164"/>
      <c r="AK233" s="171" t="str">
        <f t="shared" ref="AK233:AK264" si="77">IF(AJ233="","",$AJ233-$AD233)</f>
        <v/>
      </c>
      <c r="AL233" s="137"/>
      <c r="AM233" s="164" t="str">
        <f t="shared" ref="AM233:AM264" si="78">U233</f>
        <v/>
      </c>
      <c r="AN233" s="303" t="str">
        <f t="shared" ref="AN233:AN264" si="79">IFERROR(IF(OR(AM233="",AJ233=""),"",$AM233-$AJ233),"")</f>
        <v/>
      </c>
      <c r="AO233" s="164"/>
    </row>
    <row r="234" spans="1:41" x14ac:dyDescent="0.35">
      <c r="A234" s="133"/>
      <c r="B234" s="133"/>
      <c r="C234" s="133"/>
      <c r="D234" s="133" t="str">
        <f t="shared" si="71"/>
        <v>-</v>
      </c>
      <c r="E234" s="133"/>
      <c r="F234" s="164"/>
      <c r="G234" s="134" t="str">
        <f t="shared" si="72"/>
        <v>Yes</v>
      </c>
      <c r="H234" s="135">
        <f>SUMIFS('Order Details'!$R:$R,'Order Details'!$A:$A,'Order Summary'!$B234,'Order Details'!$B:$B,'Order Summary'!$C234,'Order Details'!$E:$E,"Yes")</f>
        <v>0</v>
      </c>
      <c r="I234" s="133"/>
      <c r="J234" s="133" t="e">
        <f>VLOOKUP($I234,'Master Data'!$L$5:$M$15,2,FALSE)</f>
        <v>#N/A</v>
      </c>
      <c r="K234" s="137">
        <f>SUMIFS('Order Details'!$U:$U,'Order Details'!$A:$A,'Order Summary'!$B234,'Order Details'!$B:$B,'Order Summary'!$C234,'Order Details'!$E:$E,"Yes")</f>
        <v>0</v>
      </c>
      <c r="L234" s="261">
        <f>SUMIFS('Order Details'!$P:$P,'Order Details'!$A:$A,'Order Summary'!$B234,'Order Details'!$B:$B,'Order Summary'!$C234,'Order Details'!$E:$E,"Yes")</f>
        <v>0</v>
      </c>
      <c r="M234" s="133"/>
      <c r="N234" s="164"/>
      <c r="O234" s="171" t="str">
        <f t="shared" si="73"/>
        <v/>
      </c>
      <c r="P234" s="302">
        <f>ROUND(SUMIFS('Order Details'!$V:$V,'Order Details'!$A:$A,'Order Summary'!$B234,'Order Details'!$B:$B,'Order Summary'!$C234,'Order Details'!$E:$E,"Yes"),2)</f>
        <v>0</v>
      </c>
      <c r="Q234" s="164"/>
      <c r="R234" s="171" t="str">
        <f t="shared" si="74"/>
        <v/>
      </c>
      <c r="S234" s="137"/>
      <c r="T234" s="165" t="str">
        <f>IF(Q234="","",Q234+_xlfn.MAXIFS('Order Details'!$W:$W,'Order Details'!$A:$A,'Order Summary'!$B234,'Order Details'!$B:$B,'Order Summary'!$C234,'Order Details'!$E:$E,"Yes"))</f>
        <v/>
      </c>
      <c r="U234" s="164" t="str">
        <f>IF(T234="","",T234+VLOOKUP($J234,'Master Data'!$F$6:$G$9,2,FALSE))</f>
        <v/>
      </c>
      <c r="V234" s="133"/>
      <c r="W234" s="133"/>
      <c r="X234" s="133"/>
      <c r="Y234" s="133"/>
      <c r="Z234" s="309" t="str">
        <f>IF($Y234="","",IF(VLOOKUP($Y234,'Master Data'!$F$12:$I$17,2,FALSE)="","",VLOOKUP($Y234,'Master Data'!$F$12:$I$17,2,FALSE)))</f>
        <v/>
      </c>
      <c r="AA234" s="164"/>
      <c r="AB234" s="171" t="str">
        <f t="shared" si="61"/>
        <v/>
      </c>
      <c r="AC234" s="133"/>
      <c r="AD234" s="164"/>
      <c r="AE234" s="164"/>
      <c r="AF234" s="137"/>
      <c r="AG234" s="137"/>
      <c r="AH234" s="137">
        <f t="shared" si="75"/>
        <v>0</v>
      </c>
      <c r="AI234" s="137">
        <f t="shared" si="76"/>
        <v>0</v>
      </c>
      <c r="AJ234" s="164"/>
      <c r="AK234" s="171" t="str">
        <f t="shared" si="77"/>
        <v/>
      </c>
      <c r="AL234" s="137"/>
      <c r="AM234" s="164" t="str">
        <f t="shared" si="78"/>
        <v/>
      </c>
      <c r="AN234" s="303" t="str">
        <f t="shared" si="79"/>
        <v/>
      </c>
      <c r="AO234" s="164"/>
    </row>
    <row r="235" spans="1:41" x14ac:dyDescent="0.35">
      <c r="A235" s="133"/>
      <c r="B235" s="133"/>
      <c r="C235" s="133"/>
      <c r="D235" s="133" t="str">
        <f t="shared" si="71"/>
        <v>-</v>
      </c>
      <c r="E235" s="133"/>
      <c r="F235" s="164"/>
      <c r="G235" s="134" t="str">
        <f t="shared" si="72"/>
        <v>Yes</v>
      </c>
      <c r="H235" s="135">
        <f>SUMIFS('Order Details'!$R:$R,'Order Details'!$A:$A,'Order Summary'!$B235,'Order Details'!$B:$B,'Order Summary'!$C235,'Order Details'!$E:$E,"Yes")</f>
        <v>0</v>
      </c>
      <c r="I235" s="133"/>
      <c r="J235" s="133" t="e">
        <f>VLOOKUP($I235,'Master Data'!$L$5:$M$15,2,FALSE)</f>
        <v>#N/A</v>
      </c>
      <c r="K235" s="137">
        <f>SUMIFS('Order Details'!$U:$U,'Order Details'!$A:$A,'Order Summary'!$B235,'Order Details'!$B:$B,'Order Summary'!$C235,'Order Details'!$E:$E,"Yes")</f>
        <v>0</v>
      </c>
      <c r="L235" s="261">
        <f>SUMIFS('Order Details'!$P:$P,'Order Details'!$A:$A,'Order Summary'!$B235,'Order Details'!$B:$B,'Order Summary'!$C235,'Order Details'!$E:$E,"Yes")</f>
        <v>0</v>
      </c>
      <c r="M235" s="133"/>
      <c r="N235" s="164"/>
      <c r="O235" s="171" t="str">
        <f t="shared" si="73"/>
        <v/>
      </c>
      <c r="P235" s="302">
        <f>ROUND(SUMIFS('Order Details'!$V:$V,'Order Details'!$A:$A,'Order Summary'!$B235,'Order Details'!$B:$B,'Order Summary'!$C235,'Order Details'!$E:$E,"Yes"),2)</f>
        <v>0</v>
      </c>
      <c r="Q235" s="164"/>
      <c r="R235" s="171" t="str">
        <f t="shared" si="74"/>
        <v/>
      </c>
      <c r="S235" s="137"/>
      <c r="T235" s="165" t="str">
        <f>IF(Q235="","",Q235+_xlfn.MAXIFS('Order Details'!$W:$W,'Order Details'!$A:$A,'Order Summary'!$B235,'Order Details'!$B:$B,'Order Summary'!$C235,'Order Details'!$E:$E,"Yes"))</f>
        <v/>
      </c>
      <c r="U235" s="164" t="str">
        <f>IF(T235="","",T235+VLOOKUP($J235,'Master Data'!$F$6:$G$9,2,FALSE))</f>
        <v/>
      </c>
      <c r="V235" s="133"/>
      <c r="W235" s="133"/>
      <c r="X235" s="133"/>
      <c r="Y235" s="133"/>
      <c r="Z235" s="309" t="str">
        <f>IF($Y235="","",IF(VLOOKUP($Y235,'Master Data'!$F$12:$I$17,2,FALSE)="","",VLOOKUP($Y235,'Master Data'!$F$12:$I$17,2,FALSE)))</f>
        <v/>
      </c>
      <c r="AA235" s="164"/>
      <c r="AB235" s="171" t="str">
        <f t="shared" si="61"/>
        <v/>
      </c>
      <c r="AC235" s="133"/>
      <c r="AD235" s="164"/>
      <c r="AE235" s="164"/>
      <c r="AF235" s="137"/>
      <c r="AG235" s="137"/>
      <c r="AH235" s="137">
        <f t="shared" si="75"/>
        <v>0</v>
      </c>
      <c r="AI235" s="137">
        <f t="shared" si="76"/>
        <v>0</v>
      </c>
      <c r="AJ235" s="164"/>
      <c r="AK235" s="171" t="str">
        <f t="shared" si="77"/>
        <v/>
      </c>
      <c r="AL235" s="137"/>
      <c r="AM235" s="164" t="str">
        <f t="shared" si="78"/>
        <v/>
      </c>
      <c r="AN235" s="303" t="str">
        <f t="shared" si="79"/>
        <v/>
      </c>
      <c r="AO235" s="164"/>
    </row>
    <row r="236" spans="1:41" x14ac:dyDescent="0.35">
      <c r="A236" s="133"/>
      <c r="B236" s="133"/>
      <c r="C236" s="133"/>
      <c r="D236" s="133" t="str">
        <f t="shared" si="71"/>
        <v>-</v>
      </c>
      <c r="E236" s="133"/>
      <c r="F236" s="164"/>
      <c r="G236" s="134" t="str">
        <f t="shared" si="72"/>
        <v>Yes</v>
      </c>
      <c r="H236" s="135">
        <f>SUMIFS('Order Details'!$R:$R,'Order Details'!$A:$A,'Order Summary'!$B236,'Order Details'!$B:$B,'Order Summary'!$C236,'Order Details'!$E:$E,"Yes")</f>
        <v>0</v>
      </c>
      <c r="I236" s="133"/>
      <c r="J236" s="133" t="e">
        <f>VLOOKUP($I236,'Master Data'!$L$5:$M$15,2,FALSE)</f>
        <v>#N/A</v>
      </c>
      <c r="K236" s="137">
        <f>SUMIFS('Order Details'!$U:$U,'Order Details'!$A:$A,'Order Summary'!$B236,'Order Details'!$B:$B,'Order Summary'!$C236,'Order Details'!$E:$E,"Yes")</f>
        <v>0</v>
      </c>
      <c r="L236" s="261">
        <f>SUMIFS('Order Details'!$P:$P,'Order Details'!$A:$A,'Order Summary'!$B236,'Order Details'!$B:$B,'Order Summary'!$C236,'Order Details'!$E:$E,"Yes")</f>
        <v>0</v>
      </c>
      <c r="M236" s="133"/>
      <c r="N236" s="164"/>
      <c r="O236" s="171" t="str">
        <f t="shared" si="73"/>
        <v/>
      </c>
      <c r="P236" s="302">
        <f>ROUND(SUMIFS('Order Details'!$V:$V,'Order Details'!$A:$A,'Order Summary'!$B236,'Order Details'!$B:$B,'Order Summary'!$C236,'Order Details'!$E:$E,"Yes"),2)</f>
        <v>0</v>
      </c>
      <c r="Q236" s="164"/>
      <c r="R236" s="171" t="str">
        <f t="shared" si="74"/>
        <v/>
      </c>
      <c r="S236" s="137"/>
      <c r="T236" s="165" t="str">
        <f>IF(Q236="","",Q236+_xlfn.MAXIFS('Order Details'!$W:$W,'Order Details'!$A:$A,'Order Summary'!$B236,'Order Details'!$B:$B,'Order Summary'!$C236,'Order Details'!$E:$E,"Yes"))</f>
        <v/>
      </c>
      <c r="U236" s="164" t="str">
        <f>IF(T236="","",T236+VLOOKUP($J236,'Master Data'!$F$6:$G$9,2,FALSE))</f>
        <v/>
      </c>
      <c r="V236" s="133"/>
      <c r="W236" s="133"/>
      <c r="X236" s="133"/>
      <c r="Y236" s="133"/>
      <c r="Z236" s="309" t="str">
        <f>IF($Y236="","",IF(VLOOKUP($Y236,'Master Data'!$F$12:$I$17,2,FALSE)="","",VLOOKUP($Y236,'Master Data'!$F$12:$I$17,2,FALSE)))</f>
        <v/>
      </c>
      <c r="AA236" s="164"/>
      <c r="AB236" s="171" t="str">
        <f t="shared" si="61"/>
        <v/>
      </c>
      <c r="AC236" s="133"/>
      <c r="AD236" s="164"/>
      <c r="AE236" s="164"/>
      <c r="AF236" s="137"/>
      <c r="AG236" s="137"/>
      <c r="AH236" s="137">
        <f t="shared" si="75"/>
        <v>0</v>
      </c>
      <c r="AI236" s="137">
        <f t="shared" si="76"/>
        <v>0</v>
      </c>
      <c r="AJ236" s="164"/>
      <c r="AK236" s="171" t="str">
        <f t="shared" si="77"/>
        <v/>
      </c>
      <c r="AL236" s="137"/>
      <c r="AM236" s="164" t="str">
        <f t="shared" si="78"/>
        <v/>
      </c>
      <c r="AN236" s="303" t="str">
        <f t="shared" si="79"/>
        <v/>
      </c>
      <c r="AO236" s="164"/>
    </row>
    <row r="237" spans="1:41" x14ac:dyDescent="0.35">
      <c r="A237" s="133"/>
      <c r="B237" s="133"/>
      <c r="C237" s="133"/>
      <c r="D237" s="133" t="str">
        <f t="shared" si="71"/>
        <v>-</v>
      </c>
      <c r="E237" s="133"/>
      <c r="F237" s="164"/>
      <c r="G237" s="134" t="str">
        <f t="shared" si="72"/>
        <v>Yes</v>
      </c>
      <c r="H237" s="135">
        <f>SUMIFS('Order Details'!$R:$R,'Order Details'!$A:$A,'Order Summary'!$B237,'Order Details'!$B:$B,'Order Summary'!$C237,'Order Details'!$E:$E,"Yes")</f>
        <v>0</v>
      </c>
      <c r="I237" s="133"/>
      <c r="J237" s="133" t="e">
        <f>VLOOKUP($I237,'Master Data'!$L$5:$M$15,2,FALSE)</f>
        <v>#N/A</v>
      </c>
      <c r="K237" s="137">
        <f>SUMIFS('Order Details'!$U:$U,'Order Details'!$A:$A,'Order Summary'!$B237,'Order Details'!$B:$B,'Order Summary'!$C237,'Order Details'!$E:$E,"Yes")</f>
        <v>0</v>
      </c>
      <c r="L237" s="261">
        <f>SUMIFS('Order Details'!$P:$P,'Order Details'!$A:$A,'Order Summary'!$B237,'Order Details'!$B:$B,'Order Summary'!$C237,'Order Details'!$E:$E,"Yes")</f>
        <v>0</v>
      </c>
      <c r="M237" s="133"/>
      <c r="N237" s="164"/>
      <c r="O237" s="171" t="str">
        <f t="shared" si="73"/>
        <v/>
      </c>
      <c r="P237" s="302">
        <f>ROUND(SUMIFS('Order Details'!$V:$V,'Order Details'!$A:$A,'Order Summary'!$B237,'Order Details'!$B:$B,'Order Summary'!$C237,'Order Details'!$E:$E,"Yes"),2)</f>
        <v>0</v>
      </c>
      <c r="Q237" s="164"/>
      <c r="R237" s="171" t="str">
        <f t="shared" si="74"/>
        <v/>
      </c>
      <c r="S237" s="137"/>
      <c r="T237" s="165" t="str">
        <f>IF(Q237="","",Q237+_xlfn.MAXIFS('Order Details'!$W:$W,'Order Details'!$A:$A,'Order Summary'!$B237,'Order Details'!$B:$B,'Order Summary'!$C237,'Order Details'!$E:$E,"Yes"))</f>
        <v/>
      </c>
      <c r="U237" s="164" t="str">
        <f>IF(T237="","",T237+VLOOKUP($J237,'Master Data'!$F$6:$G$9,2,FALSE))</f>
        <v/>
      </c>
      <c r="V237" s="133"/>
      <c r="W237" s="133"/>
      <c r="X237" s="133"/>
      <c r="Y237" s="133"/>
      <c r="Z237" s="309" t="str">
        <f>IF($Y237="","",IF(VLOOKUP($Y237,'Master Data'!$F$12:$I$17,2,FALSE)="","",VLOOKUP($Y237,'Master Data'!$F$12:$I$17,2,FALSE)))</f>
        <v/>
      </c>
      <c r="AA237" s="164"/>
      <c r="AB237" s="171" t="str">
        <f t="shared" si="61"/>
        <v/>
      </c>
      <c r="AC237" s="133"/>
      <c r="AD237" s="164"/>
      <c r="AE237" s="164"/>
      <c r="AF237" s="137"/>
      <c r="AG237" s="137"/>
      <c r="AH237" s="137">
        <f t="shared" si="75"/>
        <v>0</v>
      </c>
      <c r="AI237" s="137">
        <f t="shared" si="76"/>
        <v>0</v>
      </c>
      <c r="AJ237" s="164"/>
      <c r="AK237" s="171" t="str">
        <f t="shared" si="77"/>
        <v/>
      </c>
      <c r="AL237" s="137"/>
      <c r="AM237" s="164" t="str">
        <f t="shared" si="78"/>
        <v/>
      </c>
      <c r="AN237" s="303" t="str">
        <f t="shared" si="79"/>
        <v/>
      </c>
      <c r="AO237" s="164"/>
    </row>
    <row r="238" spans="1:41" x14ac:dyDescent="0.35">
      <c r="A238" s="133"/>
      <c r="B238" s="133"/>
      <c r="C238" s="133"/>
      <c r="D238" s="133" t="str">
        <f t="shared" si="71"/>
        <v>-</v>
      </c>
      <c r="E238" s="133"/>
      <c r="F238" s="164"/>
      <c r="G238" s="134" t="str">
        <f t="shared" si="72"/>
        <v>Yes</v>
      </c>
      <c r="H238" s="135">
        <f>SUMIFS('Order Details'!$R:$R,'Order Details'!$A:$A,'Order Summary'!$B238,'Order Details'!$B:$B,'Order Summary'!$C238,'Order Details'!$E:$E,"Yes")</f>
        <v>0</v>
      </c>
      <c r="I238" s="133"/>
      <c r="J238" s="133" t="e">
        <f>VLOOKUP($I238,'Master Data'!$L$5:$M$15,2,FALSE)</f>
        <v>#N/A</v>
      </c>
      <c r="K238" s="137">
        <f>SUMIFS('Order Details'!$U:$U,'Order Details'!$A:$A,'Order Summary'!$B238,'Order Details'!$B:$B,'Order Summary'!$C238,'Order Details'!$E:$E,"Yes")</f>
        <v>0</v>
      </c>
      <c r="L238" s="261">
        <f>SUMIFS('Order Details'!$P:$P,'Order Details'!$A:$A,'Order Summary'!$B238,'Order Details'!$B:$B,'Order Summary'!$C238,'Order Details'!$E:$E,"Yes")</f>
        <v>0</v>
      </c>
      <c r="M238" s="133"/>
      <c r="N238" s="164"/>
      <c r="O238" s="171" t="str">
        <f t="shared" si="73"/>
        <v/>
      </c>
      <c r="P238" s="302">
        <f>ROUND(SUMIFS('Order Details'!$V:$V,'Order Details'!$A:$A,'Order Summary'!$B238,'Order Details'!$B:$B,'Order Summary'!$C238,'Order Details'!$E:$E,"Yes"),2)</f>
        <v>0</v>
      </c>
      <c r="Q238" s="164"/>
      <c r="R238" s="171" t="str">
        <f t="shared" si="74"/>
        <v/>
      </c>
      <c r="S238" s="137"/>
      <c r="T238" s="165" t="str">
        <f>IF(Q238="","",Q238+_xlfn.MAXIFS('Order Details'!$W:$W,'Order Details'!$A:$A,'Order Summary'!$B238,'Order Details'!$B:$B,'Order Summary'!$C238,'Order Details'!$E:$E,"Yes"))</f>
        <v/>
      </c>
      <c r="U238" s="164" t="str">
        <f>IF(T238="","",T238+VLOOKUP($J238,'Master Data'!$F$6:$G$9,2,FALSE))</f>
        <v/>
      </c>
      <c r="V238" s="133"/>
      <c r="W238" s="133"/>
      <c r="X238" s="133"/>
      <c r="Y238" s="133"/>
      <c r="Z238" s="309" t="str">
        <f>IF($Y238="","",IF(VLOOKUP($Y238,'Master Data'!$F$12:$I$17,2,FALSE)="","",VLOOKUP($Y238,'Master Data'!$F$12:$I$17,2,FALSE)))</f>
        <v/>
      </c>
      <c r="AA238" s="164"/>
      <c r="AB238" s="171" t="str">
        <f t="shared" si="61"/>
        <v/>
      </c>
      <c r="AC238" s="133"/>
      <c r="AD238" s="164"/>
      <c r="AE238" s="164"/>
      <c r="AF238" s="137"/>
      <c r="AG238" s="137"/>
      <c r="AH238" s="137">
        <f t="shared" si="75"/>
        <v>0</v>
      </c>
      <c r="AI238" s="137">
        <f t="shared" si="76"/>
        <v>0</v>
      </c>
      <c r="AJ238" s="164"/>
      <c r="AK238" s="171" t="str">
        <f t="shared" si="77"/>
        <v/>
      </c>
      <c r="AL238" s="137"/>
      <c r="AM238" s="164" t="str">
        <f t="shared" si="78"/>
        <v/>
      </c>
      <c r="AN238" s="303" t="str">
        <f t="shared" si="79"/>
        <v/>
      </c>
      <c r="AO238" s="164"/>
    </row>
    <row r="239" spans="1:41" x14ac:dyDescent="0.35">
      <c r="A239" s="133"/>
      <c r="B239" s="133"/>
      <c r="C239" s="133"/>
      <c r="D239" s="133" t="str">
        <f t="shared" si="71"/>
        <v>-</v>
      </c>
      <c r="E239" s="133"/>
      <c r="F239" s="164"/>
      <c r="G239" s="134" t="str">
        <f t="shared" si="72"/>
        <v>Yes</v>
      </c>
      <c r="H239" s="135">
        <f>SUMIFS('Order Details'!$R:$R,'Order Details'!$A:$A,'Order Summary'!$B239,'Order Details'!$B:$B,'Order Summary'!$C239,'Order Details'!$E:$E,"Yes")</f>
        <v>0</v>
      </c>
      <c r="I239" s="133"/>
      <c r="J239" s="133" t="e">
        <f>VLOOKUP($I239,'Master Data'!$L$5:$M$15,2,FALSE)</f>
        <v>#N/A</v>
      </c>
      <c r="K239" s="137">
        <f>SUMIFS('Order Details'!$U:$U,'Order Details'!$A:$A,'Order Summary'!$B239,'Order Details'!$B:$B,'Order Summary'!$C239,'Order Details'!$E:$E,"Yes")</f>
        <v>0</v>
      </c>
      <c r="L239" s="261">
        <f>SUMIFS('Order Details'!$P:$P,'Order Details'!$A:$A,'Order Summary'!$B239,'Order Details'!$B:$B,'Order Summary'!$C239,'Order Details'!$E:$E,"Yes")</f>
        <v>0</v>
      </c>
      <c r="M239" s="133"/>
      <c r="N239" s="164"/>
      <c r="O239" s="171" t="str">
        <f t="shared" si="73"/>
        <v/>
      </c>
      <c r="P239" s="302">
        <f>ROUND(SUMIFS('Order Details'!$V:$V,'Order Details'!$A:$A,'Order Summary'!$B239,'Order Details'!$B:$B,'Order Summary'!$C239,'Order Details'!$E:$E,"Yes"),2)</f>
        <v>0</v>
      </c>
      <c r="Q239" s="164"/>
      <c r="R239" s="171" t="str">
        <f t="shared" si="74"/>
        <v/>
      </c>
      <c r="S239" s="137"/>
      <c r="T239" s="165" t="str">
        <f>IF(Q239="","",Q239+_xlfn.MAXIFS('Order Details'!$W:$W,'Order Details'!$A:$A,'Order Summary'!$B239,'Order Details'!$B:$B,'Order Summary'!$C239,'Order Details'!$E:$E,"Yes"))</f>
        <v/>
      </c>
      <c r="U239" s="164" t="str">
        <f>IF(T239="","",T239+VLOOKUP($J239,'Master Data'!$F$6:$G$9,2,FALSE))</f>
        <v/>
      </c>
      <c r="V239" s="133"/>
      <c r="W239" s="133"/>
      <c r="X239" s="133"/>
      <c r="Y239" s="133"/>
      <c r="Z239" s="309" t="str">
        <f>IF($Y239="","",IF(VLOOKUP($Y239,'Master Data'!$F$12:$I$17,2,FALSE)="","",VLOOKUP($Y239,'Master Data'!$F$12:$I$17,2,FALSE)))</f>
        <v/>
      </c>
      <c r="AA239" s="164"/>
      <c r="AB239" s="171" t="str">
        <f t="shared" si="61"/>
        <v/>
      </c>
      <c r="AC239" s="133"/>
      <c r="AD239" s="164"/>
      <c r="AE239" s="164"/>
      <c r="AF239" s="137"/>
      <c r="AG239" s="137"/>
      <c r="AH239" s="137">
        <f t="shared" si="75"/>
        <v>0</v>
      </c>
      <c r="AI239" s="137">
        <f t="shared" si="76"/>
        <v>0</v>
      </c>
      <c r="AJ239" s="164"/>
      <c r="AK239" s="171" t="str">
        <f t="shared" si="77"/>
        <v/>
      </c>
      <c r="AL239" s="137"/>
      <c r="AM239" s="164" t="str">
        <f t="shared" si="78"/>
        <v/>
      </c>
      <c r="AN239" s="303" t="str">
        <f t="shared" si="79"/>
        <v/>
      </c>
      <c r="AO239" s="164"/>
    </row>
    <row r="240" spans="1:41" x14ac:dyDescent="0.35">
      <c r="A240" s="133"/>
      <c r="B240" s="133"/>
      <c r="C240" s="133"/>
      <c r="D240" s="133" t="str">
        <f t="shared" si="71"/>
        <v>-</v>
      </c>
      <c r="E240" s="133"/>
      <c r="F240" s="164"/>
      <c r="G240" s="134" t="str">
        <f t="shared" si="72"/>
        <v>Yes</v>
      </c>
      <c r="H240" s="135">
        <f>SUMIFS('Order Details'!$R:$R,'Order Details'!$A:$A,'Order Summary'!$B240,'Order Details'!$B:$B,'Order Summary'!$C240,'Order Details'!$E:$E,"Yes")</f>
        <v>0</v>
      </c>
      <c r="I240" s="133"/>
      <c r="J240" s="133" t="e">
        <f>VLOOKUP($I240,'Master Data'!$L$5:$M$15,2,FALSE)</f>
        <v>#N/A</v>
      </c>
      <c r="K240" s="137">
        <f>SUMIFS('Order Details'!$U:$U,'Order Details'!$A:$A,'Order Summary'!$B240,'Order Details'!$B:$B,'Order Summary'!$C240,'Order Details'!$E:$E,"Yes")</f>
        <v>0</v>
      </c>
      <c r="L240" s="261">
        <f>SUMIFS('Order Details'!$P:$P,'Order Details'!$A:$A,'Order Summary'!$B240,'Order Details'!$B:$B,'Order Summary'!$C240,'Order Details'!$E:$E,"Yes")</f>
        <v>0</v>
      </c>
      <c r="M240" s="133"/>
      <c r="N240" s="164"/>
      <c r="O240" s="171" t="str">
        <f t="shared" si="73"/>
        <v/>
      </c>
      <c r="P240" s="302">
        <f>ROUND(SUMIFS('Order Details'!$V:$V,'Order Details'!$A:$A,'Order Summary'!$B240,'Order Details'!$B:$B,'Order Summary'!$C240,'Order Details'!$E:$E,"Yes"),2)</f>
        <v>0</v>
      </c>
      <c r="Q240" s="164"/>
      <c r="R240" s="171" t="str">
        <f t="shared" si="74"/>
        <v/>
      </c>
      <c r="S240" s="137"/>
      <c r="T240" s="165" t="str">
        <f>IF(Q240="","",Q240+_xlfn.MAXIFS('Order Details'!$W:$W,'Order Details'!$A:$A,'Order Summary'!$B240,'Order Details'!$B:$B,'Order Summary'!$C240,'Order Details'!$E:$E,"Yes"))</f>
        <v/>
      </c>
      <c r="U240" s="164" t="str">
        <f>IF(T240="","",T240+VLOOKUP($J240,'Master Data'!$F$6:$G$9,2,FALSE))</f>
        <v/>
      </c>
      <c r="V240" s="133"/>
      <c r="W240" s="133"/>
      <c r="X240" s="133"/>
      <c r="Y240" s="133"/>
      <c r="Z240" s="309" t="str">
        <f>IF($Y240="","",IF(VLOOKUP($Y240,'Master Data'!$F$12:$I$17,2,FALSE)="","",VLOOKUP($Y240,'Master Data'!$F$12:$I$17,2,FALSE)))</f>
        <v/>
      </c>
      <c r="AA240" s="164"/>
      <c r="AB240" s="171" t="str">
        <f t="shared" si="61"/>
        <v/>
      </c>
      <c r="AC240" s="133"/>
      <c r="AD240" s="164"/>
      <c r="AE240" s="164"/>
      <c r="AF240" s="137"/>
      <c r="AG240" s="137"/>
      <c r="AH240" s="137">
        <f t="shared" si="75"/>
        <v>0</v>
      </c>
      <c r="AI240" s="137">
        <f t="shared" si="76"/>
        <v>0</v>
      </c>
      <c r="AJ240" s="164"/>
      <c r="AK240" s="171" t="str">
        <f t="shared" si="77"/>
        <v/>
      </c>
      <c r="AL240" s="137"/>
      <c r="AM240" s="164" t="str">
        <f t="shared" si="78"/>
        <v/>
      </c>
      <c r="AN240" s="303" t="str">
        <f t="shared" si="79"/>
        <v/>
      </c>
      <c r="AO240" s="164"/>
    </row>
    <row r="241" spans="1:41" x14ac:dyDescent="0.35">
      <c r="A241" s="133"/>
      <c r="B241" s="133"/>
      <c r="C241" s="133"/>
      <c r="D241" s="133" t="str">
        <f t="shared" si="71"/>
        <v>-</v>
      </c>
      <c r="E241" s="133"/>
      <c r="F241" s="164"/>
      <c r="G241" s="134" t="str">
        <f t="shared" si="72"/>
        <v>Yes</v>
      </c>
      <c r="H241" s="135">
        <f>SUMIFS('Order Details'!$R:$R,'Order Details'!$A:$A,'Order Summary'!$B241,'Order Details'!$B:$B,'Order Summary'!$C241,'Order Details'!$E:$E,"Yes")</f>
        <v>0</v>
      </c>
      <c r="I241" s="133"/>
      <c r="J241" s="133" t="e">
        <f>VLOOKUP($I241,'Master Data'!$L$5:$M$15,2,FALSE)</f>
        <v>#N/A</v>
      </c>
      <c r="K241" s="137">
        <f>SUMIFS('Order Details'!$U:$U,'Order Details'!$A:$A,'Order Summary'!$B241,'Order Details'!$B:$B,'Order Summary'!$C241,'Order Details'!$E:$E,"Yes")</f>
        <v>0</v>
      </c>
      <c r="L241" s="261">
        <f>SUMIFS('Order Details'!$P:$P,'Order Details'!$A:$A,'Order Summary'!$B241,'Order Details'!$B:$B,'Order Summary'!$C241,'Order Details'!$E:$E,"Yes")</f>
        <v>0</v>
      </c>
      <c r="M241" s="133"/>
      <c r="N241" s="164"/>
      <c r="O241" s="171" t="str">
        <f t="shared" si="73"/>
        <v/>
      </c>
      <c r="P241" s="302">
        <f>ROUND(SUMIFS('Order Details'!$V:$V,'Order Details'!$A:$A,'Order Summary'!$B241,'Order Details'!$B:$B,'Order Summary'!$C241,'Order Details'!$E:$E,"Yes"),2)</f>
        <v>0</v>
      </c>
      <c r="Q241" s="164"/>
      <c r="R241" s="171" t="str">
        <f t="shared" si="74"/>
        <v/>
      </c>
      <c r="S241" s="137"/>
      <c r="T241" s="165" t="str">
        <f>IF(Q241="","",Q241+_xlfn.MAXIFS('Order Details'!$W:$W,'Order Details'!$A:$A,'Order Summary'!$B241,'Order Details'!$B:$B,'Order Summary'!$C241,'Order Details'!$E:$E,"Yes"))</f>
        <v/>
      </c>
      <c r="U241" s="164" t="str">
        <f>IF(T241="","",T241+VLOOKUP($J241,'Master Data'!$F$6:$G$9,2,FALSE))</f>
        <v/>
      </c>
      <c r="V241" s="133"/>
      <c r="W241" s="133"/>
      <c r="X241" s="133"/>
      <c r="Y241" s="133"/>
      <c r="Z241" s="309" t="str">
        <f>IF($Y241="","",IF(VLOOKUP($Y241,'Master Data'!$F$12:$I$17,2,FALSE)="","",VLOOKUP($Y241,'Master Data'!$F$12:$I$17,2,FALSE)))</f>
        <v/>
      </c>
      <c r="AA241" s="164"/>
      <c r="AB241" s="171" t="str">
        <f t="shared" si="61"/>
        <v/>
      </c>
      <c r="AC241" s="133"/>
      <c r="AD241" s="164"/>
      <c r="AE241" s="164"/>
      <c r="AF241" s="137"/>
      <c r="AG241" s="137"/>
      <c r="AH241" s="137">
        <f t="shared" si="75"/>
        <v>0</v>
      </c>
      <c r="AI241" s="137">
        <f t="shared" si="76"/>
        <v>0</v>
      </c>
      <c r="AJ241" s="164"/>
      <c r="AK241" s="171" t="str">
        <f t="shared" si="77"/>
        <v/>
      </c>
      <c r="AL241" s="137"/>
      <c r="AM241" s="164" t="str">
        <f t="shared" si="78"/>
        <v/>
      </c>
      <c r="AN241" s="303" t="str">
        <f t="shared" si="79"/>
        <v/>
      </c>
      <c r="AO241" s="164"/>
    </row>
    <row r="242" spans="1:41" x14ac:dyDescent="0.35">
      <c r="A242" s="133"/>
      <c r="B242" s="133"/>
      <c r="C242" s="133"/>
      <c r="D242" s="133" t="str">
        <f t="shared" si="71"/>
        <v>-</v>
      </c>
      <c r="E242" s="133"/>
      <c r="F242" s="164"/>
      <c r="G242" s="134" t="str">
        <f t="shared" si="72"/>
        <v>Yes</v>
      </c>
      <c r="H242" s="135">
        <f>SUMIFS('Order Details'!$R:$R,'Order Details'!$A:$A,'Order Summary'!$B242,'Order Details'!$B:$B,'Order Summary'!$C242,'Order Details'!$E:$E,"Yes")</f>
        <v>0</v>
      </c>
      <c r="I242" s="133"/>
      <c r="J242" s="133" t="e">
        <f>VLOOKUP($I242,'Master Data'!$L$5:$M$15,2,FALSE)</f>
        <v>#N/A</v>
      </c>
      <c r="K242" s="137">
        <f>SUMIFS('Order Details'!$U:$U,'Order Details'!$A:$A,'Order Summary'!$B242,'Order Details'!$B:$B,'Order Summary'!$C242,'Order Details'!$E:$E,"Yes")</f>
        <v>0</v>
      </c>
      <c r="L242" s="261">
        <f>SUMIFS('Order Details'!$P:$P,'Order Details'!$A:$A,'Order Summary'!$B242,'Order Details'!$B:$B,'Order Summary'!$C242,'Order Details'!$E:$E,"Yes")</f>
        <v>0</v>
      </c>
      <c r="M242" s="133"/>
      <c r="N242" s="164"/>
      <c r="O242" s="171" t="str">
        <f t="shared" si="73"/>
        <v/>
      </c>
      <c r="P242" s="302">
        <f>ROUND(SUMIFS('Order Details'!$V:$V,'Order Details'!$A:$A,'Order Summary'!$B242,'Order Details'!$B:$B,'Order Summary'!$C242,'Order Details'!$E:$E,"Yes"),2)</f>
        <v>0</v>
      </c>
      <c r="Q242" s="164"/>
      <c r="R242" s="171" t="str">
        <f t="shared" si="74"/>
        <v/>
      </c>
      <c r="S242" s="137"/>
      <c r="T242" s="165" t="str">
        <f>IF(Q242="","",Q242+_xlfn.MAXIFS('Order Details'!$W:$W,'Order Details'!$A:$A,'Order Summary'!$B242,'Order Details'!$B:$B,'Order Summary'!$C242,'Order Details'!$E:$E,"Yes"))</f>
        <v/>
      </c>
      <c r="U242" s="164" t="str">
        <f>IF(T242="","",T242+VLOOKUP($J242,'Master Data'!$F$6:$G$9,2,FALSE))</f>
        <v/>
      </c>
      <c r="V242" s="133"/>
      <c r="W242" s="133"/>
      <c r="X242" s="133"/>
      <c r="Y242" s="133"/>
      <c r="Z242" s="309" t="str">
        <f>IF($Y242="","",IF(VLOOKUP($Y242,'Master Data'!$F$12:$I$17,2,FALSE)="","",VLOOKUP($Y242,'Master Data'!$F$12:$I$17,2,FALSE)))</f>
        <v/>
      </c>
      <c r="AA242" s="164"/>
      <c r="AB242" s="171" t="str">
        <f t="shared" si="61"/>
        <v/>
      </c>
      <c r="AC242" s="133"/>
      <c r="AD242" s="164"/>
      <c r="AE242" s="164"/>
      <c r="AF242" s="137"/>
      <c r="AG242" s="137"/>
      <c r="AH242" s="137">
        <f t="shared" si="75"/>
        <v>0</v>
      </c>
      <c r="AI242" s="137">
        <f t="shared" si="76"/>
        <v>0</v>
      </c>
      <c r="AJ242" s="164"/>
      <c r="AK242" s="171" t="str">
        <f t="shared" si="77"/>
        <v/>
      </c>
      <c r="AL242" s="137"/>
      <c r="AM242" s="164" t="str">
        <f t="shared" si="78"/>
        <v/>
      </c>
      <c r="AN242" s="303" t="str">
        <f t="shared" si="79"/>
        <v/>
      </c>
      <c r="AO242" s="164"/>
    </row>
    <row r="243" spans="1:41" x14ac:dyDescent="0.35">
      <c r="A243" s="133"/>
      <c r="B243" s="133"/>
      <c r="C243" s="133"/>
      <c r="D243" s="133" t="str">
        <f t="shared" si="71"/>
        <v>-</v>
      </c>
      <c r="E243" s="133"/>
      <c r="F243" s="164"/>
      <c r="G243" s="134" t="str">
        <f t="shared" si="72"/>
        <v>Yes</v>
      </c>
      <c r="H243" s="135">
        <f>SUMIFS('Order Details'!$R:$R,'Order Details'!$A:$A,'Order Summary'!$B243,'Order Details'!$B:$B,'Order Summary'!$C243,'Order Details'!$E:$E,"Yes")</f>
        <v>0</v>
      </c>
      <c r="I243" s="133"/>
      <c r="J243" s="133" t="e">
        <f>VLOOKUP($I243,'Master Data'!$L$5:$M$15,2,FALSE)</f>
        <v>#N/A</v>
      </c>
      <c r="K243" s="137">
        <f>SUMIFS('Order Details'!$U:$U,'Order Details'!$A:$A,'Order Summary'!$B243,'Order Details'!$B:$B,'Order Summary'!$C243,'Order Details'!$E:$E,"Yes")</f>
        <v>0</v>
      </c>
      <c r="L243" s="261">
        <f>SUMIFS('Order Details'!$P:$P,'Order Details'!$A:$A,'Order Summary'!$B243,'Order Details'!$B:$B,'Order Summary'!$C243,'Order Details'!$E:$E,"Yes")</f>
        <v>0</v>
      </c>
      <c r="M243" s="133"/>
      <c r="N243" s="164"/>
      <c r="O243" s="171" t="str">
        <f t="shared" si="73"/>
        <v/>
      </c>
      <c r="P243" s="302">
        <f>ROUND(SUMIFS('Order Details'!$V:$V,'Order Details'!$A:$A,'Order Summary'!$B243,'Order Details'!$B:$B,'Order Summary'!$C243,'Order Details'!$E:$E,"Yes"),2)</f>
        <v>0</v>
      </c>
      <c r="Q243" s="164"/>
      <c r="R243" s="171" t="str">
        <f t="shared" si="74"/>
        <v/>
      </c>
      <c r="S243" s="137"/>
      <c r="T243" s="165" t="str">
        <f>IF(Q243="","",Q243+_xlfn.MAXIFS('Order Details'!$W:$W,'Order Details'!$A:$A,'Order Summary'!$B243,'Order Details'!$B:$B,'Order Summary'!$C243,'Order Details'!$E:$E,"Yes"))</f>
        <v/>
      </c>
      <c r="U243" s="164" t="str">
        <f>IF(T243="","",T243+VLOOKUP($J243,'Master Data'!$F$6:$G$9,2,FALSE))</f>
        <v/>
      </c>
      <c r="V243" s="133"/>
      <c r="W243" s="133"/>
      <c r="X243" s="133"/>
      <c r="Y243" s="133"/>
      <c r="Z243" s="309" t="str">
        <f>IF($Y243="","",IF(VLOOKUP($Y243,'Master Data'!$F$12:$I$17,2,FALSE)="","",VLOOKUP($Y243,'Master Data'!$F$12:$I$17,2,FALSE)))</f>
        <v/>
      </c>
      <c r="AA243" s="164"/>
      <c r="AB243" s="171" t="str">
        <f t="shared" si="61"/>
        <v/>
      </c>
      <c r="AC243" s="133"/>
      <c r="AD243" s="164"/>
      <c r="AE243" s="164"/>
      <c r="AF243" s="137"/>
      <c r="AG243" s="137"/>
      <c r="AH243" s="137">
        <f t="shared" si="75"/>
        <v>0</v>
      </c>
      <c r="AI243" s="137">
        <f t="shared" si="76"/>
        <v>0</v>
      </c>
      <c r="AJ243" s="164"/>
      <c r="AK243" s="171" t="str">
        <f t="shared" si="77"/>
        <v/>
      </c>
      <c r="AL243" s="137"/>
      <c r="AM243" s="164" t="str">
        <f t="shared" si="78"/>
        <v/>
      </c>
      <c r="AN243" s="303" t="str">
        <f t="shared" si="79"/>
        <v/>
      </c>
      <c r="AO243" s="164"/>
    </row>
    <row r="244" spans="1:41" x14ac:dyDescent="0.35">
      <c r="A244" s="133"/>
      <c r="B244" s="133"/>
      <c r="C244" s="133"/>
      <c r="D244" s="133" t="str">
        <f t="shared" si="71"/>
        <v>-</v>
      </c>
      <c r="E244" s="133"/>
      <c r="F244" s="164"/>
      <c r="G244" s="134" t="str">
        <f t="shared" si="72"/>
        <v>Yes</v>
      </c>
      <c r="H244" s="135">
        <f>SUMIFS('Order Details'!$R:$R,'Order Details'!$A:$A,'Order Summary'!$B244,'Order Details'!$B:$B,'Order Summary'!$C244,'Order Details'!$E:$E,"Yes")</f>
        <v>0</v>
      </c>
      <c r="I244" s="133"/>
      <c r="J244" s="133" t="e">
        <f>VLOOKUP($I244,'Master Data'!$L$5:$M$15,2,FALSE)</f>
        <v>#N/A</v>
      </c>
      <c r="K244" s="137">
        <f>SUMIFS('Order Details'!$U:$U,'Order Details'!$A:$A,'Order Summary'!$B244,'Order Details'!$B:$B,'Order Summary'!$C244,'Order Details'!$E:$E,"Yes")</f>
        <v>0</v>
      </c>
      <c r="L244" s="261">
        <f>SUMIFS('Order Details'!$P:$P,'Order Details'!$A:$A,'Order Summary'!$B244,'Order Details'!$B:$B,'Order Summary'!$C244,'Order Details'!$E:$E,"Yes")</f>
        <v>0</v>
      </c>
      <c r="M244" s="133"/>
      <c r="N244" s="164"/>
      <c r="O244" s="171" t="str">
        <f t="shared" si="73"/>
        <v/>
      </c>
      <c r="P244" s="302">
        <f>ROUND(SUMIFS('Order Details'!$V:$V,'Order Details'!$A:$A,'Order Summary'!$B244,'Order Details'!$B:$B,'Order Summary'!$C244,'Order Details'!$E:$E,"Yes"),2)</f>
        <v>0</v>
      </c>
      <c r="Q244" s="164"/>
      <c r="R244" s="171" t="str">
        <f t="shared" si="74"/>
        <v/>
      </c>
      <c r="S244" s="137"/>
      <c r="T244" s="165" t="str">
        <f>IF(Q244="","",Q244+_xlfn.MAXIFS('Order Details'!$W:$W,'Order Details'!$A:$A,'Order Summary'!$B244,'Order Details'!$B:$B,'Order Summary'!$C244,'Order Details'!$E:$E,"Yes"))</f>
        <v/>
      </c>
      <c r="U244" s="164" t="str">
        <f>IF(T244="","",T244+VLOOKUP($J244,'Master Data'!$F$6:$G$9,2,FALSE))</f>
        <v/>
      </c>
      <c r="V244" s="133"/>
      <c r="W244" s="133"/>
      <c r="X244" s="133"/>
      <c r="Y244" s="133"/>
      <c r="Z244" s="309" t="str">
        <f>IF($Y244="","",IF(VLOOKUP($Y244,'Master Data'!$F$12:$I$17,2,FALSE)="","",VLOOKUP($Y244,'Master Data'!$F$12:$I$17,2,FALSE)))</f>
        <v/>
      </c>
      <c r="AA244" s="164"/>
      <c r="AB244" s="171" t="str">
        <f t="shared" si="61"/>
        <v/>
      </c>
      <c r="AC244" s="133"/>
      <c r="AD244" s="164"/>
      <c r="AE244" s="164"/>
      <c r="AF244" s="137"/>
      <c r="AG244" s="137"/>
      <c r="AH244" s="137">
        <f t="shared" si="75"/>
        <v>0</v>
      </c>
      <c r="AI244" s="137">
        <f t="shared" si="76"/>
        <v>0</v>
      </c>
      <c r="AJ244" s="164"/>
      <c r="AK244" s="171" t="str">
        <f t="shared" si="77"/>
        <v/>
      </c>
      <c r="AL244" s="137"/>
      <c r="AM244" s="164" t="str">
        <f t="shared" si="78"/>
        <v/>
      </c>
      <c r="AN244" s="303" t="str">
        <f t="shared" si="79"/>
        <v/>
      </c>
      <c r="AO244" s="164"/>
    </row>
    <row r="245" spans="1:41" x14ac:dyDescent="0.35">
      <c r="A245" s="133"/>
      <c r="B245" s="133"/>
      <c r="C245" s="133"/>
      <c r="D245" s="133" t="str">
        <f t="shared" si="71"/>
        <v>-</v>
      </c>
      <c r="E245" s="133"/>
      <c r="F245" s="164"/>
      <c r="G245" s="134" t="str">
        <f t="shared" si="72"/>
        <v>Yes</v>
      </c>
      <c r="H245" s="135">
        <f>SUMIFS('Order Details'!$R:$R,'Order Details'!$A:$A,'Order Summary'!$B245,'Order Details'!$B:$B,'Order Summary'!$C245,'Order Details'!$E:$E,"Yes")</f>
        <v>0</v>
      </c>
      <c r="I245" s="133"/>
      <c r="J245" s="133" t="e">
        <f>VLOOKUP($I245,'Master Data'!$L$5:$M$15,2,FALSE)</f>
        <v>#N/A</v>
      </c>
      <c r="K245" s="137">
        <f>SUMIFS('Order Details'!$U:$U,'Order Details'!$A:$A,'Order Summary'!$B245,'Order Details'!$B:$B,'Order Summary'!$C245,'Order Details'!$E:$E,"Yes")</f>
        <v>0</v>
      </c>
      <c r="L245" s="261">
        <f>SUMIFS('Order Details'!$P:$P,'Order Details'!$A:$A,'Order Summary'!$B245,'Order Details'!$B:$B,'Order Summary'!$C245,'Order Details'!$E:$E,"Yes")</f>
        <v>0</v>
      </c>
      <c r="M245" s="133"/>
      <c r="N245" s="164"/>
      <c r="O245" s="171" t="str">
        <f t="shared" si="73"/>
        <v/>
      </c>
      <c r="P245" s="302">
        <f>ROUND(SUMIFS('Order Details'!$V:$V,'Order Details'!$A:$A,'Order Summary'!$B245,'Order Details'!$B:$B,'Order Summary'!$C245,'Order Details'!$E:$E,"Yes"),2)</f>
        <v>0</v>
      </c>
      <c r="Q245" s="164"/>
      <c r="R245" s="171" t="str">
        <f t="shared" si="74"/>
        <v/>
      </c>
      <c r="S245" s="137"/>
      <c r="T245" s="165" t="str">
        <f>IF(Q245="","",Q245+_xlfn.MAXIFS('Order Details'!$W:$W,'Order Details'!$A:$A,'Order Summary'!$B245,'Order Details'!$B:$B,'Order Summary'!$C245,'Order Details'!$E:$E,"Yes"))</f>
        <v/>
      </c>
      <c r="U245" s="164" t="str">
        <f>IF(T245="","",T245+VLOOKUP($J245,'Master Data'!$F$6:$G$9,2,FALSE))</f>
        <v/>
      </c>
      <c r="V245" s="133"/>
      <c r="W245" s="133"/>
      <c r="X245" s="133"/>
      <c r="Y245" s="133"/>
      <c r="Z245" s="309" t="str">
        <f>IF($Y245="","",IF(VLOOKUP($Y245,'Master Data'!$F$12:$I$17,2,FALSE)="","",VLOOKUP($Y245,'Master Data'!$F$12:$I$17,2,FALSE)))</f>
        <v/>
      </c>
      <c r="AA245" s="164"/>
      <c r="AB245" s="171" t="str">
        <f t="shared" si="61"/>
        <v/>
      </c>
      <c r="AC245" s="133"/>
      <c r="AD245" s="164"/>
      <c r="AE245" s="164"/>
      <c r="AF245" s="137"/>
      <c r="AG245" s="137"/>
      <c r="AH245" s="137">
        <f t="shared" si="75"/>
        <v>0</v>
      </c>
      <c r="AI245" s="137">
        <f t="shared" si="76"/>
        <v>0</v>
      </c>
      <c r="AJ245" s="164"/>
      <c r="AK245" s="171" t="str">
        <f t="shared" si="77"/>
        <v/>
      </c>
      <c r="AL245" s="137"/>
      <c r="AM245" s="164" t="str">
        <f t="shared" si="78"/>
        <v/>
      </c>
      <c r="AN245" s="303" t="str">
        <f t="shared" si="79"/>
        <v/>
      </c>
      <c r="AO245" s="164"/>
    </row>
    <row r="246" spans="1:41" x14ac:dyDescent="0.35">
      <c r="A246" s="133"/>
      <c r="B246" s="133"/>
      <c r="C246" s="133"/>
      <c r="D246" s="133" t="str">
        <f t="shared" si="71"/>
        <v>-</v>
      </c>
      <c r="E246" s="133"/>
      <c r="F246" s="164"/>
      <c r="G246" s="134" t="str">
        <f t="shared" si="72"/>
        <v>Yes</v>
      </c>
      <c r="H246" s="135">
        <f>SUMIFS('Order Details'!$R:$R,'Order Details'!$A:$A,'Order Summary'!$B246,'Order Details'!$B:$B,'Order Summary'!$C246,'Order Details'!$E:$E,"Yes")</f>
        <v>0</v>
      </c>
      <c r="I246" s="133"/>
      <c r="J246" s="133" t="e">
        <f>VLOOKUP($I246,'Master Data'!$L$5:$M$15,2,FALSE)</f>
        <v>#N/A</v>
      </c>
      <c r="K246" s="137">
        <f>SUMIFS('Order Details'!$U:$U,'Order Details'!$A:$A,'Order Summary'!$B246,'Order Details'!$B:$B,'Order Summary'!$C246,'Order Details'!$E:$E,"Yes")</f>
        <v>0</v>
      </c>
      <c r="L246" s="261">
        <f>SUMIFS('Order Details'!$P:$P,'Order Details'!$A:$A,'Order Summary'!$B246,'Order Details'!$B:$B,'Order Summary'!$C246,'Order Details'!$E:$E,"Yes")</f>
        <v>0</v>
      </c>
      <c r="M246" s="133"/>
      <c r="N246" s="164"/>
      <c r="O246" s="171" t="str">
        <f t="shared" si="73"/>
        <v/>
      </c>
      <c r="P246" s="302">
        <f>ROUND(SUMIFS('Order Details'!$V:$V,'Order Details'!$A:$A,'Order Summary'!$B246,'Order Details'!$B:$B,'Order Summary'!$C246,'Order Details'!$E:$E,"Yes"),2)</f>
        <v>0</v>
      </c>
      <c r="Q246" s="164"/>
      <c r="R246" s="171" t="str">
        <f t="shared" si="74"/>
        <v/>
      </c>
      <c r="S246" s="137"/>
      <c r="T246" s="165" t="str">
        <f>IF(Q246="","",Q246+_xlfn.MAXIFS('Order Details'!$W:$W,'Order Details'!$A:$A,'Order Summary'!$B246,'Order Details'!$B:$B,'Order Summary'!$C246,'Order Details'!$E:$E,"Yes"))</f>
        <v/>
      </c>
      <c r="U246" s="164" t="str">
        <f>IF(T246="","",T246+VLOOKUP($J246,'Master Data'!$F$6:$G$9,2,FALSE))</f>
        <v/>
      </c>
      <c r="V246" s="133"/>
      <c r="W246" s="133"/>
      <c r="X246" s="133"/>
      <c r="Y246" s="133"/>
      <c r="Z246" s="309" t="str">
        <f>IF($Y246="","",IF(VLOOKUP($Y246,'Master Data'!$F$12:$I$17,2,FALSE)="","",VLOOKUP($Y246,'Master Data'!$F$12:$I$17,2,FALSE)))</f>
        <v/>
      </c>
      <c r="AA246" s="164"/>
      <c r="AB246" s="171" t="str">
        <f t="shared" si="61"/>
        <v/>
      </c>
      <c r="AC246" s="133"/>
      <c r="AD246" s="164"/>
      <c r="AE246" s="164"/>
      <c r="AF246" s="137"/>
      <c r="AG246" s="137"/>
      <c r="AH246" s="137">
        <f t="shared" si="75"/>
        <v>0</v>
      </c>
      <c r="AI246" s="137">
        <f t="shared" si="76"/>
        <v>0</v>
      </c>
      <c r="AJ246" s="164"/>
      <c r="AK246" s="171" t="str">
        <f t="shared" si="77"/>
        <v/>
      </c>
      <c r="AL246" s="137"/>
      <c r="AM246" s="164" t="str">
        <f t="shared" si="78"/>
        <v/>
      </c>
      <c r="AN246" s="303" t="str">
        <f t="shared" si="79"/>
        <v/>
      </c>
      <c r="AO246" s="164"/>
    </row>
    <row r="247" spans="1:41" x14ac:dyDescent="0.35">
      <c r="A247" s="133"/>
      <c r="B247" s="133"/>
      <c r="C247" s="133"/>
      <c r="D247" s="133" t="str">
        <f t="shared" si="71"/>
        <v>-</v>
      </c>
      <c r="E247" s="133"/>
      <c r="F247" s="164"/>
      <c r="G247" s="134" t="str">
        <f t="shared" si="72"/>
        <v>Yes</v>
      </c>
      <c r="H247" s="135">
        <f>SUMIFS('Order Details'!$R:$R,'Order Details'!$A:$A,'Order Summary'!$B247,'Order Details'!$B:$B,'Order Summary'!$C247,'Order Details'!$E:$E,"Yes")</f>
        <v>0</v>
      </c>
      <c r="I247" s="133"/>
      <c r="J247" s="133" t="e">
        <f>VLOOKUP($I247,'Master Data'!$L$5:$M$15,2,FALSE)</f>
        <v>#N/A</v>
      </c>
      <c r="K247" s="137">
        <f>SUMIFS('Order Details'!$U:$U,'Order Details'!$A:$A,'Order Summary'!$B247,'Order Details'!$B:$B,'Order Summary'!$C247,'Order Details'!$E:$E,"Yes")</f>
        <v>0</v>
      </c>
      <c r="L247" s="261">
        <f>SUMIFS('Order Details'!$P:$P,'Order Details'!$A:$A,'Order Summary'!$B247,'Order Details'!$B:$B,'Order Summary'!$C247,'Order Details'!$E:$E,"Yes")</f>
        <v>0</v>
      </c>
      <c r="M247" s="133"/>
      <c r="N247" s="164"/>
      <c r="O247" s="171" t="str">
        <f t="shared" si="73"/>
        <v/>
      </c>
      <c r="P247" s="302">
        <f>ROUND(SUMIFS('Order Details'!$V:$V,'Order Details'!$A:$A,'Order Summary'!$B247,'Order Details'!$B:$B,'Order Summary'!$C247,'Order Details'!$E:$E,"Yes"),2)</f>
        <v>0</v>
      </c>
      <c r="Q247" s="164"/>
      <c r="R247" s="171" t="str">
        <f t="shared" si="74"/>
        <v/>
      </c>
      <c r="S247" s="137"/>
      <c r="T247" s="165" t="str">
        <f>IF(Q247="","",Q247+_xlfn.MAXIFS('Order Details'!$W:$W,'Order Details'!$A:$A,'Order Summary'!$B247,'Order Details'!$B:$B,'Order Summary'!$C247,'Order Details'!$E:$E,"Yes"))</f>
        <v/>
      </c>
      <c r="U247" s="164" t="str">
        <f>IF(T247="","",T247+VLOOKUP($J247,'Master Data'!$F$6:$G$9,2,FALSE))</f>
        <v/>
      </c>
      <c r="V247" s="133"/>
      <c r="W247" s="133"/>
      <c r="X247" s="133"/>
      <c r="Y247" s="133"/>
      <c r="Z247" s="309" t="str">
        <f>IF($Y247="","",IF(VLOOKUP($Y247,'Master Data'!$F$12:$I$17,2,FALSE)="","",VLOOKUP($Y247,'Master Data'!$F$12:$I$17,2,FALSE)))</f>
        <v/>
      </c>
      <c r="AA247" s="164"/>
      <c r="AB247" s="171" t="str">
        <f t="shared" si="61"/>
        <v/>
      </c>
      <c r="AC247" s="133"/>
      <c r="AD247" s="164"/>
      <c r="AE247" s="164"/>
      <c r="AF247" s="137"/>
      <c r="AG247" s="137"/>
      <c r="AH247" s="137">
        <f t="shared" si="75"/>
        <v>0</v>
      </c>
      <c r="AI247" s="137">
        <f t="shared" si="76"/>
        <v>0</v>
      </c>
      <c r="AJ247" s="164"/>
      <c r="AK247" s="171" t="str">
        <f t="shared" si="77"/>
        <v/>
      </c>
      <c r="AL247" s="137"/>
      <c r="AM247" s="164" t="str">
        <f t="shared" si="78"/>
        <v/>
      </c>
      <c r="AN247" s="303" t="str">
        <f t="shared" si="79"/>
        <v/>
      </c>
      <c r="AO247" s="164"/>
    </row>
    <row r="248" spans="1:41" x14ac:dyDescent="0.35">
      <c r="A248" s="133"/>
      <c r="B248" s="133"/>
      <c r="C248" s="133"/>
      <c r="D248" s="133" t="str">
        <f t="shared" si="71"/>
        <v>-</v>
      </c>
      <c r="E248" s="133"/>
      <c r="F248" s="164"/>
      <c r="G248" s="134" t="str">
        <f t="shared" si="72"/>
        <v>Yes</v>
      </c>
      <c r="H248" s="135">
        <f>SUMIFS('Order Details'!$R:$R,'Order Details'!$A:$A,'Order Summary'!$B248,'Order Details'!$B:$B,'Order Summary'!$C248,'Order Details'!$E:$E,"Yes")</f>
        <v>0</v>
      </c>
      <c r="I248" s="133"/>
      <c r="J248" s="133" t="e">
        <f>VLOOKUP($I248,'Master Data'!$L$5:$M$15,2,FALSE)</f>
        <v>#N/A</v>
      </c>
      <c r="K248" s="137">
        <f>SUMIFS('Order Details'!$U:$U,'Order Details'!$A:$A,'Order Summary'!$B248,'Order Details'!$B:$B,'Order Summary'!$C248,'Order Details'!$E:$E,"Yes")</f>
        <v>0</v>
      </c>
      <c r="L248" s="261">
        <f>SUMIFS('Order Details'!$P:$P,'Order Details'!$A:$A,'Order Summary'!$B248,'Order Details'!$B:$B,'Order Summary'!$C248,'Order Details'!$E:$E,"Yes")</f>
        <v>0</v>
      </c>
      <c r="M248" s="133"/>
      <c r="N248" s="164"/>
      <c r="O248" s="171" t="str">
        <f t="shared" si="73"/>
        <v/>
      </c>
      <c r="P248" s="302">
        <f>ROUND(SUMIFS('Order Details'!$V:$V,'Order Details'!$A:$A,'Order Summary'!$B248,'Order Details'!$B:$B,'Order Summary'!$C248,'Order Details'!$E:$E,"Yes"),2)</f>
        <v>0</v>
      </c>
      <c r="Q248" s="164"/>
      <c r="R248" s="171" t="str">
        <f t="shared" si="74"/>
        <v/>
      </c>
      <c r="S248" s="137"/>
      <c r="T248" s="165" t="str">
        <f>IF(Q248="","",Q248+_xlfn.MAXIFS('Order Details'!$W:$W,'Order Details'!$A:$A,'Order Summary'!$B248,'Order Details'!$B:$B,'Order Summary'!$C248,'Order Details'!$E:$E,"Yes"))</f>
        <v/>
      </c>
      <c r="U248" s="164" t="str">
        <f>IF(T248="","",T248+VLOOKUP($J248,'Master Data'!$F$6:$G$9,2,FALSE))</f>
        <v/>
      </c>
      <c r="V248" s="133"/>
      <c r="W248" s="133"/>
      <c r="X248" s="133"/>
      <c r="Y248" s="133"/>
      <c r="Z248" s="309" t="str">
        <f>IF($Y248="","",IF(VLOOKUP($Y248,'Master Data'!$F$12:$I$17,2,FALSE)="","",VLOOKUP($Y248,'Master Data'!$F$12:$I$17,2,FALSE)))</f>
        <v/>
      </c>
      <c r="AA248" s="164"/>
      <c r="AB248" s="171" t="str">
        <f t="shared" si="61"/>
        <v/>
      </c>
      <c r="AC248" s="133"/>
      <c r="AD248" s="164"/>
      <c r="AE248" s="164"/>
      <c r="AF248" s="137"/>
      <c r="AG248" s="137"/>
      <c r="AH248" s="137">
        <f t="shared" si="75"/>
        <v>0</v>
      </c>
      <c r="AI248" s="137">
        <f t="shared" si="76"/>
        <v>0</v>
      </c>
      <c r="AJ248" s="164"/>
      <c r="AK248" s="171" t="str">
        <f t="shared" si="77"/>
        <v/>
      </c>
      <c r="AL248" s="137"/>
      <c r="AM248" s="164" t="str">
        <f t="shared" si="78"/>
        <v/>
      </c>
      <c r="AN248" s="303" t="str">
        <f t="shared" si="79"/>
        <v/>
      </c>
      <c r="AO248" s="164"/>
    </row>
    <row r="249" spans="1:41" x14ac:dyDescent="0.35">
      <c r="A249" s="133"/>
      <c r="B249" s="133"/>
      <c r="C249" s="133"/>
      <c r="D249" s="133" t="str">
        <f t="shared" si="71"/>
        <v>-</v>
      </c>
      <c r="E249" s="133"/>
      <c r="F249" s="164"/>
      <c r="G249" s="134" t="str">
        <f t="shared" si="72"/>
        <v>Yes</v>
      </c>
      <c r="H249" s="135">
        <f>SUMIFS('Order Details'!$R:$R,'Order Details'!$A:$A,'Order Summary'!$B249,'Order Details'!$B:$B,'Order Summary'!$C249,'Order Details'!$E:$E,"Yes")</f>
        <v>0</v>
      </c>
      <c r="I249" s="133"/>
      <c r="J249" s="133" t="e">
        <f>VLOOKUP($I249,'Master Data'!$L$5:$M$15,2,FALSE)</f>
        <v>#N/A</v>
      </c>
      <c r="K249" s="137">
        <f>SUMIFS('Order Details'!$U:$U,'Order Details'!$A:$A,'Order Summary'!$B249,'Order Details'!$B:$B,'Order Summary'!$C249,'Order Details'!$E:$E,"Yes")</f>
        <v>0</v>
      </c>
      <c r="L249" s="261">
        <f>SUMIFS('Order Details'!$P:$P,'Order Details'!$A:$A,'Order Summary'!$B249,'Order Details'!$B:$B,'Order Summary'!$C249,'Order Details'!$E:$E,"Yes")</f>
        <v>0</v>
      </c>
      <c r="M249" s="133"/>
      <c r="N249" s="164"/>
      <c r="O249" s="171" t="str">
        <f t="shared" si="73"/>
        <v/>
      </c>
      <c r="P249" s="302">
        <f>ROUND(SUMIFS('Order Details'!$V:$V,'Order Details'!$A:$A,'Order Summary'!$B249,'Order Details'!$B:$B,'Order Summary'!$C249,'Order Details'!$E:$E,"Yes"),2)</f>
        <v>0</v>
      </c>
      <c r="Q249" s="164"/>
      <c r="R249" s="171" t="str">
        <f t="shared" si="74"/>
        <v/>
      </c>
      <c r="S249" s="137"/>
      <c r="T249" s="165" t="str">
        <f>IF(Q249="","",Q249+_xlfn.MAXIFS('Order Details'!$W:$W,'Order Details'!$A:$A,'Order Summary'!$B249,'Order Details'!$B:$B,'Order Summary'!$C249,'Order Details'!$E:$E,"Yes"))</f>
        <v/>
      </c>
      <c r="U249" s="164" t="str">
        <f>IF(T249="","",T249+VLOOKUP($J249,'Master Data'!$F$6:$G$9,2,FALSE))</f>
        <v/>
      </c>
      <c r="V249" s="133"/>
      <c r="W249" s="133"/>
      <c r="X249" s="133"/>
      <c r="Y249" s="133"/>
      <c r="Z249" s="309" t="str">
        <f>IF($Y249="","",IF(VLOOKUP($Y249,'Master Data'!$F$12:$I$17,2,FALSE)="","",VLOOKUP($Y249,'Master Data'!$F$12:$I$17,2,FALSE)))</f>
        <v/>
      </c>
      <c r="AA249" s="164"/>
      <c r="AB249" s="171" t="str">
        <f t="shared" si="61"/>
        <v/>
      </c>
      <c r="AC249" s="133"/>
      <c r="AD249" s="164"/>
      <c r="AE249" s="164"/>
      <c r="AF249" s="137"/>
      <c r="AG249" s="137"/>
      <c r="AH249" s="137">
        <f t="shared" si="75"/>
        <v>0</v>
      </c>
      <c r="AI249" s="137">
        <f t="shared" si="76"/>
        <v>0</v>
      </c>
      <c r="AJ249" s="164"/>
      <c r="AK249" s="171" t="str">
        <f t="shared" si="77"/>
        <v/>
      </c>
      <c r="AL249" s="137"/>
      <c r="AM249" s="164" t="str">
        <f t="shared" si="78"/>
        <v/>
      </c>
      <c r="AN249" s="303" t="str">
        <f t="shared" si="79"/>
        <v/>
      </c>
      <c r="AO249" s="164"/>
    </row>
    <row r="250" spans="1:41" x14ac:dyDescent="0.35">
      <c r="A250" s="133"/>
      <c r="B250" s="133"/>
      <c r="C250" s="133"/>
      <c r="D250" s="133" t="str">
        <f t="shared" si="71"/>
        <v>-</v>
      </c>
      <c r="E250" s="133"/>
      <c r="F250" s="164"/>
      <c r="G250" s="134" t="str">
        <f t="shared" si="72"/>
        <v>Yes</v>
      </c>
      <c r="H250" s="135">
        <f>SUMIFS('Order Details'!$R:$R,'Order Details'!$A:$A,'Order Summary'!$B250,'Order Details'!$B:$B,'Order Summary'!$C250,'Order Details'!$E:$E,"Yes")</f>
        <v>0</v>
      </c>
      <c r="I250" s="133"/>
      <c r="J250" s="133" t="e">
        <f>VLOOKUP($I250,'Master Data'!$L$5:$M$15,2,FALSE)</f>
        <v>#N/A</v>
      </c>
      <c r="K250" s="137">
        <f>SUMIFS('Order Details'!$U:$U,'Order Details'!$A:$A,'Order Summary'!$B250,'Order Details'!$B:$B,'Order Summary'!$C250,'Order Details'!$E:$E,"Yes")</f>
        <v>0</v>
      </c>
      <c r="L250" s="261">
        <f>SUMIFS('Order Details'!$P:$P,'Order Details'!$A:$A,'Order Summary'!$B250,'Order Details'!$B:$B,'Order Summary'!$C250,'Order Details'!$E:$E,"Yes")</f>
        <v>0</v>
      </c>
      <c r="M250" s="133"/>
      <c r="N250" s="164"/>
      <c r="O250" s="171" t="str">
        <f t="shared" si="73"/>
        <v/>
      </c>
      <c r="P250" s="302">
        <f>ROUND(SUMIFS('Order Details'!$V:$V,'Order Details'!$A:$A,'Order Summary'!$B250,'Order Details'!$B:$B,'Order Summary'!$C250,'Order Details'!$E:$E,"Yes"),2)</f>
        <v>0</v>
      </c>
      <c r="Q250" s="164"/>
      <c r="R250" s="171" t="str">
        <f t="shared" si="74"/>
        <v/>
      </c>
      <c r="S250" s="137"/>
      <c r="T250" s="165" t="str">
        <f>IF(Q250="","",Q250+_xlfn.MAXIFS('Order Details'!$W:$W,'Order Details'!$A:$A,'Order Summary'!$B250,'Order Details'!$B:$B,'Order Summary'!$C250,'Order Details'!$E:$E,"Yes"))</f>
        <v/>
      </c>
      <c r="U250" s="164" t="str">
        <f>IF(T250="","",T250+VLOOKUP($J250,'Master Data'!$F$6:$G$9,2,FALSE))</f>
        <v/>
      </c>
      <c r="V250" s="133"/>
      <c r="W250" s="133"/>
      <c r="X250" s="133"/>
      <c r="Y250" s="133"/>
      <c r="Z250" s="309" t="str">
        <f>IF($Y250="","",IF(VLOOKUP($Y250,'Master Data'!$F$12:$I$17,2,FALSE)="","",VLOOKUP($Y250,'Master Data'!$F$12:$I$17,2,FALSE)))</f>
        <v/>
      </c>
      <c r="AA250" s="164"/>
      <c r="AB250" s="171" t="str">
        <f t="shared" si="61"/>
        <v/>
      </c>
      <c r="AC250" s="133"/>
      <c r="AD250" s="164"/>
      <c r="AE250" s="164"/>
      <c r="AF250" s="137"/>
      <c r="AG250" s="137"/>
      <c r="AH250" s="137">
        <f t="shared" si="75"/>
        <v>0</v>
      </c>
      <c r="AI250" s="137">
        <f t="shared" si="76"/>
        <v>0</v>
      </c>
      <c r="AJ250" s="164"/>
      <c r="AK250" s="171" t="str">
        <f t="shared" si="77"/>
        <v/>
      </c>
      <c r="AL250" s="137"/>
      <c r="AM250" s="164" t="str">
        <f t="shared" si="78"/>
        <v/>
      </c>
      <c r="AN250" s="303" t="str">
        <f t="shared" si="79"/>
        <v/>
      </c>
      <c r="AO250" s="164"/>
    </row>
    <row r="251" spans="1:41" x14ac:dyDescent="0.35">
      <c r="A251" s="133"/>
      <c r="B251" s="133"/>
      <c r="C251" s="133"/>
      <c r="D251" s="133" t="str">
        <f t="shared" si="71"/>
        <v>-</v>
      </c>
      <c r="E251" s="133"/>
      <c r="F251" s="164"/>
      <c r="G251" s="134" t="str">
        <f t="shared" si="72"/>
        <v>Yes</v>
      </c>
      <c r="H251" s="135">
        <f>SUMIFS('Order Details'!$R:$R,'Order Details'!$A:$A,'Order Summary'!$B251,'Order Details'!$B:$B,'Order Summary'!$C251,'Order Details'!$E:$E,"Yes")</f>
        <v>0</v>
      </c>
      <c r="I251" s="133"/>
      <c r="J251" s="133" t="e">
        <f>VLOOKUP($I251,'Master Data'!$L$5:$M$15,2,FALSE)</f>
        <v>#N/A</v>
      </c>
      <c r="K251" s="137">
        <f>SUMIFS('Order Details'!$U:$U,'Order Details'!$A:$A,'Order Summary'!$B251,'Order Details'!$B:$B,'Order Summary'!$C251,'Order Details'!$E:$E,"Yes")</f>
        <v>0</v>
      </c>
      <c r="L251" s="261">
        <f>SUMIFS('Order Details'!$P:$P,'Order Details'!$A:$A,'Order Summary'!$B251,'Order Details'!$B:$B,'Order Summary'!$C251,'Order Details'!$E:$E,"Yes")</f>
        <v>0</v>
      </c>
      <c r="M251" s="133"/>
      <c r="N251" s="164"/>
      <c r="O251" s="171" t="str">
        <f t="shared" si="73"/>
        <v/>
      </c>
      <c r="P251" s="302">
        <f>ROUND(SUMIFS('Order Details'!$V:$V,'Order Details'!$A:$A,'Order Summary'!$B251,'Order Details'!$B:$B,'Order Summary'!$C251,'Order Details'!$E:$E,"Yes"),2)</f>
        <v>0</v>
      </c>
      <c r="Q251" s="164"/>
      <c r="R251" s="171" t="str">
        <f t="shared" si="74"/>
        <v/>
      </c>
      <c r="S251" s="137"/>
      <c r="T251" s="165" t="str">
        <f>IF(Q251="","",Q251+_xlfn.MAXIFS('Order Details'!$W:$W,'Order Details'!$A:$A,'Order Summary'!$B251,'Order Details'!$B:$B,'Order Summary'!$C251,'Order Details'!$E:$E,"Yes"))</f>
        <v/>
      </c>
      <c r="U251" s="164" t="str">
        <f>IF(T251="","",T251+VLOOKUP($J251,'Master Data'!$F$6:$G$9,2,FALSE))</f>
        <v/>
      </c>
      <c r="V251" s="133"/>
      <c r="W251" s="133"/>
      <c r="X251" s="133"/>
      <c r="Y251" s="133"/>
      <c r="Z251" s="309" t="str">
        <f>IF($Y251="","",IF(VLOOKUP($Y251,'Master Data'!$F$12:$I$17,2,FALSE)="","",VLOOKUP($Y251,'Master Data'!$F$12:$I$17,2,FALSE)))</f>
        <v/>
      </c>
      <c r="AA251" s="164"/>
      <c r="AB251" s="171" t="str">
        <f t="shared" si="61"/>
        <v/>
      </c>
      <c r="AC251" s="133"/>
      <c r="AD251" s="164"/>
      <c r="AE251" s="164"/>
      <c r="AF251" s="137"/>
      <c r="AG251" s="137"/>
      <c r="AH251" s="137">
        <f t="shared" si="75"/>
        <v>0</v>
      </c>
      <c r="AI251" s="137">
        <f t="shared" si="76"/>
        <v>0</v>
      </c>
      <c r="AJ251" s="164"/>
      <c r="AK251" s="171" t="str">
        <f t="shared" si="77"/>
        <v/>
      </c>
      <c r="AL251" s="137"/>
      <c r="AM251" s="164" t="str">
        <f t="shared" si="78"/>
        <v/>
      </c>
      <c r="AN251" s="303" t="str">
        <f t="shared" si="79"/>
        <v/>
      </c>
      <c r="AO251" s="164"/>
    </row>
    <row r="252" spans="1:41" x14ac:dyDescent="0.35">
      <c r="A252" s="133"/>
      <c r="B252" s="133"/>
      <c r="C252" s="133"/>
      <c r="D252" s="133" t="str">
        <f t="shared" si="71"/>
        <v>-</v>
      </c>
      <c r="E252" s="133"/>
      <c r="F252" s="164"/>
      <c r="G252" s="134" t="str">
        <f t="shared" si="72"/>
        <v>Yes</v>
      </c>
      <c r="H252" s="135">
        <f>SUMIFS('Order Details'!$R:$R,'Order Details'!$A:$A,'Order Summary'!$B252,'Order Details'!$B:$B,'Order Summary'!$C252,'Order Details'!$E:$E,"Yes")</f>
        <v>0</v>
      </c>
      <c r="I252" s="133"/>
      <c r="J252" s="133" t="e">
        <f>VLOOKUP($I252,'Master Data'!$L$5:$M$15,2,FALSE)</f>
        <v>#N/A</v>
      </c>
      <c r="K252" s="137">
        <f>SUMIFS('Order Details'!$U:$U,'Order Details'!$A:$A,'Order Summary'!$B252,'Order Details'!$B:$B,'Order Summary'!$C252,'Order Details'!$E:$E,"Yes")</f>
        <v>0</v>
      </c>
      <c r="L252" s="261">
        <f>SUMIFS('Order Details'!$P:$P,'Order Details'!$A:$A,'Order Summary'!$B252,'Order Details'!$B:$B,'Order Summary'!$C252,'Order Details'!$E:$E,"Yes")</f>
        <v>0</v>
      </c>
      <c r="M252" s="133"/>
      <c r="N252" s="164"/>
      <c r="O252" s="171" t="str">
        <f t="shared" si="73"/>
        <v/>
      </c>
      <c r="P252" s="302">
        <f>ROUND(SUMIFS('Order Details'!$V:$V,'Order Details'!$A:$A,'Order Summary'!$B252,'Order Details'!$B:$B,'Order Summary'!$C252,'Order Details'!$E:$E,"Yes"),2)</f>
        <v>0</v>
      </c>
      <c r="Q252" s="164"/>
      <c r="R252" s="171" t="str">
        <f t="shared" si="74"/>
        <v/>
      </c>
      <c r="S252" s="137"/>
      <c r="T252" s="165" t="str">
        <f>IF(Q252="","",Q252+_xlfn.MAXIFS('Order Details'!$W:$W,'Order Details'!$A:$A,'Order Summary'!$B252,'Order Details'!$B:$B,'Order Summary'!$C252,'Order Details'!$E:$E,"Yes"))</f>
        <v/>
      </c>
      <c r="U252" s="164" t="str">
        <f>IF(T252="","",T252+VLOOKUP($J252,'Master Data'!$F$6:$G$9,2,FALSE))</f>
        <v/>
      </c>
      <c r="V252" s="133"/>
      <c r="W252" s="133"/>
      <c r="X252" s="133"/>
      <c r="Y252" s="133"/>
      <c r="Z252" s="309" t="str">
        <f>IF($Y252="","",IF(VLOOKUP($Y252,'Master Data'!$F$12:$I$17,2,FALSE)="","",VLOOKUP($Y252,'Master Data'!$F$12:$I$17,2,FALSE)))</f>
        <v/>
      </c>
      <c r="AA252" s="164"/>
      <c r="AB252" s="171" t="str">
        <f t="shared" si="61"/>
        <v/>
      </c>
      <c r="AC252" s="133"/>
      <c r="AD252" s="164"/>
      <c r="AE252" s="164"/>
      <c r="AF252" s="137"/>
      <c r="AG252" s="137"/>
      <c r="AH252" s="137">
        <f t="shared" si="75"/>
        <v>0</v>
      </c>
      <c r="AI252" s="137">
        <f t="shared" si="76"/>
        <v>0</v>
      </c>
      <c r="AJ252" s="164"/>
      <c r="AK252" s="171" t="str">
        <f t="shared" si="77"/>
        <v/>
      </c>
      <c r="AL252" s="137"/>
      <c r="AM252" s="164" t="str">
        <f t="shared" si="78"/>
        <v/>
      </c>
      <c r="AN252" s="303" t="str">
        <f t="shared" si="79"/>
        <v/>
      </c>
      <c r="AO252" s="164"/>
    </row>
    <row r="253" spans="1:41" x14ac:dyDescent="0.35">
      <c r="A253" s="133"/>
      <c r="B253" s="133"/>
      <c r="C253" s="133"/>
      <c r="D253" s="133" t="str">
        <f t="shared" si="71"/>
        <v>-</v>
      </c>
      <c r="E253" s="133"/>
      <c r="F253" s="164"/>
      <c r="G253" s="134" t="str">
        <f t="shared" si="72"/>
        <v>Yes</v>
      </c>
      <c r="H253" s="135">
        <f>SUMIFS('Order Details'!$R:$R,'Order Details'!$A:$A,'Order Summary'!$B253,'Order Details'!$B:$B,'Order Summary'!$C253,'Order Details'!$E:$E,"Yes")</f>
        <v>0</v>
      </c>
      <c r="I253" s="133"/>
      <c r="J253" s="133" t="e">
        <f>VLOOKUP($I253,'Master Data'!$L$5:$M$15,2,FALSE)</f>
        <v>#N/A</v>
      </c>
      <c r="K253" s="137">
        <f>SUMIFS('Order Details'!$U:$U,'Order Details'!$A:$A,'Order Summary'!$B253,'Order Details'!$B:$B,'Order Summary'!$C253,'Order Details'!$E:$E,"Yes")</f>
        <v>0</v>
      </c>
      <c r="L253" s="261">
        <f>SUMIFS('Order Details'!$P:$P,'Order Details'!$A:$A,'Order Summary'!$B253,'Order Details'!$B:$B,'Order Summary'!$C253,'Order Details'!$E:$E,"Yes")</f>
        <v>0</v>
      </c>
      <c r="M253" s="133"/>
      <c r="N253" s="164"/>
      <c r="O253" s="171" t="str">
        <f t="shared" si="73"/>
        <v/>
      </c>
      <c r="P253" s="302">
        <f>ROUND(SUMIFS('Order Details'!$V:$V,'Order Details'!$A:$A,'Order Summary'!$B253,'Order Details'!$B:$B,'Order Summary'!$C253,'Order Details'!$E:$E,"Yes"),2)</f>
        <v>0</v>
      </c>
      <c r="Q253" s="164"/>
      <c r="R253" s="171" t="str">
        <f t="shared" si="74"/>
        <v/>
      </c>
      <c r="S253" s="137"/>
      <c r="T253" s="165" t="str">
        <f>IF(Q253="","",Q253+_xlfn.MAXIFS('Order Details'!$W:$W,'Order Details'!$A:$A,'Order Summary'!$B253,'Order Details'!$B:$B,'Order Summary'!$C253,'Order Details'!$E:$E,"Yes"))</f>
        <v/>
      </c>
      <c r="U253" s="164" t="str">
        <f>IF(T253="","",T253+VLOOKUP($J253,'Master Data'!$F$6:$G$9,2,FALSE))</f>
        <v/>
      </c>
      <c r="V253" s="133"/>
      <c r="W253" s="133"/>
      <c r="X253" s="133"/>
      <c r="Y253" s="133"/>
      <c r="Z253" s="309" t="str">
        <f>IF($Y253="","",IF(VLOOKUP($Y253,'Master Data'!$F$12:$I$17,2,FALSE)="","",VLOOKUP($Y253,'Master Data'!$F$12:$I$17,2,FALSE)))</f>
        <v/>
      </c>
      <c r="AA253" s="164"/>
      <c r="AB253" s="171" t="str">
        <f t="shared" si="61"/>
        <v/>
      </c>
      <c r="AC253" s="133"/>
      <c r="AD253" s="164"/>
      <c r="AE253" s="164"/>
      <c r="AF253" s="137"/>
      <c r="AG253" s="137"/>
      <c r="AH253" s="137">
        <f t="shared" si="75"/>
        <v>0</v>
      </c>
      <c r="AI253" s="137">
        <f t="shared" si="76"/>
        <v>0</v>
      </c>
      <c r="AJ253" s="164"/>
      <c r="AK253" s="171" t="str">
        <f t="shared" si="77"/>
        <v/>
      </c>
      <c r="AL253" s="137"/>
      <c r="AM253" s="164" t="str">
        <f t="shared" si="78"/>
        <v/>
      </c>
      <c r="AN253" s="303" t="str">
        <f t="shared" si="79"/>
        <v/>
      </c>
      <c r="AO253" s="164"/>
    </row>
    <row r="254" spans="1:41" x14ac:dyDescent="0.35">
      <c r="A254" s="133"/>
      <c r="B254" s="133"/>
      <c r="C254" s="133"/>
      <c r="D254" s="133" t="str">
        <f t="shared" si="71"/>
        <v>-</v>
      </c>
      <c r="E254" s="133"/>
      <c r="F254" s="164"/>
      <c r="G254" s="134" t="str">
        <f t="shared" si="72"/>
        <v>Yes</v>
      </c>
      <c r="H254" s="135">
        <f>SUMIFS('Order Details'!$R:$R,'Order Details'!$A:$A,'Order Summary'!$B254,'Order Details'!$B:$B,'Order Summary'!$C254,'Order Details'!$E:$E,"Yes")</f>
        <v>0</v>
      </c>
      <c r="I254" s="133"/>
      <c r="J254" s="133" t="e">
        <f>VLOOKUP($I254,'Master Data'!$L$5:$M$15,2,FALSE)</f>
        <v>#N/A</v>
      </c>
      <c r="K254" s="137">
        <f>SUMIFS('Order Details'!$U:$U,'Order Details'!$A:$A,'Order Summary'!$B254,'Order Details'!$B:$B,'Order Summary'!$C254,'Order Details'!$E:$E,"Yes")</f>
        <v>0</v>
      </c>
      <c r="L254" s="261">
        <f>SUMIFS('Order Details'!$P:$P,'Order Details'!$A:$A,'Order Summary'!$B254,'Order Details'!$B:$B,'Order Summary'!$C254,'Order Details'!$E:$E,"Yes")</f>
        <v>0</v>
      </c>
      <c r="M254" s="133"/>
      <c r="N254" s="164"/>
      <c r="O254" s="171" t="str">
        <f t="shared" si="73"/>
        <v/>
      </c>
      <c r="P254" s="302">
        <f>ROUND(SUMIFS('Order Details'!$V:$V,'Order Details'!$A:$A,'Order Summary'!$B254,'Order Details'!$B:$B,'Order Summary'!$C254,'Order Details'!$E:$E,"Yes"),2)</f>
        <v>0</v>
      </c>
      <c r="Q254" s="164"/>
      <c r="R254" s="171" t="str">
        <f t="shared" si="74"/>
        <v/>
      </c>
      <c r="S254" s="137"/>
      <c r="T254" s="165" t="str">
        <f>IF(Q254="","",Q254+_xlfn.MAXIFS('Order Details'!$W:$W,'Order Details'!$A:$A,'Order Summary'!$B254,'Order Details'!$B:$B,'Order Summary'!$C254,'Order Details'!$E:$E,"Yes"))</f>
        <v/>
      </c>
      <c r="U254" s="164" t="str">
        <f>IF(T254="","",T254+VLOOKUP($J254,'Master Data'!$F$6:$G$9,2,FALSE))</f>
        <v/>
      </c>
      <c r="V254" s="133"/>
      <c r="W254" s="133"/>
      <c r="X254" s="133"/>
      <c r="Y254" s="133"/>
      <c r="Z254" s="309" t="str">
        <f>IF($Y254="","",IF(VLOOKUP($Y254,'Master Data'!$F$12:$I$17,2,FALSE)="","",VLOOKUP($Y254,'Master Data'!$F$12:$I$17,2,FALSE)))</f>
        <v/>
      </c>
      <c r="AA254" s="164"/>
      <c r="AB254" s="171" t="str">
        <f t="shared" si="61"/>
        <v/>
      </c>
      <c r="AC254" s="133"/>
      <c r="AD254" s="164"/>
      <c r="AE254" s="164"/>
      <c r="AF254" s="137"/>
      <c r="AG254" s="137"/>
      <c r="AH254" s="137">
        <f t="shared" si="75"/>
        <v>0</v>
      </c>
      <c r="AI254" s="137">
        <f t="shared" si="76"/>
        <v>0</v>
      </c>
      <c r="AJ254" s="164"/>
      <c r="AK254" s="171" t="str">
        <f t="shared" si="77"/>
        <v/>
      </c>
      <c r="AL254" s="137"/>
      <c r="AM254" s="164" t="str">
        <f t="shared" si="78"/>
        <v/>
      </c>
      <c r="AN254" s="303" t="str">
        <f t="shared" si="79"/>
        <v/>
      </c>
      <c r="AO254" s="164"/>
    </row>
    <row r="255" spans="1:41" x14ac:dyDescent="0.35">
      <c r="A255" s="133"/>
      <c r="B255" s="133"/>
      <c r="C255" s="133"/>
      <c r="D255" s="133" t="str">
        <f t="shared" si="71"/>
        <v>-</v>
      </c>
      <c r="E255" s="133"/>
      <c r="F255" s="164"/>
      <c r="G255" s="134" t="str">
        <f t="shared" si="72"/>
        <v>Yes</v>
      </c>
      <c r="H255" s="135">
        <f>SUMIFS('Order Details'!$R:$R,'Order Details'!$A:$A,'Order Summary'!$B255,'Order Details'!$B:$B,'Order Summary'!$C255,'Order Details'!$E:$E,"Yes")</f>
        <v>0</v>
      </c>
      <c r="I255" s="133"/>
      <c r="J255" s="133" t="e">
        <f>VLOOKUP($I255,'Master Data'!$L$5:$M$15,2,FALSE)</f>
        <v>#N/A</v>
      </c>
      <c r="K255" s="137">
        <f>SUMIFS('Order Details'!$U:$U,'Order Details'!$A:$A,'Order Summary'!$B255,'Order Details'!$B:$B,'Order Summary'!$C255,'Order Details'!$E:$E,"Yes")</f>
        <v>0</v>
      </c>
      <c r="L255" s="261">
        <f>SUMIFS('Order Details'!$P:$P,'Order Details'!$A:$A,'Order Summary'!$B255,'Order Details'!$B:$B,'Order Summary'!$C255,'Order Details'!$E:$E,"Yes")</f>
        <v>0</v>
      </c>
      <c r="M255" s="133"/>
      <c r="N255" s="164"/>
      <c r="O255" s="171" t="str">
        <f t="shared" si="73"/>
        <v/>
      </c>
      <c r="P255" s="302">
        <f>ROUND(SUMIFS('Order Details'!$V:$V,'Order Details'!$A:$A,'Order Summary'!$B255,'Order Details'!$B:$B,'Order Summary'!$C255,'Order Details'!$E:$E,"Yes"),2)</f>
        <v>0</v>
      </c>
      <c r="Q255" s="164"/>
      <c r="R255" s="171" t="str">
        <f t="shared" si="74"/>
        <v/>
      </c>
      <c r="S255" s="137"/>
      <c r="T255" s="165" t="str">
        <f>IF(Q255="","",Q255+_xlfn.MAXIFS('Order Details'!$W:$W,'Order Details'!$A:$A,'Order Summary'!$B255,'Order Details'!$B:$B,'Order Summary'!$C255,'Order Details'!$E:$E,"Yes"))</f>
        <v/>
      </c>
      <c r="U255" s="164" t="str">
        <f>IF(T255="","",T255+VLOOKUP($J255,'Master Data'!$F$6:$G$9,2,FALSE))</f>
        <v/>
      </c>
      <c r="V255" s="133"/>
      <c r="W255" s="133"/>
      <c r="X255" s="133"/>
      <c r="Y255" s="133"/>
      <c r="Z255" s="309" t="str">
        <f>IF($Y255="","",IF(VLOOKUP($Y255,'Master Data'!$F$12:$I$17,2,FALSE)="","",VLOOKUP($Y255,'Master Data'!$F$12:$I$17,2,FALSE)))</f>
        <v/>
      </c>
      <c r="AA255" s="164"/>
      <c r="AB255" s="171" t="str">
        <f t="shared" si="61"/>
        <v/>
      </c>
      <c r="AC255" s="133"/>
      <c r="AD255" s="164"/>
      <c r="AE255" s="164"/>
      <c r="AF255" s="137"/>
      <c r="AG255" s="137"/>
      <c r="AH255" s="137">
        <f t="shared" si="75"/>
        <v>0</v>
      </c>
      <c r="AI255" s="137">
        <f t="shared" si="76"/>
        <v>0</v>
      </c>
      <c r="AJ255" s="164"/>
      <c r="AK255" s="171" t="str">
        <f t="shared" si="77"/>
        <v/>
      </c>
      <c r="AL255" s="137"/>
      <c r="AM255" s="164" t="str">
        <f t="shared" si="78"/>
        <v/>
      </c>
      <c r="AN255" s="303" t="str">
        <f t="shared" si="79"/>
        <v/>
      </c>
      <c r="AO255" s="164"/>
    </row>
    <row r="256" spans="1:41" x14ac:dyDescent="0.35">
      <c r="A256" s="133"/>
      <c r="B256" s="133"/>
      <c r="C256" s="133"/>
      <c r="D256" s="133" t="str">
        <f t="shared" si="71"/>
        <v>-</v>
      </c>
      <c r="E256" s="133"/>
      <c r="F256" s="164"/>
      <c r="G256" s="134" t="str">
        <f t="shared" si="72"/>
        <v>Yes</v>
      </c>
      <c r="H256" s="135">
        <f>SUMIFS('Order Details'!$R:$R,'Order Details'!$A:$A,'Order Summary'!$B256,'Order Details'!$B:$B,'Order Summary'!$C256,'Order Details'!$E:$E,"Yes")</f>
        <v>0</v>
      </c>
      <c r="I256" s="133"/>
      <c r="J256" s="133" t="e">
        <f>VLOOKUP($I256,'Master Data'!$L$5:$M$15,2,FALSE)</f>
        <v>#N/A</v>
      </c>
      <c r="K256" s="137">
        <f>SUMIFS('Order Details'!$U:$U,'Order Details'!$A:$A,'Order Summary'!$B256,'Order Details'!$B:$B,'Order Summary'!$C256,'Order Details'!$E:$E,"Yes")</f>
        <v>0</v>
      </c>
      <c r="L256" s="261">
        <f>SUMIFS('Order Details'!$P:$P,'Order Details'!$A:$A,'Order Summary'!$B256,'Order Details'!$B:$B,'Order Summary'!$C256,'Order Details'!$E:$E,"Yes")</f>
        <v>0</v>
      </c>
      <c r="M256" s="133"/>
      <c r="N256" s="164"/>
      <c r="O256" s="171" t="str">
        <f t="shared" si="73"/>
        <v/>
      </c>
      <c r="P256" s="302">
        <f>ROUND(SUMIFS('Order Details'!$V:$V,'Order Details'!$A:$A,'Order Summary'!$B256,'Order Details'!$B:$B,'Order Summary'!$C256,'Order Details'!$E:$E,"Yes"),2)</f>
        <v>0</v>
      </c>
      <c r="Q256" s="164"/>
      <c r="R256" s="171" t="str">
        <f t="shared" si="74"/>
        <v/>
      </c>
      <c r="S256" s="137"/>
      <c r="T256" s="165" t="str">
        <f>IF(Q256="","",Q256+_xlfn.MAXIFS('Order Details'!$W:$W,'Order Details'!$A:$A,'Order Summary'!$B256,'Order Details'!$B:$B,'Order Summary'!$C256,'Order Details'!$E:$E,"Yes"))</f>
        <v/>
      </c>
      <c r="U256" s="164" t="str">
        <f>IF(T256="","",T256+VLOOKUP($J256,'Master Data'!$F$6:$G$9,2,FALSE))</f>
        <v/>
      </c>
      <c r="V256" s="133"/>
      <c r="W256" s="133"/>
      <c r="X256" s="133"/>
      <c r="Y256" s="133"/>
      <c r="Z256" s="309" t="str">
        <f>IF($Y256="","",IF(VLOOKUP($Y256,'Master Data'!$F$12:$I$17,2,FALSE)="","",VLOOKUP($Y256,'Master Data'!$F$12:$I$17,2,FALSE)))</f>
        <v/>
      </c>
      <c r="AA256" s="164"/>
      <c r="AB256" s="171" t="str">
        <f t="shared" si="61"/>
        <v/>
      </c>
      <c r="AC256" s="133"/>
      <c r="AD256" s="164"/>
      <c r="AE256" s="164"/>
      <c r="AF256" s="137"/>
      <c r="AG256" s="137"/>
      <c r="AH256" s="137">
        <f t="shared" si="75"/>
        <v>0</v>
      </c>
      <c r="AI256" s="137">
        <f t="shared" si="76"/>
        <v>0</v>
      </c>
      <c r="AJ256" s="164"/>
      <c r="AK256" s="171" t="str">
        <f t="shared" si="77"/>
        <v/>
      </c>
      <c r="AL256" s="137"/>
      <c r="AM256" s="164" t="str">
        <f t="shared" si="78"/>
        <v/>
      </c>
      <c r="AN256" s="303" t="str">
        <f t="shared" si="79"/>
        <v/>
      </c>
      <c r="AO256" s="164"/>
    </row>
    <row r="257" spans="1:41" x14ac:dyDescent="0.35">
      <c r="A257" s="133"/>
      <c r="B257" s="133"/>
      <c r="C257" s="133"/>
      <c r="D257" s="133" t="str">
        <f t="shared" si="71"/>
        <v>-</v>
      </c>
      <c r="E257" s="133"/>
      <c r="F257" s="164"/>
      <c r="G257" s="134" t="str">
        <f t="shared" si="72"/>
        <v>Yes</v>
      </c>
      <c r="H257" s="135">
        <f>SUMIFS('Order Details'!$R:$R,'Order Details'!$A:$A,'Order Summary'!$B257,'Order Details'!$B:$B,'Order Summary'!$C257,'Order Details'!$E:$E,"Yes")</f>
        <v>0</v>
      </c>
      <c r="I257" s="133"/>
      <c r="J257" s="133" t="e">
        <f>VLOOKUP($I257,'Master Data'!$L$5:$M$15,2,FALSE)</f>
        <v>#N/A</v>
      </c>
      <c r="K257" s="137">
        <f>SUMIFS('Order Details'!$U:$U,'Order Details'!$A:$A,'Order Summary'!$B257,'Order Details'!$B:$B,'Order Summary'!$C257,'Order Details'!$E:$E,"Yes")</f>
        <v>0</v>
      </c>
      <c r="L257" s="261">
        <f>SUMIFS('Order Details'!$P:$P,'Order Details'!$A:$A,'Order Summary'!$B257,'Order Details'!$B:$B,'Order Summary'!$C257,'Order Details'!$E:$E,"Yes")</f>
        <v>0</v>
      </c>
      <c r="M257" s="133"/>
      <c r="N257" s="164"/>
      <c r="O257" s="171" t="str">
        <f t="shared" si="73"/>
        <v/>
      </c>
      <c r="P257" s="302">
        <f>ROUND(SUMIFS('Order Details'!$V:$V,'Order Details'!$A:$A,'Order Summary'!$B257,'Order Details'!$B:$B,'Order Summary'!$C257,'Order Details'!$E:$E,"Yes"),2)</f>
        <v>0</v>
      </c>
      <c r="Q257" s="164"/>
      <c r="R257" s="171" t="str">
        <f t="shared" si="74"/>
        <v/>
      </c>
      <c r="S257" s="137"/>
      <c r="T257" s="165" t="str">
        <f>IF(Q257="","",Q257+_xlfn.MAXIFS('Order Details'!$W:$W,'Order Details'!$A:$A,'Order Summary'!$B257,'Order Details'!$B:$B,'Order Summary'!$C257,'Order Details'!$E:$E,"Yes"))</f>
        <v/>
      </c>
      <c r="U257" s="164" t="str">
        <f>IF(T257="","",T257+VLOOKUP($J257,'Master Data'!$F$6:$G$9,2,FALSE))</f>
        <v/>
      </c>
      <c r="V257" s="133"/>
      <c r="W257" s="133"/>
      <c r="X257" s="133"/>
      <c r="Y257" s="133"/>
      <c r="Z257" s="309" t="str">
        <f>IF($Y257="","",IF(VLOOKUP($Y257,'Master Data'!$F$12:$I$17,2,FALSE)="","",VLOOKUP($Y257,'Master Data'!$F$12:$I$17,2,FALSE)))</f>
        <v/>
      </c>
      <c r="AA257" s="164"/>
      <c r="AB257" s="171" t="str">
        <f t="shared" si="61"/>
        <v/>
      </c>
      <c r="AC257" s="133"/>
      <c r="AD257" s="164"/>
      <c r="AE257" s="164"/>
      <c r="AF257" s="137"/>
      <c r="AG257" s="137"/>
      <c r="AH257" s="137">
        <f t="shared" si="75"/>
        <v>0</v>
      </c>
      <c r="AI257" s="137">
        <f t="shared" si="76"/>
        <v>0</v>
      </c>
      <c r="AJ257" s="164"/>
      <c r="AK257" s="171" t="str">
        <f t="shared" si="77"/>
        <v/>
      </c>
      <c r="AL257" s="137"/>
      <c r="AM257" s="164" t="str">
        <f t="shared" si="78"/>
        <v/>
      </c>
      <c r="AN257" s="303" t="str">
        <f t="shared" si="79"/>
        <v/>
      </c>
      <c r="AO257" s="164"/>
    </row>
    <row r="258" spans="1:41" x14ac:dyDescent="0.35">
      <c r="A258" s="133"/>
      <c r="B258" s="133"/>
      <c r="C258" s="133"/>
      <c r="D258" s="133" t="str">
        <f t="shared" si="71"/>
        <v>-</v>
      </c>
      <c r="E258" s="133"/>
      <c r="F258" s="164"/>
      <c r="G258" s="134" t="str">
        <f t="shared" si="72"/>
        <v>Yes</v>
      </c>
      <c r="H258" s="135">
        <f>SUMIFS('Order Details'!$R:$R,'Order Details'!$A:$A,'Order Summary'!$B258,'Order Details'!$B:$B,'Order Summary'!$C258,'Order Details'!$E:$E,"Yes")</f>
        <v>0</v>
      </c>
      <c r="I258" s="133"/>
      <c r="J258" s="133" t="e">
        <f>VLOOKUP($I258,'Master Data'!$L$5:$M$15,2,FALSE)</f>
        <v>#N/A</v>
      </c>
      <c r="K258" s="137">
        <f>SUMIFS('Order Details'!$U:$U,'Order Details'!$A:$A,'Order Summary'!$B258,'Order Details'!$B:$B,'Order Summary'!$C258,'Order Details'!$E:$E,"Yes")</f>
        <v>0</v>
      </c>
      <c r="L258" s="261">
        <f>SUMIFS('Order Details'!$P:$P,'Order Details'!$A:$A,'Order Summary'!$B258,'Order Details'!$B:$B,'Order Summary'!$C258,'Order Details'!$E:$E,"Yes")</f>
        <v>0</v>
      </c>
      <c r="M258" s="133"/>
      <c r="N258" s="164"/>
      <c r="O258" s="171" t="str">
        <f t="shared" si="73"/>
        <v/>
      </c>
      <c r="P258" s="302">
        <f>ROUND(SUMIFS('Order Details'!$V:$V,'Order Details'!$A:$A,'Order Summary'!$B258,'Order Details'!$B:$B,'Order Summary'!$C258,'Order Details'!$E:$E,"Yes"),2)</f>
        <v>0</v>
      </c>
      <c r="Q258" s="164"/>
      <c r="R258" s="171" t="str">
        <f t="shared" si="74"/>
        <v/>
      </c>
      <c r="S258" s="137"/>
      <c r="T258" s="165" t="str">
        <f>IF(Q258="","",Q258+_xlfn.MAXIFS('Order Details'!$W:$W,'Order Details'!$A:$A,'Order Summary'!$B258,'Order Details'!$B:$B,'Order Summary'!$C258,'Order Details'!$E:$E,"Yes"))</f>
        <v/>
      </c>
      <c r="U258" s="164" t="str">
        <f>IF(T258="","",T258+VLOOKUP($J258,'Master Data'!$F$6:$G$9,2,FALSE))</f>
        <v/>
      </c>
      <c r="V258" s="133"/>
      <c r="W258" s="133"/>
      <c r="X258" s="133"/>
      <c r="Y258" s="133"/>
      <c r="Z258" s="309" t="str">
        <f>IF($Y258="","",IF(VLOOKUP($Y258,'Master Data'!$F$12:$I$17,2,FALSE)="","",VLOOKUP($Y258,'Master Data'!$F$12:$I$17,2,FALSE)))</f>
        <v/>
      </c>
      <c r="AA258" s="164"/>
      <c r="AB258" s="171" t="str">
        <f t="shared" si="61"/>
        <v/>
      </c>
      <c r="AC258" s="133"/>
      <c r="AD258" s="164"/>
      <c r="AE258" s="164"/>
      <c r="AF258" s="137"/>
      <c r="AG258" s="137"/>
      <c r="AH258" s="137">
        <f t="shared" si="75"/>
        <v>0</v>
      </c>
      <c r="AI258" s="137">
        <f t="shared" si="76"/>
        <v>0</v>
      </c>
      <c r="AJ258" s="164"/>
      <c r="AK258" s="171" t="str">
        <f t="shared" si="77"/>
        <v/>
      </c>
      <c r="AL258" s="137"/>
      <c r="AM258" s="164" t="str">
        <f t="shared" si="78"/>
        <v/>
      </c>
      <c r="AN258" s="303" t="str">
        <f t="shared" si="79"/>
        <v/>
      </c>
      <c r="AO258" s="164"/>
    </row>
    <row r="259" spans="1:41" x14ac:dyDescent="0.35">
      <c r="A259" s="133"/>
      <c r="B259" s="133"/>
      <c r="C259" s="133"/>
      <c r="D259" s="133" t="str">
        <f t="shared" si="71"/>
        <v>-</v>
      </c>
      <c r="E259" s="133"/>
      <c r="F259" s="164"/>
      <c r="G259" s="134" t="str">
        <f t="shared" si="72"/>
        <v>Yes</v>
      </c>
      <c r="H259" s="135">
        <f>SUMIFS('Order Details'!$R:$R,'Order Details'!$A:$A,'Order Summary'!$B259,'Order Details'!$B:$B,'Order Summary'!$C259,'Order Details'!$E:$E,"Yes")</f>
        <v>0</v>
      </c>
      <c r="I259" s="133"/>
      <c r="J259" s="133" t="e">
        <f>VLOOKUP($I259,'Master Data'!$L$5:$M$15,2,FALSE)</f>
        <v>#N/A</v>
      </c>
      <c r="K259" s="137">
        <f>SUMIFS('Order Details'!$U:$U,'Order Details'!$A:$A,'Order Summary'!$B259,'Order Details'!$B:$B,'Order Summary'!$C259,'Order Details'!$E:$E,"Yes")</f>
        <v>0</v>
      </c>
      <c r="L259" s="261">
        <f>SUMIFS('Order Details'!$P:$P,'Order Details'!$A:$A,'Order Summary'!$B259,'Order Details'!$B:$B,'Order Summary'!$C259,'Order Details'!$E:$E,"Yes")</f>
        <v>0</v>
      </c>
      <c r="M259" s="133"/>
      <c r="N259" s="164"/>
      <c r="O259" s="171" t="str">
        <f t="shared" si="73"/>
        <v/>
      </c>
      <c r="P259" s="302">
        <f>ROUND(SUMIFS('Order Details'!$V:$V,'Order Details'!$A:$A,'Order Summary'!$B259,'Order Details'!$B:$B,'Order Summary'!$C259,'Order Details'!$E:$E,"Yes"),2)</f>
        <v>0</v>
      </c>
      <c r="Q259" s="164"/>
      <c r="R259" s="171" t="str">
        <f t="shared" si="74"/>
        <v/>
      </c>
      <c r="S259" s="137"/>
      <c r="T259" s="165" t="str">
        <f>IF(Q259="","",Q259+_xlfn.MAXIFS('Order Details'!$W:$W,'Order Details'!$A:$A,'Order Summary'!$B259,'Order Details'!$B:$B,'Order Summary'!$C259,'Order Details'!$E:$E,"Yes"))</f>
        <v/>
      </c>
      <c r="U259" s="164" t="str">
        <f>IF(T259="","",T259+VLOOKUP($J259,'Master Data'!$F$6:$G$9,2,FALSE))</f>
        <v/>
      </c>
      <c r="V259" s="133"/>
      <c r="W259" s="133"/>
      <c r="X259" s="133"/>
      <c r="Y259" s="133"/>
      <c r="Z259" s="309" t="str">
        <f>IF($Y259="","",IF(VLOOKUP($Y259,'Master Data'!$F$12:$I$17,2,FALSE)="","",VLOOKUP($Y259,'Master Data'!$F$12:$I$17,2,FALSE)))</f>
        <v/>
      </c>
      <c r="AA259" s="164"/>
      <c r="AB259" s="171" t="str">
        <f t="shared" si="61"/>
        <v/>
      </c>
      <c r="AC259" s="133"/>
      <c r="AD259" s="164"/>
      <c r="AE259" s="164"/>
      <c r="AF259" s="137"/>
      <c r="AG259" s="137"/>
      <c r="AH259" s="137">
        <f t="shared" si="75"/>
        <v>0</v>
      </c>
      <c r="AI259" s="137">
        <f t="shared" si="76"/>
        <v>0</v>
      </c>
      <c r="AJ259" s="164"/>
      <c r="AK259" s="171" t="str">
        <f t="shared" si="77"/>
        <v/>
      </c>
      <c r="AL259" s="137"/>
      <c r="AM259" s="164" t="str">
        <f t="shared" si="78"/>
        <v/>
      </c>
      <c r="AN259" s="303" t="str">
        <f t="shared" si="79"/>
        <v/>
      </c>
      <c r="AO259" s="164"/>
    </row>
    <row r="260" spans="1:41" x14ac:dyDescent="0.35">
      <c r="A260" s="133"/>
      <c r="B260" s="133"/>
      <c r="C260" s="133"/>
      <c r="D260" s="133" t="str">
        <f t="shared" si="71"/>
        <v>-</v>
      </c>
      <c r="E260" s="133"/>
      <c r="F260" s="164"/>
      <c r="G260" s="134" t="str">
        <f t="shared" si="72"/>
        <v>Yes</v>
      </c>
      <c r="H260" s="135">
        <f>SUMIFS('Order Details'!$R:$R,'Order Details'!$A:$A,'Order Summary'!$B260,'Order Details'!$B:$B,'Order Summary'!$C260,'Order Details'!$E:$E,"Yes")</f>
        <v>0</v>
      </c>
      <c r="I260" s="133"/>
      <c r="J260" s="133" t="e">
        <f>VLOOKUP($I260,'Master Data'!$L$5:$M$15,2,FALSE)</f>
        <v>#N/A</v>
      </c>
      <c r="K260" s="137">
        <f>SUMIFS('Order Details'!$U:$U,'Order Details'!$A:$A,'Order Summary'!$B260,'Order Details'!$B:$B,'Order Summary'!$C260,'Order Details'!$E:$E,"Yes")</f>
        <v>0</v>
      </c>
      <c r="L260" s="261">
        <f>SUMIFS('Order Details'!$P:$P,'Order Details'!$A:$A,'Order Summary'!$B260,'Order Details'!$B:$B,'Order Summary'!$C260,'Order Details'!$E:$E,"Yes")</f>
        <v>0</v>
      </c>
      <c r="M260" s="133"/>
      <c r="N260" s="164"/>
      <c r="O260" s="171" t="str">
        <f t="shared" si="73"/>
        <v/>
      </c>
      <c r="P260" s="302">
        <f>ROUND(SUMIFS('Order Details'!$V:$V,'Order Details'!$A:$A,'Order Summary'!$B260,'Order Details'!$B:$B,'Order Summary'!$C260,'Order Details'!$E:$E,"Yes"),2)</f>
        <v>0</v>
      </c>
      <c r="Q260" s="164"/>
      <c r="R260" s="171" t="str">
        <f t="shared" si="74"/>
        <v/>
      </c>
      <c r="S260" s="137"/>
      <c r="T260" s="165" t="str">
        <f>IF(Q260="","",Q260+_xlfn.MAXIFS('Order Details'!$W:$W,'Order Details'!$A:$A,'Order Summary'!$B260,'Order Details'!$B:$B,'Order Summary'!$C260,'Order Details'!$E:$E,"Yes"))</f>
        <v/>
      </c>
      <c r="U260" s="164" t="str">
        <f>IF(T260="","",T260+VLOOKUP($J260,'Master Data'!$F$6:$G$9,2,FALSE))</f>
        <v/>
      </c>
      <c r="V260" s="133"/>
      <c r="W260" s="133"/>
      <c r="X260" s="133"/>
      <c r="Y260" s="133"/>
      <c r="Z260" s="309" t="str">
        <f>IF($Y260="","",IF(VLOOKUP($Y260,'Master Data'!$F$12:$I$17,2,FALSE)="","",VLOOKUP($Y260,'Master Data'!$F$12:$I$17,2,FALSE)))</f>
        <v/>
      </c>
      <c r="AA260" s="164"/>
      <c r="AB260" s="171" t="str">
        <f t="shared" si="61"/>
        <v/>
      </c>
      <c r="AC260" s="133"/>
      <c r="AD260" s="164"/>
      <c r="AE260" s="164"/>
      <c r="AF260" s="137"/>
      <c r="AG260" s="137"/>
      <c r="AH260" s="137">
        <f t="shared" si="75"/>
        <v>0</v>
      </c>
      <c r="AI260" s="137">
        <f t="shared" si="76"/>
        <v>0</v>
      </c>
      <c r="AJ260" s="164"/>
      <c r="AK260" s="171" t="str">
        <f t="shared" si="77"/>
        <v/>
      </c>
      <c r="AL260" s="137"/>
      <c r="AM260" s="164" t="str">
        <f t="shared" si="78"/>
        <v/>
      </c>
      <c r="AN260" s="303" t="str">
        <f t="shared" si="79"/>
        <v/>
      </c>
      <c r="AO260" s="164"/>
    </row>
    <row r="261" spans="1:41" x14ac:dyDescent="0.35">
      <c r="A261" s="133"/>
      <c r="B261" s="133"/>
      <c r="C261" s="133"/>
      <c r="D261" s="133" t="str">
        <f t="shared" si="71"/>
        <v>-</v>
      </c>
      <c r="E261" s="133"/>
      <c r="F261" s="164"/>
      <c r="G261" s="134" t="str">
        <f t="shared" si="72"/>
        <v>Yes</v>
      </c>
      <c r="H261" s="135">
        <f>SUMIFS('Order Details'!$R:$R,'Order Details'!$A:$A,'Order Summary'!$B261,'Order Details'!$B:$B,'Order Summary'!$C261,'Order Details'!$E:$E,"Yes")</f>
        <v>0</v>
      </c>
      <c r="I261" s="133"/>
      <c r="J261" s="133" t="e">
        <f>VLOOKUP($I261,'Master Data'!$L$5:$M$15,2,FALSE)</f>
        <v>#N/A</v>
      </c>
      <c r="K261" s="137">
        <f>SUMIFS('Order Details'!$U:$U,'Order Details'!$A:$A,'Order Summary'!$B261,'Order Details'!$B:$B,'Order Summary'!$C261,'Order Details'!$E:$E,"Yes")</f>
        <v>0</v>
      </c>
      <c r="L261" s="261">
        <f>SUMIFS('Order Details'!$P:$P,'Order Details'!$A:$A,'Order Summary'!$B261,'Order Details'!$B:$B,'Order Summary'!$C261,'Order Details'!$E:$E,"Yes")</f>
        <v>0</v>
      </c>
      <c r="M261" s="133"/>
      <c r="N261" s="164"/>
      <c r="O261" s="171" t="str">
        <f t="shared" si="73"/>
        <v/>
      </c>
      <c r="P261" s="302">
        <f>ROUND(SUMIFS('Order Details'!$V:$V,'Order Details'!$A:$A,'Order Summary'!$B261,'Order Details'!$B:$B,'Order Summary'!$C261,'Order Details'!$E:$E,"Yes"),2)</f>
        <v>0</v>
      </c>
      <c r="Q261" s="164"/>
      <c r="R261" s="171" t="str">
        <f t="shared" si="74"/>
        <v/>
      </c>
      <c r="S261" s="137"/>
      <c r="T261" s="165" t="str">
        <f>IF(Q261="","",Q261+_xlfn.MAXIFS('Order Details'!$W:$W,'Order Details'!$A:$A,'Order Summary'!$B261,'Order Details'!$B:$B,'Order Summary'!$C261,'Order Details'!$E:$E,"Yes"))</f>
        <v/>
      </c>
      <c r="U261" s="164" t="str">
        <f>IF(T261="","",T261+VLOOKUP($J261,'Master Data'!$F$6:$G$9,2,FALSE))</f>
        <v/>
      </c>
      <c r="V261" s="133"/>
      <c r="W261" s="133"/>
      <c r="X261" s="133"/>
      <c r="Y261" s="133"/>
      <c r="Z261" s="309" t="str">
        <f>IF($Y261="","",IF(VLOOKUP($Y261,'Master Data'!$F$12:$I$17,2,FALSE)="","",VLOOKUP($Y261,'Master Data'!$F$12:$I$17,2,FALSE)))</f>
        <v/>
      </c>
      <c r="AA261" s="164"/>
      <c r="AB261" s="171" t="str">
        <f t="shared" si="61"/>
        <v/>
      </c>
      <c r="AC261" s="133"/>
      <c r="AD261" s="164"/>
      <c r="AE261" s="164"/>
      <c r="AF261" s="137"/>
      <c r="AG261" s="137"/>
      <c r="AH261" s="137">
        <f t="shared" si="75"/>
        <v>0</v>
      </c>
      <c r="AI261" s="137">
        <f t="shared" si="76"/>
        <v>0</v>
      </c>
      <c r="AJ261" s="164"/>
      <c r="AK261" s="171" t="str">
        <f t="shared" si="77"/>
        <v/>
      </c>
      <c r="AL261" s="137"/>
      <c r="AM261" s="164" t="str">
        <f t="shared" si="78"/>
        <v/>
      </c>
      <c r="AN261" s="303" t="str">
        <f t="shared" si="79"/>
        <v/>
      </c>
      <c r="AO261" s="164"/>
    </row>
    <row r="262" spans="1:41" x14ac:dyDescent="0.35">
      <c r="A262" s="133"/>
      <c r="B262" s="133"/>
      <c r="C262" s="133"/>
      <c r="D262" s="133" t="str">
        <f t="shared" si="71"/>
        <v>-</v>
      </c>
      <c r="E262" s="133"/>
      <c r="F262" s="164"/>
      <c r="G262" s="134" t="str">
        <f t="shared" si="72"/>
        <v>Yes</v>
      </c>
      <c r="H262" s="135">
        <f>SUMIFS('Order Details'!$R:$R,'Order Details'!$A:$A,'Order Summary'!$B262,'Order Details'!$B:$B,'Order Summary'!$C262,'Order Details'!$E:$E,"Yes")</f>
        <v>0</v>
      </c>
      <c r="I262" s="133"/>
      <c r="J262" s="133" t="e">
        <f>VLOOKUP($I262,'Master Data'!$L$5:$M$15,2,FALSE)</f>
        <v>#N/A</v>
      </c>
      <c r="K262" s="137">
        <f>SUMIFS('Order Details'!$U:$U,'Order Details'!$A:$A,'Order Summary'!$B262,'Order Details'!$B:$B,'Order Summary'!$C262,'Order Details'!$E:$E,"Yes")</f>
        <v>0</v>
      </c>
      <c r="L262" s="261">
        <f>SUMIFS('Order Details'!$P:$P,'Order Details'!$A:$A,'Order Summary'!$B262,'Order Details'!$B:$B,'Order Summary'!$C262,'Order Details'!$E:$E,"Yes")</f>
        <v>0</v>
      </c>
      <c r="M262" s="133"/>
      <c r="N262" s="164"/>
      <c r="O262" s="171" t="str">
        <f t="shared" si="73"/>
        <v/>
      </c>
      <c r="P262" s="302">
        <f>ROUND(SUMIFS('Order Details'!$V:$V,'Order Details'!$A:$A,'Order Summary'!$B262,'Order Details'!$B:$B,'Order Summary'!$C262,'Order Details'!$E:$E,"Yes"),2)</f>
        <v>0</v>
      </c>
      <c r="Q262" s="164"/>
      <c r="R262" s="171" t="str">
        <f t="shared" si="74"/>
        <v/>
      </c>
      <c r="S262" s="137"/>
      <c r="T262" s="165" t="str">
        <f>IF(Q262="","",Q262+_xlfn.MAXIFS('Order Details'!$W:$W,'Order Details'!$A:$A,'Order Summary'!$B262,'Order Details'!$B:$B,'Order Summary'!$C262,'Order Details'!$E:$E,"Yes"))</f>
        <v/>
      </c>
      <c r="U262" s="164" t="str">
        <f>IF(T262="","",T262+VLOOKUP($J262,'Master Data'!$F$6:$G$9,2,FALSE))</f>
        <v/>
      </c>
      <c r="V262" s="133"/>
      <c r="W262" s="133"/>
      <c r="X262" s="133"/>
      <c r="Y262" s="133"/>
      <c r="Z262" s="309" t="str">
        <f>IF($Y262="","",IF(VLOOKUP($Y262,'Master Data'!$F$12:$I$17,2,FALSE)="","",VLOOKUP($Y262,'Master Data'!$F$12:$I$17,2,FALSE)))</f>
        <v/>
      </c>
      <c r="AA262" s="164"/>
      <c r="AB262" s="171" t="str">
        <f t="shared" si="61"/>
        <v/>
      </c>
      <c r="AC262" s="133"/>
      <c r="AD262" s="164"/>
      <c r="AE262" s="164"/>
      <c r="AF262" s="137"/>
      <c r="AG262" s="137"/>
      <c r="AH262" s="137">
        <f t="shared" si="75"/>
        <v>0</v>
      </c>
      <c r="AI262" s="137">
        <f t="shared" si="76"/>
        <v>0</v>
      </c>
      <c r="AJ262" s="164"/>
      <c r="AK262" s="171" t="str">
        <f t="shared" si="77"/>
        <v/>
      </c>
      <c r="AL262" s="137"/>
      <c r="AM262" s="164" t="str">
        <f t="shared" si="78"/>
        <v/>
      </c>
      <c r="AN262" s="303" t="str">
        <f t="shared" si="79"/>
        <v/>
      </c>
      <c r="AO262" s="164"/>
    </row>
    <row r="263" spans="1:41" x14ac:dyDescent="0.35">
      <c r="A263" s="133"/>
      <c r="B263" s="133"/>
      <c r="C263" s="133"/>
      <c r="D263" s="133" t="str">
        <f t="shared" si="71"/>
        <v>-</v>
      </c>
      <c r="E263" s="133"/>
      <c r="F263" s="164"/>
      <c r="G263" s="134" t="str">
        <f t="shared" si="72"/>
        <v>Yes</v>
      </c>
      <c r="H263" s="135">
        <f>SUMIFS('Order Details'!$R:$R,'Order Details'!$A:$A,'Order Summary'!$B263,'Order Details'!$B:$B,'Order Summary'!$C263,'Order Details'!$E:$E,"Yes")</f>
        <v>0</v>
      </c>
      <c r="I263" s="133"/>
      <c r="J263" s="133" t="e">
        <f>VLOOKUP($I263,'Master Data'!$L$5:$M$15,2,FALSE)</f>
        <v>#N/A</v>
      </c>
      <c r="K263" s="137">
        <f>SUMIFS('Order Details'!$U:$U,'Order Details'!$A:$A,'Order Summary'!$B263,'Order Details'!$B:$B,'Order Summary'!$C263,'Order Details'!$E:$E,"Yes")</f>
        <v>0</v>
      </c>
      <c r="L263" s="261">
        <f>SUMIFS('Order Details'!$P:$P,'Order Details'!$A:$A,'Order Summary'!$B263,'Order Details'!$B:$B,'Order Summary'!$C263,'Order Details'!$E:$E,"Yes")</f>
        <v>0</v>
      </c>
      <c r="M263" s="133"/>
      <c r="N263" s="164"/>
      <c r="O263" s="171" t="str">
        <f t="shared" si="73"/>
        <v/>
      </c>
      <c r="P263" s="302">
        <f>ROUND(SUMIFS('Order Details'!$V:$V,'Order Details'!$A:$A,'Order Summary'!$B263,'Order Details'!$B:$B,'Order Summary'!$C263,'Order Details'!$E:$E,"Yes"),2)</f>
        <v>0</v>
      </c>
      <c r="Q263" s="164"/>
      <c r="R263" s="171" t="str">
        <f t="shared" si="74"/>
        <v/>
      </c>
      <c r="S263" s="137"/>
      <c r="T263" s="165" t="str">
        <f>IF(Q263="","",Q263+_xlfn.MAXIFS('Order Details'!$W:$W,'Order Details'!$A:$A,'Order Summary'!$B263,'Order Details'!$B:$B,'Order Summary'!$C263,'Order Details'!$E:$E,"Yes"))</f>
        <v/>
      </c>
      <c r="U263" s="164" t="str">
        <f>IF(T263="","",T263+VLOOKUP($J263,'Master Data'!$F$6:$G$9,2,FALSE))</f>
        <v/>
      </c>
      <c r="V263" s="133"/>
      <c r="W263" s="133"/>
      <c r="X263" s="133"/>
      <c r="Y263" s="133"/>
      <c r="Z263" s="309" t="str">
        <f>IF($Y263="","",IF(VLOOKUP($Y263,'Master Data'!$F$12:$I$17,2,FALSE)="","",VLOOKUP($Y263,'Master Data'!$F$12:$I$17,2,FALSE)))</f>
        <v/>
      </c>
      <c r="AA263" s="164"/>
      <c r="AB263" s="171" t="str">
        <f t="shared" si="61"/>
        <v/>
      </c>
      <c r="AC263" s="133"/>
      <c r="AD263" s="164"/>
      <c r="AE263" s="164"/>
      <c r="AF263" s="137"/>
      <c r="AG263" s="137"/>
      <c r="AH263" s="137">
        <f t="shared" si="75"/>
        <v>0</v>
      </c>
      <c r="AI263" s="137">
        <f t="shared" si="76"/>
        <v>0</v>
      </c>
      <c r="AJ263" s="164"/>
      <c r="AK263" s="171" t="str">
        <f t="shared" si="77"/>
        <v/>
      </c>
      <c r="AL263" s="137"/>
      <c r="AM263" s="164" t="str">
        <f t="shared" si="78"/>
        <v/>
      </c>
      <c r="AN263" s="303" t="str">
        <f t="shared" si="79"/>
        <v/>
      </c>
      <c r="AO263" s="164"/>
    </row>
    <row r="264" spans="1:41" x14ac:dyDescent="0.35">
      <c r="A264" s="133"/>
      <c r="B264" s="133"/>
      <c r="C264" s="133"/>
      <c r="D264" s="133" t="str">
        <f t="shared" si="71"/>
        <v>-</v>
      </c>
      <c r="E264" s="133"/>
      <c r="F264" s="164"/>
      <c r="G264" s="134" t="str">
        <f t="shared" si="72"/>
        <v>Yes</v>
      </c>
      <c r="H264" s="135">
        <f>SUMIFS('Order Details'!$R:$R,'Order Details'!$A:$A,'Order Summary'!$B264,'Order Details'!$B:$B,'Order Summary'!$C264,'Order Details'!$E:$E,"Yes")</f>
        <v>0</v>
      </c>
      <c r="I264" s="133"/>
      <c r="J264" s="133" t="e">
        <f>VLOOKUP($I264,'Master Data'!$L$5:$M$15,2,FALSE)</f>
        <v>#N/A</v>
      </c>
      <c r="K264" s="137">
        <f>SUMIFS('Order Details'!$U:$U,'Order Details'!$A:$A,'Order Summary'!$B264,'Order Details'!$B:$B,'Order Summary'!$C264,'Order Details'!$E:$E,"Yes")</f>
        <v>0</v>
      </c>
      <c r="L264" s="261">
        <f>SUMIFS('Order Details'!$P:$P,'Order Details'!$A:$A,'Order Summary'!$B264,'Order Details'!$B:$B,'Order Summary'!$C264,'Order Details'!$E:$E,"Yes")</f>
        <v>0</v>
      </c>
      <c r="M264" s="133"/>
      <c r="N264" s="164"/>
      <c r="O264" s="171" t="str">
        <f t="shared" si="73"/>
        <v/>
      </c>
      <c r="P264" s="302">
        <f>ROUND(SUMIFS('Order Details'!$V:$V,'Order Details'!$A:$A,'Order Summary'!$B264,'Order Details'!$B:$B,'Order Summary'!$C264,'Order Details'!$E:$E,"Yes"),2)</f>
        <v>0</v>
      </c>
      <c r="Q264" s="164"/>
      <c r="R264" s="171" t="str">
        <f t="shared" si="74"/>
        <v/>
      </c>
      <c r="S264" s="137"/>
      <c r="T264" s="165" t="str">
        <f>IF(Q264="","",Q264+_xlfn.MAXIFS('Order Details'!$W:$W,'Order Details'!$A:$A,'Order Summary'!$B264,'Order Details'!$B:$B,'Order Summary'!$C264,'Order Details'!$E:$E,"Yes"))</f>
        <v/>
      </c>
      <c r="U264" s="164" t="str">
        <f>IF(T264="","",T264+VLOOKUP($J264,'Master Data'!$F$6:$G$9,2,FALSE))</f>
        <v/>
      </c>
      <c r="V264" s="133"/>
      <c r="W264" s="133"/>
      <c r="X264" s="133"/>
      <c r="Y264" s="133"/>
      <c r="Z264" s="309" t="str">
        <f>IF($Y264="","",IF(VLOOKUP($Y264,'Master Data'!$F$12:$I$17,2,FALSE)="","",VLOOKUP($Y264,'Master Data'!$F$12:$I$17,2,FALSE)))</f>
        <v/>
      </c>
      <c r="AA264" s="164"/>
      <c r="AB264" s="171" t="str">
        <f t="shared" ref="AB264:AB300" si="80">IF(OR(AA264="",AA264="COMPLETE"),"",IF($AA264-$Q264&lt;0,"",$AA264-$Q264))</f>
        <v/>
      </c>
      <c r="AC264" s="133"/>
      <c r="AD264" s="164"/>
      <c r="AE264" s="164"/>
      <c r="AF264" s="137"/>
      <c r="AG264" s="137"/>
      <c r="AH264" s="137">
        <f t="shared" si="75"/>
        <v>0</v>
      </c>
      <c r="AI264" s="137">
        <f t="shared" si="76"/>
        <v>0</v>
      </c>
      <c r="AJ264" s="164"/>
      <c r="AK264" s="171" t="str">
        <f t="shared" si="77"/>
        <v/>
      </c>
      <c r="AL264" s="137"/>
      <c r="AM264" s="164" t="str">
        <f t="shared" si="78"/>
        <v/>
      </c>
      <c r="AN264" s="303" t="str">
        <f t="shared" si="79"/>
        <v/>
      </c>
      <c r="AO264" s="164"/>
    </row>
    <row r="265" spans="1:41" x14ac:dyDescent="0.35">
      <c r="A265" s="133"/>
      <c r="B265" s="133"/>
      <c r="C265" s="133"/>
      <c r="D265" s="133" t="str">
        <f t="shared" ref="D265:D296" si="81">B265&amp;"-"&amp;C265</f>
        <v>-</v>
      </c>
      <c r="E265" s="133"/>
      <c r="F265" s="164"/>
      <c r="G265" s="134" t="str">
        <f t="shared" ref="G265:G300" si="82">IF(OR(E265="PO Revised",E265="PO Cancelled"),"No","Yes")</f>
        <v>Yes</v>
      </c>
      <c r="H265" s="135">
        <f>SUMIFS('Order Details'!$R:$R,'Order Details'!$A:$A,'Order Summary'!$B265,'Order Details'!$B:$B,'Order Summary'!$C265,'Order Details'!$E:$E,"Yes")</f>
        <v>0</v>
      </c>
      <c r="I265" s="133"/>
      <c r="J265" s="133" t="e">
        <f>VLOOKUP($I265,'Master Data'!$L$5:$M$15,2,FALSE)</f>
        <v>#N/A</v>
      </c>
      <c r="K265" s="137">
        <f>SUMIFS('Order Details'!$U:$U,'Order Details'!$A:$A,'Order Summary'!$B265,'Order Details'!$B:$B,'Order Summary'!$C265,'Order Details'!$E:$E,"Yes")</f>
        <v>0</v>
      </c>
      <c r="L265" s="261">
        <f>SUMIFS('Order Details'!$P:$P,'Order Details'!$A:$A,'Order Summary'!$B265,'Order Details'!$B:$B,'Order Summary'!$C265,'Order Details'!$E:$E,"Yes")</f>
        <v>0</v>
      </c>
      <c r="M265" s="133"/>
      <c r="N265" s="164"/>
      <c r="O265" s="171" t="str">
        <f t="shared" ref="O265:O296" si="83">IF(N265="","",$N265-$F265)</f>
        <v/>
      </c>
      <c r="P265" s="302">
        <f>ROUND(SUMIFS('Order Details'!$V:$V,'Order Details'!$A:$A,'Order Summary'!$B265,'Order Details'!$B:$B,'Order Summary'!$C265,'Order Details'!$E:$E,"Yes"),2)</f>
        <v>0</v>
      </c>
      <c r="Q265" s="164"/>
      <c r="R265" s="171" t="str">
        <f t="shared" ref="R265:R296" si="84">IF(Q265="","",$Q265-$N265)</f>
        <v/>
      </c>
      <c r="S265" s="137"/>
      <c r="T265" s="165" t="str">
        <f>IF(Q265="","",Q265+_xlfn.MAXIFS('Order Details'!$W:$W,'Order Details'!$A:$A,'Order Summary'!$B265,'Order Details'!$B:$B,'Order Summary'!$C265,'Order Details'!$E:$E,"Yes"))</f>
        <v/>
      </c>
      <c r="U265" s="164" t="str">
        <f>IF(T265="","",T265+VLOOKUP($J265,'Master Data'!$F$6:$G$9,2,FALSE))</f>
        <v/>
      </c>
      <c r="V265" s="133"/>
      <c r="W265" s="133"/>
      <c r="X265" s="133"/>
      <c r="Y265" s="133"/>
      <c r="Z265" s="309" t="str">
        <f>IF($Y265="","",IF(VLOOKUP($Y265,'Master Data'!$F$12:$I$17,2,FALSE)="","",VLOOKUP($Y265,'Master Data'!$F$12:$I$17,2,FALSE)))</f>
        <v/>
      </c>
      <c r="AA265" s="164"/>
      <c r="AB265" s="171" t="str">
        <f t="shared" si="80"/>
        <v/>
      </c>
      <c r="AC265" s="133"/>
      <c r="AD265" s="164"/>
      <c r="AE265" s="164"/>
      <c r="AF265" s="137"/>
      <c r="AG265" s="137"/>
      <c r="AH265" s="137">
        <f t="shared" ref="AH265:AH296" si="85">P265+AF265+AG265</f>
        <v>0</v>
      </c>
      <c r="AI265" s="137">
        <f t="shared" ref="AI265:AI296" si="86">AH265-S265</f>
        <v>0</v>
      </c>
      <c r="AJ265" s="164"/>
      <c r="AK265" s="171" t="str">
        <f t="shared" ref="AK265:AK296" si="87">IF(AJ265="","",$AJ265-$AD265)</f>
        <v/>
      </c>
      <c r="AL265" s="137"/>
      <c r="AM265" s="164" t="str">
        <f t="shared" ref="AM265:AM300" si="88">U265</f>
        <v/>
      </c>
      <c r="AN265" s="303" t="str">
        <f t="shared" ref="AN265:AN296" si="89">IFERROR(IF(OR(AM265="",AJ265=""),"",$AM265-$AJ265),"")</f>
        <v/>
      </c>
      <c r="AO265" s="164"/>
    </row>
    <row r="266" spans="1:41" x14ac:dyDescent="0.35">
      <c r="A266" s="133"/>
      <c r="B266" s="133"/>
      <c r="C266" s="133"/>
      <c r="D266" s="133" t="str">
        <f t="shared" si="81"/>
        <v>-</v>
      </c>
      <c r="E266" s="133"/>
      <c r="F266" s="164"/>
      <c r="G266" s="134" t="str">
        <f t="shared" si="82"/>
        <v>Yes</v>
      </c>
      <c r="H266" s="135">
        <f>SUMIFS('Order Details'!$R:$R,'Order Details'!$A:$A,'Order Summary'!$B266,'Order Details'!$B:$B,'Order Summary'!$C266,'Order Details'!$E:$E,"Yes")</f>
        <v>0</v>
      </c>
      <c r="I266" s="133"/>
      <c r="J266" s="133" t="e">
        <f>VLOOKUP($I266,'Master Data'!$L$5:$M$15,2,FALSE)</f>
        <v>#N/A</v>
      </c>
      <c r="K266" s="137">
        <f>SUMIFS('Order Details'!$U:$U,'Order Details'!$A:$A,'Order Summary'!$B266,'Order Details'!$B:$B,'Order Summary'!$C266,'Order Details'!$E:$E,"Yes")</f>
        <v>0</v>
      </c>
      <c r="L266" s="261">
        <f>SUMIFS('Order Details'!$P:$P,'Order Details'!$A:$A,'Order Summary'!$B266,'Order Details'!$B:$B,'Order Summary'!$C266,'Order Details'!$E:$E,"Yes")</f>
        <v>0</v>
      </c>
      <c r="M266" s="133"/>
      <c r="N266" s="164"/>
      <c r="O266" s="171" t="str">
        <f t="shared" si="83"/>
        <v/>
      </c>
      <c r="P266" s="302">
        <f>ROUND(SUMIFS('Order Details'!$V:$V,'Order Details'!$A:$A,'Order Summary'!$B266,'Order Details'!$B:$B,'Order Summary'!$C266,'Order Details'!$E:$E,"Yes"),2)</f>
        <v>0</v>
      </c>
      <c r="Q266" s="164"/>
      <c r="R266" s="171" t="str">
        <f t="shared" si="84"/>
        <v/>
      </c>
      <c r="S266" s="137"/>
      <c r="T266" s="165" t="str">
        <f>IF(Q266="","",Q266+_xlfn.MAXIFS('Order Details'!$W:$W,'Order Details'!$A:$A,'Order Summary'!$B266,'Order Details'!$B:$B,'Order Summary'!$C266,'Order Details'!$E:$E,"Yes"))</f>
        <v/>
      </c>
      <c r="U266" s="164" t="str">
        <f>IF(T266="","",T266+VLOOKUP($J266,'Master Data'!$F$6:$G$9,2,FALSE))</f>
        <v/>
      </c>
      <c r="V266" s="133"/>
      <c r="W266" s="133"/>
      <c r="X266" s="133"/>
      <c r="Y266" s="133"/>
      <c r="Z266" s="309" t="str">
        <f>IF($Y266="","",IF(VLOOKUP($Y266,'Master Data'!$F$12:$I$17,2,FALSE)="","",VLOOKUP($Y266,'Master Data'!$F$12:$I$17,2,FALSE)))</f>
        <v/>
      </c>
      <c r="AA266" s="164"/>
      <c r="AB266" s="171" t="str">
        <f t="shared" si="80"/>
        <v/>
      </c>
      <c r="AC266" s="133"/>
      <c r="AD266" s="164"/>
      <c r="AE266" s="164"/>
      <c r="AF266" s="137"/>
      <c r="AG266" s="137"/>
      <c r="AH266" s="137">
        <f t="shared" si="85"/>
        <v>0</v>
      </c>
      <c r="AI266" s="137">
        <f t="shared" si="86"/>
        <v>0</v>
      </c>
      <c r="AJ266" s="164"/>
      <c r="AK266" s="171" t="str">
        <f t="shared" si="87"/>
        <v/>
      </c>
      <c r="AL266" s="137"/>
      <c r="AM266" s="164" t="str">
        <f t="shared" si="88"/>
        <v/>
      </c>
      <c r="AN266" s="303" t="str">
        <f t="shared" si="89"/>
        <v/>
      </c>
      <c r="AO266" s="164"/>
    </row>
    <row r="267" spans="1:41" x14ac:dyDescent="0.35">
      <c r="A267" s="133"/>
      <c r="B267" s="133"/>
      <c r="C267" s="133"/>
      <c r="D267" s="133" t="str">
        <f t="shared" si="81"/>
        <v>-</v>
      </c>
      <c r="E267" s="133"/>
      <c r="F267" s="164"/>
      <c r="G267" s="134" t="str">
        <f t="shared" si="82"/>
        <v>Yes</v>
      </c>
      <c r="H267" s="135">
        <f>SUMIFS('Order Details'!$R:$R,'Order Details'!$A:$A,'Order Summary'!$B267,'Order Details'!$B:$B,'Order Summary'!$C267,'Order Details'!$E:$E,"Yes")</f>
        <v>0</v>
      </c>
      <c r="I267" s="133"/>
      <c r="J267" s="133" t="e">
        <f>VLOOKUP($I267,'Master Data'!$L$5:$M$15,2,FALSE)</f>
        <v>#N/A</v>
      </c>
      <c r="K267" s="137">
        <f>SUMIFS('Order Details'!$U:$U,'Order Details'!$A:$A,'Order Summary'!$B267,'Order Details'!$B:$B,'Order Summary'!$C267,'Order Details'!$E:$E,"Yes")</f>
        <v>0</v>
      </c>
      <c r="L267" s="261">
        <f>SUMIFS('Order Details'!$P:$P,'Order Details'!$A:$A,'Order Summary'!$B267,'Order Details'!$B:$B,'Order Summary'!$C267,'Order Details'!$E:$E,"Yes")</f>
        <v>0</v>
      </c>
      <c r="M267" s="133"/>
      <c r="N267" s="164"/>
      <c r="O267" s="171" t="str">
        <f t="shared" si="83"/>
        <v/>
      </c>
      <c r="P267" s="302">
        <f>ROUND(SUMIFS('Order Details'!$V:$V,'Order Details'!$A:$A,'Order Summary'!$B267,'Order Details'!$B:$B,'Order Summary'!$C267,'Order Details'!$E:$E,"Yes"),2)</f>
        <v>0</v>
      </c>
      <c r="Q267" s="164"/>
      <c r="R267" s="171" t="str">
        <f t="shared" si="84"/>
        <v/>
      </c>
      <c r="S267" s="137"/>
      <c r="T267" s="165" t="str">
        <f>IF(Q267="","",Q267+_xlfn.MAXIFS('Order Details'!$W:$W,'Order Details'!$A:$A,'Order Summary'!$B267,'Order Details'!$B:$B,'Order Summary'!$C267,'Order Details'!$E:$E,"Yes"))</f>
        <v/>
      </c>
      <c r="U267" s="164" t="str">
        <f>IF(T267="","",T267+VLOOKUP($J267,'Master Data'!$F$6:$G$9,2,FALSE))</f>
        <v/>
      </c>
      <c r="V267" s="133"/>
      <c r="W267" s="133"/>
      <c r="X267" s="133"/>
      <c r="Y267" s="133"/>
      <c r="Z267" s="309" t="str">
        <f>IF($Y267="","",IF(VLOOKUP($Y267,'Master Data'!$F$12:$I$17,2,FALSE)="","",VLOOKUP($Y267,'Master Data'!$F$12:$I$17,2,FALSE)))</f>
        <v/>
      </c>
      <c r="AA267" s="164"/>
      <c r="AB267" s="171" t="str">
        <f t="shared" si="80"/>
        <v/>
      </c>
      <c r="AC267" s="133"/>
      <c r="AD267" s="164"/>
      <c r="AE267" s="164"/>
      <c r="AF267" s="137"/>
      <c r="AG267" s="137"/>
      <c r="AH267" s="137">
        <f t="shared" si="85"/>
        <v>0</v>
      </c>
      <c r="AI267" s="137">
        <f t="shared" si="86"/>
        <v>0</v>
      </c>
      <c r="AJ267" s="164"/>
      <c r="AK267" s="171" t="str">
        <f t="shared" si="87"/>
        <v/>
      </c>
      <c r="AL267" s="137"/>
      <c r="AM267" s="164" t="str">
        <f t="shared" si="88"/>
        <v/>
      </c>
      <c r="AN267" s="303" t="str">
        <f t="shared" si="89"/>
        <v/>
      </c>
      <c r="AO267" s="164"/>
    </row>
    <row r="268" spans="1:41" x14ac:dyDescent="0.35">
      <c r="A268" s="133"/>
      <c r="B268" s="133"/>
      <c r="C268" s="133"/>
      <c r="D268" s="133" t="str">
        <f t="shared" si="81"/>
        <v>-</v>
      </c>
      <c r="E268" s="133"/>
      <c r="F268" s="164"/>
      <c r="G268" s="134" t="str">
        <f t="shared" si="82"/>
        <v>Yes</v>
      </c>
      <c r="H268" s="135">
        <f>SUMIFS('Order Details'!$R:$R,'Order Details'!$A:$A,'Order Summary'!$B268,'Order Details'!$B:$B,'Order Summary'!$C268,'Order Details'!$E:$E,"Yes")</f>
        <v>0</v>
      </c>
      <c r="I268" s="133"/>
      <c r="J268" s="133" t="e">
        <f>VLOOKUP($I268,'Master Data'!$L$5:$M$15,2,FALSE)</f>
        <v>#N/A</v>
      </c>
      <c r="K268" s="137">
        <f>SUMIFS('Order Details'!$U:$U,'Order Details'!$A:$A,'Order Summary'!$B268,'Order Details'!$B:$B,'Order Summary'!$C268,'Order Details'!$E:$E,"Yes")</f>
        <v>0</v>
      </c>
      <c r="L268" s="261">
        <f>SUMIFS('Order Details'!$P:$P,'Order Details'!$A:$A,'Order Summary'!$B268,'Order Details'!$B:$B,'Order Summary'!$C268,'Order Details'!$E:$E,"Yes")</f>
        <v>0</v>
      </c>
      <c r="M268" s="133"/>
      <c r="N268" s="164"/>
      <c r="O268" s="171" t="str">
        <f t="shared" si="83"/>
        <v/>
      </c>
      <c r="P268" s="302">
        <f>ROUND(SUMIFS('Order Details'!$V:$V,'Order Details'!$A:$A,'Order Summary'!$B268,'Order Details'!$B:$B,'Order Summary'!$C268,'Order Details'!$E:$E,"Yes"),2)</f>
        <v>0</v>
      </c>
      <c r="Q268" s="164"/>
      <c r="R268" s="171" t="str">
        <f t="shared" si="84"/>
        <v/>
      </c>
      <c r="S268" s="137"/>
      <c r="T268" s="165" t="str">
        <f>IF(Q268="","",Q268+_xlfn.MAXIFS('Order Details'!$W:$W,'Order Details'!$A:$A,'Order Summary'!$B268,'Order Details'!$B:$B,'Order Summary'!$C268,'Order Details'!$E:$E,"Yes"))</f>
        <v/>
      </c>
      <c r="U268" s="164" t="str">
        <f>IF(T268="","",T268+VLOOKUP($J268,'Master Data'!$F$6:$G$9,2,FALSE))</f>
        <v/>
      </c>
      <c r="V268" s="133"/>
      <c r="W268" s="133"/>
      <c r="X268" s="133"/>
      <c r="Y268" s="133"/>
      <c r="Z268" s="309" t="str">
        <f>IF($Y268="","",IF(VLOOKUP($Y268,'Master Data'!$F$12:$I$17,2,FALSE)="","",VLOOKUP($Y268,'Master Data'!$F$12:$I$17,2,FALSE)))</f>
        <v/>
      </c>
      <c r="AA268" s="164"/>
      <c r="AB268" s="171" t="str">
        <f t="shared" si="80"/>
        <v/>
      </c>
      <c r="AC268" s="133"/>
      <c r="AD268" s="164"/>
      <c r="AE268" s="164"/>
      <c r="AF268" s="137"/>
      <c r="AG268" s="137"/>
      <c r="AH268" s="137">
        <f t="shared" si="85"/>
        <v>0</v>
      </c>
      <c r="AI268" s="137">
        <f t="shared" si="86"/>
        <v>0</v>
      </c>
      <c r="AJ268" s="164"/>
      <c r="AK268" s="171" t="str">
        <f t="shared" si="87"/>
        <v/>
      </c>
      <c r="AL268" s="137"/>
      <c r="AM268" s="164" t="str">
        <f t="shared" si="88"/>
        <v/>
      </c>
      <c r="AN268" s="303" t="str">
        <f t="shared" si="89"/>
        <v/>
      </c>
      <c r="AO268" s="164"/>
    </row>
    <row r="269" spans="1:41" x14ac:dyDescent="0.35">
      <c r="A269" s="133"/>
      <c r="B269" s="133"/>
      <c r="C269" s="133"/>
      <c r="D269" s="133" t="str">
        <f t="shared" si="81"/>
        <v>-</v>
      </c>
      <c r="E269" s="133"/>
      <c r="F269" s="164"/>
      <c r="G269" s="134" t="str">
        <f t="shared" si="82"/>
        <v>Yes</v>
      </c>
      <c r="H269" s="135">
        <f>SUMIFS('Order Details'!$R:$R,'Order Details'!$A:$A,'Order Summary'!$B269,'Order Details'!$B:$B,'Order Summary'!$C269,'Order Details'!$E:$E,"Yes")</f>
        <v>0</v>
      </c>
      <c r="I269" s="133"/>
      <c r="J269" s="133" t="e">
        <f>VLOOKUP($I269,'Master Data'!$L$5:$M$15,2,FALSE)</f>
        <v>#N/A</v>
      </c>
      <c r="K269" s="137">
        <f>SUMIFS('Order Details'!$U:$U,'Order Details'!$A:$A,'Order Summary'!$B269,'Order Details'!$B:$B,'Order Summary'!$C269,'Order Details'!$E:$E,"Yes")</f>
        <v>0</v>
      </c>
      <c r="L269" s="261">
        <f>SUMIFS('Order Details'!$P:$P,'Order Details'!$A:$A,'Order Summary'!$B269,'Order Details'!$B:$B,'Order Summary'!$C269,'Order Details'!$E:$E,"Yes")</f>
        <v>0</v>
      </c>
      <c r="M269" s="133"/>
      <c r="N269" s="164"/>
      <c r="O269" s="171" t="str">
        <f t="shared" si="83"/>
        <v/>
      </c>
      <c r="P269" s="302">
        <f>ROUND(SUMIFS('Order Details'!$V:$V,'Order Details'!$A:$A,'Order Summary'!$B269,'Order Details'!$B:$B,'Order Summary'!$C269,'Order Details'!$E:$E,"Yes"),2)</f>
        <v>0</v>
      </c>
      <c r="Q269" s="164"/>
      <c r="R269" s="171" t="str">
        <f t="shared" si="84"/>
        <v/>
      </c>
      <c r="S269" s="137"/>
      <c r="T269" s="165" t="str">
        <f>IF(Q269="","",Q269+_xlfn.MAXIFS('Order Details'!$W:$W,'Order Details'!$A:$A,'Order Summary'!$B269,'Order Details'!$B:$B,'Order Summary'!$C269,'Order Details'!$E:$E,"Yes"))</f>
        <v/>
      </c>
      <c r="U269" s="164" t="str">
        <f>IF(T269="","",T269+VLOOKUP($J269,'Master Data'!$F$6:$G$9,2,FALSE))</f>
        <v/>
      </c>
      <c r="V269" s="133"/>
      <c r="W269" s="133"/>
      <c r="X269" s="133"/>
      <c r="Y269" s="133"/>
      <c r="Z269" s="309" t="str">
        <f>IF($Y269="","",IF(VLOOKUP($Y269,'Master Data'!$F$12:$I$17,2,FALSE)="","",VLOOKUP($Y269,'Master Data'!$F$12:$I$17,2,FALSE)))</f>
        <v/>
      </c>
      <c r="AA269" s="164"/>
      <c r="AB269" s="171" t="str">
        <f t="shared" si="80"/>
        <v/>
      </c>
      <c r="AC269" s="133"/>
      <c r="AD269" s="164"/>
      <c r="AE269" s="164"/>
      <c r="AF269" s="137"/>
      <c r="AG269" s="137"/>
      <c r="AH269" s="137">
        <f t="shared" si="85"/>
        <v>0</v>
      </c>
      <c r="AI269" s="137">
        <f t="shared" si="86"/>
        <v>0</v>
      </c>
      <c r="AJ269" s="164"/>
      <c r="AK269" s="171" t="str">
        <f t="shared" si="87"/>
        <v/>
      </c>
      <c r="AL269" s="137"/>
      <c r="AM269" s="164" t="str">
        <f t="shared" si="88"/>
        <v/>
      </c>
      <c r="AN269" s="303" t="str">
        <f t="shared" si="89"/>
        <v/>
      </c>
      <c r="AO269" s="164"/>
    </row>
    <row r="270" spans="1:41" x14ac:dyDescent="0.35">
      <c r="A270" s="133"/>
      <c r="B270" s="133"/>
      <c r="C270" s="133"/>
      <c r="D270" s="133" t="str">
        <f t="shared" si="81"/>
        <v>-</v>
      </c>
      <c r="E270" s="133"/>
      <c r="F270" s="164"/>
      <c r="G270" s="134" t="str">
        <f t="shared" si="82"/>
        <v>Yes</v>
      </c>
      <c r="H270" s="135">
        <f>SUMIFS('Order Details'!$R:$R,'Order Details'!$A:$A,'Order Summary'!$B270,'Order Details'!$B:$B,'Order Summary'!$C270,'Order Details'!$E:$E,"Yes")</f>
        <v>0</v>
      </c>
      <c r="I270" s="133"/>
      <c r="J270" s="133" t="e">
        <f>VLOOKUP($I270,'Master Data'!$L$5:$M$15,2,FALSE)</f>
        <v>#N/A</v>
      </c>
      <c r="K270" s="137">
        <f>SUMIFS('Order Details'!$U:$U,'Order Details'!$A:$A,'Order Summary'!$B270,'Order Details'!$B:$B,'Order Summary'!$C270,'Order Details'!$E:$E,"Yes")</f>
        <v>0</v>
      </c>
      <c r="L270" s="261">
        <f>SUMIFS('Order Details'!$P:$P,'Order Details'!$A:$A,'Order Summary'!$B270,'Order Details'!$B:$B,'Order Summary'!$C270,'Order Details'!$E:$E,"Yes")</f>
        <v>0</v>
      </c>
      <c r="M270" s="133"/>
      <c r="N270" s="164"/>
      <c r="O270" s="171" t="str">
        <f t="shared" si="83"/>
        <v/>
      </c>
      <c r="P270" s="302">
        <f>ROUND(SUMIFS('Order Details'!$V:$V,'Order Details'!$A:$A,'Order Summary'!$B270,'Order Details'!$B:$B,'Order Summary'!$C270,'Order Details'!$E:$E,"Yes"),2)</f>
        <v>0</v>
      </c>
      <c r="Q270" s="164"/>
      <c r="R270" s="171" t="str">
        <f t="shared" si="84"/>
        <v/>
      </c>
      <c r="S270" s="137"/>
      <c r="T270" s="165" t="str">
        <f>IF(Q270="","",Q270+_xlfn.MAXIFS('Order Details'!$W:$W,'Order Details'!$A:$A,'Order Summary'!$B270,'Order Details'!$B:$B,'Order Summary'!$C270,'Order Details'!$E:$E,"Yes"))</f>
        <v/>
      </c>
      <c r="U270" s="164" t="str">
        <f>IF(T270="","",T270+VLOOKUP($J270,'Master Data'!$F$6:$G$9,2,FALSE))</f>
        <v/>
      </c>
      <c r="V270" s="133"/>
      <c r="W270" s="133"/>
      <c r="X270" s="133"/>
      <c r="Y270" s="133"/>
      <c r="Z270" s="309" t="str">
        <f>IF($Y270="","",IF(VLOOKUP($Y270,'Master Data'!$F$12:$I$17,2,FALSE)="","",VLOOKUP($Y270,'Master Data'!$F$12:$I$17,2,FALSE)))</f>
        <v/>
      </c>
      <c r="AA270" s="164"/>
      <c r="AB270" s="171" t="str">
        <f t="shared" si="80"/>
        <v/>
      </c>
      <c r="AC270" s="133"/>
      <c r="AD270" s="164"/>
      <c r="AE270" s="164"/>
      <c r="AF270" s="137"/>
      <c r="AG270" s="137"/>
      <c r="AH270" s="137">
        <f t="shared" si="85"/>
        <v>0</v>
      </c>
      <c r="AI270" s="137">
        <f t="shared" si="86"/>
        <v>0</v>
      </c>
      <c r="AJ270" s="164"/>
      <c r="AK270" s="171" t="str">
        <f t="shared" si="87"/>
        <v/>
      </c>
      <c r="AL270" s="137"/>
      <c r="AM270" s="164" t="str">
        <f t="shared" si="88"/>
        <v/>
      </c>
      <c r="AN270" s="303" t="str">
        <f t="shared" si="89"/>
        <v/>
      </c>
      <c r="AO270" s="164"/>
    </row>
    <row r="271" spans="1:41" x14ac:dyDescent="0.35">
      <c r="A271" s="133"/>
      <c r="B271" s="133"/>
      <c r="C271" s="133"/>
      <c r="D271" s="133" t="str">
        <f t="shared" si="81"/>
        <v>-</v>
      </c>
      <c r="E271" s="133"/>
      <c r="F271" s="164"/>
      <c r="G271" s="134" t="str">
        <f t="shared" si="82"/>
        <v>Yes</v>
      </c>
      <c r="H271" s="135">
        <f>SUMIFS('Order Details'!$R:$R,'Order Details'!$A:$A,'Order Summary'!$B271,'Order Details'!$B:$B,'Order Summary'!$C271,'Order Details'!$E:$E,"Yes")</f>
        <v>0</v>
      </c>
      <c r="I271" s="133"/>
      <c r="J271" s="133" t="e">
        <f>VLOOKUP($I271,'Master Data'!$L$5:$M$15,2,FALSE)</f>
        <v>#N/A</v>
      </c>
      <c r="K271" s="137">
        <f>SUMIFS('Order Details'!$U:$U,'Order Details'!$A:$A,'Order Summary'!$B271,'Order Details'!$B:$B,'Order Summary'!$C271,'Order Details'!$E:$E,"Yes")</f>
        <v>0</v>
      </c>
      <c r="L271" s="261">
        <f>SUMIFS('Order Details'!$P:$P,'Order Details'!$A:$A,'Order Summary'!$B271,'Order Details'!$B:$B,'Order Summary'!$C271,'Order Details'!$E:$E,"Yes")</f>
        <v>0</v>
      </c>
      <c r="M271" s="133"/>
      <c r="N271" s="164"/>
      <c r="O271" s="171" t="str">
        <f t="shared" si="83"/>
        <v/>
      </c>
      <c r="P271" s="302">
        <f>ROUND(SUMIFS('Order Details'!$V:$V,'Order Details'!$A:$A,'Order Summary'!$B271,'Order Details'!$B:$B,'Order Summary'!$C271,'Order Details'!$E:$E,"Yes"),2)</f>
        <v>0</v>
      </c>
      <c r="Q271" s="164"/>
      <c r="R271" s="171" t="str">
        <f t="shared" si="84"/>
        <v/>
      </c>
      <c r="S271" s="137"/>
      <c r="T271" s="165" t="str">
        <f>IF(Q271="","",Q271+_xlfn.MAXIFS('Order Details'!$W:$W,'Order Details'!$A:$A,'Order Summary'!$B271,'Order Details'!$B:$B,'Order Summary'!$C271,'Order Details'!$E:$E,"Yes"))</f>
        <v/>
      </c>
      <c r="U271" s="164" t="str">
        <f>IF(T271="","",T271+VLOOKUP($J271,'Master Data'!$F$6:$G$9,2,FALSE))</f>
        <v/>
      </c>
      <c r="V271" s="133"/>
      <c r="W271" s="133"/>
      <c r="X271" s="133"/>
      <c r="Y271" s="133"/>
      <c r="Z271" s="309" t="str">
        <f>IF($Y271="","",IF(VLOOKUP($Y271,'Master Data'!$F$12:$I$17,2,FALSE)="","",VLOOKUP($Y271,'Master Data'!$F$12:$I$17,2,FALSE)))</f>
        <v/>
      </c>
      <c r="AA271" s="164"/>
      <c r="AB271" s="171" t="str">
        <f t="shared" si="80"/>
        <v/>
      </c>
      <c r="AC271" s="133"/>
      <c r="AD271" s="164"/>
      <c r="AE271" s="164"/>
      <c r="AF271" s="137"/>
      <c r="AG271" s="137"/>
      <c r="AH271" s="137">
        <f t="shared" si="85"/>
        <v>0</v>
      </c>
      <c r="AI271" s="137">
        <f t="shared" si="86"/>
        <v>0</v>
      </c>
      <c r="AJ271" s="164"/>
      <c r="AK271" s="171" t="str">
        <f t="shared" si="87"/>
        <v/>
      </c>
      <c r="AL271" s="137"/>
      <c r="AM271" s="164" t="str">
        <f t="shared" si="88"/>
        <v/>
      </c>
      <c r="AN271" s="303" t="str">
        <f t="shared" si="89"/>
        <v/>
      </c>
      <c r="AO271" s="164"/>
    </row>
    <row r="272" spans="1:41" x14ac:dyDescent="0.35">
      <c r="A272" s="133"/>
      <c r="B272" s="133"/>
      <c r="C272" s="133"/>
      <c r="D272" s="133" t="str">
        <f t="shared" si="81"/>
        <v>-</v>
      </c>
      <c r="E272" s="133"/>
      <c r="F272" s="164"/>
      <c r="G272" s="134" t="str">
        <f t="shared" si="82"/>
        <v>Yes</v>
      </c>
      <c r="H272" s="135">
        <f>SUMIFS('Order Details'!$R:$R,'Order Details'!$A:$A,'Order Summary'!$B272,'Order Details'!$B:$B,'Order Summary'!$C272,'Order Details'!$E:$E,"Yes")</f>
        <v>0</v>
      </c>
      <c r="I272" s="133"/>
      <c r="J272" s="133" t="e">
        <f>VLOOKUP($I272,'Master Data'!$L$5:$M$15,2,FALSE)</f>
        <v>#N/A</v>
      </c>
      <c r="K272" s="137">
        <f>SUMIFS('Order Details'!$U:$U,'Order Details'!$A:$A,'Order Summary'!$B272,'Order Details'!$B:$B,'Order Summary'!$C272,'Order Details'!$E:$E,"Yes")</f>
        <v>0</v>
      </c>
      <c r="L272" s="261">
        <f>SUMIFS('Order Details'!$P:$P,'Order Details'!$A:$A,'Order Summary'!$B272,'Order Details'!$B:$B,'Order Summary'!$C272,'Order Details'!$E:$E,"Yes")</f>
        <v>0</v>
      </c>
      <c r="M272" s="133"/>
      <c r="N272" s="164"/>
      <c r="O272" s="171" t="str">
        <f t="shared" si="83"/>
        <v/>
      </c>
      <c r="P272" s="302">
        <f>ROUND(SUMIFS('Order Details'!$V:$V,'Order Details'!$A:$A,'Order Summary'!$B272,'Order Details'!$B:$B,'Order Summary'!$C272,'Order Details'!$E:$E,"Yes"),2)</f>
        <v>0</v>
      </c>
      <c r="Q272" s="164"/>
      <c r="R272" s="171" t="str">
        <f t="shared" si="84"/>
        <v/>
      </c>
      <c r="S272" s="137"/>
      <c r="T272" s="165" t="str">
        <f>IF(Q272="","",Q272+_xlfn.MAXIFS('Order Details'!$W:$W,'Order Details'!$A:$A,'Order Summary'!$B272,'Order Details'!$B:$B,'Order Summary'!$C272,'Order Details'!$E:$E,"Yes"))</f>
        <v/>
      </c>
      <c r="U272" s="164" t="str">
        <f>IF(T272="","",T272+VLOOKUP($J272,'Master Data'!$F$6:$G$9,2,FALSE))</f>
        <v/>
      </c>
      <c r="V272" s="133"/>
      <c r="W272" s="133"/>
      <c r="X272" s="133"/>
      <c r="Y272" s="133"/>
      <c r="Z272" s="309" t="str">
        <f>IF($Y272="","",IF(VLOOKUP($Y272,'Master Data'!$F$12:$I$17,2,FALSE)="","",VLOOKUP($Y272,'Master Data'!$F$12:$I$17,2,FALSE)))</f>
        <v/>
      </c>
      <c r="AA272" s="164"/>
      <c r="AB272" s="171" t="str">
        <f t="shared" si="80"/>
        <v/>
      </c>
      <c r="AC272" s="133"/>
      <c r="AD272" s="164"/>
      <c r="AE272" s="164"/>
      <c r="AF272" s="137"/>
      <c r="AG272" s="137"/>
      <c r="AH272" s="137">
        <f t="shared" si="85"/>
        <v>0</v>
      </c>
      <c r="AI272" s="137">
        <f t="shared" si="86"/>
        <v>0</v>
      </c>
      <c r="AJ272" s="164"/>
      <c r="AK272" s="171" t="str">
        <f t="shared" si="87"/>
        <v/>
      </c>
      <c r="AL272" s="137"/>
      <c r="AM272" s="164" t="str">
        <f t="shared" si="88"/>
        <v/>
      </c>
      <c r="AN272" s="303" t="str">
        <f t="shared" si="89"/>
        <v/>
      </c>
      <c r="AO272" s="164"/>
    </row>
    <row r="273" spans="1:41" x14ac:dyDescent="0.35">
      <c r="A273" s="133"/>
      <c r="B273" s="133"/>
      <c r="C273" s="133"/>
      <c r="D273" s="133" t="str">
        <f t="shared" si="81"/>
        <v>-</v>
      </c>
      <c r="E273" s="133"/>
      <c r="F273" s="164"/>
      <c r="G273" s="134" t="str">
        <f t="shared" si="82"/>
        <v>Yes</v>
      </c>
      <c r="H273" s="135">
        <f>SUMIFS('Order Details'!$R:$R,'Order Details'!$A:$A,'Order Summary'!$B273,'Order Details'!$B:$B,'Order Summary'!$C273,'Order Details'!$E:$E,"Yes")</f>
        <v>0</v>
      </c>
      <c r="I273" s="133"/>
      <c r="J273" s="133" t="e">
        <f>VLOOKUP($I273,'Master Data'!$L$5:$M$15,2,FALSE)</f>
        <v>#N/A</v>
      </c>
      <c r="K273" s="137">
        <f>SUMIFS('Order Details'!$U:$U,'Order Details'!$A:$A,'Order Summary'!$B273,'Order Details'!$B:$B,'Order Summary'!$C273,'Order Details'!$E:$E,"Yes")</f>
        <v>0</v>
      </c>
      <c r="L273" s="261">
        <f>SUMIFS('Order Details'!$P:$P,'Order Details'!$A:$A,'Order Summary'!$B273,'Order Details'!$B:$B,'Order Summary'!$C273,'Order Details'!$E:$E,"Yes")</f>
        <v>0</v>
      </c>
      <c r="M273" s="133"/>
      <c r="N273" s="164"/>
      <c r="O273" s="171" t="str">
        <f t="shared" si="83"/>
        <v/>
      </c>
      <c r="P273" s="302">
        <f>ROUND(SUMIFS('Order Details'!$V:$V,'Order Details'!$A:$A,'Order Summary'!$B273,'Order Details'!$B:$B,'Order Summary'!$C273,'Order Details'!$E:$E,"Yes"),2)</f>
        <v>0</v>
      </c>
      <c r="Q273" s="164"/>
      <c r="R273" s="171" t="str">
        <f t="shared" si="84"/>
        <v/>
      </c>
      <c r="S273" s="137"/>
      <c r="T273" s="165" t="str">
        <f>IF(Q273="","",Q273+_xlfn.MAXIFS('Order Details'!$W:$W,'Order Details'!$A:$A,'Order Summary'!$B273,'Order Details'!$B:$B,'Order Summary'!$C273,'Order Details'!$E:$E,"Yes"))</f>
        <v/>
      </c>
      <c r="U273" s="164" t="str">
        <f>IF(T273="","",T273+VLOOKUP($J273,'Master Data'!$F$6:$G$9,2,FALSE))</f>
        <v/>
      </c>
      <c r="V273" s="133"/>
      <c r="W273" s="133"/>
      <c r="X273" s="133"/>
      <c r="Y273" s="133"/>
      <c r="Z273" s="309" t="str">
        <f>IF($Y273="","",IF(VLOOKUP($Y273,'Master Data'!$F$12:$I$17,2,FALSE)="","",VLOOKUP($Y273,'Master Data'!$F$12:$I$17,2,FALSE)))</f>
        <v/>
      </c>
      <c r="AA273" s="164"/>
      <c r="AB273" s="171" t="str">
        <f t="shared" si="80"/>
        <v/>
      </c>
      <c r="AC273" s="133"/>
      <c r="AD273" s="164"/>
      <c r="AE273" s="164"/>
      <c r="AF273" s="137"/>
      <c r="AG273" s="137"/>
      <c r="AH273" s="137">
        <f t="shared" si="85"/>
        <v>0</v>
      </c>
      <c r="AI273" s="137">
        <f t="shared" si="86"/>
        <v>0</v>
      </c>
      <c r="AJ273" s="164"/>
      <c r="AK273" s="171" t="str">
        <f t="shared" si="87"/>
        <v/>
      </c>
      <c r="AL273" s="137"/>
      <c r="AM273" s="164" t="str">
        <f t="shared" si="88"/>
        <v/>
      </c>
      <c r="AN273" s="303" t="str">
        <f t="shared" si="89"/>
        <v/>
      </c>
      <c r="AO273" s="164"/>
    </row>
    <row r="274" spans="1:41" x14ac:dyDescent="0.35">
      <c r="A274" s="133"/>
      <c r="B274" s="133"/>
      <c r="C274" s="133"/>
      <c r="D274" s="133" t="str">
        <f t="shared" si="81"/>
        <v>-</v>
      </c>
      <c r="E274" s="133"/>
      <c r="F274" s="164"/>
      <c r="G274" s="134" t="str">
        <f t="shared" si="82"/>
        <v>Yes</v>
      </c>
      <c r="H274" s="135">
        <f>SUMIFS('Order Details'!$R:$R,'Order Details'!$A:$A,'Order Summary'!$B274,'Order Details'!$B:$B,'Order Summary'!$C274,'Order Details'!$E:$E,"Yes")</f>
        <v>0</v>
      </c>
      <c r="I274" s="133"/>
      <c r="J274" s="133" t="e">
        <f>VLOOKUP($I274,'Master Data'!$L$5:$M$15,2,FALSE)</f>
        <v>#N/A</v>
      </c>
      <c r="K274" s="137">
        <f>SUMIFS('Order Details'!$U:$U,'Order Details'!$A:$A,'Order Summary'!$B274,'Order Details'!$B:$B,'Order Summary'!$C274,'Order Details'!$E:$E,"Yes")</f>
        <v>0</v>
      </c>
      <c r="L274" s="261">
        <f>SUMIFS('Order Details'!$P:$P,'Order Details'!$A:$A,'Order Summary'!$B274,'Order Details'!$B:$B,'Order Summary'!$C274,'Order Details'!$E:$E,"Yes")</f>
        <v>0</v>
      </c>
      <c r="M274" s="133"/>
      <c r="N274" s="164"/>
      <c r="O274" s="171" t="str">
        <f t="shared" si="83"/>
        <v/>
      </c>
      <c r="P274" s="302">
        <f>ROUND(SUMIFS('Order Details'!$V:$V,'Order Details'!$A:$A,'Order Summary'!$B274,'Order Details'!$B:$B,'Order Summary'!$C274,'Order Details'!$E:$E,"Yes"),2)</f>
        <v>0</v>
      </c>
      <c r="Q274" s="164"/>
      <c r="R274" s="171" t="str">
        <f t="shared" si="84"/>
        <v/>
      </c>
      <c r="S274" s="137"/>
      <c r="T274" s="165" t="str">
        <f>IF(Q274="","",Q274+_xlfn.MAXIFS('Order Details'!$W:$W,'Order Details'!$A:$A,'Order Summary'!$B274,'Order Details'!$B:$B,'Order Summary'!$C274,'Order Details'!$E:$E,"Yes"))</f>
        <v/>
      </c>
      <c r="U274" s="164" t="str">
        <f>IF(T274="","",T274+VLOOKUP($J274,'Master Data'!$F$6:$G$9,2,FALSE))</f>
        <v/>
      </c>
      <c r="V274" s="133"/>
      <c r="W274" s="133"/>
      <c r="X274" s="133"/>
      <c r="Y274" s="133"/>
      <c r="Z274" s="309" t="str">
        <f>IF($Y274="","",IF(VLOOKUP($Y274,'Master Data'!$F$12:$I$17,2,FALSE)="","",VLOOKUP($Y274,'Master Data'!$F$12:$I$17,2,FALSE)))</f>
        <v/>
      </c>
      <c r="AA274" s="164"/>
      <c r="AB274" s="171" t="str">
        <f t="shared" si="80"/>
        <v/>
      </c>
      <c r="AC274" s="133"/>
      <c r="AD274" s="164"/>
      <c r="AE274" s="164"/>
      <c r="AF274" s="137"/>
      <c r="AG274" s="137"/>
      <c r="AH274" s="137">
        <f t="shared" si="85"/>
        <v>0</v>
      </c>
      <c r="AI274" s="137">
        <f t="shared" si="86"/>
        <v>0</v>
      </c>
      <c r="AJ274" s="164"/>
      <c r="AK274" s="171" t="str">
        <f t="shared" si="87"/>
        <v/>
      </c>
      <c r="AL274" s="137"/>
      <c r="AM274" s="164" t="str">
        <f t="shared" si="88"/>
        <v/>
      </c>
      <c r="AN274" s="303" t="str">
        <f t="shared" si="89"/>
        <v/>
      </c>
      <c r="AO274" s="164"/>
    </row>
    <row r="275" spans="1:41" x14ac:dyDescent="0.35">
      <c r="A275" s="133"/>
      <c r="B275" s="133"/>
      <c r="C275" s="133"/>
      <c r="D275" s="133" t="str">
        <f t="shared" si="81"/>
        <v>-</v>
      </c>
      <c r="E275" s="133"/>
      <c r="F275" s="164"/>
      <c r="G275" s="134" t="str">
        <f t="shared" si="82"/>
        <v>Yes</v>
      </c>
      <c r="H275" s="135">
        <f>SUMIFS('Order Details'!$R:$R,'Order Details'!$A:$A,'Order Summary'!$B275,'Order Details'!$B:$B,'Order Summary'!$C275,'Order Details'!$E:$E,"Yes")</f>
        <v>0</v>
      </c>
      <c r="I275" s="133"/>
      <c r="J275" s="133" t="e">
        <f>VLOOKUP($I275,'Master Data'!$L$5:$M$15,2,FALSE)</f>
        <v>#N/A</v>
      </c>
      <c r="K275" s="137">
        <f>SUMIFS('Order Details'!$U:$U,'Order Details'!$A:$A,'Order Summary'!$B275,'Order Details'!$B:$B,'Order Summary'!$C275,'Order Details'!$E:$E,"Yes")</f>
        <v>0</v>
      </c>
      <c r="L275" s="261">
        <f>SUMIFS('Order Details'!$P:$P,'Order Details'!$A:$A,'Order Summary'!$B275,'Order Details'!$B:$B,'Order Summary'!$C275,'Order Details'!$E:$E,"Yes")</f>
        <v>0</v>
      </c>
      <c r="M275" s="133"/>
      <c r="N275" s="164"/>
      <c r="O275" s="171" t="str">
        <f t="shared" si="83"/>
        <v/>
      </c>
      <c r="P275" s="302">
        <f>ROUND(SUMIFS('Order Details'!$V:$V,'Order Details'!$A:$A,'Order Summary'!$B275,'Order Details'!$B:$B,'Order Summary'!$C275,'Order Details'!$E:$E,"Yes"),2)</f>
        <v>0</v>
      </c>
      <c r="Q275" s="164"/>
      <c r="R275" s="171" t="str">
        <f t="shared" si="84"/>
        <v/>
      </c>
      <c r="S275" s="137"/>
      <c r="T275" s="165" t="str">
        <f>IF(Q275="","",Q275+_xlfn.MAXIFS('Order Details'!$W:$W,'Order Details'!$A:$A,'Order Summary'!$B275,'Order Details'!$B:$B,'Order Summary'!$C275,'Order Details'!$E:$E,"Yes"))</f>
        <v/>
      </c>
      <c r="U275" s="164" t="str">
        <f>IF(T275="","",T275+VLOOKUP($J275,'Master Data'!$F$6:$G$9,2,FALSE))</f>
        <v/>
      </c>
      <c r="V275" s="133"/>
      <c r="W275" s="133"/>
      <c r="X275" s="133"/>
      <c r="Y275" s="133"/>
      <c r="Z275" s="309" t="str">
        <f>IF($Y275="","",IF(VLOOKUP($Y275,'Master Data'!$F$12:$I$17,2,FALSE)="","",VLOOKUP($Y275,'Master Data'!$F$12:$I$17,2,FALSE)))</f>
        <v/>
      </c>
      <c r="AA275" s="164"/>
      <c r="AB275" s="171" t="str">
        <f t="shared" si="80"/>
        <v/>
      </c>
      <c r="AC275" s="133"/>
      <c r="AD275" s="164"/>
      <c r="AE275" s="164"/>
      <c r="AF275" s="137"/>
      <c r="AG275" s="137"/>
      <c r="AH275" s="137">
        <f t="shared" si="85"/>
        <v>0</v>
      </c>
      <c r="AI275" s="137">
        <f t="shared" si="86"/>
        <v>0</v>
      </c>
      <c r="AJ275" s="164"/>
      <c r="AK275" s="171" t="str">
        <f t="shared" si="87"/>
        <v/>
      </c>
      <c r="AL275" s="137"/>
      <c r="AM275" s="164" t="str">
        <f t="shared" si="88"/>
        <v/>
      </c>
      <c r="AN275" s="303" t="str">
        <f t="shared" si="89"/>
        <v/>
      </c>
      <c r="AO275" s="164"/>
    </row>
    <row r="276" spans="1:41" x14ac:dyDescent="0.35">
      <c r="A276" s="133"/>
      <c r="B276" s="133"/>
      <c r="C276" s="133"/>
      <c r="D276" s="133" t="str">
        <f t="shared" si="81"/>
        <v>-</v>
      </c>
      <c r="E276" s="133"/>
      <c r="F276" s="164"/>
      <c r="G276" s="134" t="str">
        <f t="shared" si="82"/>
        <v>Yes</v>
      </c>
      <c r="H276" s="135">
        <f>SUMIFS('Order Details'!$R:$R,'Order Details'!$A:$A,'Order Summary'!$B276,'Order Details'!$B:$B,'Order Summary'!$C276,'Order Details'!$E:$E,"Yes")</f>
        <v>0</v>
      </c>
      <c r="I276" s="133"/>
      <c r="J276" s="133" t="e">
        <f>VLOOKUP($I276,'Master Data'!$L$5:$M$15,2,FALSE)</f>
        <v>#N/A</v>
      </c>
      <c r="K276" s="137">
        <f>SUMIFS('Order Details'!$U:$U,'Order Details'!$A:$A,'Order Summary'!$B276,'Order Details'!$B:$B,'Order Summary'!$C276,'Order Details'!$E:$E,"Yes")</f>
        <v>0</v>
      </c>
      <c r="L276" s="261">
        <f>SUMIFS('Order Details'!$P:$P,'Order Details'!$A:$A,'Order Summary'!$B276,'Order Details'!$B:$B,'Order Summary'!$C276,'Order Details'!$E:$E,"Yes")</f>
        <v>0</v>
      </c>
      <c r="M276" s="133"/>
      <c r="N276" s="164"/>
      <c r="O276" s="171" t="str">
        <f t="shared" si="83"/>
        <v/>
      </c>
      <c r="P276" s="302">
        <f>ROUND(SUMIFS('Order Details'!$V:$V,'Order Details'!$A:$A,'Order Summary'!$B276,'Order Details'!$B:$B,'Order Summary'!$C276,'Order Details'!$E:$E,"Yes"),2)</f>
        <v>0</v>
      </c>
      <c r="Q276" s="164"/>
      <c r="R276" s="171" t="str">
        <f t="shared" si="84"/>
        <v/>
      </c>
      <c r="S276" s="137"/>
      <c r="T276" s="165" t="str">
        <f>IF(Q276="","",Q276+_xlfn.MAXIFS('Order Details'!$W:$W,'Order Details'!$A:$A,'Order Summary'!$B276,'Order Details'!$B:$B,'Order Summary'!$C276,'Order Details'!$E:$E,"Yes"))</f>
        <v/>
      </c>
      <c r="U276" s="164" t="str">
        <f>IF(T276="","",T276+VLOOKUP($J276,'Master Data'!$F$6:$G$9,2,FALSE))</f>
        <v/>
      </c>
      <c r="V276" s="133"/>
      <c r="W276" s="133"/>
      <c r="X276" s="133"/>
      <c r="Y276" s="133"/>
      <c r="Z276" s="309" t="str">
        <f>IF($Y276="","",IF(VLOOKUP($Y276,'Master Data'!$F$12:$I$17,2,FALSE)="","",VLOOKUP($Y276,'Master Data'!$F$12:$I$17,2,FALSE)))</f>
        <v/>
      </c>
      <c r="AA276" s="164"/>
      <c r="AB276" s="171" t="str">
        <f t="shared" si="80"/>
        <v/>
      </c>
      <c r="AC276" s="133"/>
      <c r="AD276" s="164"/>
      <c r="AE276" s="164"/>
      <c r="AF276" s="137"/>
      <c r="AG276" s="137"/>
      <c r="AH276" s="137">
        <f t="shared" si="85"/>
        <v>0</v>
      </c>
      <c r="AI276" s="137">
        <f t="shared" si="86"/>
        <v>0</v>
      </c>
      <c r="AJ276" s="164"/>
      <c r="AK276" s="171" t="str">
        <f t="shared" si="87"/>
        <v/>
      </c>
      <c r="AL276" s="137"/>
      <c r="AM276" s="164" t="str">
        <f t="shared" si="88"/>
        <v/>
      </c>
      <c r="AN276" s="303" t="str">
        <f t="shared" si="89"/>
        <v/>
      </c>
      <c r="AO276" s="164"/>
    </row>
    <row r="277" spans="1:41" x14ac:dyDescent="0.35">
      <c r="A277" s="133"/>
      <c r="B277" s="133"/>
      <c r="C277" s="133"/>
      <c r="D277" s="133" t="str">
        <f t="shared" si="81"/>
        <v>-</v>
      </c>
      <c r="E277" s="133"/>
      <c r="F277" s="164"/>
      <c r="G277" s="134" t="str">
        <f t="shared" si="82"/>
        <v>Yes</v>
      </c>
      <c r="H277" s="135">
        <f>SUMIFS('Order Details'!$R:$R,'Order Details'!$A:$A,'Order Summary'!$B277,'Order Details'!$B:$B,'Order Summary'!$C277,'Order Details'!$E:$E,"Yes")</f>
        <v>0</v>
      </c>
      <c r="I277" s="133"/>
      <c r="J277" s="133" t="e">
        <f>VLOOKUP($I277,'Master Data'!$L$5:$M$15,2,FALSE)</f>
        <v>#N/A</v>
      </c>
      <c r="K277" s="137">
        <f>SUMIFS('Order Details'!$U:$U,'Order Details'!$A:$A,'Order Summary'!$B277,'Order Details'!$B:$B,'Order Summary'!$C277,'Order Details'!$E:$E,"Yes")</f>
        <v>0</v>
      </c>
      <c r="L277" s="261">
        <f>SUMIFS('Order Details'!$P:$P,'Order Details'!$A:$A,'Order Summary'!$B277,'Order Details'!$B:$B,'Order Summary'!$C277,'Order Details'!$E:$E,"Yes")</f>
        <v>0</v>
      </c>
      <c r="M277" s="133"/>
      <c r="N277" s="164"/>
      <c r="O277" s="171" t="str">
        <f t="shared" si="83"/>
        <v/>
      </c>
      <c r="P277" s="302">
        <f>ROUND(SUMIFS('Order Details'!$V:$V,'Order Details'!$A:$A,'Order Summary'!$B277,'Order Details'!$B:$B,'Order Summary'!$C277,'Order Details'!$E:$E,"Yes"),2)</f>
        <v>0</v>
      </c>
      <c r="Q277" s="164"/>
      <c r="R277" s="171" t="str">
        <f t="shared" si="84"/>
        <v/>
      </c>
      <c r="S277" s="137"/>
      <c r="T277" s="165" t="str">
        <f>IF(Q277="","",Q277+_xlfn.MAXIFS('Order Details'!$W:$W,'Order Details'!$A:$A,'Order Summary'!$B277,'Order Details'!$B:$B,'Order Summary'!$C277,'Order Details'!$E:$E,"Yes"))</f>
        <v/>
      </c>
      <c r="U277" s="164" t="str">
        <f>IF(T277="","",T277+VLOOKUP($J277,'Master Data'!$F$6:$G$9,2,FALSE))</f>
        <v/>
      </c>
      <c r="V277" s="133"/>
      <c r="W277" s="133"/>
      <c r="X277" s="133"/>
      <c r="Y277" s="133"/>
      <c r="Z277" s="309" t="str">
        <f>IF($Y277="","",IF(VLOOKUP($Y277,'Master Data'!$F$12:$I$17,2,FALSE)="","",VLOOKUP($Y277,'Master Data'!$F$12:$I$17,2,FALSE)))</f>
        <v/>
      </c>
      <c r="AA277" s="164"/>
      <c r="AB277" s="171" t="str">
        <f t="shared" si="80"/>
        <v/>
      </c>
      <c r="AC277" s="133"/>
      <c r="AD277" s="164"/>
      <c r="AE277" s="164"/>
      <c r="AF277" s="137"/>
      <c r="AG277" s="137"/>
      <c r="AH277" s="137">
        <f t="shared" si="85"/>
        <v>0</v>
      </c>
      <c r="AI277" s="137">
        <f t="shared" si="86"/>
        <v>0</v>
      </c>
      <c r="AJ277" s="164"/>
      <c r="AK277" s="171" t="str">
        <f t="shared" si="87"/>
        <v/>
      </c>
      <c r="AL277" s="137"/>
      <c r="AM277" s="164" t="str">
        <f t="shared" si="88"/>
        <v/>
      </c>
      <c r="AN277" s="303" t="str">
        <f t="shared" si="89"/>
        <v/>
      </c>
      <c r="AO277" s="164"/>
    </row>
    <row r="278" spans="1:41" x14ac:dyDescent="0.35">
      <c r="A278" s="133"/>
      <c r="B278" s="133"/>
      <c r="C278" s="133"/>
      <c r="D278" s="133" t="str">
        <f t="shared" si="81"/>
        <v>-</v>
      </c>
      <c r="E278" s="133"/>
      <c r="F278" s="164"/>
      <c r="G278" s="134" t="str">
        <f t="shared" si="82"/>
        <v>Yes</v>
      </c>
      <c r="H278" s="135">
        <f>SUMIFS('Order Details'!$R:$R,'Order Details'!$A:$A,'Order Summary'!$B278,'Order Details'!$B:$B,'Order Summary'!$C278,'Order Details'!$E:$E,"Yes")</f>
        <v>0</v>
      </c>
      <c r="I278" s="133"/>
      <c r="J278" s="133" t="e">
        <f>VLOOKUP($I278,'Master Data'!$L$5:$M$15,2,FALSE)</f>
        <v>#N/A</v>
      </c>
      <c r="K278" s="137">
        <f>SUMIFS('Order Details'!$U:$U,'Order Details'!$A:$A,'Order Summary'!$B278,'Order Details'!$B:$B,'Order Summary'!$C278,'Order Details'!$E:$E,"Yes")</f>
        <v>0</v>
      </c>
      <c r="L278" s="261">
        <f>SUMIFS('Order Details'!$P:$P,'Order Details'!$A:$A,'Order Summary'!$B278,'Order Details'!$B:$B,'Order Summary'!$C278,'Order Details'!$E:$E,"Yes")</f>
        <v>0</v>
      </c>
      <c r="M278" s="133"/>
      <c r="N278" s="164"/>
      <c r="O278" s="171" t="str">
        <f t="shared" si="83"/>
        <v/>
      </c>
      <c r="P278" s="302">
        <f>ROUND(SUMIFS('Order Details'!$V:$V,'Order Details'!$A:$A,'Order Summary'!$B278,'Order Details'!$B:$B,'Order Summary'!$C278,'Order Details'!$E:$E,"Yes"),2)</f>
        <v>0</v>
      </c>
      <c r="Q278" s="164"/>
      <c r="R278" s="171" t="str">
        <f t="shared" si="84"/>
        <v/>
      </c>
      <c r="S278" s="137"/>
      <c r="T278" s="165" t="str">
        <f>IF(Q278="","",Q278+_xlfn.MAXIFS('Order Details'!$W:$W,'Order Details'!$A:$A,'Order Summary'!$B278,'Order Details'!$B:$B,'Order Summary'!$C278,'Order Details'!$E:$E,"Yes"))</f>
        <v/>
      </c>
      <c r="U278" s="164" t="str">
        <f>IF(T278="","",T278+VLOOKUP($J278,'Master Data'!$F$6:$G$9,2,FALSE))</f>
        <v/>
      </c>
      <c r="V278" s="133"/>
      <c r="W278" s="133"/>
      <c r="X278" s="133"/>
      <c r="Y278" s="133"/>
      <c r="Z278" s="309" t="str">
        <f>IF($Y278="","",IF(VLOOKUP($Y278,'Master Data'!$F$12:$I$17,2,FALSE)="","",VLOOKUP($Y278,'Master Data'!$F$12:$I$17,2,FALSE)))</f>
        <v/>
      </c>
      <c r="AA278" s="164"/>
      <c r="AB278" s="171" t="str">
        <f t="shared" si="80"/>
        <v/>
      </c>
      <c r="AC278" s="133"/>
      <c r="AD278" s="164"/>
      <c r="AE278" s="164"/>
      <c r="AF278" s="137"/>
      <c r="AG278" s="137"/>
      <c r="AH278" s="137">
        <f t="shared" si="85"/>
        <v>0</v>
      </c>
      <c r="AI278" s="137">
        <f t="shared" si="86"/>
        <v>0</v>
      </c>
      <c r="AJ278" s="164"/>
      <c r="AK278" s="171" t="str">
        <f t="shared" si="87"/>
        <v/>
      </c>
      <c r="AL278" s="137"/>
      <c r="AM278" s="164" t="str">
        <f t="shared" si="88"/>
        <v/>
      </c>
      <c r="AN278" s="303" t="str">
        <f t="shared" si="89"/>
        <v/>
      </c>
      <c r="AO278" s="164"/>
    </row>
    <row r="279" spans="1:41" x14ac:dyDescent="0.35">
      <c r="A279" s="133"/>
      <c r="B279" s="133"/>
      <c r="C279" s="133"/>
      <c r="D279" s="133" t="str">
        <f t="shared" si="81"/>
        <v>-</v>
      </c>
      <c r="E279" s="133"/>
      <c r="F279" s="164"/>
      <c r="G279" s="134" t="str">
        <f t="shared" si="82"/>
        <v>Yes</v>
      </c>
      <c r="H279" s="135">
        <f>SUMIFS('Order Details'!$R:$R,'Order Details'!$A:$A,'Order Summary'!$B279,'Order Details'!$B:$B,'Order Summary'!$C279,'Order Details'!$E:$E,"Yes")</f>
        <v>0</v>
      </c>
      <c r="I279" s="133"/>
      <c r="J279" s="133" t="e">
        <f>VLOOKUP($I279,'Master Data'!$L$5:$M$15,2,FALSE)</f>
        <v>#N/A</v>
      </c>
      <c r="K279" s="137">
        <f>SUMIFS('Order Details'!$U:$U,'Order Details'!$A:$A,'Order Summary'!$B279,'Order Details'!$B:$B,'Order Summary'!$C279,'Order Details'!$E:$E,"Yes")</f>
        <v>0</v>
      </c>
      <c r="L279" s="261">
        <f>SUMIFS('Order Details'!$P:$P,'Order Details'!$A:$A,'Order Summary'!$B279,'Order Details'!$B:$B,'Order Summary'!$C279,'Order Details'!$E:$E,"Yes")</f>
        <v>0</v>
      </c>
      <c r="M279" s="133"/>
      <c r="N279" s="164"/>
      <c r="O279" s="171" t="str">
        <f t="shared" si="83"/>
        <v/>
      </c>
      <c r="P279" s="302">
        <f>ROUND(SUMIFS('Order Details'!$V:$V,'Order Details'!$A:$A,'Order Summary'!$B279,'Order Details'!$B:$B,'Order Summary'!$C279,'Order Details'!$E:$E,"Yes"),2)</f>
        <v>0</v>
      </c>
      <c r="Q279" s="164"/>
      <c r="R279" s="171" t="str">
        <f t="shared" si="84"/>
        <v/>
      </c>
      <c r="S279" s="137"/>
      <c r="T279" s="165" t="str">
        <f>IF(Q279="","",Q279+_xlfn.MAXIFS('Order Details'!$W:$W,'Order Details'!$A:$A,'Order Summary'!$B279,'Order Details'!$B:$B,'Order Summary'!$C279,'Order Details'!$E:$E,"Yes"))</f>
        <v/>
      </c>
      <c r="U279" s="164" t="str">
        <f>IF(T279="","",T279+VLOOKUP($J279,'Master Data'!$F$6:$G$9,2,FALSE))</f>
        <v/>
      </c>
      <c r="V279" s="133"/>
      <c r="W279" s="133"/>
      <c r="X279" s="133"/>
      <c r="Y279" s="133"/>
      <c r="Z279" s="309" t="str">
        <f>IF($Y279="","",IF(VLOOKUP($Y279,'Master Data'!$F$12:$I$17,2,FALSE)="","",VLOOKUP($Y279,'Master Data'!$F$12:$I$17,2,FALSE)))</f>
        <v/>
      </c>
      <c r="AA279" s="164"/>
      <c r="AB279" s="171" t="str">
        <f t="shared" si="80"/>
        <v/>
      </c>
      <c r="AC279" s="133"/>
      <c r="AD279" s="164"/>
      <c r="AE279" s="164"/>
      <c r="AF279" s="137"/>
      <c r="AG279" s="137"/>
      <c r="AH279" s="137">
        <f t="shared" si="85"/>
        <v>0</v>
      </c>
      <c r="AI279" s="137">
        <f t="shared" si="86"/>
        <v>0</v>
      </c>
      <c r="AJ279" s="164"/>
      <c r="AK279" s="171" t="str">
        <f t="shared" si="87"/>
        <v/>
      </c>
      <c r="AL279" s="137"/>
      <c r="AM279" s="164" t="str">
        <f t="shared" si="88"/>
        <v/>
      </c>
      <c r="AN279" s="303" t="str">
        <f t="shared" si="89"/>
        <v/>
      </c>
      <c r="AO279" s="164"/>
    </row>
    <row r="280" spans="1:41" x14ac:dyDescent="0.35">
      <c r="A280" s="133"/>
      <c r="B280" s="133"/>
      <c r="C280" s="133"/>
      <c r="D280" s="133" t="str">
        <f t="shared" si="81"/>
        <v>-</v>
      </c>
      <c r="E280" s="133"/>
      <c r="F280" s="164"/>
      <c r="G280" s="134" t="str">
        <f t="shared" si="82"/>
        <v>Yes</v>
      </c>
      <c r="H280" s="135">
        <f>SUMIFS('Order Details'!$R:$R,'Order Details'!$A:$A,'Order Summary'!$B280,'Order Details'!$B:$B,'Order Summary'!$C280,'Order Details'!$E:$E,"Yes")</f>
        <v>0</v>
      </c>
      <c r="I280" s="133"/>
      <c r="J280" s="133" t="e">
        <f>VLOOKUP($I280,'Master Data'!$L$5:$M$15,2,FALSE)</f>
        <v>#N/A</v>
      </c>
      <c r="K280" s="137">
        <f>SUMIFS('Order Details'!$U:$U,'Order Details'!$A:$A,'Order Summary'!$B280,'Order Details'!$B:$B,'Order Summary'!$C280,'Order Details'!$E:$E,"Yes")</f>
        <v>0</v>
      </c>
      <c r="L280" s="261">
        <f>SUMIFS('Order Details'!$P:$P,'Order Details'!$A:$A,'Order Summary'!$B280,'Order Details'!$B:$B,'Order Summary'!$C280,'Order Details'!$E:$E,"Yes")</f>
        <v>0</v>
      </c>
      <c r="M280" s="133"/>
      <c r="N280" s="164"/>
      <c r="O280" s="171" t="str">
        <f t="shared" si="83"/>
        <v/>
      </c>
      <c r="P280" s="302">
        <f>ROUND(SUMIFS('Order Details'!$V:$V,'Order Details'!$A:$A,'Order Summary'!$B280,'Order Details'!$B:$B,'Order Summary'!$C280,'Order Details'!$E:$E,"Yes"),2)</f>
        <v>0</v>
      </c>
      <c r="Q280" s="164"/>
      <c r="R280" s="171" t="str">
        <f t="shared" si="84"/>
        <v/>
      </c>
      <c r="S280" s="137"/>
      <c r="T280" s="165" t="str">
        <f>IF(Q280="","",Q280+_xlfn.MAXIFS('Order Details'!$W:$W,'Order Details'!$A:$A,'Order Summary'!$B280,'Order Details'!$B:$B,'Order Summary'!$C280,'Order Details'!$E:$E,"Yes"))</f>
        <v/>
      </c>
      <c r="U280" s="164" t="str">
        <f>IF(T280="","",T280+VLOOKUP($J280,'Master Data'!$F$6:$G$9,2,FALSE))</f>
        <v/>
      </c>
      <c r="V280" s="133"/>
      <c r="W280" s="133"/>
      <c r="X280" s="133"/>
      <c r="Y280" s="133"/>
      <c r="Z280" s="309" t="str">
        <f>IF($Y280="","",IF(VLOOKUP($Y280,'Master Data'!$F$12:$I$17,2,FALSE)="","",VLOOKUP($Y280,'Master Data'!$F$12:$I$17,2,FALSE)))</f>
        <v/>
      </c>
      <c r="AA280" s="164"/>
      <c r="AB280" s="171" t="str">
        <f t="shared" si="80"/>
        <v/>
      </c>
      <c r="AC280" s="133"/>
      <c r="AD280" s="164"/>
      <c r="AE280" s="164"/>
      <c r="AF280" s="137"/>
      <c r="AG280" s="137"/>
      <c r="AH280" s="137">
        <f t="shared" si="85"/>
        <v>0</v>
      </c>
      <c r="AI280" s="137">
        <f t="shared" si="86"/>
        <v>0</v>
      </c>
      <c r="AJ280" s="164"/>
      <c r="AK280" s="171" t="str">
        <f t="shared" si="87"/>
        <v/>
      </c>
      <c r="AL280" s="137"/>
      <c r="AM280" s="164" t="str">
        <f t="shared" si="88"/>
        <v/>
      </c>
      <c r="AN280" s="303" t="str">
        <f t="shared" si="89"/>
        <v/>
      </c>
      <c r="AO280" s="164"/>
    </row>
    <row r="281" spans="1:41" x14ac:dyDescent="0.35">
      <c r="A281" s="133"/>
      <c r="B281" s="133"/>
      <c r="C281" s="133"/>
      <c r="D281" s="133" t="str">
        <f t="shared" si="81"/>
        <v>-</v>
      </c>
      <c r="E281" s="133"/>
      <c r="F281" s="164"/>
      <c r="G281" s="134" t="str">
        <f t="shared" si="82"/>
        <v>Yes</v>
      </c>
      <c r="H281" s="135">
        <f>SUMIFS('Order Details'!$R:$R,'Order Details'!$A:$A,'Order Summary'!$B281,'Order Details'!$B:$B,'Order Summary'!$C281,'Order Details'!$E:$E,"Yes")</f>
        <v>0</v>
      </c>
      <c r="I281" s="133"/>
      <c r="J281" s="133" t="e">
        <f>VLOOKUP($I281,'Master Data'!$L$5:$M$15,2,FALSE)</f>
        <v>#N/A</v>
      </c>
      <c r="K281" s="137">
        <f>SUMIFS('Order Details'!$U:$U,'Order Details'!$A:$A,'Order Summary'!$B281,'Order Details'!$B:$B,'Order Summary'!$C281,'Order Details'!$E:$E,"Yes")</f>
        <v>0</v>
      </c>
      <c r="L281" s="261">
        <f>SUMIFS('Order Details'!$P:$P,'Order Details'!$A:$A,'Order Summary'!$B281,'Order Details'!$B:$B,'Order Summary'!$C281,'Order Details'!$E:$E,"Yes")</f>
        <v>0</v>
      </c>
      <c r="M281" s="133"/>
      <c r="N281" s="164"/>
      <c r="O281" s="171" t="str">
        <f t="shared" si="83"/>
        <v/>
      </c>
      <c r="P281" s="302">
        <f>ROUND(SUMIFS('Order Details'!$V:$V,'Order Details'!$A:$A,'Order Summary'!$B281,'Order Details'!$B:$B,'Order Summary'!$C281,'Order Details'!$E:$E,"Yes"),2)</f>
        <v>0</v>
      </c>
      <c r="Q281" s="164"/>
      <c r="R281" s="171" t="str">
        <f t="shared" si="84"/>
        <v/>
      </c>
      <c r="S281" s="137"/>
      <c r="T281" s="165" t="str">
        <f>IF(Q281="","",Q281+_xlfn.MAXIFS('Order Details'!$W:$W,'Order Details'!$A:$A,'Order Summary'!$B281,'Order Details'!$B:$B,'Order Summary'!$C281,'Order Details'!$E:$E,"Yes"))</f>
        <v/>
      </c>
      <c r="U281" s="164" t="str">
        <f>IF(T281="","",T281+VLOOKUP($J281,'Master Data'!$F$6:$G$9,2,FALSE))</f>
        <v/>
      </c>
      <c r="V281" s="133"/>
      <c r="W281" s="133"/>
      <c r="X281" s="133"/>
      <c r="Y281" s="133"/>
      <c r="Z281" s="309" t="str">
        <f>IF($Y281="","",IF(VLOOKUP($Y281,'Master Data'!$F$12:$I$17,2,FALSE)="","",VLOOKUP($Y281,'Master Data'!$F$12:$I$17,2,FALSE)))</f>
        <v/>
      </c>
      <c r="AA281" s="164"/>
      <c r="AB281" s="171" t="str">
        <f t="shared" si="80"/>
        <v/>
      </c>
      <c r="AC281" s="133"/>
      <c r="AD281" s="164"/>
      <c r="AE281" s="164"/>
      <c r="AF281" s="137"/>
      <c r="AG281" s="137"/>
      <c r="AH281" s="137">
        <f t="shared" si="85"/>
        <v>0</v>
      </c>
      <c r="AI281" s="137">
        <f t="shared" si="86"/>
        <v>0</v>
      </c>
      <c r="AJ281" s="164"/>
      <c r="AK281" s="171" t="str">
        <f t="shared" si="87"/>
        <v/>
      </c>
      <c r="AL281" s="137"/>
      <c r="AM281" s="164" t="str">
        <f t="shared" si="88"/>
        <v/>
      </c>
      <c r="AN281" s="303" t="str">
        <f t="shared" si="89"/>
        <v/>
      </c>
      <c r="AO281" s="164"/>
    </row>
    <row r="282" spans="1:41" x14ac:dyDescent="0.35">
      <c r="A282" s="133"/>
      <c r="B282" s="133"/>
      <c r="C282" s="133"/>
      <c r="D282" s="133" t="str">
        <f t="shared" si="81"/>
        <v>-</v>
      </c>
      <c r="E282" s="133"/>
      <c r="F282" s="164"/>
      <c r="G282" s="134" t="str">
        <f t="shared" si="82"/>
        <v>Yes</v>
      </c>
      <c r="H282" s="135">
        <f>SUMIFS('Order Details'!$R:$R,'Order Details'!$A:$A,'Order Summary'!$B282,'Order Details'!$B:$B,'Order Summary'!$C282,'Order Details'!$E:$E,"Yes")</f>
        <v>0</v>
      </c>
      <c r="I282" s="133"/>
      <c r="J282" s="133" t="e">
        <f>VLOOKUP($I282,'Master Data'!$L$5:$M$15,2,FALSE)</f>
        <v>#N/A</v>
      </c>
      <c r="K282" s="137">
        <f>SUMIFS('Order Details'!$U:$U,'Order Details'!$A:$A,'Order Summary'!$B282,'Order Details'!$B:$B,'Order Summary'!$C282,'Order Details'!$E:$E,"Yes")</f>
        <v>0</v>
      </c>
      <c r="L282" s="261">
        <f>SUMIFS('Order Details'!$P:$P,'Order Details'!$A:$A,'Order Summary'!$B282,'Order Details'!$B:$B,'Order Summary'!$C282,'Order Details'!$E:$E,"Yes")</f>
        <v>0</v>
      </c>
      <c r="M282" s="133"/>
      <c r="N282" s="164"/>
      <c r="O282" s="171" t="str">
        <f t="shared" si="83"/>
        <v/>
      </c>
      <c r="P282" s="302">
        <f>ROUND(SUMIFS('Order Details'!$V:$V,'Order Details'!$A:$A,'Order Summary'!$B282,'Order Details'!$B:$B,'Order Summary'!$C282,'Order Details'!$E:$E,"Yes"),2)</f>
        <v>0</v>
      </c>
      <c r="Q282" s="164"/>
      <c r="R282" s="171" t="str">
        <f t="shared" si="84"/>
        <v/>
      </c>
      <c r="S282" s="137"/>
      <c r="T282" s="165" t="str">
        <f>IF(Q282="","",Q282+_xlfn.MAXIFS('Order Details'!$W:$W,'Order Details'!$A:$A,'Order Summary'!$B282,'Order Details'!$B:$B,'Order Summary'!$C282,'Order Details'!$E:$E,"Yes"))</f>
        <v/>
      </c>
      <c r="U282" s="164" t="str">
        <f>IF(T282="","",T282+VLOOKUP($J282,'Master Data'!$F$6:$G$9,2,FALSE))</f>
        <v/>
      </c>
      <c r="V282" s="133"/>
      <c r="W282" s="133"/>
      <c r="X282" s="133"/>
      <c r="Y282" s="133"/>
      <c r="Z282" s="309" t="str">
        <f>IF($Y282="","",IF(VLOOKUP($Y282,'Master Data'!$F$12:$I$17,2,FALSE)="","",VLOOKUP($Y282,'Master Data'!$F$12:$I$17,2,FALSE)))</f>
        <v/>
      </c>
      <c r="AA282" s="164"/>
      <c r="AB282" s="171" t="str">
        <f t="shared" si="80"/>
        <v/>
      </c>
      <c r="AC282" s="133"/>
      <c r="AD282" s="164"/>
      <c r="AE282" s="164"/>
      <c r="AF282" s="137"/>
      <c r="AG282" s="137"/>
      <c r="AH282" s="137">
        <f t="shared" si="85"/>
        <v>0</v>
      </c>
      <c r="AI282" s="137">
        <f t="shared" si="86"/>
        <v>0</v>
      </c>
      <c r="AJ282" s="164"/>
      <c r="AK282" s="171" t="str">
        <f t="shared" si="87"/>
        <v/>
      </c>
      <c r="AL282" s="137"/>
      <c r="AM282" s="164" t="str">
        <f t="shared" si="88"/>
        <v/>
      </c>
      <c r="AN282" s="303" t="str">
        <f t="shared" si="89"/>
        <v/>
      </c>
      <c r="AO282" s="164"/>
    </row>
    <row r="283" spans="1:41" x14ac:dyDescent="0.35">
      <c r="A283" s="133"/>
      <c r="B283" s="133"/>
      <c r="C283" s="133"/>
      <c r="D283" s="133" t="str">
        <f t="shared" si="81"/>
        <v>-</v>
      </c>
      <c r="E283" s="133"/>
      <c r="F283" s="164"/>
      <c r="G283" s="134" t="str">
        <f t="shared" si="82"/>
        <v>Yes</v>
      </c>
      <c r="H283" s="135">
        <f>SUMIFS('Order Details'!$R:$R,'Order Details'!$A:$A,'Order Summary'!$B283,'Order Details'!$B:$B,'Order Summary'!$C283,'Order Details'!$E:$E,"Yes")</f>
        <v>0</v>
      </c>
      <c r="I283" s="133"/>
      <c r="J283" s="133" t="e">
        <f>VLOOKUP($I283,'Master Data'!$L$5:$M$15,2,FALSE)</f>
        <v>#N/A</v>
      </c>
      <c r="K283" s="137">
        <f>SUMIFS('Order Details'!$U:$U,'Order Details'!$A:$A,'Order Summary'!$B283,'Order Details'!$B:$B,'Order Summary'!$C283,'Order Details'!$E:$E,"Yes")</f>
        <v>0</v>
      </c>
      <c r="L283" s="261">
        <f>SUMIFS('Order Details'!$P:$P,'Order Details'!$A:$A,'Order Summary'!$B283,'Order Details'!$B:$B,'Order Summary'!$C283,'Order Details'!$E:$E,"Yes")</f>
        <v>0</v>
      </c>
      <c r="M283" s="133"/>
      <c r="N283" s="164"/>
      <c r="O283" s="171" t="str">
        <f t="shared" si="83"/>
        <v/>
      </c>
      <c r="P283" s="302">
        <f>ROUND(SUMIFS('Order Details'!$V:$V,'Order Details'!$A:$A,'Order Summary'!$B283,'Order Details'!$B:$B,'Order Summary'!$C283,'Order Details'!$E:$E,"Yes"),2)</f>
        <v>0</v>
      </c>
      <c r="Q283" s="164"/>
      <c r="R283" s="171" t="str">
        <f t="shared" si="84"/>
        <v/>
      </c>
      <c r="S283" s="137"/>
      <c r="T283" s="165" t="str">
        <f>IF(Q283="","",Q283+_xlfn.MAXIFS('Order Details'!$W:$W,'Order Details'!$A:$A,'Order Summary'!$B283,'Order Details'!$B:$B,'Order Summary'!$C283,'Order Details'!$E:$E,"Yes"))</f>
        <v/>
      </c>
      <c r="U283" s="164" t="str">
        <f>IF(T283="","",T283+VLOOKUP($J283,'Master Data'!$F$6:$G$9,2,FALSE))</f>
        <v/>
      </c>
      <c r="V283" s="133"/>
      <c r="W283" s="133"/>
      <c r="X283" s="133"/>
      <c r="Y283" s="133"/>
      <c r="Z283" s="309" t="str">
        <f>IF($Y283="","",IF(VLOOKUP($Y283,'Master Data'!$F$12:$I$17,2,FALSE)="","",VLOOKUP($Y283,'Master Data'!$F$12:$I$17,2,FALSE)))</f>
        <v/>
      </c>
      <c r="AA283" s="164"/>
      <c r="AB283" s="171" t="str">
        <f t="shared" si="80"/>
        <v/>
      </c>
      <c r="AC283" s="133"/>
      <c r="AD283" s="164"/>
      <c r="AE283" s="164"/>
      <c r="AF283" s="137"/>
      <c r="AG283" s="137"/>
      <c r="AH283" s="137">
        <f t="shared" si="85"/>
        <v>0</v>
      </c>
      <c r="AI283" s="137">
        <f t="shared" si="86"/>
        <v>0</v>
      </c>
      <c r="AJ283" s="164"/>
      <c r="AK283" s="171" t="str">
        <f t="shared" si="87"/>
        <v/>
      </c>
      <c r="AL283" s="137"/>
      <c r="AM283" s="164" t="str">
        <f t="shared" si="88"/>
        <v/>
      </c>
      <c r="AN283" s="303" t="str">
        <f t="shared" si="89"/>
        <v/>
      </c>
      <c r="AO283" s="164"/>
    </row>
    <row r="284" spans="1:41" x14ac:dyDescent="0.35">
      <c r="A284" s="133"/>
      <c r="B284" s="133"/>
      <c r="C284" s="133"/>
      <c r="D284" s="133" t="str">
        <f t="shared" si="81"/>
        <v>-</v>
      </c>
      <c r="E284" s="133"/>
      <c r="F284" s="164"/>
      <c r="G284" s="134" t="str">
        <f t="shared" si="82"/>
        <v>Yes</v>
      </c>
      <c r="H284" s="135">
        <f>SUMIFS('Order Details'!$R:$R,'Order Details'!$A:$A,'Order Summary'!$B284,'Order Details'!$B:$B,'Order Summary'!$C284,'Order Details'!$E:$E,"Yes")</f>
        <v>0</v>
      </c>
      <c r="I284" s="133"/>
      <c r="J284" s="133" t="e">
        <f>VLOOKUP($I284,'Master Data'!$L$5:$M$15,2,FALSE)</f>
        <v>#N/A</v>
      </c>
      <c r="K284" s="137">
        <f>SUMIFS('Order Details'!$U:$U,'Order Details'!$A:$A,'Order Summary'!$B284,'Order Details'!$B:$B,'Order Summary'!$C284,'Order Details'!$E:$E,"Yes")</f>
        <v>0</v>
      </c>
      <c r="L284" s="261">
        <f>SUMIFS('Order Details'!$P:$P,'Order Details'!$A:$A,'Order Summary'!$B284,'Order Details'!$B:$B,'Order Summary'!$C284,'Order Details'!$E:$E,"Yes")</f>
        <v>0</v>
      </c>
      <c r="M284" s="133"/>
      <c r="N284" s="164"/>
      <c r="O284" s="171" t="str">
        <f t="shared" si="83"/>
        <v/>
      </c>
      <c r="P284" s="302">
        <f>ROUND(SUMIFS('Order Details'!$V:$V,'Order Details'!$A:$A,'Order Summary'!$B284,'Order Details'!$B:$B,'Order Summary'!$C284,'Order Details'!$E:$E,"Yes"),2)</f>
        <v>0</v>
      </c>
      <c r="Q284" s="164"/>
      <c r="R284" s="171" t="str">
        <f t="shared" si="84"/>
        <v/>
      </c>
      <c r="S284" s="137"/>
      <c r="T284" s="165" t="str">
        <f>IF(Q284="","",Q284+_xlfn.MAXIFS('Order Details'!$W:$W,'Order Details'!$A:$A,'Order Summary'!$B284,'Order Details'!$B:$B,'Order Summary'!$C284,'Order Details'!$E:$E,"Yes"))</f>
        <v/>
      </c>
      <c r="U284" s="164" t="str">
        <f>IF(T284="","",T284+VLOOKUP($J284,'Master Data'!$F$6:$G$9,2,FALSE))</f>
        <v/>
      </c>
      <c r="V284" s="133"/>
      <c r="W284" s="133"/>
      <c r="X284" s="133"/>
      <c r="Y284" s="133"/>
      <c r="Z284" s="309" t="str">
        <f>IF($Y284="","",IF(VLOOKUP($Y284,'Master Data'!$F$12:$I$17,2,FALSE)="","",VLOOKUP($Y284,'Master Data'!$F$12:$I$17,2,FALSE)))</f>
        <v/>
      </c>
      <c r="AA284" s="164"/>
      <c r="AB284" s="171" t="str">
        <f t="shared" si="80"/>
        <v/>
      </c>
      <c r="AC284" s="133"/>
      <c r="AD284" s="164"/>
      <c r="AE284" s="164"/>
      <c r="AF284" s="137"/>
      <c r="AG284" s="137"/>
      <c r="AH284" s="137">
        <f t="shared" si="85"/>
        <v>0</v>
      </c>
      <c r="AI284" s="137">
        <f t="shared" si="86"/>
        <v>0</v>
      </c>
      <c r="AJ284" s="164"/>
      <c r="AK284" s="171" t="str">
        <f t="shared" si="87"/>
        <v/>
      </c>
      <c r="AL284" s="137"/>
      <c r="AM284" s="164" t="str">
        <f t="shared" si="88"/>
        <v/>
      </c>
      <c r="AN284" s="303" t="str">
        <f t="shared" si="89"/>
        <v/>
      </c>
      <c r="AO284" s="164"/>
    </row>
    <row r="285" spans="1:41" x14ac:dyDescent="0.35">
      <c r="A285" s="133"/>
      <c r="B285" s="133"/>
      <c r="C285" s="133"/>
      <c r="D285" s="133" t="str">
        <f t="shared" si="81"/>
        <v>-</v>
      </c>
      <c r="E285" s="133"/>
      <c r="F285" s="164"/>
      <c r="G285" s="134" t="str">
        <f t="shared" si="82"/>
        <v>Yes</v>
      </c>
      <c r="H285" s="135">
        <f>SUMIFS('Order Details'!$R:$R,'Order Details'!$A:$A,'Order Summary'!$B285,'Order Details'!$B:$B,'Order Summary'!$C285,'Order Details'!$E:$E,"Yes")</f>
        <v>0</v>
      </c>
      <c r="I285" s="133"/>
      <c r="J285" s="133" t="e">
        <f>VLOOKUP($I285,'Master Data'!$L$5:$M$15,2,FALSE)</f>
        <v>#N/A</v>
      </c>
      <c r="K285" s="137">
        <f>SUMIFS('Order Details'!$U:$U,'Order Details'!$A:$A,'Order Summary'!$B285,'Order Details'!$B:$B,'Order Summary'!$C285,'Order Details'!$E:$E,"Yes")</f>
        <v>0</v>
      </c>
      <c r="L285" s="261">
        <f>SUMIFS('Order Details'!$P:$P,'Order Details'!$A:$A,'Order Summary'!$B285,'Order Details'!$B:$B,'Order Summary'!$C285,'Order Details'!$E:$E,"Yes")</f>
        <v>0</v>
      </c>
      <c r="M285" s="133"/>
      <c r="N285" s="164"/>
      <c r="O285" s="171" t="str">
        <f t="shared" si="83"/>
        <v/>
      </c>
      <c r="P285" s="302">
        <f>ROUND(SUMIFS('Order Details'!$V:$V,'Order Details'!$A:$A,'Order Summary'!$B285,'Order Details'!$B:$B,'Order Summary'!$C285,'Order Details'!$E:$E,"Yes"),2)</f>
        <v>0</v>
      </c>
      <c r="Q285" s="164"/>
      <c r="R285" s="171" t="str">
        <f t="shared" si="84"/>
        <v/>
      </c>
      <c r="S285" s="137"/>
      <c r="T285" s="165" t="str">
        <f>IF(Q285="","",Q285+_xlfn.MAXIFS('Order Details'!$W:$W,'Order Details'!$A:$A,'Order Summary'!$B285,'Order Details'!$B:$B,'Order Summary'!$C285,'Order Details'!$E:$E,"Yes"))</f>
        <v/>
      </c>
      <c r="U285" s="164" t="str">
        <f>IF(T285="","",T285+VLOOKUP($J285,'Master Data'!$F$6:$G$9,2,FALSE))</f>
        <v/>
      </c>
      <c r="V285" s="133"/>
      <c r="W285" s="133"/>
      <c r="X285" s="133"/>
      <c r="Y285" s="133"/>
      <c r="Z285" s="309" t="str">
        <f>IF($Y285="","",IF(VLOOKUP($Y285,'Master Data'!$F$12:$I$17,2,FALSE)="","",VLOOKUP($Y285,'Master Data'!$F$12:$I$17,2,FALSE)))</f>
        <v/>
      </c>
      <c r="AA285" s="164"/>
      <c r="AB285" s="171" t="str">
        <f t="shared" si="80"/>
        <v/>
      </c>
      <c r="AC285" s="133"/>
      <c r="AD285" s="164"/>
      <c r="AE285" s="164"/>
      <c r="AF285" s="137"/>
      <c r="AG285" s="137"/>
      <c r="AH285" s="137">
        <f t="shared" si="85"/>
        <v>0</v>
      </c>
      <c r="AI285" s="137">
        <f t="shared" si="86"/>
        <v>0</v>
      </c>
      <c r="AJ285" s="164"/>
      <c r="AK285" s="171" t="str">
        <f t="shared" si="87"/>
        <v/>
      </c>
      <c r="AL285" s="137"/>
      <c r="AM285" s="164" t="str">
        <f t="shared" si="88"/>
        <v/>
      </c>
      <c r="AN285" s="303" t="str">
        <f t="shared" si="89"/>
        <v/>
      </c>
      <c r="AO285" s="164"/>
    </row>
    <row r="286" spans="1:41" x14ac:dyDescent="0.35">
      <c r="A286" s="133"/>
      <c r="B286" s="133"/>
      <c r="C286" s="133"/>
      <c r="D286" s="133" t="str">
        <f t="shared" si="81"/>
        <v>-</v>
      </c>
      <c r="E286" s="133"/>
      <c r="F286" s="164"/>
      <c r="G286" s="134" t="str">
        <f t="shared" si="82"/>
        <v>Yes</v>
      </c>
      <c r="H286" s="135">
        <f>SUMIFS('Order Details'!$R:$R,'Order Details'!$A:$A,'Order Summary'!$B286,'Order Details'!$B:$B,'Order Summary'!$C286,'Order Details'!$E:$E,"Yes")</f>
        <v>0</v>
      </c>
      <c r="I286" s="133"/>
      <c r="J286" s="133" t="e">
        <f>VLOOKUP($I286,'Master Data'!$L$5:$M$15,2,FALSE)</f>
        <v>#N/A</v>
      </c>
      <c r="K286" s="137">
        <f>SUMIFS('Order Details'!$U:$U,'Order Details'!$A:$A,'Order Summary'!$B286,'Order Details'!$B:$B,'Order Summary'!$C286,'Order Details'!$E:$E,"Yes")</f>
        <v>0</v>
      </c>
      <c r="L286" s="261">
        <f>SUMIFS('Order Details'!$P:$P,'Order Details'!$A:$A,'Order Summary'!$B286,'Order Details'!$B:$B,'Order Summary'!$C286,'Order Details'!$E:$E,"Yes")</f>
        <v>0</v>
      </c>
      <c r="M286" s="133"/>
      <c r="N286" s="164"/>
      <c r="O286" s="171" t="str">
        <f t="shared" si="83"/>
        <v/>
      </c>
      <c r="P286" s="302">
        <f>ROUND(SUMIFS('Order Details'!$V:$V,'Order Details'!$A:$A,'Order Summary'!$B286,'Order Details'!$B:$B,'Order Summary'!$C286,'Order Details'!$E:$E,"Yes"),2)</f>
        <v>0</v>
      </c>
      <c r="Q286" s="164"/>
      <c r="R286" s="171" t="str">
        <f t="shared" si="84"/>
        <v/>
      </c>
      <c r="S286" s="137"/>
      <c r="T286" s="165" t="str">
        <f>IF(Q286="","",Q286+_xlfn.MAXIFS('Order Details'!$W:$W,'Order Details'!$A:$A,'Order Summary'!$B286,'Order Details'!$B:$B,'Order Summary'!$C286,'Order Details'!$E:$E,"Yes"))</f>
        <v/>
      </c>
      <c r="U286" s="164" t="str">
        <f>IF(T286="","",T286+VLOOKUP($J286,'Master Data'!$F$6:$G$9,2,FALSE))</f>
        <v/>
      </c>
      <c r="V286" s="133"/>
      <c r="W286" s="133"/>
      <c r="X286" s="133"/>
      <c r="Y286" s="133"/>
      <c r="Z286" s="309" t="str">
        <f>IF($Y286="","",IF(VLOOKUP($Y286,'Master Data'!$F$12:$I$17,2,FALSE)="","",VLOOKUP($Y286,'Master Data'!$F$12:$I$17,2,FALSE)))</f>
        <v/>
      </c>
      <c r="AA286" s="164"/>
      <c r="AB286" s="171" t="str">
        <f t="shared" si="80"/>
        <v/>
      </c>
      <c r="AC286" s="133"/>
      <c r="AD286" s="164"/>
      <c r="AE286" s="164"/>
      <c r="AF286" s="137"/>
      <c r="AG286" s="137"/>
      <c r="AH286" s="137">
        <f t="shared" si="85"/>
        <v>0</v>
      </c>
      <c r="AI286" s="137">
        <f t="shared" si="86"/>
        <v>0</v>
      </c>
      <c r="AJ286" s="164"/>
      <c r="AK286" s="171" t="str">
        <f t="shared" si="87"/>
        <v/>
      </c>
      <c r="AL286" s="137"/>
      <c r="AM286" s="164" t="str">
        <f t="shared" si="88"/>
        <v/>
      </c>
      <c r="AN286" s="303" t="str">
        <f t="shared" si="89"/>
        <v/>
      </c>
      <c r="AO286" s="164"/>
    </row>
    <row r="287" spans="1:41" x14ac:dyDescent="0.35">
      <c r="A287" s="133"/>
      <c r="B287" s="133"/>
      <c r="C287" s="133"/>
      <c r="D287" s="133" t="str">
        <f t="shared" si="81"/>
        <v>-</v>
      </c>
      <c r="E287" s="133"/>
      <c r="F287" s="164"/>
      <c r="G287" s="134" t="str">
        <f t="shared" si="82"/>
        <v>Yes</v>
      </c>
      <c r="H287" s="135">
        <f>SUMIFS('Order Details'!$R:$R,'Order Details'!$A:$A,'Order Summary'!$B287,'Order Details'!$B:$B,'Order Summary'!$C287,'Order Details'!$E:$E,"Yes")</f>
        <v>0</v>
      </c>
      <c r="I287" s="133"/>
      <c r="J287" s="133" t="e">
        <f>VLOOKUP($I287,'Master Data'!$L$5:$M$15,2,FALSE)</f>
        <v>#N/A</v>
      </c>
      <c r="K287" s="137">
        <f>SUMIFS('Order Details'!$U:$U,'Order Details'!$A:$A,'Order Summary'!$B287,'Order Details'!$B:$B,'Order Summary'!$C287,'Order Details'!$E:$E,"Yes")</f>
        <v>0</v>
      </c>
      <c r="L287" s="261">
        <f>SUMIFS('Order Details'!$P:$P,'Order Details'!$A:$A,'Order Summary'!$B287,'Order Details'!$B:$B,'Order Summary'!$C287,'Order Details'!$E:$E,"Yes")</f>
        <v>0</v>
      </c>
      <c r="M287" s="133"/>
      <c r="N287" s="164"/>
      <c r="O287" s="171" t="str">
        <f t="shared" si="83"/>
        <v/>
      </c>
      <c r="P287" s="302">
        <f>ROUND(SUMIFS('Order Details'!$V:$V,'Order Details'!$A:$A,'Order Summary'!$B287,'Order Details'!$B:$B,'Order Summary'!$C287,'Order Details'!$E:$E,"Yes"),2)</f>
        <v>0</v>
      </c>
      <c r="Q287" s="164"/>
      <c r="R287" s="171" t="str">
        <f t="shared" si="84"/>
        <v/>
      </c>
      <c r="S287" s="137"/>
      <c r="T287" s="165" t="str">
        <f>IF(Q287="","",Q287+_xlfn.MAXIFS('Order Details'!$W:$W,'Order Details'!$A:$A,'Order Summary'!$B287,'Order Details'!$B:$B,'Order Summary'!$C287,'Order Details'!$E:$E,"Yes"))</f>
        <v/>
      </c>
      <c r="U287" s="164" t="str">
        <f>IF(T287="","",T287+VLOOKUP($J287,'Master Data'!$F$6:$G$9,2,FALSE))</f>
        <v/>
      </c>
      <c r="V287" s="133"/>
      <c r="W287" s="133"/>
      <c r="X287" s="133"/>
      <c r="Y287" s="133"/>
      <c r="Z287" s="309" t="str">
        <f>IF($Y287="","",IF(VLOOKUP($Y287,'Master Data'!$F$12:$I$17,2,FALSE)="","",VLOOKUP($Y287,'Master Data'!$F$12:$I$17,2,FALSE)))</f>
        <v/>
      </c>
      <c r="AA287" s="164"/>
      <c r="AB287" s="171" t="str">
        <f t="shared" si="80"/>
        <v/>
      </c>
      <c r="AC287" s="133"/>
      <c r="AD287" s="164"/>
      <c r="AE287" s="164"/>
      <c r="AF287" s="137"/>
      <c r="AG287" s="137"/>
      <c r="AH287" s="137">
        <f t="shared" si="85"/>
        <v>0</v>
      </c>
      <c r="AI287" s="137">
        <f t="shared" si="86"/>
        <v>0</v>
      </c>
      <c r="AJ287" s="164"/>
      <c r="AK287" s="171" t="str">
        <f t="shared" si="87"/>
        <v/>
      </c>
      <c r="AL287" s="137"/>
      <c r="AM287" s="164" t="str">
        <f t="shared" si="88"/>
        <v/>
      </c>
      <c r="AN287" s="303" t="str">
        <f t="shared" si="89"/>
        <v/>
      </c>
      <c r="AO287" s="164"/>
    </row>
    <row r="288" spans="1:41" x14ac:dyDescent="0.35">
      <c r="A288" s="133"/>
      <c r="B288" s="133"/>
      <c r="C288" s="133"/>
      <c r="D288" s="133" t="str">
        <f t="shared" si="81"/>
        <v>-</v>
      </c>
      <c r="E288" s="133"/>
      <c r="F288" s="164"/>
      <c r="G288" s="134" t="str">
        <f t="shared" si="82"/>
        <v>Yes</v>
      </c>
      <c r="H288" s="135">
        <f>SUMIFS('Order Details'!$R:$R,'Order Details'!$A:$A,'Order Summary'!$B288,'Order Details'!$B:$B,'Order Summary'!$C288,'Order Details'!$E:$E,"Yes")</f>
        <v>0</v>
      </c>
      <c r="I288" s="133"/>
      <c r="J288" s="133" t="e">
        <f>VLOOKUP($I288,'Master Data'!$L$5:$M$15,2,FALSE)</f>
        <v>#N/A</v>
      </c>
      <c r="K288" s="137">
        <f>SUMIFS('Order Details'!$U:$U,'Order Details'!$A:$A,'Order Summary'!$B288,'Order Details'!$B:$B,'Order Summary'!$C288,'Order Details'!$E:$E,"Yes")</f>
        <v>0</v>
      </c>
      <c r="L288" s="261">
        <f>SUMIFS('Order Details'!$P:$P,'Order Details'!$A:$A,'Order Summary'!$B288,'Order Details'!$B:$B,'Order Summary'!$C288,'Order Details'!$E:$E,"Yes")</f>
        <v>0</v>
      </c>
      <c r="M288" s="133"/>
      <c r="N288" s="164"/>
      <c r="O288" s="171" t="str">
        <f t="shared" si="83"/>
        <v/>
      </c>
      <c r="P288" s="302">
        <f>ROUND(SUMIFS('Order Details'!$V:$V,'Order Details'!$A:$A,'Order Summary'!$B288,'Order Details'!$B:$B,'Order Summary'!$C288,'Order Details'!$E:$E,"Yes"),2)</f>
        <v>0</v>
      </c>
      <c r="Q288" s="164"/>
      <c r="R288" s="171" t="str">
        <f t="shared" si="84"/>
        <v/>
      </c>
      <c r="S288" s="137"/>
      <c r="T288" s="165" t="str">
        <f>IF(Q288="","",Q288+_xlfn.MAXIFS('Order Details'!$W:$W,'Order Details'!$A:$A,'Order Summary'!$B288,'Order Details'!$B:$B,'Order Summary'!$C288,'Order Details'!$E:$E,"Yes"))</f>
        <v/>
      </c>
      <c r="U288" s="164" t="str">
        <f>IF(T288="","",T288+VLOOKUP($J288,'Master Data'!$F$6:$G$9,2,FALSE))</f>
        <v/>
      </c>
      <c r="V288" s="133"/>
      <c r="W288" s="133"/>
      <c r="X288" s="133"/>
      <c r="Y288" s="133"/>
      <c r="Z288" s="309" t="str">
        <f>IF($Y288="","",IF(VLOOKUP($Y288,'Master Data'!$F$12:$I$17,2,FALSE)="","",VLOOKUP($Y288,'Master Data'!$F$12:$I$17,2,FALSE)))</f>
        <v/>
      </c>
      <c r="AA288" s="164"/>
      <c r="AB288" s="171" t="str">
        <f t="shared" si="80"/>
        <v/>
      </c>
      <c r="AC288" s="133"/>
      <c r="AD288" s="164"/>
      <c r="AE288" s="164"/>
      <c r="AF288" s="137"/>
      <c r="AG288" s="137"/>
      <c r="AH288" s="137">
        <f t="shared" si="85"/>
        <v>0</v>
      </c>
      <c r="AI288" s="137">
        <f t="shared" si="86"/>
        <v>0</v>
      </c>
      <c r="AJ288" s="164"/>
      <c r="AK288" s="171" t="str">
        <f t="shared" si="87"/>
        <v/>
      </c>
      <c r="AL288" s="137"/>
      <c r="AM288" s="164" t="str">
        <f t="shared" si="88"/>
        <v/>
      </c>
      <c r="AN288" s="303" t="str">
        <f t="shared" si="89"/>
        <v/>
      </c>
      <c r="AO288" s="164"/>
    </row>
    <row r="289" spans="1:41" x14ac:dyDescent="0.35">
      <c r="A289" s="133"/>
      <c r="B289" s="133"/>
      <c r="C289" s="133"/>
      <c r="D289" s="133" t="str">
        <f t="shared" si="81"/>
        <v>-</v>
      </c>
      <c r="E289" s="133"/>
      <c r="F289" s="164"/>
      <c r="G289" s="134" t="str">
        <f t="shared" si="82"/>
        <v>Yes</v>
      </c>
      <c r="H289" s="135">
        <f>SUMIFS('Order Details'!$R:$R,'Order Details'!$A:$A,'Order Summary'!$B289,'Order Details'!$B:$B,'Order Summary'!$C289,'Order Details'!$E:$E,"Yes")</f>
        <v>0</v>
      </c>
      <c r="I289" s="133"/>
      <c r="J289" s="133" t="e">
        <f>VLOOKUP($I289,'Master Data'!$L$5:$M$15,2,FALSE)</f>
        <v>#N/A</v>
      </c>
      <c r="K289" s="137">
        <f>SUMIFS('Order Details'!$U:$U,'Order Details'!$A:$A,'Order Summary'!$B289,'Order Details'!$B:$B,'Order Summary'!$C289,'Order Details'!$E:$E,"Yes")</f>
        <v>0</v>
      </c>
      <c r="L289" s="261">
        <f>SUMIFS('Order Details'!$P:$P,'Order Details'!$A:$A,'Order Summary'!$B289,'Order Details'!$B:$B,'Order Summary'!$C289,'Order Details'!$E:$E,"Yes")</f>
        <v>0</v>
      </c>
      <c r="M289" s="133"/>
      <c r="N289" s="164"/>
      <c r="O289" s="171" t="str">
        <f t="shared" si="83"/>
        <v/>
      </c>
      <c r="P289" s="302">
        <f>ROUND(SUMIFS('Order Details'!$V:$V,'Order Details'!$A:$A,'Order Summary'!$B289,'Order Details'!$B:$B,'Order Summary'!$C289,'Order Details'!$E:$E,"Yes"),2)</f>
        <v>0</v>
      </c>
      <c r="Q289" s="164"/>
      <c r="R289" s="171" t="str">
        <f t="shared" si="84"/>
        <v/>
      </c>
      <c r="S289" s="137"/>
      <c r="T289" s="165" t="str">
        <f>IF(Q289="","",Q289+_xlfn.MAXIFS('Order Details'!$W:$W,'Order Details'!$A:$A,'Order Summary'!$B289,'Order Details'!$B:$B,'Order Summary'!$C289,'Order Details'!$E:$E,"Yes"))</f>
        <v/>
      </c>
      <c r="U289" s="164" t="str">
        <f>IF(T289="","",T289+VLOOKUP($J289,'Master Data'!$F$6:$G$9,2,FALSE))</f>
        <v/>
      </c>
      <c r="V289" s="133"/>
      <c r="W289" s="133"/>
      <c r="X289" s="133"/>
      <c r="Y289" s="133"/>
      <c r="Z289" s="309" t="str">
        <f>IF($Y289="","",IF(VLOOKUP($Y289,'Master Data'!$F$12:$I$17,2,FALSE)="","",VLOOKUP($Y289,'Master Data'!$F$12:$I$17,2,FALSE)))</f>
        <v/>
      </c>
      <c r="AA289" s="164"/>
      <c r="AB289" s="171" t="str">
        <f t="shared" si="80"/>
        <v/>
      </c>
      <c r="AC289" s="133"/>
      <c r="AD289" s="164"/>
      <c r="AE289" s="164"/>
      <c r="AF289" s="137"/>
      <c r="AG289" s="137"/>
      <c r="AH289" s="137">
        <f t="shared" si="85"/>
        <v>0</v>
      </c>
      <c r="AI289" s="137">
        <f t="shared" si="86"/>
        <v>0</v>
      </c>
      <c r="AJ289" s="164"/>
      <c r="AK289" s="171" t="str">
        <f t="shared" si="87"/>
        <v/>
      </c>
      <c r="AL289" s="137"/>
      <c r="AM289" s="164" t="str">
        <f t="shared" si="88"/>
        <v/>
      </c>
      <c r="AN289" s="303" t="str">
        <f t="shared" si="89"/>
        <v/>
      </c>
      <c r="AO289" s="164"/>
    </row>
    <row r="290" spans="1:41" x14ac:dyDescent="0.35">
      <c r="A290" s="133"/>
      <c r="B290" s="133"/>
      <c r="C290" s="133"/>
      <c r="D290" s="133" t="str">
        <f t="shared" si="81"/>
        <v>-</v>
      </c>
      <c r="E290" s="133"/>
      <c r="F290" s="164"/>
      <c r="G290" s="134" t="str">
        <f t="shared" si="82"/>
        <v>Yes</v>
      </c>
      <c r="H290" s="135">
        <f>SUMIFS('Order Details'!$R:$R,'Order Details'!$A:$A,'Order Summary'!$B290,'Order Details'!$B:$B,'Order Summary'!$C290,'Order Details'!$E:$E,"Yes")</f>
        <v>0</v>
      </c>
      <c r="I290" s="133"/>
      <c r="J290" s="133" t="e">
        <f>VLOOKUP($I290,'Master Data'!$L$5:$M$15,2,FALSE)</f>
        <v>#N/A</v>
      </c>
      <c r="K290" s="137">
        <f>SUMIFS('Order Details'!$U:$U,'Order Details'!$A:$A,'Order Summary'!$B290,'Order Details'!$B:$B,'Order Summary'!$C290,'Order Details'!$E:$E,"Yes")</f>
        <v>0</v>
      </c>
      <c r="L290" s="261">
        <f>SUMIFS('Order Details'!$P:$P,'Order Details'!$A:$A,'Order Summary'!$B290,'Order Details'!$B:$B,'Order Summary'!$C290,'Order Details'!$E:$E,"Yes")</f>
        <v>0</v>
      </c>
      <c r="M290" s="133"/>
      <c r="N290" s="164"/>
      <c r="O290" s="171" t="str">
        <f t="shared" si="83"/>
        <v/>
      </c>
      <c r="P290" s="302">
        <f>ROUND(SUMIFS('Order Details'!$V:$V,'Order Details'!$A:$A,'Order Summary'!$B290,'Order Details'!$B:$B,'Order Summary'!$C290,'Order Details'!$E:$E,"Yes"),2)</f>
        <v>0</v>
      </c>
      <c r="Q290" s="164"/>
      <c r="R290" s="171" t="str">
        <f t="shared" si="84"/>
        <v/>
      </c>
      <c r="S290" s="137"/>
      <c r="T290" s="165" t="str">
        <f>IF(Q290="","",Q290+_xlfn.MAXIFS('Order Details'!$W:$W,'Order Details'!$A:$A,'Order Summary'!$B290,'Order Details'!$B:$B,'Order Summary'!$C290,'Order Details'!$E:$E,"Yes"))</f>
        <v/>
      </c>
      <c r="U290" s="164" t="str">
        <f>IF(T290="","",T290+VLOOKUP($J290,'Master Data'!$F$6:$G$9,2,FALSE))</f>
        <v/>
      </c>
      <c r="V290" s="133"/>
      <c r="W290" s="133"/>
      <c r="X290" s="133"/>
      <c r="Y290" s="133"/>
      <c r="Z290" s="309" t="str">
        <f>IF($Y290="","",IF(VLOOKUP($Y290,'Master Data'!$F$12:$I$17,2,FALSE)="","",VLOOKUP($Y290,'Master Data'!$F$12:$I$17,2,FALSE)))</f>
        <v/>
      </c>
      <c r="AA290" s="164"/>
      <c r="AB290" s="171" t="str">
        <f t="shared" si="80"/>
        <v/>
      </c>
      <c r="AC290" s="133"/>
      <c r="AD290" s="164"/>
      <c r="AE290" s="164"/>
      <c r="AF290" s="137"/>
      <c r="AG290" s="137"/>
      <c r="AH290" s="137">
        <f t="shared" si="85"/>
        <v>0</v>
      </c>
      <c r="AI290" s="137">
        <f t="shared" si="86"/>
        <v>0</v>
      </c>
      <c r="AJ290" s="164"/>
      <c r="AK290" s="171" t="str">
        <f t="shared" si="87"/>
        <v/>
      </c>
      <c r="AL290" s="137"/>
      <c r="AM290" s="164" t="str">
        <f t="shared" si="88"/>
        <v/>
      </c>
      <c r="AN290" s="303" t="str">
        <f t="shared" si="89"/>
        <v/>
      </c>
      <c r="AO290" s="164"/>
    </row>
    <row r="291" spans="1:41" x14ac:dyDescent="0.35">
      <c r="A291" s="133"/>
      <c r="B291" s="133"/>
      <c r="C291" s="133"/>
      <c r="D291" s="133" t="str">
        <f t="shared" si="81"/>
        <v>-</v>
      </c>
      <c r="E291" s="133"/>
      <c r="F291" s="164"/>
      <c r="G291" s="134" t="str">
        <f t="shared" si="82"/>
        <v>Yes</v>
      </c>
      <c r="H291" s="135">
        <f>SUMIFS('Order Details'!$R:$R,'Order Details'!$A:$A,'Order Summary'!$B291,'Order Details'!$B:$B,'Order Summary'!$C291,'Order Details'!$E:$E,"Yes")</f>
        <v>0</v>
      </c>
      <c r="I291" s="133"/>
      <c r="J291" s="133" t="e">
        <f>VLOOKUP($I291,'Master Data'!$L$5:$M$15,2,FALSE)</f>
        <v>#N/A</v>
      </c>
      <c r="K291" s="137">
        <f>SUMIFS('Order Details'!$U:$U,'Order Details'!$A:$A,'Order Summary'!$B291,'Order Details'!$B:$B,'Order Summary'!$C291,'Order Details'!$E:$E,"Yes")</f>
        <v>0</v>
      </c>
      <c r="L291" s="261">
        <f>SUMIFS('Order Details'!$P:$P,'Order Details'!$A:$A,'Order Summary'!$B291,'Order Details'!$B:$B,'Order Summary'!$C291,'Order Details'!$E:$E,"Yes")</f>
        <v>0</v>
      </c>
      <c r="M291" s="133"/>
      <c r="N291" s="164"/>
      <c r="O291" s="171" t="str">
        <f t="shared" si="83"/>
        <v/>
      </c>
      <c r="P291" s="302">
        <f>ROUND(SUMIFS('Order Details'!$V:$V,'Order Details'!$A:$A,'Order Summary'!$B291,'Order Details'!$B:$B,'Order Summary'!$C291,'Order Details'!$E:$E,"Yes"),2)</f>
        <v>0</v>
      </c>
      <c r="Q291" s="164"/>
      <c r="R291" s="171" t="str">
        <f t="shared" si="84"/>
        <v/>
      </c>
      <c r="S291" s="137"/>
      <c r="T291" s="165" t="str">
        <f>IF(Q291="","",Q291+_xlfn.MAXIFS('Order Details'!$W:$W,'Order Details'!$A:$A,'Order Summary'!$B291,'Order Details'!$B:$B,'Order Summary'!$C291,'Order Details'!$E:$E,"Yes"))</f>
        <v/>
      </c>
      <c r="U291" s="164" t="str">
        <f>IF(T291="","",T291+VLOOKUP($J291,'Master Data'!$F$6:$G$9,2,FALSE))</f>
        <v/>
      </c>
      <c r="V291" s="133"/>
      <c r="W291" s="133"/>
      <c r="X291" s="133"/>
      <c r="Y291" s="133"/>
      <c r="Z291" s="309" t="str">
        <f>IF($Y291="","",IF(VLOOKUP($Y291,'Master Data'!$F$12:$I$17,2,FALSE)="","",VLOOKUP($Y291,'Master Data'!$F$12:$I$17,2,FALSE)))</f>
        <v/>
      </c>
      <c r="AA291" s="164"/>
      <c r="AB291" s="171" t="str">
        <f t="shared" si="80"/>
        <v/>
      </c>
      <c r="AC291" s="133"/>
      <c r="AD291" s="164"/>
      <c r="AE291" s="164"/>
      <c r="AF291" s="137"/>
      <c r="AG291" s="137"/>
      <c r="AH291" s="137">
        <f t="shared" si="85"/>
        <v>0</v>
      </c>
      <c r="AI291" s="137">
        <f t="shared" si="86"/>
        <v>0</v>
      </c>
      <c r="AJ291" s="164"/>
      <c r="AK291" s="171" t="str">
        <f t="shared" si="87"/>
        <v/>
      </c>
      <c r="AL291" s="137"/>
      <c r="AM291" s="164" t="str">
        <f t="shared" si="88"/>
        <v/>
      </c>
      <c r="AN291" s="303" t="str">
        <f t="shared" si="89"/>
        <v/>
      </c>
      <c r="AO291" s="164"/>
    </row>
    <row r="292" spans="1:41" x14ac:dyDescent="0.35">
      <c r="A292" s="133"/>
      <c r="B292" s="133"/>
      <c r="C292" s="133"/>
      <c r="D292" s="133" t="str">
        <f t="shared" si="81"/>
        <v>-</v>
      </c>
      <c r="E292" s="133"/>
      <c r="F292" s="164"/>
      <c r="G292" s="134" t="str">
        <f t="shared" si="82"/>
        <v>Yes</v>
      </c>
      <c r="H292" s="135">
        <f>SUMIFS('Order Details'!$R:$R,'Order Details'!$A:$A,'Order Summary'!$B292,'Order Details'!$B:$B,'Order Summary'!$C292,'Order Details'!$E:$E,"Yes")</f>
        <v>0</v>
      </c>
      <c r="I292" s="133"/>
      <c r="J292" s="133" t="e">
        <f>VLOOKUP($I292,'Master Data'!$L$5:$M$15,2,FALSE)</f>
        <v>#N/A</v>
      </c>
      <c r="K292" s="137">
        <f>SUMIFS('Order Details'!$U:$U,'Order Details'!$A:$A,'Order Summary'!$B292,'Order Details'!$B:$B,'Order Summary'!$C292,'Order Details'!$E:$E,"Yes")</f>
        <v>0</v>
      </c>
      <c r="L292" s="261">
        <f>SUMIFS('Order Details'!$P:$P,'Order Details'!$A:$A,'Order Summary'!$B292,'Order Details'!$B:$B,'Order Summary'!$C292,'Order Details'!$E:$E,"Yes")</f>
        <v>0</v>
      </c>
      <c r="M292" s="133"/>
      <c r="N292" s="164"/>
      <c r="O292" s="171" t="str">
        <f t="shared" si="83"/>
        <v/>
      </c>
      <c r="P292" s="302">
        <f>ROUND(SUMIFS('Order Details'!$V:$V,'Order Details'!$A:$A,'Order Summary'!$B292,'Order Details'!$B:$B,'Order Summary'!$C292,'Order Details'!$E:$E,"Yes"),2)</f>
        <v>0</v>
      </c>
      <c r="Q292" s="164"/>
      <c r="R292" s="171" t="str">
        <f t="shared" si="84"/>
        <v/>
      </c>
      <c r="S292" s="137"/>
      <c r="T292" s="165" t="str">
        <f>IF(Q292="","",Q292+_xlfn.MAXIFS('Order Details'!$W:$W,'Order Details'!$A:$A,'Order Summary'!$B292,'Order Details'!$B:$B,'Order Summary'!$C292,'Order Details'!$E:$E,"Yes"))</f>
        <v/>
      </c>
      <c r="U292" s="164" t="str">
        <f>IF(T292="","",T292+VLOOKUP($J292,'Master Data'!$F$6:$G$9,2,FALSE))</f>
        <v/>
      </c>
      <c r="V292" s="133"/>
      <c r="W292" s="133"/>
      <c r="X292" s="133"/>
      <c r="Y292" s="133"/>
      <c r="Z292" s="309" t="str">
        <f>IF($Y292="","",IF(VLOOKUP($Y292,'Master Data'!$F$12:$I$17,2,FALSE)="","",VLOOKUP($Y292,'Master Data'!$F$12:$I$17,2,FALSE)))</f>
        <v/>
      </c>
      <c r="AA292" s="164"/>
      <c r="AB292" s="171" t="str">
        <f t="shared" si="80"/>
        <v/>
      </c>
      <c r="AC292" s="133"/>
      <c r="AD292" s="164"/>
      <c r="AE292" s="164"/>
      <c r="AF292" s="137"/>
      <c r="AG292" s="137"/>
      <c r="AH292" s="137">
        <f t="shared" si="85"/>
        <v>0</v>
      </c>
      <c r="AI292" s="137">
        <f t="shared" si="86"/>
        <v>0</v>
      </c>
      <c r="AJ292" s="164"/>
      <c r="AK292" s="171" t="str">
        <f t="shared" si="87"/>
        <v/>
      </c>
      <c r="AL292" s="137"/>
      <c r="AM292" s="164" t="str">
        <f t="shared" si="88"/>
        <v/>
      </c>
      <c r="AN292" s="303" t="str">
        <f t="shared" si="89"/>
        <v/>
      </c>
      <c r="AO292" s="164"/>
    </row>
    <row r="293" spans="1:41" x14ac:dyDescent="0.35">
      <c r="A293" s="133"/>
      <c r="B293" s="133"/>
      <c r="C293" s="133"/>
      <c r="D293" s="133" t="str">
        <f t="shared" si="81"/>
        <v>-</v>
      </c>
      <c r="E293" s="133"/>
      <c r="F293" s="164"/>
      <c r="G293" s="134" t="str">
        <f t="shared" si="82"/>
        <v>Yes</v>
      </c>
      <c r="H293" s="135">
        <f>SUMIFS('Order Details'!$R:$R,'Order Details'!$A:$A,'Order Summary'!$B293,'Order Details'!$B:$B,'Order Summary'!$C293,'Order Details'!$E:$E,"Yes")</f>
        <v>0</v>
      </c>
      <c r="I293" s="133"/>
      <c r="J293" s="133" t="e">
        <f>VLOOKUP($I293,'Master Data'!$L$5:$M$15,2,FALSE)</f>
        <v>#N/A</v>
      </c>
      <c r="K293" s="137">
        <f>SUMIFS('Order Details'!$U:$U,'Order Details'!$A:$A,'Order Summary'!$B293,'Order Details'!$B:$B,'Order Summary'!$C293,'Order Details'!$E:$E,"Yes")</f>
        <v>0</v>
      </c>
      <c r="L293" s="261">
        <f>SUMIFS('Order Details'!$P:$P,'Order Details'!$A:$A,'Order Summary'!$B293,'Order Details'!$B:$B,'Order Summary'!$C293,'Order Details'!$E:$E,"Yes")</f>
        <v>0</v>
      </c>
      <c r="M293" s="133"/>
      <c r="N293" s="164"/>
      <c r="O293" s="171" t="str">
        <f t="shared" si="83"/>
        <v/>
      </c>
      <c r="P293" s="302">
        <f>ROUND(SUMIFS('Order Details'!$V:$V,'Order Details'!$A:$A,'Order Summary'!$B293,'Order Details'!$B:$B,'Order Summary'!$C293,'Order Details'!$E:$E,"Yes"),2)</f>
        <v>0</v>
      </c>
      <c r="Q293" s="164"/>
      <c r="R293" s="171" t="str">
        <f t="shared" si="84"/>
        <v/>
      </c>
      <c r="S293" s="137"/>
      <c r="T293" s="165" t="str">
        <f>IF(Q293="","",Q293+_xlfn.MAXIFS('Order Details'!$W:$W,'Order Details'!$A:$A,'Order Summary'!$B293,'Order Details'!$B:$B,'Order Summary'!$C293,'Order Details'!$E:$E,"Yes"))</f>
        <v/>
      </c>
      <c r="U293" s="164" t="str">
        <f>IF(T293="","",T293+VLOOKUP($J293,'Master Data'!$F$6:$G$9,2,FALSE))</f>
        <v/>
      </c>
      <c r="V293" s="133"/>
      <c r="W293" s="133"/>
      <c r="X293" s="133"/>
      <c r="Y293" s="133"/>
      <c r="Z293" s="309" t="str">
        <f>IF($Y293="","",IF(VLOOKUP($Y293,'Master Data'!$F$12:$I$17,2,FALSE)="","",VLOOKUP($Y293,'Master Data'!$F$12:$I$17,2,FALSE)))</f>
        <v/>
      </c>
      <c r="AA293" s="164"/>
      <c r="AB293" s="171" t="str">
        <f t="shared" si="80"/>
        <v/>
      </c>
      <c r="AC293" s="133"/>
      <c r="AD293" s="164"/>
      <c r="AE293" s="164"/>
      <c r="AF293" s="137"/>
      <c r="AG293" s="137"/>
      <c r="AH293" s="137">
        <f t="shared" si="85"/>
        <v>0</v>
      </c>
      <c r="AI293" s="137">
        <f t="shared" si="86"/>
        <v>0</v>
      </c>
      <c r="AJ293" s="164"/>
      <c r="AK293" s="171" t="str">
        <f t="shared" si="87"/>
        <v/>
      </c>
      <c r="AL293" s="137"/>
      <c r="AM293" s="164" t="str">
        <f t="shared" si="88"/>
        <v/>
      </c>
      <c r="AN293" s="303" t="str">
        <f t="shared" si="89"/>
        <v/>
      </c>
      <c r="AO293" s="164"/>
    </row>
    <row r="294" spans="1:41" x14ac:dyDescent="0.35">
      <c r="A294" s="133"/>
      <c r="B294" s="133"/>
      <c r="C294" s="133"/>
      <c r="D294" s="133" t="str">
        <f t="shared" si="81"/>
        <v>-</v>
      </c>
      <c r="E294" s="133"/>
      <c r="F294" s="164"/>
      <c r="G294" s="134" t="str">
        <f t="shared" si="82"/>
        <v>Yes</v>
      </c>
      <c r="H294" s="135">
        <f>SUMIFS('Order Details'!$R:$R,'Order Details'!$A:$A,'Order Summary'!$B294,'Order Details'!$B:$B,'Order Summary'!$C294,'Order Details'!$E:$E,"Yes")</f>
        <v>0</v>
      </c>
      <c r="I294" s="133"/>
      <c r="J294" s="133" t="e">
        <f>VLOOKUP($I294,'Master Data'!$L$5:$M$15,2,FALSE)</f>
        <v>#N/A</v>
      </c>
      <c r="K294" s="137">
        <f>SUMIFS('Order Details'!$U:$U,'Order Details'!$A:$A,'Order Summary'!$B294,'Order Details'!$B:$B,'Order Summary'!$C294,'Order Details'!$E:$E,"Yes")</f>
        <v>0</v>
      </c>
      <c r="L294" s="261">
        <f>SUMIFS('Order Details'!$P:$P,'Order Details'!$A:$A,'Order Summary'!$B294,'Order Details'!$B:$B,'Order Summary'!$C294,'Order Details'!$E:$E,"Yes")</f>
        <v>0</v>
      </c>
      <c r="M294" s="133"/>
      <c r="N294" s="164"/>
      <c r="O294" s="171" t="str">
        <f t="shared" si="83"/>
        <v/>
      </c>
      <c r="P294" s="302">
        <f>ROUND(SUMIFS('Order Details'!$V:$V,'Order Details'!$A:$A,'Order Summary'!$B294,'Order Details'!$B:$B,'Order Summary'!$C294,'Order Details'!$E:$E,"Yes"),2)</f>
        <v>0</v>
      </c>
      <c r="Q294" s="164"/>
      <c r="R294" s="171" t="str">
        <f t="shared" si="84"/>
        <v/>
      </c>
      <c r="S294" s="137"/>
      <c r="T294" s="165" t="str">
        <f>IF(Q294="","",Q294+_xlfn.MAXIFS('Order Details'!$W:$W,'Order Details'!$A:$A,'Order Summary'!$B294,'Order Details'!$B:$B,'Order Summary'!$C294,'Order Details'!$E:$E,"Yes"))</f>
        <v/>
      </c>
      <c r="U294" s="164" t="str">
        <f>IF(T294="","",T294+VLOOKUP($J294,'Master Data'!$F$6:$G$9,2,FALSE))</f>
        <v/>
      </c>
      <c r="V294" s="133"/>
      <c r="W294" s="133"/>
      <c r="X294" s="133"/>
      <c r="Y294" s="133"/>
      <c r="Z294" s="309" t="str">
        <f>IF($Y294="","",IF(VLOOKUP($Y294,'Master Data'!$F$12:$I$17,2,FALSE)="","",VLOOKUP($Y294,'Master Data'!$F$12:$I$17,2,FALSE)))</f>
        <v/>
      </c>
      <c r="AA294" s="164"/>
      <c r="AB294" s="171" t="str">
        <f t="shared" si="80"/>
        <v/>
      </c>
      <c r="AC294" s="133"/>
      <c r="AD294" s="164"/>
      <c r="AE294" s="164"/>
      <c r="AF294" s="137"/>
      <c r="AG294" s="137"/>
      <c r="AH294" s="137">
        <f t="shared" si="85"/>
        <v>0</v>
      </c>
      <c r="AI294" s="137">
        <f t="shared" si="86"/>
        <v>0</v>
      </c>
      <c r="AJ294" s="164"/>
      <c r="AK294" s="171" t="str">
        <f t="shared" si="87"/>
        <v/>
      </c>
      <c r="AL294" s="137"/>
      <c r="AM294" s="164" t="str">
        <f t="shared" si="88"/>
        <v/>
      </c>
      <c r="AN294" s="303" t="str">
        <f t="shared" si="89"/>
        <v/>
      </c>
      <c r="AO294" s="164"/>
    </row>
    <row r="295" spans="1:41" x14ac:dyDescent="0.35">
      <c r="A295" s="133"/>
      <c r="B295" s="133"/>
      <c r="C295" s="133"/>
      <c r="D295" s="133" t="str">
        <f t="shared" si="81"/>
        <v>-</v>
      </c>
      <c r="E295" s="133"/>
      <c r="F295" s="164"/>
      <c r="G295" s="134" t="str">
        <f t="shared" si="82"/>
        <v>Yes</v>
      </c>
      <c r="H295" s="135">
        <f>SUMIFS('Order Details'!$R:$R,'Order Details'!$A:$A,'Order Summary'!$B295,'Order Details'!$B:$B,'Order Summary'!$C295,'Order Details'!$E:$E,"Yes")</f>
        <v>0</v>
      </c>
      <c r="I295" s="133"/>
      <c r="J295" s="133" t="e">
        <f>VLOOKUP($I295,'Master Data'!$L$5:$M$15,2,FALSE)</f>
        <v>#N/A</v>
      </c>
      <c r="K295" s="137">
        <f>SUMIFS('Order Details'!$U:$U,'Order Details'!$A:$A,'Order Summary'!$B295,'Order Details'!$B:$B,'Order Summary'!$C295,'Order Details'!$E:$E,"Yes")</f>
        <v>0</v>
      </c>
      <c r="L295" s="261">
        <f>SUMIFS('Order Details'!$P:$P,'Order Details'!$A:$A,'Order Summary'!$B295,'Order Details'!$B:$B,'Order Summary'!$C295,'Order Details'!$E:$E,"Yes")</f>
        <v>0</v>
      </c>
      <c r="M295" s="133"/>
      <c r="N295" s="164"/>
      <c r="O295" s="171" t="str">
        <f t="shared" si="83"/>
        <v/>
      </c>
      <c r="P295" s="302">
        <f>ROUND(SUMIFS('Order Details'!$V:$V,'Order Details'!$A:$A,'Order Summary'!$B295,'Order Details'!$B:$B,'Order Summary'!$C295,'Order Details'!$E:$E,"Yes"),2)</f>
        <v>0</v>
      </c>
      <c r="Q295" s="164"/>
      <c r="R295" s="171" t="str">
        <f t="shared" si="84"/>
        <v/>
      </c>
      <c r="S295" s="137"/>
      <c r="T295" s="165" t="str">
        <f>IF(Q295="","",Q295+_xlfn.MAXIFS('Order Details'!$W:$W,'Order Details'!$A:$A,'Order Summary'!$B295,'Order Details'!$B:$B,'Order Summary'!$C295,'Order Details'!$E:$E,"Yes"))</f>
        <v/>
      </c>
      <c r="U295" s="164" t="str">
        <f>IF(T295="","",T295+VLOOKUP($J295,'Master Data'!$F$6:$G$9,2,FALSE))</f>
        <v/>
      </c>
      <c r="V295" s="133"/>
      <c r="W295" s="133"/>
      <c r="X295" s="133"/>
      <c r="Y295" s="133"/>
      <c r="Z295" s="309" t="str">
        <f>IF($Y295="","",IF(VLOOKUP($Y295,'Master Data'!$F$12:$I$17,2,FALSE)="","",VLOOKUP($Y295,'Master Data'!$F$12:$I$17,2,FALSE)))</f>
        <v/>
      </c>
      <c r="AA295" s="164"/>
      <c r="AB295" s="171" t="str">
        <f t="shared" si="80"/>
        <v/>
      </c>
      <c r="AC295" s="133"/>
      <c r="AD295" s="164"/>
      <c r="AE295" s="164"/>
      <c r="AF295" s="137"/>
      <c r="AG295" s="137"/>
      <c r="AH295" s="137">
        <f t="shared" si="85"/>
        <v>0</v>
      </c>
      <c r="AI295" s="137">
        <f t="shared" si="86"/>
        <v>0</v>
      </c>
      <c r="AJ295" s="164"/>
      <c r="AK295" s="171" t="str">
        <f t="shared" si="87"/>
        <v/>
      </c>
      <c r="AL295" s="137"/>
      <c r="AM295" s="164" t="str">
        <f t="shared" si="88"/>
        <v/>
      </c>
      <c r="AN295" s="303" t="str">
        <f t="shared" si="89"/>
        <v/>
      </c>
      <c r="AO295" s="164"/>
    </row>
    <row r="296" spans="1:41" x14ac:dyDescent="0.35">
      <c r="A296" s="133"/>
      <c r="B296" s="133"/>
      <c r="C296" s="133"/>
      <c r="D296" s="133" t="str">
        <f t="shared" si="81"/>
        <v>-</v>
      </c>
      <c r="E296" s="133"/>
      <c r="F296" s="164"/>
      <c r="G296" s="134" t="str">
        <f t="shared" si="82"/>
        <v>Yes</v>
      </c>
      <c r="H296" s="135">
        <f>SUMIFS('Order Details'!$R:$R,'Order Details'!$A:$A,'Order Summary'!$B296,'Order Details'!$B:$B,'Order Summary'!$C296,'Order Details'!$E:$E,"Yes")</f>
        <v>0</v>
      </c>
      <c r="I296" s="133"/>
      <c r="J296" s="133" t="e">
        <f>VLOOKUP($I296,'Master Data'!$L$5:$M$15,2,FALSE)</f>
        <v>#N/A</v>
      </c>
      <c r="K296" s="137">
        <f>SUMIFS('Order Details'!$U:$U,'Order Details'!$A:$A,'Order Summary'!$B296,'Order Details'!$B:$B,'Order Summary'!$C296,'Order Details'!$E:$E,"Yes")</f>
        <v>0</v>
      </c>
      <c r="L296" s="261">
        <f>SUMIFS('Order Details'!$P:$P,'Order Details'!$A:$A,'Order Summary'!$B296,'Order Details'!$B:$B,'Order Summary'!$C296,'Order Details'!$E:$E,"Yes")</f>
        <v>0</v>
      </c>
      <c r="M296" s="133"/>
      <c r="N296" s="164"/>
      <c r="O296" s="171" t="str">
        <f t="shared" si="83"/>
        <v/>
      </c>
      <c r="P296" s="302">
        <f>ROUND(SUMIFS('Order Details'!$V:$V,'Order Details'!$A:$A,'Order Summary'!$B296,'Order Details'!$B:$B,'Order Summary'!$C296,'Order Details'!$E:$E,"Yes"),2)</f>
        <v>0</v>
      </c>
      <c r="Q296" s="164"/>
      <c r="R296" s="171" t="str">
        <f t="shared" si="84"/>
        <v/>
      </c>
      <c r="S296" s="137"/>
      <c r="T296" s="165" t="str">
        <f>IF(Q296="","",Q296+_xlfn.MAXIFS('Order Details'!$W:$W,'Order Details'!$A:$A,'Order Summary'!$B296,'Order Details'!$B:$B,'Order Summary'!$C296,'Order Details'!$E:$E,"Yes"))</f>
        <v/>
      </c>
      <c r="U296" s="164" t="str">
        <f>IF(T296="","",T296+VLOOKUP($J296,'Master Data'!$F$6:$G$9,2,FALSE))</f>
        <v/>
      </c>
      <c r="V296" s="133"/>
      <c r="W296" s="133"/>
      <c r="X296" s="133"/>
      <c r="Y296" s="133"/>
      <c r="Z296" s="309" t="str">
        <f>IF($Y296="","",IF(VLOOKUP($Y296,'Master Data'!$F$12:$I$17,2,FALSE)="","",VLOOKUP($Y296,'Master Data'!$F$12:$I$17,2,FALSE)))</f>
        <v/>
      </c>
      <c r="AA296" s="164"/>
      <c r="AB296" s="171" t="str">
        <f t="shared" si="80"/>
        <v/>
      </c>
      <c r="AC296" s="133"/>
      <c r="AD296" s="164"/>
      <c r="AE296" s="164"/>
      <c r="AF296" s="137"/>
      <c r="AG296" s="137"/>
      <c r="AH296" s="137">
        <f t="shared" si="85"/>
        <v>0</v>
      </c>
      <c r="AI296" s="137">
        <f t="shared" si="86"/>
        <v>0</v>
      </c>
      <c r="AJ296" s="164"/>
      <c r="AK296" s="171" t="str">
        <f t="shared" si="87"/>
        <v/>
      </c>
      <c r="AL296" s="137"/>
      <c r="AM296" s="164" t="str">
        <f t="shared" si="88"/>
        <v/>
      </c>
      <c r="AN296" s="303" t="str">
        <f t="shared" si="89"/>
        <v/>
      </c>
      <c r="AO296" s="164"/>
    </row>
    <row r="297" spans="1:41" x14ac:dyDescent="0.35">
      <c r="A297" s="133"/>
      <c r="B297" s="133"/>
      <c r="C297" s="133"/>
      <c r="D297" s="133" t="str">
        <f t="shared" ref="D297:D300" si="90">B297&amp;"-"&amp;C297</f>
        <v>-</v>
      </c>
      <c r="E297" s="133"/>
      <c r="F297" s="164"/>
      <c r="G297" s="134" t="str">
        <f t="shared" si="82"/>
        <v>Yes</v>
      </c>
      <c r="H297" s="135">
        <f>SUMIFS('Order Details'!$R:$R,'Order Details'!$A:$A,'Order Summary'!$B297,'Order Details'!$B:$B,'Order Summary'!$C297,'Order Details'!$E:$E,"Yes")</f>
        <v>0</v>
      </c>
      <c r="I297" s="133"/>
      <c r="J297" s="133" t="e">
        <f>VLOOKUP($I297,'Master Data'!$L$5:$M$15,2,FALSE)</f>
        <v>#N/A</v>
      </c>
      <c r="K297" s="137">
        <f>SUMIFS('Order Details'!$U:$U,'Order Details'!$A:$A,'Order Summary'!$B297,'Order Details'!$B:$B,'Order Summary'!$C297,'Order Details'!$E:$E,"Yes")</f>
        <v>0</v>
      </c>
      <c r="L297" s="261">
        <f>SUMIFS('Order Details'!$P:$P,'Order Details'!$A:$A,'Order Summary'!$B297,'Order Details'!$B:$B,'Order Summary'!$C297,'Order Details'!$E:$E,"Yes")</f>
        <v>0</v>
      </c>
      <c r="M297" s="133"/>
      <c r="N297" s="164"/>
      <c r="O297" s="171" t="str">
        <f t="shared" ref="O297:O300" si="91">IF(N297="","",$N297-$F297)</f>
        <v/>
      </c>
      <c r="P297" s="302">
        <f>ROUND(SUMIFS('Order Details'!$V:$V,'Order Details'!$A:$A,'Order Summary'!$B297,'Order Details'!$B:$B,'Order Summary'!$C297,'Order Details'!$E:$E,"Yes"),2)</f>
        <v>0</v>
      </c>
      <c r="Q297" s="164"/>
      <c r="R297" s="171" t="str">
        <f t="shared" ref="R297:R300" si="92">IF(Q297="","",$Q297-$N297)</f>
        <v/>
      </c>
      <c r="S297" s="137"/>
      <c r="T297" s="165" t="str">
        <f>IF(Q297="","",Q297+_xlfn.MAXIFS('Order Details'!$W:$W,'Order Details'!$A:$A,'Order Summary'!$B297,'Order Details'!$B:$B,'Order Summary'!$C297,'Order Details'!$E:$E,"Yes"))</f>
        <v/>
      </c>
      <c r="U297" s="164" t="str">
        <f>IF(T297="","",T297+VLOOKUP($J297,'Master Data'!$F$6:$G$9,2,FALSE))</f>
        <v/>
      </c>
      <c r="V297" s="133"/>
      <c r="W297" s="133"/>
      <c r="X297" s="133"/>
      <c r="Y297" s="133"/>
      <c r="Z297" s="309" t="str">
        <f>IF($Y297="","",IF(VLOOKUP($Y297,'Master Data'!$F$12:$I$17,2,FALSE)="","",VLOOKUP($Y297,'Master Data'!$F$12:$I$17,2,FALSE)))</f>
        <v/>
      </c>
      <c r="AA297" s="164"/>
      <c r="AB297" s="171" t="str">
        <f t="shared" si="80"/>
        <v/>
      </c>
      <c r="AC297" s="133"/>
      <c r="AD297" s="164"/>
      <c r="AE297" s="164"/>
      <c r="AF297" s="137"/>
      <c r="AG297" s="137"/>
      <c r="AH297" s="137">
        <f t="shared" ref="AH297:AH300" si="93">P297+AF297+AG297</f>
        <v>0</v>
      </c>
      <c r="AI297" s="137">
        <f t="shared" ref="AI297:AI300" si="94">AH297-S297</f>
        <v>0</v>
      </c>
      <c r="AJ297" s="164"/>
      <c r="AK297" s="171" t="str">
        <f t="shared" ref="AK297:AK300" si="95">IF(AJ297="","",$AJ297-$AD297)</f>
        <v/>
      </c>
      <c r="AL297" s="137"/>
      <c r="AM297" s="164" t="str">
        <f t="shared" si="88"/>
        <v/>
      </c>
      <c r="AN297" s="303" t="str">
        <f t="shared" ref="AN297:AN300" si="96">IFERROR(IF(OR(AM297="",AJ297=""),"",$AM297-$AJ297),"")</f>
        <v/>
      </c>
      <c r="AO297" s="164"/>
    </row>
    <row r="298" spans="1:41" x14ac:dyDescent="0.35">
      <c r="A298" s="133"/>
      <c r="B298" s="133"/>
      <c r="C298" s="133"/>
      <c r="D298" s="133" t="str">
        <f t="shared" si="90"/>
        <v>-</v>
      </c>
      <c r="E298" s="133"/>
      <c r="F298" s="164"/>
      <c r="G298" s="134" t="str">
        <f t="shared" si="82"/>
        <v>Yes</v>
      </c>
      <c r="H298" s="135">
        <f>SUMIFS('Order Details'!$R:$R,'Order Details'!$A:$A,'Order Summary'!$B298,'Order Details'!$B:$B,'Order Summary'!$C298,'Order Details'!$E:$E,"Yes")</f>
        <v>0</v>
      </c>
      <c r="I298" s="133"/>
      <c r="J298" s="133" t="e">
        <f>VLOOKUP($I298,'Master Data'!$L$5:$M$15,2,FALSE)</f>
        <v>#N/A</v>
      </c>
      <c r="K298" s="137">
        <f>SUMIFS('Order Details'!$U:$U,'Order Details'!$A:$A,'Order Summary'!$B298,'Order Details'!$B:$B,'Order Summary'!$C298,'Order Details'!$E:$E,"Yes")</f>
        <v>0</v>
      </c>
      <c r="L298" s="261">
        <f>SUMIFS('Order Details'!$P:$P,'Order Details'!$A:$A,'Order Summary'!$B298,'Order Details'!$B:$B,'Order Summary'!$C298,'Order Details'!$E:$E,"Yes")</f>
        <v>0</v>
      </c>
      <c r="M298" s="133"/>
      <c r="N298" s="164"/>
      <c r="O298" s="171" t="str">
        <f t="shared" si="91"/>
        <v/>
      </c>
      <c r="P298" s="302">
        <f>ROUND(SUMIFS('Order Details'!$V:$V,'Order Details'!$A:$A,'Order Summary'!$B298,'Order Details'!$B:$B,'Order Summary'!$C298,'Order Details'!$E:$E,"Yes"),2)</f>
        <v>0</v>
      </c>
      <c r="Q298" s="164"/>
      <c r="R298" s="171" t="str">
        <f t="shared" si="92"/>
        <v/>
      </c>
      <c r="S298" s="137"/>
      <c r="T298" s="165" t="str">
        <f>IF(Q298="","",Q298+_xlfn.MAXIFS('Order Details'!$W:$W,'Order Details'!$A:$A,'Order Summary'!$B298,'Order Details'!$B:$B,'Order Summary'!$C298,'Order Details'!$E:$E,"Yes"))</f>
        <v/>
      </c>
      <c r="U298" s="164" t="str">
        <f>IF(T298="","",T298+VLOOKUP($J298,'Master Data'!$F$6:$G$9,2,FALSE))</f>
        <v/>
      </c>
      <c r="V298" s="133"/>
      <c r="W298" s="133"/>
      <c r="X298" s="133"/>
      <c r="Y298" s="133"/>
      <c r="Z298" s="309" t="str">
        <f>IF($Y298="","",IF(VLOOKUP($Y298,'Master Data'!$F$12:$I$17,2,FALSE)="","",VLOOKUP($Y298,'Master Data'!$F$12:$I$17,2,FALSE)))</f>
        <v/>
      </c>
      <c r="AA298" s="164"/>
      <c r="AB298" s="171" t="str">
        <f t="shared" si="80"/>
        <v/>
      </c>
      <c r="AC298" s="133"/>
      <c r="AD298" s="164"/>
      <c r="AE298" s="164"/>
      <c r="AF298" s="137"/>
      <c r="AG298" s="137"/>
      <c r="AH298" s="137">
        <f t="shared" si="93"/>
        <v>0</v>
      </c>
      <c r="AI298" s="137">
        <f t="shared" si="94"/>
        <v>0</v>
      </c>
      <c r="AJ298" s="164"/>
      <c r="AK298" s="171" t="str">
        <f t="shared" si="95"/>
        <v/>
      </c>
      <c r="AL298" s="137"/>
      <c r="AM298" s="164" t="str">
        <f t="shared" si="88"/>
        <v/>
      </c>
      <c r="AN298" s="303" t="str">
        <f t="shared" si="96"/>
        <v/>
      </c>
      <c r="AO298" s="164"/>
    </row>
    <row r="299" spans="1:41" x14ac:dyDescent="0.35">
      <c r="A299" s="133"/>
      <c r="B299" s="133"/>
      <c r="C299" s="133"/>
      <c r="D299" s="133" t="str">
        <f t="shared" si="90"/>
        <v>-</v>
      </c>
      <c r="E299" s="133"/>
      <c r="F299" s="164"/>
      <c r="G299" s="134" t="str">
        <f t="shared" si="82"/>
        <v>Yes</v>
      </c>
      <c r="H299" s="135">
        <f>SUMIFS('Order Details'!$R:$R,'Order Details'!$A:$A,'Order Summary'!$B299,'Order Details'!$B:$B,'Order Summary'!$C299,'Order Details'!$E:$E,"Yes")</f>
        <v>0</v>
      </c>
      <c r="I299" s="133"/>
      <c r="J299" s="133" t="e">
        <f>VLOOKUP($I299,'Master Data'!$L$5:$M$15,2,FALSE)</f>
        <v>#N/A</v>
      </c>
      <c r="K299" s="137">
        <f>SUMIFS('Order Details'!$U:$U,'Order Details'!$A:$A,'Order Summary'!$B299,'Order Details'!$B:$B,'Order Summary'!$C299,'Order Details'!$E:$E,"Yes")</f>
        <v>0</v>
      </c>
      <c r="L299" s="261">
        <f>SUMIFS('Order Details'!$P:$P,'Order Details'!$A:$A,'Order Summary'!$B299,'Order Details'!$B:$B,'Order Summary'!$C299,'Order Details'!$E:$E,"Yes")</f>
        <v>0</v>
      </c>
      <c r="M299" s="133"/>
      <c r="N299" s="164"/>
      <c r="O299" s="171" t="str">
        <f t="shared" si="91"/>
        <v/>
      </c>
      <c r="P299" s="302">
        <f>ROUND(SUMIFS('Order Details'!$V:$V,'Order Details'!$A:$A,'Order Summary'!$B299,'Order Details'!$B:$B,'Order Summary'!$C299,'Order Details'!$E:$E,"Yes"),2)</f>
        <v>0</v>
      </c>
      <c r="Q299" s="164"/>
      <c r="R299" s="171" t="str">
        <f t="shared" si="92"/>
        <v/>
      </c>
      <c r="S299" s="137"/>
      <c r="T299" s="165" t="str">
        <f>IF(Q299="","",Q299+_xlfn.MAXIFS('Order Details'!$W:$W,'Order Details'!$A:$A,'Order Summary'!$B299,'Order Details'!$B:$B,'Order Summary'!$C299,'Order Details'!$E:$E,"Yes"))</f>
        <v/>
      </c>
      <c r="U299" s="164" t="str">
        <f>IF(T299="","",T299+VLOOKUP($J299,'Master Data'!$F$6:$G$9,2,FALSE))</f>
        <v/>
      </c>
      <c r="V299" s="133"/>
      <c r="W299" s="133"/>
      <c r="X299" s="133"/>
      <c r="Y299" s="133"/>
      <c r="Z299" s="309" t="str">
        <f>IF($Y299="","",IF(VLOOKUP($Y299,'Master Data'!$F$12:$I$17,2,FALSE)="","",VLOOKUP($Y299,'Master Data'!$F$12:$I$17,2,FALSE)))</f>
        <v/>
      </c>
      <c r="AA299" s="164"/>
      <c r="AB299" s="171" t="str">
        <f t="shared" si="80"/>
        <v/>
      </c>
      <c r="AC299" s="133"/>
      <c r="AD299" s="164"/>
      <c r="AE299" s="164"/>
      <c r="AF299" s="137"/>
      <c r="AG299" s="137"/>
      <c r="AH299" s="137">
        <f t="shared" si="93"/>
        <v>0</v>
      </c>
      <c r="AI299" s="137">
        <f t="shared" si="94"/>
        <v>0</v>
      </c>
      <c r="AJ299" s="164"/>
      <c r="AK299" s="171" t="str">
        <f t="shared" si="95"/>
        <v/>
      </c>
      <c r="AL299" s="137"/>
      <c r="AM299" s="164" t="str">
        <f t="shared" si="88"/>
        <v/>
      </c>
      <c r="AN299" s="303" t="str">
        <f t="shared" si="96"/>
        <v/>
      </c>
      <c r="AO299" s="164"/>
    </row>
    <row r="300" spans="1:41" x14ac:dyDescent="0.35">
      <c r="A300" s="133"/>
      <c r="B300" s="133"/>
      <c r="C300" s="133"/>
      <c r="D300" s="133" t="str">
        <f t="shared" si="90"/>
        <v>-</v>
      </c>
      <c r="E300" s="133"/>
      <c r="F300" s="164"/>
      <c r="G300" s="134" t="str">
        <f t="shared" si="82"/>
        <v>Yes</v>
      </c>
      <c r="H300" s="135">
        <f>SUMIFS('Order Details'!$R:$R,'Order Details'!$A:$A,'Order Summary'!$B300,'Order Details'!$B:$B,'Order Summary'!$C300,'Order Details'!$E:$E,"Yes")</f>
        <v>0</v>
      </c>
      <c r="I300" s="133"/>
      <c r="J300" s="133" t="e">
        <f>VLOOKUP($I300,'Master Data'!$L$5:$M$15,2,FALSE)</f>
        <v>#N/A</v>
      </c>
      <c r="K300" s="137">
        <f>SUMIFS('Order Details'!$U:$U,'Order Details'!$A:$A,'Order Summary'!$B300,'Order Details'!$B:$B,'Order Summary'!$C300,'Order Details'!$E:$E,"Yes")</f>
        <v>0</v>
      </c>
      <c r="L300" s="261">
        <f>SUMIFS('Order Details'!$P:$P,'Order Details'!$A:$A,'Order Summary'!$B300,'Order Details'!$B:$B,'Order Summary'!$C300,'Order Details'!$E:$E,"Yes")</f>
        <v>0</v>
      </c>
      <c r="M300" s="133"/>
      <c r="N300" s="164"/>
      <c r="O300" s="171" t="str">
        <f t="shared" si="91"/>
        <v/>
      </c>
      <c r="P300" s="302">
        <f>ROUND(SUMIFS('Order Details'!$V:$V,'Order Details'!$A:$A,'Order Summary'!$B300,'Order Details'!$B:$B,'Order Summary'!$C300,'Order Details'!$E:$E,"Yes"),2)</f>
        <v>0</v>
      </c>
      <c r="Q300" s="164"/>
      <c r="R300" s="171" t="str">
        <f t="shared" si="92"/>
        <v/>
      </c>
      <c r="S300" s="137"/>
      <c r="T300" s="165" t="str">
        <f>IF(Q300="","",Q300+_xlfn.MAXIFS('Order Details'!$W:$W,'Order Details'!$A:$A,'Order Summary'!$B300,'Order Details'!$B:$B,'Order Summary'!$C300,'Order Details'!$E:$E,"Yes"))</f>
        <v/>
      </c>
      <c r="U300" s="164" t="str">
        <f>IF(T300="","",T300+VLOOKUP($J300,'Master Data'!$F$6:$G$9,2,FALSE))</f>
        <v/>
      </c>
      <c r="V300" s="133"/>
      <c r="W300" s="133"/>
      <c r="X300" s="133"/>
      <c r="Y300" s="133"/>
      <c r="Z300" s="309" t="str">
        <f>IF($Y300="","",IF(VLOOKUP($Y300,'Master Data'!$F$12:$I$17,2,FALSE)="","",VLOOKUP($Y300,'Master Data'!$F$12:$I$17,2,FALSE)))</f>
        <v/>
      </c>
      <c r="AA300" s="164"/>
      <c r="AB300" s="171" t="str">
        <f t="shared" si="80"/>
        <v/>
      </c>
      <c r="AC300" s="133"/>
      <c r="AD300" s="164"/>
      <c r="AE300" s="164"/>
      <c r="AF300" s="137"/>
      <c r="AG300" s="137"/>
      <c r="AH300" s="137">
        <f t="shared" si="93"/>
        <v>0</v>
      </c>
      <c r="AI300" s="137">
        <f t="shared" si="94"/>
        <v>0</v>
      </c>
      <c r="AJ300" s="164"/>
      <c r="AK300" s="171" t="str">
        <f t="shared" si="95"/>
        <v/>
      </c>
      <c r="AL300" s="137"/>
      <c r="AM300" s="164" t="str">
        <f t="shared" si="88"/>
        <v/>
      </c>
      <c r="AN300" s="303" t="str">
        <f t="shared" si="96"/>
        <v/>
      </c>
      <c r="AO300" s="164"/>
    </row>
  </sheetData>
  <autoFilter ref="A3:AP300" xr:uid="{B13FB30B-606F-4EB4-AEC7-9F16405607B3}"/>
  <mergeCells count="7">
    <mergeCell ref="AM2:AN2"/>
    <mergeCell ref="Q2:U2"/>
    <mergeCell ref="AC2:AI2"/>
    <mergeCell ref="AJ2:AL2"/>
    <mergeCell ref="A2:L2"/>
    <mergeCell ref="M2:P2"/>
    <mergeCell ref="V2:AB2"/>
  </mergeCells>
  <phoneticPr fontId="12" type="noConversion"/>
  <conditionalFormatting sqref="A4:AO66 AE67:AO67 A68:AO69 AE70:AO70 A71:AO174 A177:AO400 A67:AC67 A70:AC70 B175:U175">
    <cfRule type="expression" dxfId="16" priority="259" stopIfTrue="1">
      <formula>IF($G4="No",1,0)</formula>
    </cfRule>
  </conditionalFormatting>
  <conditionalFormatting sqref="B4:C175 B177:C400">
    <cfRule type="expression" dxfId="15" priority="261">
      <formula>IF(AND(COUNTIFS($D:$D,$D4)&gt;1,$D4&lt;&gt;"-"),1,0)</formula>
    </cfRule>
  </conditionalFormatting>
  <conditionalFormatting sqref="C176">
    <cfRule type="expression" dxfId="14" priority="1" stopIfTrue="1">
      <formula>IF($G176="No",1,0)</formula>
    </cfRule>
    <cfRule type="expression" dxfId="13" priority="2">
      <formula>IF(AND(COUNTIFS($D:$D,$D176)&gt;1,$D176&lt;&gt;"-"),1,0)</formula>
    </cfRule>
  </conditionalFormatting>
  <conditionalFormatting sqref="G176:H176">
    <cfRule type="expression" dxfId="12" priority="15" stopIfTrue="1">
      <formula>IF($G176="No",1,0)</formula>
    </cfRule>
  </conditionalFormatting>
  <conditionalFormatting sqref="J176:P176">
    <cfRule type="expression" dxfId="11" priority="6" stopIfTrue="1">
      <formula>IF($G176="No",1,0)</formula>
    </cfRule>
  </conditionalFormatting>
  <conditionalFormatting sqref="R176">
    <cfRule type="expression" dxfId="9" priority="5" stopIfTrue="1">
      <formula>IF($G176="No",1,0)</formula>
    </cfRule>
  </conditionalFormatting>
  <conditionalFormatting sqref="T176:U176">
    <cfRule type="expression" dxfId="7" priority="3" stopIfTrue="1">
      <formula>IF($G176="No",1,0)</formula>
    </cfRule>
  </conditionalFormatting>
  <conditionalFormatting sqref="V175:AO175 A175">
    <cfRule type="expression" dxfId="6" priority="272" stopIfTrue="1">
      <formula>IF(#REF!="No",1,0)</formula>
    </cfRule>
  </conditionalFormatting>
  <conditionalFormatting sqref="V176:AO176 A176">
    <cfRule type="expression" dxfId="5" priority="270" stopIfTrue="1">
      <formula>IF($G175="No",1,0)</formula>
    </cfRule>
  </conditionalFormatting>
  <conditionalFormatting sqref="AL4:AL400">
    <cfRule type="cellIs" dxfId="4" priority="26" operator="greaterThan">
      <formula>$AI4</formula>
    </cfRule>
    <cfRule type="expression" dxfId="3" priority="262">
      <formula>IF($AL4&lt;&gt;"",IF($AL4&lt;$AI4,1,0))</formula>
    </cfRule>
  </conditionalFormatting>
  <dataValidations count="2">
    <dataValidation type="list" allowBlank="1" showInputMessage="1" showErrorMessage="1" sqref="W4:W300" xr:uid="{BD4FEDFB-4306-4CCC-8677-4B866D0F8EDF}">
      <formula1>"Yes,No"</formula1>
    </dataValidation>
    <dataValidation type="list" allowBlank="1" showInputMessage="1" showErrorMessage="1" sqref="AE4:AE300" xr:uid="{BE018EC2-FB77-4CBB-832F-F9D5B9305A25}">
      <formula1>"Yes,No,N/A"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60" operator="greaterThan" id="{358E714E-53C1-4D3E-B2FA-973E22A68FCA}">
            <xm:f>'Master Data'!$P$14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L4:L400</xm:sqref>
        </x14:conditionalFormatting>
        <x14:conditionalFormatting xmlns:xm="http://schemas.microsoft.com/office/excel/2006/main">
          <x14:cfRule type="expression" priority="263" id="{00000000-000E-0000-0100-000004000000}">
            <xm:f>IF($S4&lt;&gt;"",IF(($S4+0.02)&lt;($P4*'Master Data'!$P$12),1,0))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S4:S175 S177:S400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70ED0B-9B8A-4212-86E8-4932F5DD086F}">
          <x14:formula1>
            <xm:f>'Master Data'!$C$4:$C$13</xm:f>
          </x14:formula1>
          <xm:sqref>E177:E300 E4:E175</xm:sqref>
        </x14:dataValidation>
        <x14:dataValidation type="list" allowBlank="1" showInputMessage="1" showErrorMessage="1" xr:uid="{BEB3AEE0-2F9D-469C-AC91-6A41CB408440}">
          <x14:formula1>
            <xm:f>'Master Data'!$F$6:$F$9</xm:f>
          </x14:formula1>
          <xm:sqref>J4:J300</xm:sqref>
        </x14:dataValidation>
        <x14:dataValidation type="list" allowBlank="1" showInputMessage="1" showErrorMessage="1" xr:uid="{D92EC80B-FBD8-4D08-A69B-60E4E2BA6CD7}">
          <x14:formula1>
            <xm:f>'Master Data'!$L$5:$L$15</xm:f>
          </x14:formula1>
          <xm:sqref>I177:I300 I4:I175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D7D2-1F85-403A-9FA1-81F3794E1AFE}">
  <sheetPr codeName="Sheet3" filterMode="1"/>
  <dimension ref="A1:AA997"/>
  <sheetViews>
    <sheetView zoomScaleNormal="100" workbookViewId="0">
      <pane xSplit="2" ySplit="1" topLeftCell="L644" activePane="bottomRight" state="frozen"/>
      <selection pane="topRight" activeCell="B1" sqref="B1"/>
      <selection pane="bottomLeft" activeCell="A2" sqref="A2"/>
      <selection pane="bottomRight" activeCell="V644" sqref="V644:V645"/>
    </sheetView>
  </sheetViews>
  <sheetFormatPr defaultRowHeight="14.4" x14ac:dyDescent="0.3"/>
  <cols>
    <col min="1" max="1" width="11.6640625" bestFit="1" customWidth="1"/>
    <col min="2" max="2" width="7.44140625" customWidth="1"/>
    <col min="3" max="3" width="24.88671875" customWidth="1"/>
    <col min="4" max="4" width="10.6640625" customWidth="1"/>
    <col min="5" max="5" width="9" customWidth="1"/>
    <col min="6" max="6" width="16.44140625" customWidth="1"/>
    <col min="7" max="7" width="10.44140625" customWidth="1"/>
    <col min="8" max="8" width="8.5546875" customWidth="1"/>
    <col min="9" max="9" width="8.6640625" customWidth="1"/>
    <col min="10" max="10" width="13" customWidth="1"/>
    <col min="11" max="11" width="20.33203125" customWidth="1"/>
    <col min="12" max="13" width="8.6640625" customWidth="1"/>
    <col min="14" max="14" width="30.109375" bestFit="1" customWidth="1"/>
    <col min="15" max="15" width="11.44140625" customWidth="1"/>
    <col min="16" max="16" width="13" bestFit="1" customWidth="1"/>
    <col min="17" max="17" width="11" bestFit="1" customWidth="1"/>
    <col min="18" max="18" width="5.6640625" customWidth="1"/>
    <col min="19" max="19" width="10.44140625" style="50" bestFit="1" customWidth="1"/>
    <col min="20" max="20" width="8.88671875" style="50" customWidth="1"/>
    <col min="21" max="21" width="12.6640625" style="50" bestFit="1" customWidth="1"/>
    <col min="22" max="22" width="12.109375" customWidth="1"/>
    <col min="23" max="23" width="10.44140625" customWidth="1"/>
    <col min="24" max="24" width="34" bestFit="1" customWidth="1"/>
    <col min="25" max="25" width="12.33203125" bestFit="1" customWidth="1"/>
    <col min="26" max="26" width="11.33203125" bestFit="1" customWidth="1"/>
  </cols>
  <sheetData>
    <row r="1" spans="1:24" s="110" customFormat="1" ht="30.6" customHeight="1" thickBot="1" x14ac:dyDescent="0.35">
      <c r="A1" s="105" t="s">
        <v>21</v>
      </c>
      <c r="B1" s="105" t="s">
        <v>22</v>
      </c>
      <c r="C1" s="106" t="s">
        <v>317</v>
      </c>
      <c r="D1" s="106" t="s">
        <v>318</v>
      </c>
      <c r="E1" s="106" t="s">
        <v>26</v>
      </c>
      <c r="F1" s="106" t="s">
        <v>28</v>
      </c>
      <c r="G1" s="106" t="s">
        <v>319</v>
      </c>
      <c r="H1" s="105" t="s">
        <v>320</v>
      </c>
      <c r="I1" s="107" t="s">
        <v>321</v>
      </c>
      <c r="J1" s="108" t="s">
        <v>322</v>
      </c>
      <c r="K1" s="108" t="s">
        <v>323</v>
      </c>
      <c r="L1" s="108" t="s">
        <v>4</v>
      </c>
      <c r="M1" s="108" t="s">
        <v>5</v>
      </c>
      <c r="N1" s="108" t="s">
        <v>1</v>
      </c>
      <c r="O1" s="107" t="s">
        <v>324</v>
      </c>
      <c r="P1" s="108" t="s">
        <v>325</v>
      </c>
      <c r="Q1" s="108" t="s">
        <v>326</v>
      </c>
      <c r="R1" s="108" t="s">
        <v>327</v>
      </c>
      <c r="S1" s="109" t="s">
        <v>328</v>
      </c>
      <c r="T1" s="109" t="s">
        <v>329</v>
      </c>
      <c r="U1" s="109" t="s">
        <v>330</v>
      </c>
      <c r="V1" s="108" t="s">
        <v>331</v>
      </c>
      <c r="W1" s="108" t="s">
        <v>332</v>
      </c>
      <c r="X1" s="249" t="s">
        <v>333</v>
      </c>
    </row>
    <row r="2" spans="1:24" ht="15" hidden="1" thickTop="1" x14ac:dyDescent="0.3">
      <c r="A2" s="55">
        <v>52945529</v>
      </c>
      <c r="B2" s="55">
        <v>0</v>
      </c>
      <c r="C2" s="55" t="str">
        <f>VLOOKUP(A2&amp;"-"&amp;B2,'Order Summary'!$D:$E,2,FALSE)</f>
        <v>Telex / Seaway Released</v>
      </c>
      <c r="D2" s="216">
        <f>IF($A2="","",VLOOKUP($A2&amp;"-"&amp;$B2,'Order Summary'!$D:$U,3,FALSE))</f>
        <v>45917</v>
      </c>
      <c r="E2" s="55" t="str">
        <f>VLOOKUP(A2&amp;"-"&amp;B2,'Order Summary'!$D:$G,4,FALSE)</f>
        <v>Yes</v>
      </c>
      <c r="F2" s="55" t="str">
        <f>VLOOKUP($A2,'Order Summary'!$B:$I,8,FALSE)</f>
        <v>Hillsboro, TX</v>
      </c>
      <c r="G2" s="216">
        <f>IF($A2="","",VLOOKUP($A2&amp;"-"&amp;$B2,'Order Summary'!$D:$U,18,FALSE))</f>
        <v>46009</v>
      </c>
      <c r="H2" s="55">
        <v>1</v>
      </c>
      <c r="I2" s="55">
        <v>694432</v>
      </c>
      <c r="J2" s="55" t="str">
        <f>VLOOKUP($I2,'Old Pricing - end 26-Jan-2026'!$A:$R,2,FALSE)</f>
        <v>G1S 694432</v>
      </c>
      <c r="K2" s="55" t="str">
        <f>VLOOKUP($I2,'Old Pricing - end 26-Jan-2026'!$A:$R,6,FALSE)&amp;" "&amp;VLOOKUP($I2,'Old Pricing - end 26-Jan-2026'!$A:$R,7,FALSE)&amp;""" x "&amp;VLOOKUP($I2,'Old Pricing - end 26-Jan-2026'!$A:$R,9,FALSE)&amp;""" "&amp;VLOOKUP($I2,'Old Pricing - end 26-Jan-2026'!$A:$R,5,FALSE)</f>
        <v>2MM 49" x 96" ACP</v>
      </c>
      <c r="L2" s="55">
        <f>VLOOKUP($I2,'Old Pricing - end 26-Jan-2026'!$A:$K,8,FALSE)</f>
        <v>1245</v>
      </c>
      <c r="M2" s="55">
        <f>VLOOKUP($I2,'Old Pricing - end 26-Jan-2026'!$A:$K,10,FALSE)</f>
        <v>2440</v>
      </c>
      <c r="N2" s="55" t="str">
        <f>VLOOKUP($I2,'Old Pricing - end 26-Jan-2026'!$A:$R,13,FALSE)&amp;" "&amp;VLOOKUP($I2,'Old Pricing - end 26-Jan-2026'!$A:$R,12,FALSE)</f>
        <v>ASC 0096 GLOSSY BLACK</v>
      </c>
      <c r="O2" s="56">
        <v>6.5330000000000004</v>
      </c>
      <c r="P2" s="55">
        <f>(VLOOKUP($I2,'Old Pricing - end 26-Jan-2026'!$A:$R,8,FALSE)/1000)*(VLOOKUP($I2,'Old Pricing - end 26-Jan-2026'!$A:$R,10,FALSE)/1000)*Q2</f>
        <v>607.56000000000006</v>
      </c>
      <c r="Q2" s="55">
        <f>ROUND(('Order Details'!$O2*1000)/((VLOOKUP($I2,'Old Pricing - end 26-Jan-2026'!$A:$Q,7,FALSE)/12)*(VLOOKUP($I2,'Old Pricing - end 26-Jan-2026'!$A:$Q,9,FALSE)/12))/5,0)*5</f>
        <v>200</v>
      </c>
      <c r="R2" s="71">
        <f>$Q2/IFERROR(VLOOKUP($F2&amp;RIGHT($K2,8),'Master Data'!$O$5:$P$10,2,FALSE),'Master Data'!$P$4)</f>
        <v>1</v>
      </c>
      <c r="S2" s="57">
        <f>VLOOKUP($I2,'Old Pricing - end 26-Jan-2026'!$A:$Q,16,FALSE)</f>
        <v>700</v>
      </c>
      <c r="T2" s="57">
        <f>VLOOKUP(I2,'Old Pricing - end 26-Jan-2026'!$A:$O,15,FALSE)</f>
        <v>7.53</v>
      </c>
      <c r="U2" s="57">
        <f>O2*S2</f>
        <v>4573.1000000000004</v>
      </c>
      <c r="V2" s="112">
        <f>P2*T2</f>
        <v>4574.9268000000002</v>
      </c>
      <c r="W2" s="208">
        <f>VLOOKUP($I2,'Old Pricing - end 26-Jan-2026'!$A:$R,18,FALSE)</f>
        <v>45</v>
      </c>
    </row>
    <row r="3" spans="1:24" ht="15" hidden="1" thickTop="1" x14ac:dyDescent="0.3">
      <c r="A3" s="55">
        <v>52945529</v>
      </c>
      <c r="B3" s="55">
        <v>0</v>
      </c>
      <c r="C3" s="55" t="str">
        <f>VLOOKUP(A3&amp;"-"&amp;B3,'Order Summary'!$D:$E,2,FALSE)</f>
        <v>Telex / Seaway Released</v>
      </c>
      <c r="D3" s="216">
        <f>IF($A3="","",VLOOKUP($A3&amp;"-"&amp;$B3,'Order Summary'!$D:$U,3,FALSE))</f>
        <v>45917</v>
      </c>
      <c r="E3" s="55" t="str">
        <f>VLOOKUP(A3&amp;"-"&amp;B3,'Order Summary'!$D:$G,4,FALSE)</f>
        <v>Yes</v>
      </c>
      <c r="F3" s="55" t="str">
        <f>VLOOKUP($A3,'Order Summary'!$B:$I,8,FALSE)</f>
        <v>Hillsboro, TX</v>
      </c>
      <c r="G3" s="216">
        <f>IF($A3="","",VLOOKUP($A3&amp;"-"&amp;$B3,'Order Summary'!$D:$U,18,FALSE))</f>
        <v>46009</v>
      </c>
      <c r="H3" s="55">
        <v>2</v>
      </c>
      <c r="I3" s="55">
        <v>694433</v>
      </c>
      <c r="J3" s="55" t="str">
        <f>VLOOKUP($I3,'Old Pricing - end 26-Jan-2026'!$A:$R,2,FALSE)</f>
        <v>G1S 694433</v>
      </c>
      <c r="K3" s="55" t="str">
        <f>VLOOKUP($I3,'Old Pricing - end 26-Jan-2026'!$A:$R,6,FALSE)&amp;" "&amp;VLOOKUP($I3,'Old Pricing - end 26-Jan-2026'!$A:$R,7,FALSE)&amp;""" x "&amp;VLOOKUP($I3,'Old Pricing - end 26-Jan-2026'!$A:$R,9,FALSE)&amp;""" "&amp;VLOOKUP($I3,'Old Pricing - end 26-Jan-2026'!$A:$R,5,FALSE)</f>
        <v>2MM 49" x 108" ACP</v>
      </c>
      <c r="L3" s="55">
        <f>VLOOKUP($I3,'Old Pricing - end 26-Jan-2026'!$A:$K,8,FALSE)</f>
        <v>1245</v>
      </c>
      <c r="M3" s="55">
        <f>VLOOKUP($I3,'Old Pricing - end 26-Jan-2026'!$A:$K,10,FALSE)</f>
        <v>2745</v>
      </c>
      <c r="N3" s="55" t="str">
        <f>VLOOKUP($I3,'Old Pricing - end 26-Jan-2026'!$A:$R,13,FALSE)&amp;" "&amp;VLOOKUP($I3,'Old Pricing - end 26-Jan-2026'!$A:$R,12,FALSE)</f>
        <v>ASC 0096 GLOSSY BLACK</v>
      </c>
      <c r="O3" s="56">
        <v>22.05</v>
      </c>
      <c r="P3" s="55">
        <f>(VLOOKUP($I3,'Old Pricing - end 26-Jan-2026'!$A:$R,8,FALSE)/1000)*(VLOOKUP($I3,'Old Pricing - end 26-Jan-2026'!$A:$R,10,FALSE)/1000)*Q3</f>
        <v>2050.5150000000003</v>
      </c>
      <c r="Q3" s="55">
        <f>ROUND(('Order Details'!$O3*1000)/((VLOOKUP($I3,'Old Pricing - end 26-Jan-2026'!$A:$Q,7,FALSE)/12)*(VLOOKUP($I3,'Old Pricing - end 26-Jan-2026'!$A:$Q,9,FALSE)/12))/5,0)*5</f>
        <v>600</v>
      </c>
      <c r="R3" s="72">
        <v>3</v>
      </c>
      <c r="S3" s="57">
        <f>VLOOKUP($I3,'Old Pricing - end 26-Jan-2026'!$A:$Q,16,FALSE)</f>
        <v>700</v>
      </c>
      <c r="T3" s="57">
        <f>VLOOKUP(I3,'Old Pricing - end 26-Jan-2026'!$A:$O,15,FALSE)</f>
        <v>7.53</v>
      </c>
      <c r="U3" s="57">
        <f t="shared" ref="U3:U32" si="0">O3*S3</f>
        <v>15435</v>
      </c>
      <c r="V3" s="111">
        <f t="shared" ref="V3:V67" si="1">P3*T3</f>
        <v>15440.377950000004</v>
      </c>
      <c r="W3" s="55">
        <f>VLOOKUP($I3,'Old Pricing - end 26-Jan-2026'!$A:$R,18,FALSE)</f>
        <v>45</v>
      </c>
    </row>
    <row r="4" spans="1:24" ht="15" hidden="1" thickTop="1" x14ac:dyDescent="0.3">
      <c r="A4" s="55">
        <v>52945529</v>
      </c>
      <c r="B4" s="55">
        <v>0</v>
      </c>
      <c r="C4" s="55" t="str">
        <f>VLOOKUP(A4&amp;"-"&amp;B4,'Order Summary'!$D:$E,2,FALSE)</f>
        <v>Telex / Seaway Released</v>
      </c>
      <c r="D4" s="216">
        <f>IF($A4="","",VLOOKUP($A4&amp;"-"&amp;$B4,'Order Summary'!$D:$U,3,FALSE))</f>
        <v>45917</v>
      </c>
      <c r="E4" s="55" t="str">
        <f>VLOOKUP(A4&amp;"-"&amp;B4,'Order Summary'!$D:$G,4,FALSE)</f>
        <v>Yes</v>
      </c>
      <c r="F4" s="55" t="str">
        <f>VLOOKUP($A4,'Order Summary'!$B:$I,8,FALSE)</f>
        <v>Hillsboro, TX</v>
      </c>
      <c r="G4" s="216">
        <f>IF($A4="","",VLOOKUP($A4&amp;"-"&amp;$B4,'Order Summary'!$D:$U,18,FALSE))</f>
        <v>46009</v>
      </c>
      <c r="H4" s="55">
        <v>3</v>
      </c>
      <c r="I4" s="55">
        <v>694434</v>
      </c>
      <c r="J4" s="55" t="str">
        <f>VLOOKUP($I4,'Old Pricing - end 26-Jan-2026'!$A:$R,2,FALSE)</f>
        <v>G1S 694434</v>
      </c>
      <c r="K4" s="55" t="str">
        <f>VLOOKUP($I4,'Old Pricing - end 26-Jan-2026'!$A:$R,6,FALSE)&amp;" "&amp;VLOOKUP($I4,'Old Pricing - end 26-Jan-2026'!$A:$R,7,FALSE)&amp;""" x "&amp;VLOOKUP($I4,'Old Pricing - end 26-Jan-2026'!$A:$R,9,FALSE)&amp;""" "&amp;VLOOKUP($I4,'Old Pricing - end 26-Jan-2026'!$A:$R,5,FALSE)</f>
        <v>2MM 49" x 144" ACP</v>
      </c>
      <c r="L4" s="55">
        <f>VLOOKUP($I4,'Old Pricing - end 26-Jan-2026'!$A:$K,8,FALSE)</f>
        <v>1245</v>
      </c>
      <c r="M4" s="55">
        <f>VLOOKUP($I4,'Old Pricing - end 26-Jan-2026'!$A:$K,10,FALSE)</f>
        <v>3658</v>
      </c>
      <c r="N4" s="55" t="str">
        <f>VLOOKUP($I4,'Old Pricing - end 26-Jan-2026'!$A:$R,13,FALSE)&amp;" "&amp;VLOOKUP($I4,'Old Pricing - end 26-Jan-2026'!$A:$R,12,FALSE)</f>
        <v>ASC 0096 GLOSSY BLACK</v>
      </c>
      <c r="O4" s="56">
        <v>19.600000000000001</v>
      </c>
      <c r="P4" s="55">
        <f>(VLOOKUP($I4,'Old Pricing - end 26-Jan-2026'!$A:$R,8,FALSE)/1000)*(VLOOKUP($I4,'Old Pricing - end 26-Jan-2026'!$A:$R,10,FALSE)/1000)*Q4</f>
        <v>1821.6840000000002</v>
      </c>
      <c r="Q4" s="55">
        <f>ROUND(('Order Details'!$O4*1000)/((VLOOKUP($I4,'Old Pricing - end 26-Jan-2026'!$A:$Q,7,FALSE)/12)*(VLOOKUP($I4,'Old Pricing - end 26-Jan-2026'!$A:$Q,9,FALSE)/12))/5,0)*5</f>
        <v>400</v>
      </c>
      <c r="R4" s="71">
        <f>$Q4/IFERROR(VLOOKUP($F4&amp;RIGHT($K4,8),'Master Data'!$O$5:$P$10,2,FALSE),'Master Data'!$P$4)</f>
        <v>2</v>
      </c>
      <c r="S4" s="57">
        <f>VLOOKUP($I4,'Old Pricing - end 26-Jan-2026'!$A:$Q,16,FALSE)</f>
        <v>700</v>
      </c>
      <c r="T4" s="57">
        <f>VLOOKUP(I4,'Old Pricing - end 26-Jan-2026'!$A:$O,15,FALSE)</f>
        <v>7.53</v>
      </c>
      <c r="U4" s="57">
        <f t="shared" si="0"/>
        <v>13720.000000000002</v>
      </c>
      <c r="V4" s="111">
        <f t="shared" si="1"/>
        <v>13717.280520000002</v>
      </c>
      <c r="W4" s="55">
        <f>VLOOKUP($I4,'Old Pricing - end 26-Jan-2026'!$A:$R,18,FALSE)</f>
        <v>45</v>
      </c>
    </row>
    <row r="5" spans="1:24" ht="15" hidden="1" thickTop="1" x14ac:dyDescent="0.3">
      <c r="A5" s="55">
        <v>52945529</v>
      </c>
      <c r="B5" s="55">
        <v>0</v>
      </c>
      <c r="C5" s="55" t="str">
        <f>VLOOKUP(A5&amp;"-"&amp;B5,'Order Summary'!$D:$E,2,FALSE)</f>
        <v>Telex / Seaway Released</v>
      </c>
      <c r="D5" s="216">
        <f>IF($A5="","",VLOOKUP($A5&amp;"-"&amp;$B5,'Order Summary'!$D:$U,3,FALSE))</f>
        <v>45917</v>
      </c>
      <c r="E5" s="55" t="str">
        <f>VLOOKUP(A5&amp;"-"&amp;B5,'Order Summary'!$D:$G,4,FALSE)</f>
        <v>Yes</v>
      </c>
      <c r="F5" s="55" t="str">
        <f>VLOOKUP($A5,'Order Summary'!$B:$I,8,FALSE)</f>
        <v>Hillsboro, TX</v>
      </c>
      <c r="G5" s="216">
        <f>IF($A5="","",VLOOKUP($A5&amp;"-"&amp;$B5,'Order Summary'!$D:$U,18,FALSE))</f>
        <v>46009</v>
      </c>
      <c r="H5" s="55">
        <v>4</v>
      </c>
      <c r="I5" s="55">
        <v>694437</v>
      </c>
      <c r="J5" s="55" t="str">
        <f>VLOOKUP($I5,'Old Pricing - end 26-Jan-2026'!$A:$R,2,FALSE)</f>
        <v>G1S 694437</v>
      </c>
      <c r="K5" s="55" t="str">
        <f>VLOOKUP($I5,'Old Pricing - end 26-Jan-2026'!$A:$R,6,FALSE)&amp;" "&amp;VLOOKUP($I5,'Old Pricing - end 26-Jan-2026'!$A:$R,7,FALSE)&amp;""" x "&amp;VLOOKUP($I5,'Old Pricing - end 26-Jan-2026'!$A:$R,9,FALSE)&amp;""" "&amp;VLOOKUP($I5,'Old Pricing - end 26-Jan-2026'!$A:$R,5,FALSE)</f>
        <v>2MM 49" x 108" ACP</v>
      </c>
      <c r="L5" s="55">
        <f>VLOOKUP($I5,'Old Pricing - end 26-Jan-2026'!$A:$K,8,FALSE)</f>
        <v>1245</v>
      </c>
      <c r="M5" s="55">
        <f>VLOOKUP($I5,'Old Pricing - end 26-Jan-2026'!$A:$K,10,FALSE)</f>
        <v>2745</v>
      </c>
      <c r="N5" s="55" t="str">
        <f>VLOOKUP($I5,'Old Pricing - end 26-Jan-2026'!$A:$R,13,FALSE)&amp;" "&amp;VLOOKUP($I5,'Old Pricing - end 26-Jan-2026'!$A:$R,12,FALSE)</f>
        <v>ASC 0069 GLOSSY WHITE</v>
      </c>
      <c r="O5" s="56">
        <v>22.05</v>
      </c>
      <c r="P5" s="55">
        <f>(VLOOKUP($I5,'Old Pricing - end 26-Jan-2026'!$A:$R,8,FALSE)/1000)*(VLOOKUP($I5,'Old Pricing - end 26-Jan-2026'!$A:$R,10,FALSE)/1000)*Q5</f>
        <v>2050.5150000000003</v>
      </c>
      <c r="Q5" s="55">
        <f>ROUND(('Order Details'!$O5*1000)/((VLOOKUP($I5,'Old Pricing - end 26-Jan-2026'!$A:$Q,7,FALSE)/12)*(VLOOKUP($I5,'Old Pricing - end 26-Jan-2026'!$A:$Q,9,FALSE)/12))/5,0)*5</f>
        <v>600</v>
      </c>
      <c r="R5" s="72">
        <v>3</v>
      </c>
      <c r="S5" s="57">
        <f>VLOOKUP($I5,'Old Pricing - end 26-Jan-2026'!$A:$Q,16,FALSE)</f>
        <v>700</v>
      </c>
      <c r="T5" s="57">
        <f>VLOOKUP(I5,'Old Pricing - end 26-Jan-2026'!$A:$O,15,FALSE)</f>
        <v>7.53</v>
      </c>
      <c r="U5" s="57">
        <f t="shared" si="0"/>
        <v>15435</v>
      </c>
      <c r="V5" s="111">
        <f t="shared" si="1"/>
        <v>15440.377950000004</v>
      </c>
      <c r="W5" s="55">
        <f>VLOOKUP($I5,'Old Pricing - end 26-Jan-2026'!$A:$R,18,FALSE)</f>
        <v>45</v>
      </c>
    </row>
    <row r="6" spans="1:24" ht="15" hidden="1" thickTop="1" x14ac:dyDescent="0.3">
      <c r="A6" s="55">
        <v>52945529</v>
      </c>
      <c r="B6" s="55">
        <v>0</v>
      </c>
      <c r="C6" s="55" t="str">
        <f>VLOOKUP(A6&amp;"-"&amp;B6,'Order Summary'!$D:$E,2,FALSE)</f>
        <v>Telex / Seaway Released</v>
      </c>
      <c r="D6" s="216">
        <f>IF($A6="","",VLOOKUP($A6&amp;"-"&amp;$B6,'Order Summary'!$D:$U,3,FALSE))</f>
        <v>45917</v>
      </c>
      <c r="E6" s="55" t="str">
        <f>VLOOKUP(A6&amp;"-"&amp;B6,'Order Summary'!$D:$G,4,FALSE)</f>
        <v>Yes</v>
      </c>
      <c r="F6" s="55" t="str">
        <f>VLOOKUP($A6,'Order Summary'!$B:$I,8,FALSE)</f>
        <v>Hillsboro, TX</v>
      </c>
      <c r="G6" s="216">
        <f>IF($A6="","",VLOOKUP($A6&amp;"-"&amp;$B6,'Order Summary'!$D:$U,18,FALSE))</f>
        <v>46009</v>
      </c>
      <c r="H6" s="55">
        <v>5</v>
      </c>
      <c r="I6" s="55">
        <v>694438</v>
      </c>
      <c r="J6" s="55" t="str">
        <f>VLOOKUP($I6,'Old Pricing - end 26-Jan-2026'!$A:$R,2,FALSE)</f>
        <v>G1S 694438</v>
      </c>
      <c r="K6" s="55" t="str">
        <f>VLOOKUP($I6,'Old Pricing - end 26-Jan-2026'!$A:$R,6,FALSE)&amp;" "&amp;VLOOKUP($I6,'Old Pricing - end 26-Jan-2026'!$A:$R,7,FALSE)&amp;""" x "&amp;VLOOKUP($I6,'Old Pricing - end 26-Jan-2026'!$A:$R,9,FALSE)&amp;""" "&amp;VLOOKUP($I6,'Old Pricing - end 26-Jan-2026'!$A:$R,5,FALSE)</f>
        <v>2MM 49" x 144" ACP</v>
      </c>
      <c r="L6" s="55">
        <f>VLOOKUP($I6,'Old Pricing - end 26-Jan-2026'!$A:$K,8,FALSE)</f>
        <v>1245</v>
      </c>
      <c r="M6" s="55">
        <f>VLOOKUP($I6,'Old Pricing - end 26-Jan-2026'!$A:$K,10,FALSE)</f>
        <v>3658</v>
      </c>
      <c r="N6" s="55" t="str">
        <f>VLOOKUP($I6,'Old Pricing - end 26-Jan-2026'!$A:$R,13,FALSE)&amp;" "&amp;VLOOKUP($I6,'Old Pricing - end 26-Jan-2026'!$A:$R,12,FALSE)</f>
        <v>ASC 0069 GLOSSY WHITE</v>
      </c>
      <c r="O6" s="56">
        <v>19.600000000000001</v>
      </c>
      <c r="P6" s="55">
        <f>(VLOOKUP($I6,'Old Pricing - end 26-Jan-2026'!$A:$R,8,FALSE)/1000)*(VLOOKUP($I6,'Old Pricing - end 26-Jan-2026'!$A:$R,10,FALSE)/1000)*Q6</f>
        <v>1821.6840000000002</v>
      </c>
      <c r="Q6" s="55">
        <f>ROUND(('Order Details'!$O6*1000)/((VLOOKUP($I6,'Old Pricing - end 26-Jan-2026'!$A:$Q,7,FALSE)/12)*(VLOOKUP($I6,'Old Pricing - end 26-Jan-2026'!$A:$Q,9,FALSE)/12))/5,0)*5</f>
        <v>400</v>
      </c>
      <c r="R6" s="71">
        <f>$Q6/IFERROR(VLOOKUP($F6&amp;RIGHT($K6,8),'Master Data'!$O$5:$P$10,2,FALSE),'Master Data'!$P$4)</f>
        <v>2</v>
      </c>
      <c r="S6" s="57">
        <f>VLOOKUP($I6,'Old Pricing - end 26-Jan-2026'!$A:$Q,16,FALSE)</f>
        <v>700</v>
      </c>
      <c r="T6" s="57">
        <f>VLOOKUP(I6,'Old Pricing - end 26-Jan-2026'!$A:$O,15,FALSE)</f>
        <v>7.53</v>
      </c>
      <c r="U6" s="57">
        <f t="shared" si="0"/>
        <v>13720.000000000002</v>
      </c>
      <c r="V6" s="111">
        <f t="shared" si="1"/>
        <v>13717.280520000002</v>
      </c>
      <c r="W6" s="55">
        <f>VLOOKUP($I6,'Old Pricing - end 26-Jan-2026'!$A:$R,18,FALSE)</f>
        <v>45</v>
      </c>
    </row>
    <row r="7" spans="1:24" ht="15" hidden="1" thickTop="1" x14ac:dyDescent="0.3">
      <c r="A7" s="55">
        <v>52945532</v>
      </c>
      <c r="B7" s="55">
        <v>0</v>
      </c>
      <c r="C7" s="55" t="str">
        <f>VLOOKUP(A7&amp;"-"&amp;B7,'Order Summary'!$D:$E,2,FALSE)</f>
        <v>Telex / Seaway Released</v>
      </c>
      <c r="D7" s="216">
        <f>IF($A7="","",VLOOKUP($A7&amp;"-"&amp;$B7,'Order Summary'!$D:$U,3,FALSE))</f>
        <v>45917</v>
      </c>
      <c r="E7" s="55" t="str">
        <f>VLOOKUP(A7&amp;"-"&amp;B7,'Order Summary'!$D:$G,4,FALSE)</f>
        <v>Yes</v>
      </c>
      <c r="F7" s="55" t="str">
        <f>VLOOKUP($A7,'Order Summary'!$B:$I,8,FALSE)</f>
        <v>Hillsboro, TX</v>
      </c>
      <c r="G7" s="216">
        <f>IF($A7="","",VLOOKUP($A7&amp;"-"&amp;$B7,'Order Summary'!$D:$U,18,FALSE))</f>
        <v>46009</v>
      </c>
      <c r="H7" s="55">
        <v>1</v>
      </c>
      <c r="I7" s="55">
        <v>694436</v>
      </c>
      <c r="J7" s="55" t="str">
        <f>VLOOKUP($I7,'Old Pricing - end 26-Jan-2026'!$A:$R,2,FALSE)</f>
        <v>G1S 694436</v>
      </c>
      <c r="K7" s="55" t="str">
        <f>VLOOKUP($I7,'Old Pricing - end 26-Jan-2026'!$A:$R,6,FALSE)&amp;" "&amp;VLOOKUP($I7,'Old Pricing - end 26-Jan-2026'!$A:$R,7,FALSE)&amp;""" x "&amp;VLOOKUP($I7,'Old Pricing - end 26-Jan-2026'!$A:$R,9,FALSE)&amp;""" "&amp;VLOOKUP($I7,'Old Pricing - end 26-Jan-2026'!$A:$R,5,FALSE)</f>
        <v>2MM 49" x 96" ACP</v>
      </c>
      <c r="L7" s="55">
        <f>VLOOKUP($I7,'Old Pricing - end 26-Jan-2026'!$A:$K,8,FALSE)</f>
        <v>1245</v>
      </c>
      <c r="M7" s="55">
        <f>VLOOKUP($I7,'Old Pricing - end 26-Jan-2026'!$A:$K,10,FALSE)</f>
        <v>2440</v>
      </c>
      <c r="N7" s="55" t="str">
        <f>VLOOKUP($I7,'Old Pricing - end 26-Jan-2026'!$A:$R,13,FALSE)&amp;" "&amp;VLOOKUP($I7,'Old Pricing - end 26-Jan-2026'!$A:$R,12,FALSE)</f>
        <v>ASC 0069 GLOSSY WHITE</v>
      </c>
      <c r="O7" s="56">
        <v>6.5330000000000004</v>
      </c>
      <c r="P7" s="55">
        <f>(VLOOKUP($I7,'Old Pricing - end 26-Jan-2026'!$A:$R,8,FALSE)/1000)*(VLOOKUP($I7,'Old Pricing - end 26-Jan-2026'!$A:$R,10,FALSE)/1000)*Q7</f>
        <v>607.56000000000006</v>
      </c>
      <c r="Q7" s="55">
        <f>ROUND(('Order Details'!$O7*1000)/((VLOOKUP($I7,'Old Pricing - end 26-Jan-2026'!$A:$Q,7,FALSE)/12)*(VLOOKUP($I7,'Old Pricing - end 26-Jan-2026'!$A:$Q,9,FALSE)/12))/5,0)*5</f>
        <v>200</v>
      </c>
      <c r="R7" s="71">
        <f>$Q7/IFERROR(VLOOKUP($F7&amp;RIGHT($K7,8),'Master Data'!$O$5:$P$10,2,FALSE),'Master Data'!$P$4)</f>
        <v>1</v>
      </c>
      <c r="S7" s="57">
        <f>VLOOKUP($I7,'Old Pricing - end 26-Jan-2026'!$A:$Q,16,FALSE)</f>
        <v>700</v>
      </c>
      <c r="T7" s="57">
        <f>VLOOKUP(I7,'Old Pricing - end 26-Jan-2026'!$A:$O,15,FALSE)</f>
        <v>7.53</v>
      </c>
      <c r="U7" s="57">
        <f t="shared" si="0"/>
        <v>4573.1000000000004</v>
      </c>
      <c r="V7" s="111">
        <f t="shared" si="1"/>
        <v>4574.9268000000002</v>
      </c>
      <c r="W7" s="55">
        <f>VLOOKUP($I7,'Old Pricing - end 26-Jan-2026'!$A:$R,18,FALSE)</f>
        <v>45</v>
      </c>
    </row>
    <row r="8" spans="1:24" ht="15" hidden="1" thickTop="1" x14ac:dyDescent="0.3">
      <c r="A8" s="55">
        <v>52945532</v>
      </c>
      <c r="B8" s="55">
        <v>0</v>
      </c>
      <c r="C8" s="55" t="str">
        <f>VLOOKUP(A8&amp;"-"&amp;B8,'Order Summary'!$D:$E,2,FALSE)</f>
        <v>Telex / Seaway Released</v>
      </c>
      <c r="D8" s="216">
        <f>IF($A8="","",VLOOKUP($A8&amp;"-"&amp;$B8,'Order Summary'!$D:$U,3,FALSE))</f>
        <v>45917</v>
      </c>
      <c r="E8" s="55" t="str">
        <f>VLOOKUP(A8&amp;"-"&amp;B8,'Order Summary'!$D:$G,4,FALSE)</f>
        <v>Yes</v>
      </c>
      <c r="F8" s="55" t="str">
        <f>VLOOKUP($A8,'Order Summary'!$B:$I,8,FALSE)</f>
        <v>Hillsboro, TX</v>
      </c>
      <c r="G8" s="216">
        <f>IF($A8="","",VLOOKUP($A8&amp;"-"&amp;$B8,'Order Summary'!$D:$U,18,FALSE))</f>
        <v>46009</v>
      </c>
      <c r="H8" s="55">
        <v>2</v>
      </c>
      <c r="I8" s="55">
        <v>694437</v>
      </c>
      <c r="J8" s="55" t="str">
        <f>VLOOKUP($I8,'Old Pricing - end 26-Jan-2026'!$A:$R,2,FALSE)</f>
        <v>G1S 694437</v>
      </c>
      <c r="K8" s="55" t="str">
        <f>VLOOKUP($I8,'Old Pricing - end 26-Jan-2026'!$A:$R,6,FALSE)&amp;" "&amp;VLOOKUP($I8,'Old Pricing - end 26-Jan-2026'!$A:$R,7,FALSE)&amp;""" x "&amp;VLOOKUP($I8,'Old Pricing - end 26-Jan-2026'!$A:$R,9,FALSE)&amp;""" "&amp;VLOOKUP($I8,'Old Pricing - end 26-Jan-2026'!$A:$R,5,FALSE)</f>
        <v>2MM 49" x 108" ACP</v>
      </c>
      <c r="L8" s="55">
        <f>VLOOKUP($I8,'Old Pricing - end 26-Jan-2026'!$A:$K,8,FALSE)</f>
        <v>1245</v>
      </c>
      <c r="M8" s="55">
        <f>VLOOKUP($I8,'Old Pricing - end 26-Jan-2026'!$A:$K,10,FALSE)</f>
        <v>2745</v>
      </c>
      <c r="N8" s="55" t="str">
        <f>VLOOKUP($I8,'Old Pricing - end 26-Jan-2026'!$A:$R,13,FALSE)&amp;" "&amp;VLOOKUP($I8,'Old Pricing - end 26-Jan-2026'!$A:$R,12,FALSE)</f>
        <v>ASC 0069 GLOSSY WHITE</v>
      </c>
      <c r="O8" s="56">
        <v>7.35</v>
      </c>
      <c r="P8" s="55">
        <f>(VLOOKUP($I8,'Old Pricing - end 26-Jan-2026'!$A:$R,8,FALSE)/1000)*(VLOOKUP($I8,'Old Pricing - end 26-Jan-2026'!$A:$R,10,FALSE)/1000)*Q8</f>
        <v>683.50500000000011</v>
      </c>
      <c r="Q8" s="55">
        <f>ROUND(('Order Details'!$O8*1000)/((VLOOKUP($I8,'Old Pricing - end 26-Jan-2026'!$A:$Q,7,FALSE)/12)*(VLOOKUP($I8,'Old Pricing - end 26-Jan-2026'!$A:$Q,9,FALSE)/12))/5,0)*5</f>
        <v>200</v>
      </c>
      <c r="R8" s="72">
        <v>1</v>
      </c>
      <c r="S8" s="57">
        <f>VLOOKUP($I8,'Old Pricing - end 26-Jan-2026'!$A:$Q,16,FALSE)</f>
        <v>700</v>
      </c>
      <c r="T8" s="57">
        <f>VLOOKUP(I8,'Old Pricing - end 26-Jan-2026'!$A:$O,15,FALSE)</f>
        <v>7.53</v>
      </c>
      <c r="U8" s="57">
        <f t="shared" si="0"/>
        <v>5145</v>
      </c>
      <c r="V8" s="111">
        <f t="shared" si="1"/>
        <v>5146.7926500000012</v>
      </c>
      <c r="W8" s="55">
        <f>VLOOKUP($I8,'Old Pricing - end 26-Jan-2026'!$A:$R,18,FALSE)</f>
        <v>45</v>
      </c>
    </row>
    <row r="9" spans="1:24" ht="15" hidden="1" thickTop="1" x14ac:dyDescent="0.3">
      <c r="A9" s="55">
        <v>52945532</v>
      </c>
      <c r="B9" s="55">
        <v>0</v>
      </c>
      <c r="C9" s="55" t="str">
        <f>VLOOKUP(A9&amp;"-"&amp;B9,'Order Summary'!$D:$E,2,FALSE)</f>
        <v>Telex / Seaway Released</v>
      </c>
      <c r="D9" s="216">
        <f>IF($A9="","",VLOOKUP($A9&amp;"-"&amp;$B9,'Order Summary'!$D:$U,3,FALSE))</f>
        <v>45917</v>
      </c>
      <c r="E9" s="55" t="str">
        <f>VLOOKUP(A9&amp;"-"&amp;B9,'Order Summary'!$D:$G,4,FALSE)</f>
        <v>Yes</v>
      </c>
      <c r="F9" s="55" t="str">
        <f>VLOOKUP($A9,'Order Summary'!$B:$I,8,FALSE)</f>
        <v>Hillsboro, TX</v>
      </c>
      <c r="G9" s="216">
        <f>IF($A9="","",VLOOKUP($A9&amp;"-"&amp;$B9,'Order Summary'!$D:$U,18,FALSE))</f>
        <v>46009</v>
      </c>
      <c r="H9" s="55">
        <v>3</v>
      </c>
      <c r="I9" s="55">
        <v>694441</v>
      </c>
      <c r="J9" s="55" t="str">
        <f>VLOOKUP($I9,'Old Pricing - end 26-Jan-2026'!$A:$R,2,FALSE)</f>
        <v>G1S 694441</v>
      </c>
      <c r="K9" s="55" t="str">
        <f>VLOOKUP($I9,'Old Pricing - end 26-Jan-2026'!$A:$R,6,FALSE)&amp;" "&amp;VLOOKUP($I9,'Old Pricing - end 26-Jan-2026'!$A:$R,7,FALSE)&amp;""" x "&amp;VLOOKUP($I9,'Old Pricing - end 26-Jan-2026'!$A:$R,9,FALSE)&amp;""" "&amp;VLOOKUP($I9,'Old Pricing - end 26-Jan-2026'!$A:$R,5,FALSE)</f>
        <v>2MM 49" x 108" ACP</v>
      </c>
      <c r="L9" s="55">
        <f>VLOOKUP($I9,'Old Pricing - end 26-Jan-2026'!$A:$K,8,FALSE)</f>
        <v>1245</v>
      </c>
      <c r="M9" s="55">
        <f>VLOOKUP($I9,'Old Pricing - end 26-Jan-2026'!$A:$K,10,FALSE)</f>
        <v>2745</v>
      </c>
      <c r="N9" s="55" t="str">
        <f>VLOOKUP($I9,'Old Pricing - end 26-Jan-2026'!$A:$R,13,FALSE)&amp;" "&amp;VLOOKUP($I9,'Old Pricing - end 26-Jan-2026'!$A:$R,12,FALSE)</f>
        <v>AMC 0103 SILVER FROST</v>
      </c>
      <c r="O9" s="56">
        <v>7.35</v>
      </c>
      <c r="P9" s="55">
        <f>(VLOOKUP($I9,'Old Pricing - end 26-Jan-2026'!$A:$R,8,FALSE)/1000)*(VLOOKUP($I9,'Old Pricing - end 26-Jan-2026'!$A:$R,10,FALSE)/1000)*Q9</f>
        <v>683.50500000000011</v>
      </c>
      <c r="Q9" s="55">
        <f>ROUND(('Order Details'!$O9*1000)/((VLOOKUP($I9,'Old Pricing - end 26-Jan-2026'!$A:$Q,7,FALSE)/12)*(VLOOKUP($I9,'Old Pricing - end 26-Jan-2026'!$A:$Q,9,FALSE)/12))/5,0)*5</f>
        <v>200</v>
      </c>
      <c r="R9" s="72">
        <v>1</v>
      </c>
      <c r="S9" s="57">
        <f>VLOOKUP($I9,'Old Pricing - end 26-Jan-2026'!$A:$Q,16,FALSE)</f>
        <v>700</v>
      </c>
      <c r="T9" s="57">
        <f>VLOOKUP(I9,'Old Pricing - end 26-Jan-2026'!$A:$O,15,FALSE)</f>
        <v>7.53</v>
      </c>
      <c r="U9" s="57">
        <f t="shared" si="0"/>
        <v>5145</v>
      </c>
      <c r="V9" s="111">
        <f t="shared" si="1"/>
        <v>5146.7926500000012</v>
      </c>
      <c r="W9" s="55">
        <f>VLOOKUP($I9,'Old Pricing - end 26-Jan-2026'!$A:$R,18,FALSE)</f>
        <v>90</v>
      </c>
    </row>
    <row r="10" spans="1:24" ht="15" hidden="1" thickTop="1" x14ac:dyDescent="0.3">
      <c r="A10" s="55">
        <v>52945532</v>
      </c>
      <c r="B10" s="55">
        <v>0</v>
      </c>
      <c r="C10" s="55" t="str">
        <f>VLOOKUP(A10&amp;"-"&amp;B10,'Order Summary'!$D:$E,2,FALSE)</f>
        <v>Telex / Seaway Released</v>
      </c>
      <c r="D10" s="216">
        <f>IF($A10="","",VLOOKUP($A10&amp;"-"&amp;$B10,'Order Summary'!$D:$U,3,FALSE))</f>
        <v>45917</v>
      </c>
      <c r="E10" s="55" t="str">
        <f>VLOOKUP(A10&amp;"-"&amp;B10,'Order Summary'!$D:$G,4,FALSE)</f>
        <v>Yes</v>
      </c>
      <c r="F10" s="55" t="str">
        <f>VLOOKUP($A10,'Order Summary'!$B:$I,8,FALSE)</f>
        <v>Hillsboro, TX</v>
      </c>
      <c r="G10" s="216">
        <f>IF($A10="","",VLOOKUP($A10&amp;"-"&amp;$B10,'Order Summary'!$D:$U,18,FALSE))</f>
        <v>46009</v>
      </c>
      <c r="H10" s="55">
        <v>4</v>
      </c>
      <c r="I10" s="55">
        <v>694442</v>
      </c>
      <c r="J10" s="55" t="str">
        <f>VLOOKUP($I10,'Old Pricing - end 26-Jan-2026'!$A:$R,2,FALSE)</f>
        <v>G1S 694442</v>
      </c>
      <c r="K10" s="55" t="str">
        <f>VLOOKUP($I10,'Old Pricing - end 26-Jan-2026'!$A:$R,6,FALSE)&amp;" "&amp;VLOOKUP($I10,'Old Pricing - end 26-Jan-2026'!$A:$R,7,FALSE)&amp;""" x "&amp;VLOOKUP($I10,'Old Pricing - end 26-Jan-2026'!$A:$R,9,FALSE)&amp;""" "&amp;VLOOKUP($I10,'Old Pricing - end 26-Jan-2026'!$A:$R,5,FALSE)</f>
        <v>2MM 49" x 144" ACP</v>
      </c>
      <c r="L10" s="55">
        <f>VLOOKUP($I10,'Old Pricing - end 26-Jan-2026'!$A:$K,8,FALSE)</f>
        <v>1245</v>
      </c>
      <c r="M10" s="55">
        <f>VLOOKUP($I10,'Old Pricing - end 26-Jan-2026'!$A:$K,10,FALSE)</f>
        <v>3658</v>
      </c>
      <c r="N10" s="55" t="str">
        <f>VLOOKUP($I10,'Old Pricing - end 26-Jan-2026'!$A:$R,13,FALSE)&amp;" "&amp;VLOOKUP($I10,'Old Pricing - end 26-Jan-2026'!$A:$R,12,FALSE)</f>
        <v>AMC 0103 SILVER FROST</v>
      </c>
      <c r="O10" s="56">
        <v>9.8000000000000007</v>
      </c>
      <c r="P10" s="55">
        <f>(VLOOKUP($I10,'Old Pricing - end 26-Jan-2026'!$A:$R,8,FALSE)/1000)*(VLOOKUP($I10,'Old Pricing - end 26-Jan-2026'!$A:$R,10,FALSE)/1000)*Q10</f>
        <v>910.8420000000001</v>
      </c>
      <c r="Q10" s="55">
        <f>ROUND(('Order Details'!$O10*1000)/((VLOOKUP($I10,'Old Pricing - end 26-Jan-2026'!$A:$Q,7,FALSE)/12)*(VLOOKUP($I10,'Old Pricing - end 26-Jan-2026'!$A:$Q,9,FALSE)/12))/5,0)*5</f>
        <v>200</v>
      </c>
      <c r="R10" s="71">
        <f>$Q10/IFERROR(VLOOKUP($F10&amp;RIGHT($K10,8),'Master Data'!$O$5:$P$10,2,FALSE),'Master Data'!$P$4)</f>
        <v>1</v>
      </c>
      <c r="S10" s="57">
        <f>VLOOKUP($I10,'Old Pricing - end 26-Jan-2026'!$A:$Q,16,FALSE)</f>
        <v>700</v>
      </c>
      <c r="T10" s="57">
        <f>VLOOKUP(I10,'Old Pricing - end 26-Jan-2026'!$A:$O,15,FALSE)</f>
        <v>7.53</v>
      </c>
      <c r="U10" s="57">
        <f t="shared" si="0"/>
        <v>6860.0000000000009</v>
      </c>
      <c r="V10" s="111">
        <f t="shared" si="1"/>
        <v>6858.640260000001</v>
      </c>
      <c r="W10" s="55">
        <f>VLOOKUP($I10,'Old Pricing - end 26-Jan-2026'!$A:$R,18,FALSE)</f>
        <v>90</v>
      </c>
    </row>
    <row r="11" spans="1:24" ht="15" hidden="1" thickTop="1" x14ac:dyDescent="0.3">
      <c r="A11" s="55">
        <v>52945532</v>
      </c>
      <c r="B11" s="55">
        <v>0</v>
      </c>
      <c r="C11" s="55" t="str">
        <f>VLOOKUP(A11&amp;"-"&amp;B11,'Order Summary'!$D:$E,2,FALSE)</f>
        <v>Telex / Seaway Released</v>
      </c>
      <c r="D11" s="216">
        <f>IF($A11="","",VLOOKUP($A11&amp;"-"&amp;$B11,'Order Summary'!$D:$U,3,FALSE))</f>
        <v>45917</v>
      </c>
      <c r="E11" s="55" t="str">
        <f>VLOOKUP(A11&amp;"-"&amp;B11,'Order Summary'!$D:$G,4,FALSE)</f>
        <v>Yes</v>
      </c>
      <c r="F11" s="55" t="str">
        <f>VLOOKUP($A11,'Order Summary'!$B:$I,8,FALSE)</f>
        <v>Hillsboro, TX</v>
      </c>
      <c r="G11" s="216">
        <f>IF($A11="","",VLOOKUP($A11&amp;"-"&amp;$B11,'Order Summary'!$D:$U,18,FALSE))</f>
        <v>46009</v>
      </c>
      <c r="H11" s="55">
        <v>5</v>
      </c>
      <c r="I11" s="55">
        <v>694445</v>
      </c>
      <c r="J11" s="55" t="str">
        <f>VLOOKUP($I11,'Old Pricing - end 26-Jan-2026'!$A:$R,2,FALSE)</f>
        <v>G1S 694445</v>
      </c>
      <c r="K11" s="55" t="str">
        <f>VLOOKUP($I11,'Old Pricing - end 26-Jan-2026'!$A:$R,6,FALSE)&amp;" "&amp;VLOOKUP($I11,'Old Pricing - end 26-Jan-2026'!$A:$R,7,FALSE)&amp;""" x "&amp;VLOOKUP($I11,'Old Pricing - end 26-Jan-2026'!$A:$R,9,FALSE)&amp;""" "&amp;VLOOKUP($I11,'Old Pricing - end 26-Jan-2026'!$A:$R,5,FALSE)</f>
        <v>2MM 49" x 108" ACP</v>
      </c>
      <c r="L11" s="55">
        <f>VLOOKUP($I11,'Old Pricing - end 26-Jan-2026'!$A:$K,8,FALSE)</f>
        <v>1245</v>
      </c>
      <c r="M11" s="55">
        <f>VLOOKUP($I11,'Old Pricing - end 26-Jan-2026'!$A:$K,10,FALSE)</f>
        <v>2745</v>
      </c>
      <c r="N11" s="55" t="str">
        <f>VLOOKUP($I11,'Old Pricing - end 26-Jan-2026'!$A:$R,13,FALSE)&amp;" "&amp;VLOOKUP($I11,'Old Pricing - end 26-Jan-2026'!$A:$R,12,FALSE)</f>
        <v>AMC 0086 CHARCOAL METALLIC</v>
      </c>
      <c r="O11" s="56">
        <v>29.4</v>
      </c>
      <c r="P11" s="55">
        <f>(VLOOKUP($I11,'Old Pricing - end 26-Jan-2026'!$A:$R,8,FALSE)/1000)*(VLOOKUP($I11,'Old Pricing - end 26-Jan-2026'!$A:$R,10,FALSE)/1000)*Q11</f>
        <v>2734.0200000000004</v>
      </c>
      <c r="Q11" s="55">
        <f>ROUND(('Order Details'!$O11*1000)/((VLOOKUP($I11,'Old Pricing - end 26-Jan-2026'!$A:$Q,7,FALSE)/12)*(VLOOKUP($I11,'Old Pricing - end 26-Jan-2026'!$A:$Q,9,FALSE)/12))/5,0)*5</f>
        <v>800</v>
      </c>
      <c r="R11" s="72">
        <v>4</v>
      </c>
      <c r="S11" s="57">
        <f>VLOOKUP($I11,'Old Pricing - end 26-Jan-2026'!$A:$Q,16,FALSE)</f>
        <v>750</v>
      </c>
      <c r="T11" s="57">
        <f>VLOOKUP(I11,'Old Pricing - end 26-Jan-2026'!$A:$O,15,FALSE)</f>
        <v>8.07</v>
      </c>
      <c r="U11" s="57">
        <f t="shared" si="0"/>
        <v>22050</v>
      </c>
      <c r="V11" s="111">
        <f t="shared" si="1"/>
        <v>22063.541400000006</v>
      </c>
      <c r="W11" s="55">
        <f>VLOOKUP($I11,'Old Pricing - end 26-Jan-2026'!$A:$R,18,FALSE)</f>
        <v>45</v>
      </c>
    </row>
    <row r="12" spans="1:24" ht="15" hidden="1" thickTop="1" x14ac:dyDescent="0.3">
      <c r="A12" s="55">
        <v>52945532</v>
      </c>
      <c r="B12" s="55">
        <v>0</v>
      </c>
      <c r="C12" s="55" t="str">
        <f>VLOOKUP(A12&amp;"-"&amp;B12,'Order Summary'!$D:$E,2,FALSE)</f>
        <v>Telex / Seaway Released</v>
      </c>
      <c r="D12" s="216">
        <f>IF($A12="","",VLOOKUP($A12&amp;"-"&amp;$B12,'Order Summary'!$D:$U,3,FALSE))</f>
        <v>45917</v>
      </c>
      <c r="E12" s="55" t="str">
        <f>VLOOKUP(A12&amp;"-"&amp;B12,'Order Summary'!$D:$G,4,FALSE)</f>
        <v>Yes</v>
      </c>
      <c r="F12" s="55" t="str">
        <f>VLOOKUP($A12,'Order Summary'!$B:$I,8,FALSE)</f>
        <v>Hillsboro, TX</v>
      </c>
      <c r="G12" s="216">
        <f>IF($A12="","",VLOOKUP($A12&amp;"-"&amp;$B12,'Order Summary'!$D:$U,18,FALSE))</f>
        <v>46009</v>
      </c>
      <c r="H12" s="55">
        <v>6</v>
      </c>
      <c r="I12" s="55">
        <v>694672</v>
      </c>
      <c r="J12" s="55" t="str">
        <f>VLOOKUP($I12,'Old Pricing - end 26-Jan-2026'!$A:$R,2,FALSE)</f>
        <v>G1S 694672</v>
      </c>
      <c r="K12" s="55" t="str">
        <f>VLOOKUP($I12,'Old Pricing - end 26-Jan-2026'!$A:$R,6,FALSE)&amp;" "&amp;VLOOKUP($I12,'Old Pricing - end 26-Jan-2026'!$A:$R,7,FALSE)&amp;""" x "&amp;VLOOKUP($I12,'Old Pricing - end 26-Jan-2026'!$A:$R,9,FALSE)&amp;""" "&amp;VLOOKUP($I12,'Old Pricing - end 26-Jan-2026'!$A:$R,5,FALSE)</f>
        <v>2MM 49" x 96" ACP</v>
      </c>
      <c r="L12" s="55">
        <f>VLOOKUP($I12,'Old Pricing - end 26-Jan-2026'!$A:$K,8,FALSE)</f>
        <v>1245</v>
      </c>
      <c r="M12" s="55">
        <f>VLOOKUP($I12,'Old Pricing - end 26-Jan-2026'!$A:$K,10,FALSE)</f>
        <v>2440</v>
      </c>
      <c r="N12" s="55" t="str">
        <f>VLOOKUP($I12,'Old Pricing - end 26-Jan-2026'!$A:$R,13,FALSE)&amp;" "&amp;VLOOKUP($I12,'Old Pricing - end 26-Jan-2026'!$A:$R,12,FALSE)</f>
        <v>ASC 0089 VICTORY RED</v>
      </c>
      <c r="O12" s="56">
        <v>13.067</v>
      </c>
      <c r="P12" s="55">
        <f>(VLOOKUP($I12,'Old Pricing - end 26-Jan-2026'!$A:$R,8,FALSE)/1000)*(VLOOKUP($I12,'Old Pricing - end 26-Jan-2026'!$A:$R,10,FALSE)/1000)*Q12</f>
        <v>1215.1200000000001</v>
      </c>
      <c r="Q12" s="55">
        <f>ROUND(('Order Details'!$O12*1000)/((VLOOKUP($I12,'Old Pricing - end 26-Jan-2026'!$A:$Q,7,FALSE)/12)*(VLOOKUP($I12,'Old Pricing - end 26-Jan-2026'!$A:$Q,9,FALSE)/12))/5,0)*5</f>
        <v>400</v>
      </c>
      <c r="R12" s="71">
        <f>$Q12/IFERROR(VLOOKUP($F12&amp;RIGHT($K12,8),'Master Data'!$O$5:$P$10,2,FALSE),'Master Data'!$P$4)</f>
        <v>2</v>
      </c>
      <c r="S12" s="57">
        <f>VLOOKUP($I12,'Old Pricing - end 26-Jan-2026'!$A:$Q,16,FALSE)</f>
        <v>700</v>
      </c>
      <c r="T12" s="57">
        <f>VLOOKUP(I12,'Old Pricing - end 26-Jan-2026'!$A:$O,15,FALSE)</f>
        <v>7.53</v>
      </c>
      <c r="U12" s="57">
        <f t="shared" si="0"/>
        <v>9146.9</v>
      </c>
      <c r="V12" s="111">
        <f t="shared" si="1"/>
        <v>9149.8536000000004</v>
      </c>
      <c r="W12" s="55">
        <f>VLOOKUP($I12,'Old Pricing - end 26-Jan-2026'!$A:$R,18,FALSE)</f>
        <v>45</v>
      </c>
    </row>
    <row r="13" spans="1:24" ht="15" hidden="1" thickTop="1" x14ac:dyDescent="0.3">
      <c r="A13" s="55">
        <v>52945532</v>
      </c>
      <c r="B13" s="55">
        <v>0</v>
      </c>
      <c r="C13" s="55" t="str">
        <f>VLOOKUP(A13&amp;"-"&amp;B13,'Order Summary'!$D:$E,2,FALSE)</f>
        <v>Telex / Seaway Released</v>
      </c>
      <c r="D13" s="216">
        <f>IF($A13="","",VLOOKUP($A13&amp;"-"&amp;$B13,'Order Summary'!$D:$U,3,FALSE))</f>
        <v>45917</v>
      </c>
      <c r="E13" s="55" t="str">
        <f>VLOOKUP(A13&amp;"-"&amp;B13,'Order Summary'!$D:$G,4,FALSE)</f>
        <v>Yes</v>
      </c>
      <c r="F13" s="55" t="str">
        <f>VLOOKUP($A13,'Order Summary'!$B:$I,8,FALSE)</f>
        <v>Hillsboro, TX</v>
      </c>
      <c r="G13" s="216">
        <f>IF($A13="","",VLOOKUP($A13&amp;"-"&amp;$B13,'Order Summary'!$D:$U,18,FALSE))</f>
        <v>46009</v>
      </c>
      <c r="H13" s="55">
        <v>7</v>
      </c>
      <c r="I13" s="55">
        <v>694673</v>
      </c>
      <c r="J13" s="55" t="str">
        <f>VLOOKUP($I13,'Old Pricing - end 26-Jan-2026'!$A:$R,2,FALSE)</f>
        <v>G1S 694673</v>
      </c>
      <c r="K13" s="55" t="str">
        <f>VLOOKUP($I13,'Old Pricing - end 26-Jan-2026'!$A:$R,6,FALSE)&amp;" "&amp;VLOOKUP($I13,'Old Pricing - end 26-Jan-2026'!$A:$R,7,FALSE)&amp;""" x "&amp;VLOOKUP($I13,'Old Pricing - end 26-Jan-2026'!$A:$R,9,FALSE)&amp;""" "&amp;VLOOKUP($I13,'Old Pricing - end 26-Jan-2026'!$A:$R,5,FALSE)</f>
        <v>2MM 49" x 108" ACP</v>
      </c>
      <c r="L13" s="55">
        <f>VLOOKUP($I13,'Old Pricing - end 26-Jan-2026'!$A:$K,8,FALSE)</f>
        <v>1245</v>
      </c>
      <c r="M13" s="55">
        <f>VLOOKUP($I13,'Old Pricing - end 26-Jan-2026'!$A:$K,10,FALSE)</f>
        <v>2745</v>
      </c>
      <c r="N13" s="55" t="str">
        <f>VLOOKUP($I13,'Old Pricing - end 26-Jan-2026'!$A:$R,13,FALSE)&amp;" "&amp;VLOOKUP($I13,'Old Pricing - end 26-Jan-2026'!$A:$R,12,FALSE)</f>
        <v>ASC 0089 VICTORY RED</v>
      </c>
      <c r="O13" s="56">
        <v>14.7</v>
      </c>
      <c r="P13" s="55">
        <f>(VLOOKUP($I13,'Old Pricing - end 26-Jan-2026'!$A:$R,8,FALSE)/1000)*(VLOOKUP($I13,'Old Pricing - end 26-Jan-2026'!$A:$R,10,FALSE)/1000)*Q13</f>
        <v>1367.0100000000002</v>
      </c>
      <c r="Q13" s="55">
        <f>ROUND(('Order Details'!$O13*1000)/((VLOOKUP($I13,'Old Pricing - end 26-Jan-2026'!$A:$Q,7,FALSE)/12)*(VLOOKUP($I13,'Old Pricing - end 26-Jan-2026'!$A:$Q,9,FALSE)/12))/5,0)*5</f>
        <v>400</v>
      </c>
      <c r="R13" s="72">
        <v>2</v>
      </c>
      <c r="S13" s="57">
        <f>VLOOKUP($I13,'Old Pricing - end 26-Jan-2026'!$A:$Q,16,FALSE)</f>
        <v>700</v>
      </c>
      <c r="T13" s="57">
        <f>VLOOKUP(I13,'Old Pricing - end 26-Jan-2026'!$A:$O,15,FALSE)</f>
        <v>7.53</v>
      </c>
      <c r="U13" s="57">
        <f t="shared" si="0"/>
        <v>10290</v>
      </c>
      <c r="V13" s="111">
        <f t="shared" si="1"/>
        <v>10293.585300000002</v>
      </c>
      <c r="W13" s="55">
        <f>VLOOKUP($I13,'Old Pricing - end 26-Jan-2026'!$A:$R,18,FALSE)</f>
        <v>45</v>
      </c>
    </row>
    <row r="14" spans="1:24" ht="15" hidden="1" thickTop="1" x14ac:dyDescent="0.3">
      <c r="A14" s="55">
        <v>52954707</v>
      </c>
      <c r="B14" s="55">
        <v>0</v>
      </c>
      <c r="C14" s="55" t="str">
        <f>VLOOKUP(A14&amp;"-"&amp;B14,'Order Summary'!$D:$E,2,FALSE)</f>
        <v>Telex / Seaway Released</v>
      </c>
      <c r="D14" s="216">
        <f>IF($A14="","",VLOOKUP($A14&amp;"-"&amp;$B14,'Order Summary'!$D:$U,3,FALSE))</f>
        <v>45961</v>
      </c>
      <c r="E14" s="55" t="str">
        <f>VLOOKUP(A14&amp;"-"&amp;B14,'Order Summary'!$D:$G,4,FALSE)</f>
        <v>Yes</v>
      </c>
      <c r="F14" s="55" t="str">
        <f>VLOOKUP($A14,'Order Summary'!$B:$I,8,FALSE)</f>
        <v>Hillsboro, TX</v>
      </c>
      <c r="G14" s="216">
        <f>IF($A14="","",VLOOKUP($A14&amp;"-"&amp;$B14,'Order Summary'!$D:$U,18,FALSE))</f>
        <v>46072</v>
      </c>
      <c r="H14" s="55">
        <v>1</v>
      </c>
      <c r="I14" s="55">
        <v>694432</v>
      </c>
      <c r="J14" s="55" t="str">
        <f>VLOOKUP($I14,'Old Pricing - end 26-Jan-2026'!$A:$R,2,FALSE)</f>
        <v>G1S 694432</v>
      </c>
      <c r="K14" s="55" t="str">
        <f>VLOOKUP($I14,'Old Pricing - end 26-Jan-2026'!$A:$R,6,FALSE)&amp;" "&amp;VLOOKUP($I14,'Old Pricing - end 26-Jan-2026'!$A:$R,7,FALSE)&amp;""" x "&amp;VLOOKUP($I14,'Old Pricing - end 26-Jan-2026'!$A:$R,9,FALSE)&amp;""" "&amp;VLOOKUP($I14,'Old Pricing - end 26-Jan-2026'!$A:$R,5,FALSE)</f>
        <v>2MM 49" x 96" ACP</v>
      </c>
      <c r="L14" s="55">
        <f>VLOOKUP($I14,'Old Pricing - end 26-Jan-2026'!$A:$K,8,FALSE)</f>
        <v>1245</v>
      </c>
      <c r="M14" s="55">
        <f>VLOOKUP($I14,'Old Pricing - end 26-Jan-2026'!$A:$K,10,FALSE)</f>
        <v>2440</v>
      </c>
      <c r="N14" s="55" t="str">
        <f>VLOOKUP($I14,'Old Pricing - end 26-Jan-2026'!$A:$R,13,FALSE)&amp;" "&amp;VLOOKUP($I14,'Old Pricing - end 26-Jan-2026'!$A:$R,12,FALSE)</f>
        <v>ASC 0096 GLOSSY BLACK</v>
      </c>
      <c r="O14" s="56">
        <v>6.5330000000000004</v>
      </c>
      <c r="P14" s="55">
        <f>(VLOOKUP($I14,'Old Pricing - end 26-Jan-2026'!$A:$R,8,FALSE)/1000)*(VLOOKUP($I14,'Old Pricing - end 26-Jan-2026'!$A:$R,10,FALSE)/1000)*Q14</f>
        <v>607.56000000000006</v>
      </c>
      <c r="Q14" s="55">
        <f>ROUND(('Order Details'!$O14*1000)/((VLOOKUP($I14,'Old Pricing - end 26-Jan-2026'!$A:$Q,7,FALSE)/12)*(VLOOKUP($I14,'Old Pricing - end 26-Jan-2026'!$A:$Q,9,FALSE)/12))/5,0)*5</f>
        <v>200</v>
      </c>
      <c r="R14" s="71">
        <f>$Q14/IFERROR(VLOOKUP($F14&amp;RIGHT($K14,8),'Master Data'!$O$5:$P$10,2,FALSE),'Master Data'!$P$4)</f>
        <v>1</v>
      </c>
      <c r="S14" s="57">
        <f>VLOOKUP($I14,'Old Pricing - end 26-Jan-2026'!$A:$Q,16,FALSE)</f>
        <v>700</v>
      </c>
      <c r="T14" s="57">
        <f>VLOOKUP(I14,'Old Pricing - end 26-Jan-2026'!$A:$O,15,FALSE)</f>
        <v>7.53</v>
      </c>
      <c r="U14" s="57">
        <f t="shared" si="0"/>
        <v>4573.1000000000004</v>
      </c>
      <c r="V14" s="111">
        <f t="shared" si="1"/>
        <v>4574.9268000000002</v>
      </c>
      <c r="W14" s="55">
        <f>VLOOKUP($I14,'Old Pricing - end 26-Jan-2026'!$A:$R,18,FALSE)</f>
        <v>45</v>
      </c>
    </row>
    <row r="15" spans="1:24" ht="15" hidden="1" thickTop="1" x14ac:dyDescent="0.3">
      <c r="A15" s="55">
        <v>52954707</v>
      </c>
      <c r="B15" s="55">
        <v>0</v>
      </c>
      <c r="C15" s="55" t="str">
        <f>VLOOKUP(A15&amp;"-"&amp;B15,'Order Summary'!$D:$E,2,FALSE)</f>
        <v>Telex / Seaway Released</v>
      </c>
      <c r="D15" s="216">
        <f>IF($A15="","",VLOOKUP($A15&amp;"-"&amp;$B15,'Order Summary'!$D:$U,3,FALSE))</f>
        <v>45961</v>
      </c>
      <c r="E15" s="55" t="str">
        <f>VLOOKUP(A15&amp;"-"&amp;B15,'Order Summary'!$D:$G,4,FALSE)</f>
        <v>Yes</v>
      </c>
      <c r="F15" s="55" t="str">
        <f>VLOOKUP($A15,'Order Summary'!$B:$I,8,FALSE)</f>
        <v>Hillsboro, TX</v>
      </c>
      <c r="G15" s="216">
        <f>IF($A15="","",VLOOKUP($A15&amp;"-"&amp;$B15,'Order Summary'!$D:$U,18,FALSE))</f>
        <v>46072</v>
      </c>
      <c r="H15" s="55">
        <v>2</v>
      </c>
      <c r="I15" s="55">
        <v>694433</v>
      </c>
      <c r="J15" s="55" t="str">
        <f>VLOOKUP($I15,'Old Pricing - end 26-Jan-2026'!$A:$R,2,FALSE)</f>
        <v>G1S 694433</v>
      </c>
      <c r="K15" s="55" t="str">
        <f>VLOOKUP($I15,'Old Pricing - end 26-Jan-2026'!$A:$R,6,FALSE)&amp;" "&amp;VLOOKUP($I15,'Old Pricing - end 26-Jan-2026'!$A:$R,7,FALSE)&amp;""" x "&amp;VLOOKUP($I15,'Old Pricing - end 26-Jan-2026'!$A:$R,9,FALSE)&amp;""" "&amp;VLOOKUP($I15,'Old Pricing - end 26-Jan-2026'!$A:$R,5,FALSE)</f>
        <v>2MM 49" x 108" ACP</v>
      </c>
      <c r="L15" s="55">
        <f>VLOOKUP($I15,'Old Pricing - end 26-Jan-2026'!$A:$K,8,FALSE)</f>
        <v>1245</v>
      </c>
      <c r="M15" s="55">
        <f>VLOOKUP($I15,'Old Pricing - end 26-Jan-2026'!$A:$K,10,FALSE)</f>
        <v>2745</v>
      </c>
      <c r="N15" s="55" t="str">
        <f>VLOOKUP($I15,'Old Pricing - end 26-Jan-2026'!$A:$R,13,FALSE)&amp;" "&amp;VLOOKUP($I15,'Old Pricing - end 26-Jan-2026'!$A:$R,12,FALSE)</f>
        <v>ASC 0096 GLOSSY BLACK</v>
      </c>
      <c r="O15" s="56">
        <v>16.538</v>
      </c>
      <c r="P15" s="55">
        <f>(VLOOKUP($I15,'Old Pricing - end 26-Jan-2026'!$A:$R,8,FALSE)/1000)*(VLOOKUP($I15,'Old Pricing - end 26-Jan-2026'!$A:$R,10,FALSE)/1000)*Q15</f>
        <v>1537.8862500000002</v>
      </c>
      <c r="Q15" s="55">
        <f>ROUND(('Order Details'!$O15*1000)/((VLOOKUP($I15,'Old Pricing - end 26-Jan-2026'!$A:$Q,7,FALSE)/12)*(VLOOKUP($I15,'Old Pricing - end 26-Jan-2026'!$A:$Q,9,FALSE)/12))/5,0)*5</f>
        <v>450</v>
      </c>
      <c r="R15" s="71">
        <f>Q15/150</f>
        <v>3</v>
      </c>
      <c r="S15" s="57">
        <f>VLOOKUP($I15,'Old Pricing - end 26-Jan-2026'!$A:$Q,16,FALSE)</f>
        <v>700</v>
      </c>
      <c r="T15" s="57">
        <f>VLOOKUP(I15,'Old Pricing - end 26-Jan-2026'!$A:$O,15,FALSE)</f>
        <v>7.53</v>
      </c>
      <c r="U15" s="60">
        <f t="shared" si="0"/>
        <v>11576.6</v>
      </c>
      <c r="V15" s="111">
        <f t="shared" si="1"/>
        <v>11580.283462500001</v>
      </c>
      <c r="W15" s="55">
        <f>VLOOKUP($I15,'Old Pricing - end 26-Jan-2026'!$A:$R,18,FALSE)</f>
        <v>45</v>
      </c>
    </row>
    <row r="16" spans="1:24" ht="15" hidden="1" thickTop="1" x14ac:dyDescent="0.3">
      <c r="A16" s="55">
        <v>52954707</v>
      </c>
      <c r="B16" s="55">
        <v>0</v>
      </c>
      <c r="C16" s="55" t="str">
        <f>VLOOKUP(A16&amp;"-"&amp;B16,'Order Summary'!$D:$E,2,FALSE)</f>
        <v>Telex / Seaway Released</v>
      </c>
      <c r="D16" s="216">
        <f>IF($A16="","",VLOOKUP($A16&amp;"-"&amp;$B16,'Order Summary'!$D:$U,3,FALSE))</f>
        <v>45961</v>
      </c>
      <c r="E16" s="55" t="str">
        <f>VLOOKUP(A16&amp;"-"&amp;B16,'Order Summary'!$D:$G,4,FALSE)</f>
        <v>Yes</v>
      </c>
      <c r="F16" s="55" t="str">
        <f>VLOOKUP($A16,'Order Summary'!$B:$I,8,FALSE)</f>
        <v>Hillsboro, TX</v>
      </c>
      <c r="G16" s="216">
        <f>IF($A16="","",VLOOKUP($A16&amp;"-"&amp;$B16,'Order Summary'!$D:$U,18,FALSE))</f>
        <v>46072</v>
      </c>
      <c r="H16" s="55">
        <v>3</v>
      </c>
      <c r="I16" s="55">
        <v>694434</v>
      </c>
      <c r="J16" s="55" t="str">
        <f>VLOOKUP($I16,'Old Pricing - end 26-Jan-2026'!$A:$R,2,FALSE)</f>
        <v>G1S 694434</v>
      </c>
      <c r="K16" s="55" t="str">
        <f>VLOOKUP($I16,'Old Pricing - end 26-Jan-2026'!$A:$R,6,FALSE)&amp;" "&amp;VLOOKUP($I16,'Old Pricing - end 26-Jan-2026'!$A:$R,7,FALSE)&amp;""" x "&amp;VLOOKUP($I16,'Old Pricing - end 26-Jan-2026'!$A:$R,9,FALSE)&amp;""" "&amp;VLOOKUP($I16,'Old Pricing - end 26-Jan-2026'!$A:$R,5,FALSE)</f>
        <v>2MM 49" x 144" ACP</v>
      </c>
      <c r="L16" s="55">
        <f>VLOOKUP($I16,'Old Pricing - end 26-Jan-2026'!$A:$K,8,FALSE)</f>
        <v>1245</v>
      </c>
      <c r="M16" s="55">
        <f>VLOOKUP($I16,'Old Pricing - end 26-Jan-2026'!$A:$K,10,FALSE)</f>
        <v>3658</v>
      </c>
      <c r="N16" s="55" t="str">
        <f>VLOOKUP($I16,'Old Pricing - end 26-Jan-2026'!$A:$R,13,FALSE)&amp;" "&amp;VLOOKUP($I16,'Old Pricing - end 26-Jan-2026'!$A:$R,12,FALSE)</f>
        <v>ASC 0096 GLOSSY BLACK</v>
      </c>
      <c r="O16" s="56">
        <v>9.8000000000000007</v>
      </c>
      <c r="P16" s="55">
        <f>(VLOOKUP($I16,'Old Pricing - end 26-Jan-2026'!$A:$R,8,FALSE)/1000)*(VLOOKUP($I16,'Old Pricing - end 26-Jan-2026'!$A:$R,10,FALSE)/1000)*Q16</f>
        <v>910.8420000000001</v>
      </c>
      <c r="Q16" s="55">
        <f>ROUND(('Order Details'!$O16*1000)/((VLOOKUP($I16,'Old Pricing - end 26-Jan-2026'!$A:$Q,7,FALSE)/12)*(VLOOKUP($I16,'Old Pricing - end 26-Jan-2026'!$A:$Q,9,FALSE)/12))/5,0)*5</f>
        <v>200</v>
      </c>
      <c r="R16" s="71">
        <f>$Q16/IFERROR(VLOOKUP($F16&amp;RIGHT($K16,8),'Master Data'!$O$5:$P$10,2,FALSE),'Master Data'!$P$4)</f>
        <v>1</v>
      </c>
      <c r="S16" s="57">
        <f>VLOOKUP($I16,'Old Pricing - end 26-Jan-2026'!$A:$Q,16,FALSE)</f>
        <v>700</v>
      </c>
      <c r="T16" s="57">
        <f>VLOOKUP(I16,'Old Pricing - end 26-Jan-2026'!$A:$O,15,FALSE)</f>
        <v>7.53</v>
      </c>
      <c r="U16" s="57">
        <f t="shared" si="0"/>
        <v>6860.0000000000009</v>
      </c>
      <c r="V16" s="111">
        <f t="shared" si="1"/>
        <v>6858.640260000001</v>
      </c>
      <c r="W16" s="55">
        <f>VLOOKUP($I16,'Old Pricing - end 26-Jan-2026'!$A:$R,18,FALSE)</f>
        <v>45</v>
      </c>
    </row>
    <row r="17" spans="1:23" ht="15" hidden="1" thickTop="1" x14ac:dyDescent="0.3">
      <c r="A17" s="55">
        <v>52954707</v>
      </c>
      <c r="B17" s="55">
        <v>0</v>
      </c>
      <c r="C17" s="55" t="str">
        <f>VLOOKUP(A17&amp;"-"&amp;B17,'Order Summary'!$D:$E,2,FALSE)</f>
        <v>Telex / Seaway Released</v>
      </c>
      <c r="D17" s="216">
        <f>IF($A17="","",VLOOKUP($A17&amp;"-"&amp;$B17,'Order Summary'!$D:$U,3,FALSE))</f>
        <v>45961</v>
      </c>
      <c r="E17" s="55" t="str">
        <f>VLOOKUP(A17&amp;"-"&amp;B17,'Order Summary'!$D:$G,4,FALSE)</f>
        <v>Yes</v>
      </c>
      <c r="F17" s="55" t="str">
        <f>VLOOKUP($A17,'Order Summary'!$B:$I,8,FALSE)</f>
        <v>Hillsboro, TX</v>
      </c>
      <c r="G17" s="216">
        <f>IF($A17="","",VLOOKUP($A17&amp;"-"&amp;$B17,'Order Summary'!$D:$U,18,FALSE))</f>
        <v>46072</v>
      </c>
      <c r="H17" s="55">
        <v>4</v>
      </c>
      <c r="I17" s="55">
        <v>694436</v>
      </c>
      <c r="J17" s="55" t="str">
        <f>VLOOKUP($I17,'Old Pricing - end 26-Jan-2026'!$A:$R,2,FALSE)</f>
        <v>G1S 694436</v>
      </c>
      <c r="K17" s="55" t="str">
        <f>VLOOKUP($I17,'Old Pricing - end 26-Jan-2026'!$A:$R,6,FALSE)&amp;" "&amp;VLOOKUP($I17,'Old Pricing - end 26-Jan-2026'!$A:$R,7,FALSE)&amp;""" x "&amp;VLOOKUP($I17,'Old Pricing - end 26-Jan-2026'!$A:$R,9,FALSE)&amp;""" "&amp;VLOOKUP($I17,'Old Pricing - end 26-Jan-2026'!$A:$R,5,FALSE)</f>
        <v>2MM 49" x 96" ACP</v>
      </c>
      <c r="L17" s="55">
        <f>VLOOKUP($I17,'Old Pricing - end 26-Jan-2026'!$A:$K,8,FALSE)</f>
        <v>1245</v>
      </c>
      <c r="M17" s="55">
        <f>VLOOKUP($I17,'Old Pricing - end 26-Jan-2026'!$A:$K,10,FALSE)</f>
        <v>2440</v>
      </c>
      <c r="N17" s="55" t="str">
        <f>VLOOKUP($I17,'Old Pricing - end 26-Jan-2026'!$A:$R,13,FALSE)&amp;" "&amp;VLOOKUP($I17,'Old Pricing - end 26-Jan-2026'!$A:$R,12,FALSE)</f>
        <v>ASC 0069 GLOSSY WHITE</v>
      </c>
      <c r="O17" s="56">
        <v>6.5330000000000004</v>
      </c>
      <c r="P17" s="55">
        <f>(VLOOKUP($I17,'Old Pricing - end 26-Jan-2026'!$A:$R,8,FALSE)/1000)*(VLOOKUP($I17,'Old Pricing - end 26-Jan-2026'!$A:$R,10,FALSE)/1000)*Q17</f>
        <v>607.56000000000006</v>
      </c>
      <c r="Q17" s="55">
        <f>ROUND(('Order Details'!$O17*1000)/((VLOOKUP($I17,'Old Pricing - end 26-Jan-2026'!$A:$Q,7,FALSE)/12)*(VLOOKUP($I17,'Old Pricing - end 26-Jan-2026'!$A:$Q,9,FALSE)/12))/5,0)*5</f>
        <v>200</v>
      </c>
      <c r="R17" s="71">
        <f>$Q17/IFERROR(VLOOKUP($F17&amp;RIGHT($K17,8),'Master Data'!$O$5:$P$10,2,FALSE),'Master Data'!$P$4)</f>
        <v>1</v>
      </c>
      <c r="S17" s="57">
        <f>VLOOKUP($I17,'Old Pricing - end 26-Jan-2026'!$A:$Q,16,FALSE)</f>
        <v>700</v>
      </c>
      <c r="T17" s="57">
        <f>VLOOKUP(I17,'Old Pricing - end 26-Jan-2026'!$A:$O,15,FALSE)</f>
        <v>7.53</v>
      </c>
      <c r="U17" s="57">
        <f t="shared" si="0"/>
        <v>4573.1000000000004</v>
      </c>
      <c r="V17" s="111">
        <f t="shared" si="1"/>
        <v>4574.9268000000002</v>
      </c>
      <c r="W17" s="55">
        <f>VLOOKUP($I17,'Old Pricing - end 26-Jan-2026'!$A:$R,18,FALSE)</f>
        <v>45</v>
      </c>
    </row>
    <row r="18" spans="1:23" ht="15" hidden="1" thickTop="1" x14ac:dyDescent="0.3">
      <c r="A18" s="55">
        <v>52954707</v>
      </c>
      <c r="B18" s="55">
        <v>0</v>
      </c>
      <c r="C18" s="55" t="str">
        <f>VLOOKUP(A18&amp;"-"&amp;B18,'Order Summary'!$D:$E,2,FALSE)</f>
        <v>Telex / Seaway Released</v>
      </c>
      <c r="D18" s="216">
        <f>IF($A18="","",VLOOKUP($A18&amp;"-"&amp;$B18,'Order Summary'!$D:$U,3,FALSE))</f>
        <v>45961</v>
      </c>
      <c r="E18" s="55" t="str">
        <f>VLOOKUP(A18&amp;"-"&amp;B18,'Order Summary'!$D:$G,4,FALSE)</f>
        <v>Yes</v>
      </c>
      <c r="F18" s="55" t="str">
        <f>VLOOKUP($A18,'Order Summary'!$B:$I,8,FALSE)</f>
        <v>Hillsboro, TX</v>
      </c>
      <c r="G18" s="216">
        <f>IF($A18="","",VLOOKUP($A18&amp;"-"&amp;$B18,'Order Summary'!$D:$U,18,FALSE))</f>
        <v>46072</v>
      </c>
      <c r="H18" s="55">
        <v>5</v>
      </c>
      <c r="I18" s="55">
        <v>694437</v>
      </c>
      <c r="J18" s="55" t="str">
        <f>VLOOKUP($I18,'Old Pricing - end 26-Jan-2026'!$A:$R,2,FALSE)</f>
        <v>G1S 694437</v>
      </c>
      <c r="K18" s="55" t="str">
        <f>VLOOKUP($I18,'Old Pricing - end 26-Jan-2026'!$A:$R,6,FALSE)&amp;" "&amp;VLOOKUP($I18,'Old Pricing - end 26-Jan-2026'!$A:$R,7,FALSE)&amp;""" x "&amp;VLOOKUP($I18,'Old Pricing - end 26-Jan-2026'!$A:$R,9,FALSE)&amp;""" "&amp;VLOOKUP($I18,'Old Pricing - end 26-Jan-2026'!$A:$R,5,FALSE)</f>
        <v>2MM 49" x 108" ACP</v>
      </c>
      <c r="L18" s="55">
        <f>VLOOKUP($I18,'Old Pricing - end 26-Jan-2026'!$A:$K,8,FALSE)</f>
        <v>1245</v>
      </c>
      <c r="M18" s="55">
        <f>VLOOKUP($I18,'Old Pricing - end 26-Jan-2026'!$A:$K,10,FALSE)</f>
        <v>2745</v>
      </c>
      <c r="N18" s="55" t="str">
        <f>VLOOKUP($I18,'Old Pricing - end 26-Jan-2026'!$A:$R,13,FALSE)&amp;" "&amp;VLOOKUP($I18,'Old Pricing - end 26-Jan-2026'!$A:$R,12,FALSE)</f>
        <v>ASC 0069 GLOSSY WHITE</v>
      </c>
      <c r="O18" s="56">
        <v>11.025</v>
      </c>
      <c r="P18" s="55">
        <f>(VLOOKUP($I18,'Old Pricing - end 26-Jan-2026'!$A:$R,8,FALSE)/1000)*(VLOOKUP($I18,'Old Pricing - end 26-Jan-2026'!$A:$R,10,FALSE)/1000)*Q18</f>
        <v>1025.2575000000002</v>
      </c>
      <c r="Q18" s="55">
        <f>ROUND(('Order Details'!$O18*1000)/((VLOOKUP($I18,'Old Pricing - end 26-Jan-2026'!$A:$Q,7,FALSE)/12)*(VLOOKUP($I18,'Old Pricing - end 26-Jan-2026'!$A:$Q,9,FALSE)/12))/5,0)*5</f>
        <v>300</v>
      </c>
      <c r="R18" s="71">
        <f>Q18/150</f>
        <v>2</v>
      </c>
      <c r="S18" s="57">
        <f>VLOOKUP($I18,'Old Pricing - end 26-Jan-2026'!$A:$Q,16,FALSE)</f>
        <v>700</v>
      </c>
      <c r="T18" s="57">
        <f>VLOOKUP(I18,'Old Pricing - end 26-Jan-2026'!$A:$O,15,FALSE)</f>
        <v>7.53</v>
      </c>
      <c r="U18" s="57">
        <f t="shared" si="0"/>
        <v>7717.5</v>
      </c>
      <c r="V18" s="111">
        <f t="shared" si="1"/>
        <v>7720.1889750000018</v>
      </c>
      <c r="W18" s="55">
        <f>VLOOKUP($I18,'Old Pricing - end 26-Jan-2026'!$A:$R,18,FALSE)</f>
        <v>45</v>
      </c>
    </row>
    <row r="19" spans="1:23" ht="15" hidden="1" thickTop="1" x14ac:dyDescent="0.3">
      <c r="A19" s="55">
        <v>52954707</v>
      </c>
      <c r="B19" s="55">
        <v>0</v>
      </c>
      <c r="C19" s="55" t="str">
        <f>VLOOKUP(A19&amp;"-"&amp;B19,'Order Summary'!$D:$E,2,FALSE)</f>
        <v>Telex / Seaway Released</v>
      </c>
      <c r="D19" s="216">
        <f>IF($A19="","",VLOOKUP($A19&amp;"-"&amp;$B19,'Order Summary'!$D:$U,3,FALSE))</f>
        <v>45961</v>
      </c>
      <c r="E19" s="55" t="str">
        <f>VLOOKUP(A19&amp;"-"&amp;B19,'Order Summary'!$D:$G,4,FALSE)</f>
        <v>Yes</v>
      </c>
      <c r="F19" s="55" t="str">
        <f>VLOOKUP($A19,'Order Summary'!$B:$I,8,FALSE)</f>
        <v>Hillsboro, TX</v>
      </c>
      <c r="G19" s="216">
        <f>IF($A19="","",VLOOKUP($A19&amp;"-"&amp;$B19,'Order Summary'!$D:$U,18,FALSE))</f>
        <v>46072</v>
      </c>
      <c r="H19" s="55">
        <v>6</v>
      </c>
      <c r="I19" s="55">
        <v>694438</v>
      </c>
      <c r="J19" s="55" t="str">
        <f>VLOOKUP($I19,'Old Pricing - end 26-Jan-2026'!$A:$R,2,FALSE)</f>
        <v>G1S 694438</v>
      </c>
      <c r="K19" s="55" t="str">
        <f>VLOOKUP($I19,'Old Pricing - end 26-Jan-2026'!$A:$R,6,FALSE)&amp;" "&amp;VLOOKUP($I19,'Old Pricing - end 26-Jan-2026'!$A:$R,7,FALSE)&amp;""" x "&amp;VLOOKUP($I19,'Old Pricing - end 26-Jan-2026'!$A:$R,9,FALSE)&amp;""" "&amp;VLOOKUP($I19,'Old Pricing - end 26-Jan-2026'!$A:$R,5,FALSE)</f>
        <v>2MM 49" x 144" ACP</v>
      </c>
      <c r="L19" s="55">
        <f>VLOOKUP($I19,'Old Pricing - end 26-Jan-2026'!$A:$K,8,FALSE)</f>
        <v>1245</v>
      </c>
      <c r="M19" s="55">
        <f>VLOOKUP($I19,'Old Pricing - end 26-Jan-2026'!$A:$K,10,FALSE)</f>
        <v>3658</v>
      </c>
      <c r="N19" s="55" t="str">
        <f>VLOOKUP($I19,'Old Pricing - end 26-Jan-2026'!$A:$R,13,FALSE)&amp;" "&amp;VLOOKUP($I19,'Old Pricing - end 26-Jan-2026'!$A:$R,12,FALSE)</f>
        <v>ASC 0069 GLOSSY WHITE</v>
      </c>
      <c r="O19" s="56">
        <v>9.8000000000000007</v>
      </c>
      <c r="P19" s="55">
        <f>(VLOOKUP($I19,'Old Pricing - end 26-Jan-2026'!$A:$R,8,FALSE)/1000)*(VLOOKUP($I19,'Old Pricing - end 26-Jan-2026'!$A:$R,10,FALSE)/1000)*Q19</f>
        <v>910.8420000000001</v>
      </c>
      <c r="Q19" s="55">
        <f>ROUND(('Order Details'!$O19*1000)/((VLOOKUP($I19,'Old Pricing - end 26-Jan-2026'!$A:$Q,7,FALSE)/12)*(VLOOKUP($I19,'Old Pricing - end 26-Jan-2026'!$A:$Q,9,FALSE)/12))/5,0)*5</f>
        <v>200</v>
      </c>
      <c r="R19" s="71">
        <f>$Q19/IFERROR(VLOOKUP($F19&amp;RIGHT($K19,8),'Master Data'!$O$5:$P$10,2,FALSE),'Master Data'!$P$4)</f>
        <v>1</v>
      </c>
      <c r="S19" s="57">
        <f>VLOOKUP($I19,'Old Pricing - end 26-Jan-2026'!$A:$Q,16,FALSE)</f>
        <v>700</v>
      </c>
      <c r="T19" s="57">
        <f>VLOOKUP(I19,'Old Pricing - end 26-Jan-2026'!$A:$O,15,FALSE)</f>
        <v>7.53</v>
      </c>
      <c r="U19" s="57">
        <f t="shared" si="0"/>
        <v>6860.0000000000009</v>
      </c>
      <c r="V19" s="111">
        <f t="shared" si="1"/>
        <v>6858.640260000001</v>
      </c>
      <c r="W19" s="55">
        <f>VLOOKUP($I19,'Old Pricing - end 26-Jan-2026'!$A:$R,18,FALSE)</f>
        <v>45</v>
      </c>
    </row>
    <row r="20" spans="1:23" ht="15" hidden="1" thickTop="1" x14ac:dyDescent="0.3">
      <c r="A20" s="55">
        <v>52954707</v>
      </c>
      <c r="B20" s="55">
        <v>0</v>
      </c>
      <c r="C20" s="55" t="str">
        <f>VLOOKUP(A20&amp;"-"&amp;B20,'Order Summary'!$D:$E,2,FALSE)</f>
        <v>Telex / Seaway Released</v>
      </c>
      <c r="D20" s="216">
        <f>IF($A20="","",VLOOKUP($A20&amp;"-"&amp;$B20,'Order Summary'!$D:$U,3,FALSE))</f>
        <v>45961</v>
      </c>
      <c r="E20" s="55" t="str">
        <f>VLOOKUP(A20&amp;"-"&amp;B20,'Order Summary'!$D:$G,4,FALSE)</f>
        <v>Yes</v>
      </c>
      <c r="F20" s="55" t="str">
        <f>VLOOKUP($A20,'Order Summary'!$B:$I,8,FALSE)</f>
        <v>Hillsboro, TX</v>
      </c>
      <c r="G20" s="216">
        <f>IF($A20="","",VLOOKUP($A20&amp;"-"&amp;$B20,'Order Summary'!$D:$U,18,FALSE))</f>
        <v>46072</v>
      </c>
      <c r="H20" s="55">
        <v>7</v>
      </c>
      <c r="I20" s="55">
        <v>694440</v>
      </c>
      <c r="J20" s="55" t="str">
        <f>VLOOKUP($I20,'Old Pricing - end 26-Jan-2026'!$A:$R,2,FALSE)</f>
        <v>G1S 694440</v>
      </c>
      <c r="K20" s="55" t="str">
        <f>VLOOKUP($I20,'Old Pricing - end 26-Jan-2026'!$A:$R,6,FALSE)&amp;" "&amp;VLOOKUP($I20,'Old Pricing - end 26-Jan-2026'!$A:$R,7,FALSE)&amp;""" x "&amp;VLOOKUP($I20,'Old Pricing - end 26-Jan-2026'!$A:$R,9,FALSE)&amp;""" "&amp;VLOOKUP($I20,'Old Pricing - end 26-Jan-2026'!$A:$R,5,FALSE)</f>
        <v>2MM 49" x 96" ACP</v>
      </c>
      <c r="L20" s="55">
        <f>VLOOKUP($I20,'Old Pricing - end 26-Jan-2026'!$A:$K,8,FALSE)</f>
        <v>1245</v>
      </c>
      <c r="M20" s="55">
        <f>VLOOKUP($I20,'Old Pricing - end 26-Jan-2026'!$A:$K,10,FALSE)</f>
        <v>2440</v>
      </c>
      <c r="N20" s="55" t="str">
        <f>VLOOKUP($I20,'Old Pricing - end 26-Jan-2026'!$A:$R,13,FALSE)&amp;" "&amp;VLOOKUP($I20,'Old Pricing - end 26-Jan-2026'!$A:$R,12,FALSE)</f>
        <v>AMC 0103 SILVER FROST</v>
      </c>
      <c r="O20" s="56">
        <v>6.5330000000000004</v>
      </c>
      <c r="P20" s="55">
        <f>(VLOOKUP($I20,'Old Pricing - end 26-Jan-2026'!$A:$R,8,FALSE)/1000)*(VLOOKUP($I20,'Old Pricing - end 26-Jan-2026'!$A:$R,10,FALSE)/1000)*Q20</f>
        <v>607.56000000000006</v>
      </c>
      <c r="Q20" s="55">
        <f>ROUND(('Order Details'!$O20*1000)/((VLOOKUP($I20,'Old Pricing - end 26-Jan-2026'!$A:$Q,7,FALSE)/12)*(VLOOKUP($I20,'Old Pricing - end 26-Jan-2026'!$A:$Q,9,FALSE)/12))/5,0)*5</f>
        <v>200</v>
      </c>
      <c r="R20" s="71">
        <f>$Q20/IFERROR(VLOOKUP($F20&amp;RIGHT($K20,8),'Master Data'!$O$5:$P$10,2,FALSE),'Master Data'!$P$4)</f>
        <v>1</v>
      </c>
      <c r="S20" s="57">
        <f>VLOOKUP($I20,'Old Pricing - end 26-Jan-2026'!$A:$Q,16,FALSE)</f>
        <v>700</v>
      </c>
      <c r="T20" s="57">
        <f>VLOOKUP(I20,'Old Pricing - end 26-Jan-2026'!$A:$O,15,FALSE)</f>
        <v>7.53</v>
      </c>
      <c r="U20" s="57">
        <f t="shared" si="0"/>
        <v>4573.1000000000004</v>
      </c>
      <c r="V20" s="111">
        <f t="shared" si="1"/>
        <v>4574.9268000000002</v>
      </c>
      <c r="W20" s="55">
        <f>VLOOKUP($I20,'Old Pricing - end 26-Jan-2026'!$A:$R,18,FALSE)</f>
        <v>90</v>
      </c>
    </row>
    <row r="21" spans="1:23" ht="15" hidden="1" thickTop="1" x14ac:dyDescent="0.3">
      <c r="A21" s="55">
        <v>52954707</v>
      </c>
      <c r="B21" s="55">
        <v>0</v>
      </c>
      <c r="C21" s="55" t="str">
        <f>VLOOKUP(A21&amp;"-"&amp;B21,'Order Summary'!$D:$E,2,FALSE)</f>
        <v>Telex / Seaway Released</v>
      </c>
      <c r="D21" s="216">
        <f>IF($A21="","",VLOOKUP($A21&amp;"-"&amp;$B21,'Order Summary'!$D:$U,3,FALSE))</f>
        <v>45961</v>
      </c>
      <c r="E21" s="55" t="str">
        <f>VLOOKUP(A21&amp;"-"&amp;B21,'Order Summary'!$D:$G,4,FALSE)</f>
        <v>Yes</v>
      </c>
      <c r="F21" s="55" t="str">
        <f>VLOOKUP($A21,'Order Summary'!$B:$I,8,FALSE)</f>
        <v>Hillsboro, TX</v>
      </c>
      <c r="G21" s="216">
        <f>IF($A21="","",VLOOKUP($A21&amp;"-"&amp;$B21,'Order Summary'!$D:$U,18,FALSE))</f>
        <v>46072</v>
      </c>
      <c r="H21" s="55">
        <v>8</v>
      </c>
      <c r="I21" s="55">
        <v>694441</v>
      </c>
      <c r="J21" s="55" t="str">
        <f>VLOOKUP($I21,'Old Pricing - end 26-Jan-2026'!$A:$R,2,FALSE)</f>
        <v>G1S 694441</v>
      </c>
      <c r="K21" s="55" t="str">
        <f>VLOOKUP($I21,'Old Pricing - end 26-Jan-2026'!$A:$R,6,FALSE)&amp;" "&amp;VLOOKUP($I21,'Old Pricing - end 26-Jan-2026'!$A:$R,7,FALSE)&amp;""" x "&amp;VLOOKUP($I21,'Old Pricing - end 26-Jan-2026'!$A:$R,9,FALSE)&amp;""" "&amp;VLOOKUP($I21,'Old Pricing - end 26-Jan-2026'!$A:$R,5,FALSE)</f>
        <v>2MM 49" x 108" ACP</v>
      </c>
      <c r="L21" s="55">
        <f>VLOOKUP($I21,'Old Pricing - end 26-Jan-2026'!$A:$K,8,FALSE)</f>
        <v>1245</v>
      </c>
      <c r="M21" s="55">
        <f>VLOOKUP($I21,'Old Pricing - end 26-Jan-2026'!$A:$K,10,FALSE)</f>
        <v>2745</v>
      </c>
      <c r="N21" s="55" t="str">
        <f>VLOOKUP($I21,'Old Pricing - end 26-Jan-2026'!$A:$R,13,FALSE)&amp;" "&amp;VLOOKUP($I21,'Old Pricing - end 26-Jan-2026'!$A:$R,12,FALSE)</f>
        <v>AMC 0103 SILVER FROST</v>
      </c>
      <c r="O21" s="56">
        <v>5.5129999999999999</v>
      </c>
      <c r="P21" s="55">
        <f>(VLOOKUP($I21,'Old Pricing - end 26-Jan-2026'!$A:$R,8,FALSE)/1000)*(VLOOKUP($I21,'Old Pricing - end 26-Jan-2026'!$A:$R,10,FALSE)/1000)*Q21</f>
        <v>512.62875000000008</v>
      </c>
      <c r="Q21" s="55">
        <f>ROUND(('Order Details'!$O21*1000)/((VLOOKUP($I21,'Old Pricing - end 26-Jan-2026'!$A:$Q,7,FALSE)/12)*(VLOOKUP($I21,'Old Pricing - end 26-Jan-2026'!$A:$Q,9,FALSE)/12))/5,0)*5</f>
        <v>150</v>
      </c>
      <c r="R21" s="71">
        <f>Q21/150</f>
        <v>1</v>
      </c>
      <c r="S21" s="57">
        <f>VLOOKUP($I21,'Old Pricing - end 26-Jan-2026'!$A:$Q,16,FALSE)</f>
        <v>700</v>
      </c>
      <c r="T21" s="57">
        <f>VLOOKUP(I21,'Old Pricing - end 26-Jan-2026'!$A:$O,15,FALSE)</f>
        <v>7.53</v>
      </c>
      <c r="U21" s="60">
        <f t="shared" si="0"/>
        <v>3859.1</v>
      </c>
      <c r="V21" s="111">
        <f t="shared" si="1"/>
        <v>3860.0944875000009</v>
      </c>
      <c r="W21" s="55">
        <f>VLOOKUP($I21,'Old Pricing - end 26-Jan-2026'!$A:$R,18,FALSE)</f>
        <v>90</v>
      </c>
    </row>
    <row r="22" spans="1:23" ht="15" hidden="1" thickTop="1" x14ac:dyDescent="0.3">
      <c r="A22" s="55">
        <v>52954707</v>
      </c>
      <c r="B22" s="55">
        <v>0</v>
      </c>
      <c r="C22" s="55" t="str">
        <f>VLOOKUP(A22&amp;"-"&amp;B22,'Order Summary'!$D:$E,2,FALSE)</f>
        <v>Telex / Seaway Released</v>
      </c>
      <c r="D22" s="216">
        <f>IF($A22="","",VLOOKUP($A22&amp;"-"&amp;$B22,'Order Summary'!$D:$U,3,FALSE))</f>
        <v>45961</v>
      </c>
      <c r="E22" s="55" t="str">
        <f>VLOOKUP(A22&amp;"-"&amp;B22,'Order Summary'!$D:$G,4,FALSE)</f>
        <v>Yes</v>
      </c>
      <c r="F22" s="55" t="str">
        <f>VLOOKUP($A22,'Order Summary'!$B:$I,8,FALSE)</f>
        <v>Hillsboro, TX</v>
      </c>
      <c r="G22" s="216">
        <f>IF($A22="","",VLOOKUP($A22&amp;"-"&amp;$B22,'Order Summary'!$D:$U,18,FALSE))</f>
        <v>46072</v>
      </c>
      <c r="H22" s="55">
        <v>9</v>
      </c>
      <c r="I22" s="55">
        <v>694442</v>
      </c>
      <c r="J22" s="55" t="str">
        <f>VLOOKUP($I22,'Old Pricing - end 26-Jan-2026'!$A:$R,2,FALSE)</f>
        <v>G1S 694442</v>
      </c>
      <c r="K22" s="55" t="str">
        <f>VLOOKUP($I22,'Old Pricing - end 26-Jan-2026'!$A:$R,6,FALSE)&amp;" "&amp;VLOOKUP($I22,'Old Pricing - end 26-Jan-2026'!$A:$R,7,FALSE)&amp;""" x "&amp;VLOOKUP($I22,'Old Pricing - end 26-Jan-2026'!$A:$R,9,FALSE)&amp;""" "&amp;VLOOKUP($I22,'Old Pricing - end 26-Jan-2026'!$A:$R,5,FALSE)</f>
        <v>2MM 49" x 144" ACP</v>
      </c>
      <c r="L22" s="55">
        <f>VLOOKUP($I22,'Old Pricing - end 26-Jan-2026'!$A:$K,8,FALSE)</f>
        <v>1245</v>
      </c>
      <c r="M22" s="55">
        <f>VLOOKUP($I22,'Old Pricing - end 26-Jan-2026'!$A:$K,10,FALSE)</f>
        <v>3658</v>
      </c>
      <c r="N22" s="55" t="str">
        <f>VLOOKUP($I22,'Old Pricing - end 26-Jan-2026'!$A:$R,13,FALSE)&amp;" "&amp;VLOOKUP($I22,'Old Pricing - end 26-Jan-2026'!$A:$R,12,FALSE)</f>
        <v>AMC 0103 SILVER FROST</v>
      </c>
      <c r="O22" s="56">
        <v>9.8000000000000007</v>
      </c>
      <c r="P22" s="55">
        <f>(VLOOKUP($I22,'Old Pricing - end 26-Jan-2026'!$A:$R,8,FALSE)/1000)*(VLOOKUP($I22,'Old Pricing - end 26-Jan-2026'!$A:$R,10,FALSE)/1000)*Q22</f>
        <v>910.8420000000001</v>
      </c>
      <c r="Q22" s="55">
        <f>ROUND(('Order Details'!$O22*1000)/((VLOOKUP($I22,'Old Pricing - end 26-Jan-2026'!$A:$Q,7,FALSE)/12)*(VLOOKUP($I22,'Old Pricing - end 26-Jan-2026'!$A:$Q,9,FALSE)/12))/5,0)*5</f>
        <v>200</v>
      </c>
      <c r="R22" s="71">
        <f>$Q22/IFERROR(VLOOKUP($F22&amp;RIGHT($K22,8),'Master Data'!$O$5:$P$10,2,FALSE),'Master Data'!$P$4)</f>
        <v>1</v>
      </c>
      <c r="S22" s="57">
        <f>VLOOKUP($I22,'Old Pricing - end 26-Jan-2026'!$A:$Q,16,FALSE)</f>
        <v>700</v>
      </c>
      <c r="T22" s="57">
        <f>VLOOKUP(I22,'Old Pricing - end 26-Jan-2026'!$A:$O,15,FALSE)</f>
        <v>7.53</v>
      </c>
      <c r="U22" s="57">
        <f t="shared" si="0"/>
        <v>6860.0000000000009</v>
      </c>
      <c r="V22" s="111">
        <f t="shared" si="1"/>
        <v>6858.640260000001</v>
      </c>
      <c r="W22" s="55">
        <f>VLOOKUP($I22,'Old Pricing - end 26-Jan-2026'!$A:$R,18,FALSE)</f>
        <v>90</v>
      </c>
    </row>
    <row r="23" spans="1:23" ht="15" hidden="1" thickTop="1" x14ac:dyDescent="0.3">
      <c r="A23" s="55">
        <v>52954707</v>
      </c>
      <c r="B23" s="55">
        <v>0</v>
      </c>
      <c r="C23" s="55" t="str">
        <f>VLOOKUP(A23&amp;"-"&amp;B23,'Order Summary'!$D:$E,2,FALSE)</f>
        <v>Telex / Seaway Released</v>
      </c>
      <c r="D23" s="216">
        <f>IF($A23="","",VLOOKUP($A23&amp;"-"&amp;$B23,'Order Summary'!$D:$U,3,FALSE))</f>
        <v>45961</v>
      </c>
      <c r="E23" s="55" t="str">
        <f>VLOOKUP(A23&amp;"-"&amp;B23,'Order Summary'!$D:$G,4,FALSE)</f>
        <v>Yes</v>
      </c>
      <c r="F23" s="55" t="str">
        <f>VLOOKUP($A23,'Order Summary'!$B:$I,8,FALSE)</f>
        <v>Hillsboro, TX</v>
      </c>
      <c r="G23" s="216">
        <f>IF($A23="","",VLOOKUP($A23&amp;"-"&amp;$B23,'Order Summary'!$D:$U,18,FALSE))</f>
        <v>46072</v>
      </c>
      <c r="H23" s="55">
        <v>10</v>
      </c>
      <c r="I23" s="55">
        <v>694445</v>
      </c>
      <c r="J23" s="55" t="str">
        <f>VLOOKUP($I23,'Old Pricing - end 26-Jan-2026'!$A:$R,2,FALSE)</f>
        <v>G1S 694445</v>
      </c>
      <c r="K23" s="55" t="str">
        <f>VLOOKUP($I23,'Old Pricing - end 26-Jan-2026'!$A:$R,6,FALSE)&amp;" "&amp;VLOOKUP($I23,'Old Pricing - end 26-Jan-2026'!$A:$R,7,FALSE)&amp;""" x "&amp;VLOOKUP($I23,'Old Pricing - end 26-Jan-2026'!$A:$R,9,FALSE)&amp;""" "&amp;VLOOKUP($I23,'Old Pricing - end 26-Jan-2026'!$A:$R,5,FALSE)</f>
        <v>2MM 49" x 108" ACP</v>
      </c>
      <c r="L23" s="55">
        <f>VLOOKUP($I23,'Old Pricing - end 26-Jan-2026'!$A:$K,8,FALSE)</f>
        <v>1245</v>
      </c>
      <c r="M23" s="55">
        <f>VLOOKUP($I23,'Old Pricing - end 26-Jan-2026'!$A:$K,10,FALSE)</f>
        <v>2745</v>
      </c>
      <c r="N23" s="55" t="str">
        <f>VLOOKUP($I23,'Old Pricing - end 26-Jan-2026'!$A:$R,13,FALSE)&amp;" "&amp;VLOOKUP($I23,'Old Pricing - end 26-Jan-2026'!$A:$R,12,FALSE)</f>
        <v>AMC 0086 CHARCOAL METALLIC</v>
      </c>
      <c r="O23" s="56">
        <v>5.5129999999999999</v>
      </c>
      <c r="P23" s="55">
        <f>(VLOOKUP($I23,'Old Pricing - end 26-Jan-2026'!$A:$R,8,FALSE)/1000)*(VLOOKUP($I23,'Old Pricing - end 26-Jan-2026'!$A:$R,10,FALSE)/1000)*Q23</f>
        <v>512.62875000000008</v>
      </c>
      <c r="Q23" s="55">
        <f>ROUND(('Order Details'!$O23*1000)/((VLOOKUP($I23,'Old Pricing - end 26-Jan-2026'!$A:$Q,7,FALSE)/12)*(VLOOKUP($I23,'Old Pricing - end 26-Jan-2026'!$A:$Q,9,FALSE)/12))/5,0)*5</f>
        <v>150</v>
      </c>
      <c r="R23" s="71">
        <f>Q23/150</f>
        <v>1</v>
      </c>
      <c r="S23" s="57">
        <f>VLOOKUP($I23,'Old Pricing - end 26-Jan-2026'!$A:$Q,16,FALSE)</f>
        <v>750</v>
      </c>
      <c r="T23" s="57">
        <f>VLOOKUP(I23,'Old Pricing - end 26-Jan-2026'!$A:$O,15,FALSE)</f>
        <v>8.07</v>
      </c>
      <c r="U23" s="60">
        <f t="shared" si="0"/>
        <v>4134.75</v>
      </c>
      <c r="V23" s="111">
        <f t="shared" si="1"/>
        <v>4136.9140125000004</v>
      </c>
      <c r="W23" s="55">
        <f>VLOOKUP($I23,'Old Pricing - end 26-Jan-2026'!$A:$R,18,FALSE)</f>
        <v>45</v>
      </c>
    </row>
    <row r="24" spans="1:23" ht="15" hidden="1" thickTop="1" x14ac:dyDescent="0.3">
      <c r="A24" s="55">
        <v>52954705</v>
      </c>
      <c r="B24" s="55">
        <v>0</v>
      </c>
      <c r="C24" s="55" t="str">
        <f>VLOOKUP(A24&amp;"-"&amp;B24,'Order Summary'!$D:$E,2,FALSE)</f>
        <v>PO Revised</v>
      </c>
      <c r="D24" s="216">
        <f>IF($A24="","",VLOOKUP($A24&amp;"-"&amp;$B24,'Order Summary'!$D:$U,3,FALSE))</f>
        <v>45961</v>
      </c>
      <c r="E24" s="55" t="str">
        <f>VLOOKUP(A24&amp;"-"&amp;B24,'Order Summary'!$D:$G,4,FALSE)</f>
        <v>No</v>
      </c>
      <c r="F24" s="55" t="str">
        <f>VLOOKUP($A24,'Order Summary'!$B:$I,8,FALSE)</f>
        <v>Hillsboro, TX</v>
      </c>
      <c r="G24" s="216">
        <f>IF($A24="","",VLOOKUP($A24&amp;"-"&amp;$B24,'Order Summary'!$D:$U,18,FALSE))</f>
        <v>46028</v>
      </c>
      <c r="H24" s="55">
        <v>1</v>
      </c>
      <c r="I24" s="55">
        <v>694432</v>
      </c>
      <c r="J24" s="55" t="str">
        <f>VLOOKUP($I24,'Old Pricing - end 26-Jan-2026'!$A:$R,2,FALSE)</f>
        <v>G1S 694432</v>
      </c>
      <c r="K24" s="55" t="str">
        <f>VLOOKUP($I24,'Old Pricing - end 26-Jan-2026'!$A:$R,6,FALSE)&amp;" "&amp;VLOOKUP($I24,'Old Pricing - end 26-Jan-2026'!$A:$R,7,FALSE)&amp;""" x "&amp;VLOOKUP($I24,'Old Pricing - end 26-Jan-2026'!$A:$R,9,FALSE)&amp;""" "&amp;VLOOKUP($I24,'Old Pricing - end 26-Jan-2026'!$A:$R,5,FALSE)</f>
        <v>2MM 49" x 96" ACP</v>
      </c>
      <c r="L24" s="55">
        <f>VLOOKUP($I24,'Old Pricing - end 26-Jan-2026'!$A:$K,8,FALSE)</f>
        <v>1245</v>
      </c>
      <c r="M24" s="55">
        <f>VLOOKUP($I24,'Old Pricing - end 26-Jan-2026'!$A:$K,10,FALSE)</f>
        <v>2440</v>
      </c>
      <c r="N24" s="55" t="str">
        <f>VLOOKUP($I24,'Old Pricing - end 26-Jan-2026'!$A:$R,13,FALSE)&amp;" "&amp;VLOOKUP($I24,'Old Pricing - end 26-Jan-2026'!$A:$R,12,FALSE)</f>
        <v>ASC 0096 GLOSSY BLACK</v>
      </c>
      <c r="O24" s="56">
        <v>6.5330000000000004</v>
      </c>
      <c r="P24" s="55">
        <f>(VLOOKUP($I24,'Old Pricing - end 26-Jan-2026'!$A:$R,8,FALSE)/1000)*(VLOOKUP($I24,'Old Pricing - end 26-Jan-2026'!$A:$R,10,FALSE)/1000)*Q24</f>
        <v>607.56000000000006</v>
      </c>
      <c r="Q24" s="55">
        <f>ROUND(('Order Details'!$O24*1000)/((VLOOKUP($I24,'Old Pricing - end 26-Jan-2026'!$A:$Q,7,FALSE)/12)*(VLOOKUP($I24,'Old Pricing - end 26-Jan-2026'!$A:$Q,9,FALSE)/12))/5,0)*5</f>
        <v>200</v>
      </c>
      <c r="R24" s="71">
        <f>$Q24/IFERROR(VLOOKUP($F24&amp;RIGHT($K24,8),'Master Data'!$O$5:$P$10,2,FALSE),'Master Data'!$P$4)</f>
        <v>1</v>
      </c>
      <c r="S24" s="57">
        <f>VLOOKUP($I24,'Old Pricing - end 26-Jan-2026'!$A:$Q,16,FALSE)</f>
        <v>700</v>
      </c>
      <c r="T24" s="57">
        <f>VLOOKUP(I24,'Old Pricing - end 26-Jan-2026'!$A:$O,15,FALSE)</f>
        <v>7.53</v>
      </c>
      <c r="U24" s="57">
        <f t="shared" si="0"/>
        <v>4573.1000000000004</v>
      </c>
      <c r="V24" s="111">
        <f t="shared" si="1"/>
        <v>4574.9268000000002</v>
      </c>
      <c r="W24" s="55">
        <f>VLOOKUP($I24,'Old Pricing - end 26-Jan-2026'!$A:$R,18,FALSE)</f>
        <v>45</v>
      </c>
    </row>
    <row r="25" spans="1:23" ht="15" hidden="1" thickTop="1" x14ac:dyDescent="0.3">
      <c r="A25" s="55">
        <v>52954705</v>
      </c>
      <c r="B25" s="55">
        <v>0</v>
      </c>
      <c r="C25" s="55" t="str">
        <f>VLOOKUP(A25&amp;"-"&amp;B25,'Order Summary'!$D:$E,2,FALSE)</f>
        <v>PO Revised</v>
      </c>
      <c r="D25" s="216">
        <f>IF($A25="","",VLOOKUP($A25&amp;"-"&amp;$B25,'Order Summary'!$D:$U,3,FALSE))</f>
        <v>45961</v>
      </c>
      <c r="E25" s="55" t="str">
        <f>VLOOKUP(A25&amp;"-"&amp;B25,'Order Summary'!$D:$G,4,FALSE)</f>
        <v>No</v>
      </c>
      <c r="F25" s="55" t="str">
        <f>VLOOKUP($A25,'Order Summary'!$B:$I,8,FALSE)</f>
        <v>Hillsboro, TX</v>
      </c>
      <c r="G25" s="216">
        <f>IF($A25="","",VLOOKUP($A25&amp;"-"&amp;$B25,'Order Summary'!$D:$U,18,FALSE))</f>
        <v>46028</v>
      </c>
      <c r="H25" s="55">
        <v>2</v>
      </c>
      <c r="I25" s="55">
        <v>694433</v>
      </c>
      <c r="J25" s="55" t="str">
        <f>VLOOKUP($I25,'Old Pricing - end 26-Jan-2026'!$A:$R,2,FALSE)</f>
        <v>G1S 694433</v>
      </c>
      <c r="K25" s="55" t="str">
        <f>VLOOKUP($I25,'Old Pricing - end 26-Jan-2026'!$A:$R,6,FALSE)&amp;" "&amp;VLOOKUP($I25,'Old Pricing - end 26-Jan-2026'!$A:$R,7,FALSE)&amp;""" x "&amp;VLOOKUP($I25,'Old Pricing - end 26-Jan-2026'!$A:$R,9,FALSE)&amp;""" "&amp;VLOOKUP($I25,'Old Pricing - end 26-Jan-2026'!$A:$R,5,FALSE)</f>
        <v>2MM 49" x 108" ACP</v>
      </c>
      <c r="L25" s="55">
        <f>VLOOKUP($I25,'Old Pricing - end 26-Jan-2026'!$A:$K,8,FALSE)</f>
        <v>1245</v>
      </c>
      <c r="M25" s="55">
        <f>VLOOKUP($I25,'Old Pricing - end 26-Jan-2026'!$A:$K,10,FALSE)</f>
        <v>2745</v>
      </c>
      <c r="N25" s="55" t="str">
        <f>VLOOKUP($I25,'Old Pricing - end 26-Jan-2026'!$A:$R,13,FALSE)&amp;" "&amp;VLOOKUP($I25,'Old Pricing - end 26-Jan-2026'!$A:$R,12,FALSE)</f>
        <v>ASC 0096 GLOSSY BLACK</v>
      </c>
      <c r="O25" s="56">
        <v>5.5129999999999999</v>
      </c>
      <c r="P25" s="55">
        <f>(VLOOKUP($I25,'Old Pricing - end 26-Jan-2026'!$A:$R,8,FALSE)/1000)*(VLOOKUP($I25,'Old Pricing - end 26-Jan-2026'!$A:$R,10,FALSE)/1000)*Q25</f>
        <v>512.62875000000008</v>
      </c>
      <c r="Q25" s="55">
        <f>ROUND(('Order Details'!$O25*1000)/((VLOOKUP($I25,'Old Pricing - end 26-Jan-2026'!$A:$Q,7,FALSE)/12)*(VLOOKUP($I25,'Old Pricing - end 26-Jan-2026'!$A:$Q,9,FALSE)/12))/5,0)*5</f>
        <v>150</v>
      </c>
      <c r="R25" s="71">
        <f>$Q25/IFERROR(VLOOKUP($F25&amp;RIGHT($K25,8),'Master Data'!$O$5:$P$10,2,FALSE),'Master Data'!$P$4)</f>
        <v>0.75</v>
      </c>
      <c r="S25" s="57">
        <f>VLOOKUP($I25,'Old Pricing - end 26-Jan-2026'!$A:$Q,16,FALSE)</f>
        <v>700</v>
      </c>
      <c r="T25" s="57">
        <f>VLOOKUP(I25,'Old Pricing - end 26-Jan-2026'!$A:$O,15,FALSE)</f>
        <v>7.53</v>
      </c>
      <c r="U25" s="60">
        <f t="shared" si="0"/>
        <v>3859.1</v>
      </c>
      <c r="V25" s="111">
        <f t="shared" si="1"/>
        <v>3860.0944875000009</v>
      </c>
      <c r="W25" s="55">
        <f>VLOOKUP($I25,'Old Pricing - end 26-Jan-2026'!$A:$R,18,FALSE)</f>
        <v>45</v>
      </c>
    </row>
    <row r="26" spans="1:23" ht="15" hidden="1" thickTop="1" x14ac:dyDescent="0.3">
      <c r="A26" s="55">
        <v>52954705</v>
      </c>
      <c r="B26" s="55">
        <v>0</v>
      </c>
      <c r="C26" s="55" t="str">
        <f>VLOOKUP(A26&amp;"-"&amp;B26,'Order Summary'!$D:$E,2,FALSE)</f>
        <v>PO Revised</v>
      </c>
      <c r="D26" s="216">
        <f>IF($A26="","",VLOOKUP($A26&amp;"-"&amp;$B26,'Order Summary'!$D:$U,3,FALSE))</f>
        <v>45961</v>
      </c>
      <c r="E26" s="55" t="str">
        <f>VLOOKUP(A26&amp;"-"&amp;B26,'Order Summary'!$D:$G,4,FALSE)</f>
        <v>No</v>
      </c>
      <c r="F26" s="55" t="str">
        <f>VLOOKUP($A26,'Order Summary'!$B:$I,8,FALSE)</f>
        <v>Hillsboro, TX</v>
      </c>
      <c r="G26" s="216">
        <f>IF($A26="","",VLOOKUP($A26&amp;"-"&amp;$B26,'Order Summary'!$D:$U,18,FALSE))</f>
        <v>46028</v>
      </c>
      <c r="H26" s="55">
        <v>3</v>
      </c>
      <c r="I26" s="55">
        <v>694436</v>
      </c>
      <c r="J26" s="55" t="str">
        <f>VLOOKUP($I26,'Old Pricing - end 26-Jan-2026'!$A:$R,2,FALSE)</f>
        <v>G1S 694436</v>
      </c>
      <c r="K26" s="55" t="str">
        <f>VLOOKUP($I26,'Old Pricing - end 26-Jan-2026'!$A:$R,6,FALSE)&amp;" "&amp;VLOOKUP($I26,'Old Pricing - end 26-Jan-2026'!$A:$R,7,FALSE)&amp;""" x "&amp;VLOOKUP($I26,'Old Pricing - end 26-Jan-2026'!$A:$R,9,FALSE)&amp;""" "&amp;VLOOKUP($I26,'Old Pricing - end 26-Jan-2026'!$A:$R,5,FALSE)</f>
        <v>2MM 49" x 96" ACP</v>
      </c>
      <c r="L26" s="55">
        <f>VLOOKUP($I26,'Old Pricing - end 26-Jan-2026'!$A:$K,8,FALSE)</f>
        <v>1245</v>
      </c>
      <c r="M26" s="55">
        <f>VLOOKUP($I26,'Old Pricing - end 26-Jan-2026'!$A:$K,10,FALSE)</f>
        <v>2440</v>
      </c>
      <c r="N26" s="55" t="str">
        <f>VLOOKUP($I26,'Old Pricing - end 26-Jan-2026'!$A:$R,13,FALSE)&amp;" "&amp;VLOOKUP($I26,'Old Pricing - end 26-Jan-2026'!$A:$R,12,FALSE)</f>
        <v>ASC 0069 GLOSSY WHITE</v>
      </c>
      <c r="O26" s="56">
        <v>6.5330000000000004</v>
      </c>
      <c r="P26" s="55">
        <f>(VLOOKUP($I26,'Old Pricing - end 26-Jan-2026'!$A:$R,8,FALSE)/1000)*(VLOOKUP($I26,'Old Pricing - end 26-Jan-2026'!$A:$R,10,FALSE)/1000)*Q26</f>
        <v>607.56000000000006</v>
      </c>
      <c r="Q26" s="55">
        <f>ROUND(('Order Details'!$O26*1000)/((VLOOKUP($I26,'Old Pricing - end 26-Jan-2026'!$A:$Q,7,FALSE)/12)*(VLOOKUP($I26,'Old Pricing - end 26-Jan-2026'!$A:$Q,9,FALSE)/12))/5,0)*5</f>
        <v>200</v>
      </c>
      <c r="R26" s="71">
        <f>$Q26/IFERROR(VLOOKUP($F26&amp;RIGHT($K26,8),'Master Data'!$O$5:$P$10,2,FALSE),'Master Data'!$P$4)</f>
        <v>1</v>
      </c>
      <c r="S26" s="57">
        <f>VLOOKUP($I26,'Old Pricing - end 26-Jan-2026'!$A:$Q,16,FALSE)</f>
        <v>700</v>
      </c>
      <c r="T26" s="57">
        <f>VLOOKUP(I26,'Old Pricing - end 26-Jan-2026'!$A:$O,15,FALSE)</f>
        <v>7.53</v>
      </c>
      <c r="U26" s="57">
        <f t="shared" si="0"/>
        <v>4573.1000000000004</v>
      </c>
      <c r="V26" s="111">
        <f t="shared" si="1"/>
        <v>4574.9268000000002</v>
      </c>
      <c r="W26" s="55">
        <f>VLOOKUP($I26,'Old Pricing - end 26-Jan-2026'!$A:$R,18,FALSE)</f>
        <v>45</v>
      </c>
    </row>
    <row r="27" spans="1:23" ht="15" hidden="1" thickTop="1" x14ac:dyDescent="0.3">
      <c r="A27" s="55">
        <v>52954705</v>
      </c>
      <c r="B27" s="55">
        <v>0</v>
      </c>
      <c r="C27" s="55" t="str">
        <f>VLOOKUP(A27&amp;"-"&amp;B27,'Order Summary'!$D:$E,2,FALSE)</f>
        <v>PO Revised</v>
      </c>
      <c r="D27" s="216">
        <f>IF($A27="","",VLOOKUP($A27&amp;"-"&amp;$B27,'Order Summary'!$D:$U,3,FALSE))</f>
        <v>45961</v>
      </c>
      <c r="E27" s="55" t="str">
        <f>VLOOKUP(A27&amp;"-"&amp;B27,'Order Summary'!$D:$G,4,FALSE)</f>
        <v>No</v>
      </c>
      <c r="F27" s="55" t="str">
        <f>VLOOKUP($A27,'Order Summary'!$B:$I,8,FALSE)</f>
        <v>Hillsboro, TX</v>
      </c>
      <c r="G27" s="216">
        <f>IF($A27="","",VLOOKUP($A27&amp;"-"&amp;$B27,'Order Summary'!$D:$U,18,FALSE))</f>
        <v>46028</v>
      </c>
      <c r="H27" s="55">
        <v>4</v>
      </c>
      <c r="I27" s="55">
        <v>694437</v>
      </c>
      <c r="J27" s="55" t="str">
        <f>VLOOKUP($I27,'Old Pricing - end 26-Jan-2026'!$A:$R,2,FALSE)</f>
        <v>G1S 694437</v>
      </c>
      <c r="K27" s="55" t="str">
        <f>VLOOKUP($I27,'Old Pricing - end 26-Jan-2026'!$A:$R,6,FALSE)&amp;" "&amp;VLOOKUP($I27,'Old Pricing - end 26-Jan-2026'!$A:$R,7,FALSE)&amp;""" x "&amp;VLOOKUP($I27,'Old Pricing - end 26-Jan-2026'!$A:$R,9,FALSE)&amp;""" "&amp;VLOOKUP($I27,'Old Pricing - end 26-Jan-2026'!$A:$R,5,FALSE)</f>
        <v>2MM 49" x 108" ACP</v>
      </c>
      <c r="L27" s="55">
        <f>VLOOKUP($I27,'Old Pricing - end 26-Jan-2026'!$A:$K,8,FALSE)</f>
        <v>1245</v>
      </c>
      <c r="M27" s="55">
        <f>VLOOKUP($I27,'Old Pricing - end 26-Jan-2026'!$A:$K,10,FALSE)</f>
        <v>2745</v>
      </c>
      <c r="N27" s="55" t="str">
        <f>VLOOKUP($I27,'Old Pricing - end 26-Jan-2026'!$A:$R,13,FALSE)&amp;" "&amp;VLOOKUP($I27,'Old Pricing - end 26-Jan-2026'!$A:$R,12,FALSE)</f>
        <v>ASC 0069 GLOSSY WHITE</v>
      </c>
      <c r="O27" s="56">
        <v>11.025</v>
      </c>
      <c r="P27" s="55">
        <f>(VLOOKUP($I27,'Old Pricing - end 26-Jan-2026'!$A:$R,8,FALSE)/1000)*(VLOOKUP($I27,'Old Pricing - end 26-Jan-2026'!$A:$R,10,FALSE)/1000)*Q27</f>
        <v>1025.2575000000002</v>
      </c>
      <c r="Q27" s="55">
        <f>ROUND(('Order Details'!$O27*1000)/((VLOOKUP($I27,'Old Pricing - end 26-Jan-2026'!$A:$Q,7,FALSE)/12)*(VLOOKUP($I27,'Old Pricing - end 26-Jan-2026'!$A:$Q,9,FALSE)/12))/5,0)*5</f>
        <v>300</v>
      </c>
      <c r="R27" s="71">
        <f>$Q27/IFERROR(VLOOKUP($F27&amp;RIGHT($K27,8),'Master Data'!$O$5:$P$10,2,FALSE),'Master Data'!$P$4)</f>
        <v>1.5</v>
      </c>
      <c r="S27" s="57">
        <f>VLOOKUP($I27,'Old Pricing - end 26-Jan-2026'!$A:$Q,16,FALSE)</f>
        <v>700</v>
      </c>
      <c r="T27" s="57">
        <f>VLOOKUP(I27,'Old Pricing - end 26-Jan-2026'!$A:$O,15,FALSE)</f>
        <v>7.53</v>
      </c>
      <c r="U27" s="57">
        <f t="shared" si="0"/>
        <v>7717.5</v>
      </c>
      <c r="V27" s="111">
        <f t="shared" si="1"/>
        <v>7720.1889750000018</v>
      </c>
      <c r="W27" s="55">
        <f>VLOOKUP($I27,'Old Pricing - end 26-Jan-2026'!$A:$R,18,FALSE)</f>
        <v>45</v>
      </c>
    </row>
    <row r="28" spans="1:23" ht="15" hidden="1" thickTop="1" x14ac:dyDescent="0.3">
      <c r="A28" s="55">
        <v>52954705</v>
      </c>
      <c r="B28" s="55">
        <v>0</v>
      </c>
      <c r="C28" s="55" t="str">
        <f>VLOOKUP(A28&amp;"-"&amp;B28,'Order Summary'!$D:$E,2,FALSE)</f>
        <v>PO Revised</v>
      </c>
      <c r="D28" s="216">
        <f>IF($A28="","",VLOOKUP($A28&amp;"-"&amp;$B28,'Order Summary'!$D:$U,3,FALSE))</f>
        <v>45961</v>
      </c>
      <c r="E28" s="55" t="str">
        <f>VLOOKUP(A28&amp;"-"&amp;B28,'Order Summary'!$D:$G,4,FALSE)</f>
        <v>No</v>
      </c>
      <c r="F28" s="55" t="str">
        <f>VLOOKUP($A28,'Order Summary'!$B:$I,8,FALSE)</f>
        <v>Hillsboro, TX</v>
      </c>
      <c r="G28" s="216">
        <f>IF($A28="","",VLOOKUP($A28&amp;"-"&amp;$B28,'Order Summary'!$D:$U,18,FALSE))</f>
        <v>46028</v>
      </c>
      <c r="H28" s="55">
        <v>5</v>
      </c>
      <c r="I28" s="55">
        <v>694441</v>
      </c>
      <c r="J28" s="55" t="str">
        <f>VLOOKUP($I28,'Old Pricing - end 26-Jan-2026'!$A:$R,2,FALSE)</f>
        <v>G1S 694441</v>
      </c>
      <c r="K28" s="55" t="str">
        <f>VLOOKUP($I28,'Old Pricing - end 26-Jan-2026'!$A:$R,6,FALSE)&amp;" "&amp;VLOOKUP($I28,'Old Pricing - end 26-Jan-2026'!$A:$R,7,FALSE)&amp;""" x "&amp;VLOOKUP($I28,'Old Pricing - end 26-Jan-2026'!$A:$R,9,FALSE)&amp;""" "&amp;VLOOKUP($I28,'Old Pricing - end 26-Jan-2026'!$A:$R,5,FALSE)</f>
        <v>2MM 49" x 108" ACP</v>
      </c>
      <c r="L28" s="55">
        <f>VLOOKUP($I28,'Old Pricing - end 26-Jan-2026'!$A:$K,8,FALSE)</f>
        <v>1245</v>
      </c>
      <c r="M28" s="55">
        <f>VLOOKUP($I28,'Old Pricing - end 26-Jan-2026'!$A:$K,10,FALSE)</f>
        <v>2745</v>
      </c>
      <c r="N28" s="55" t="str">
        <f>VLOOKUP($I28,'Old Pricing - end 26-Jan-2026'!$A:$R,13,FALSE)&amp;" "&amp;VLOOKUP($I28,'Old Pricing - end 26-Jan-2026'!$A:$R,12,FALSE)</f>
        <v>AMC 0103 SILVER FROST</v>
      </c>
      <c r="O28" s="56">
        <v>5.5129999999999999</v>
      </c>
      <c r="P28" s="55">
        <f>(VLOOKUP($I28,'Old Pricing - end 26-Jan-2026'!$A:$R,8,FALSE)/1000)*(VLOOKUP($I28,'Old Pricing - end 26-Jan-2026'!$A:$R,10,FALSE)/1000)*Q28</f>
        <v>512.62875000000008</v>
      </c>
      <c r="Q28" s="55">
        <f>ROUND(('Order Details'!$O28*1000)/((VLOOKUP($I28,'Old Pricing - end 26-Jan-2026'!$A:$Q,7,FALSE)/12)*(VLOOKUP($I28,'Old Pricing - end 26-Jan-2026'!$A:$Q,9,FALSE)/12))/5,0)*5</f>
        <v>150</v>
      </c>
      <c r="R28" s="71">
        <f>$Q28/IFERROR(VLOOKUP($F28&amp;RIGHT($K28,8),'Master Data'!$O$5:$P$10,2,FALSE),'Master Data'!$P$4)</f>
        <v>0.75</v>
      </c>
      <c r="S28" s="57">
        <f>VLOOKUP($I28,'Old Pricing - end 26-Jan-2026'!$A:$Q,16,FALSE)</f>
        <v>700</v>
      </c>
      <c r="T28" s="57">
        <f>VLOOKUP(I28,'Old Pricing - end 26-Jan-2026'!$A:$O,15,FALSE)</f>
        <v>7.53</v>
      </c>
      <c r="U28" s="60">
        <f t="shared" si="0"/>
        <v>3859.1</v>
      </c>
      <c r="V28" s="111">
        <f t="shared" si="1"/>
        <v>3860.0944875000009</v>
      </c>
      <c r="W28" s="55">
        <f>VLOOKUP($I28,'Old Pricing - end 26-Jan-2026'!$A:$R,18,FALSE)</f>
        <v>90</v>
      </c>
    </row>
    <row r="29" spans="1:23" ht="15" hidden="1" thickTop="1" x14ac:dyDescent="0.3">
      <c r="A29" s="55">
        <v>52954705</v>
      </c>
      <c r="B29" s="55">
        <v>0</v>
      </c>
      <c r="C29" s="55" t="str">
        <f>VLOOKUP(A29&amp;"-"&amp;B29,'Order Summary'!$D:$E,2,FALSE)</f>
        <v>PO Revised</v>
      </c>
      <c r="D29" s="216">
        <f>IF($A29="","",VLOOKUP($A29&amp;"-"&amp;$B29,'Order Summary'!$D:$U,3,FALSE))</f>
        <v>45961</v>
      </c>
      <c r="E29" s="55" t="str">
        <f>VLOOKUP(A29&amp;"-"&amp;B29,'Order Summary'!$D:$G,4,FALSE)</f>
        <v>No</v>
      </c>
      <c r="F29" s="55" t="str">
        <f>VLOOKUP($A29,'Order Summary'!$B:$I,8,FALSE)</f>
        <v>Hillsboro, TX</v>
      </c>
      <c r="G29" s="216">
        <f>IF($A29="","",VLOOKUP($A29&amp;"-"&amp;$B29,'Order Summary'!$D:$U,18,FALSE))</f>
        <v>46028</v>
      </c>
      <c r="H29" s="55">
        <v>6</v>
      </c>
      <c r="I29" s="55">
        <v>694442</v>
      </c>
      <c r="J29" s="55" t="str">
        <f>VLOOKUP($I29,'Old Pricing - end 26-Jan-2026'!$A:$R,2,FALSE)</f>
        <v>G1S 694442</v>
      </c>
      <c r="K29" s="55" t="str">
        <f>VLOOKUP($I29,'Old Pricing - end 26-Jan-2026'!$A:$R,6,FALSE)&amp;" "&amp;VLOOKUP($I29,'Old Pricing - end 26-Jan-2026'!$A:$R,7,FALSE)&amp;""" x "&amp;VLOOKUP($I29,'Old Pricing - end 26-Jan-2026'!$A:$R,9,FALSE)&amp;""" "&amp;VLOOKUP($I29,'Old Pricing - end 26-Jan-2026'!$A:$R,5,FALSE)</f>
        <v>2MM 49" x 144" ACP</v>
      </c>
      <c r="L29" s="55">
        <f>VLOOKUP($I29,'Old Pricing - end 26-Jan-2026'!$A:$K,8,FALSE)</f>
        <v>1245</v>
      </c>
      <c r="M29" s="55">
        <f>VLOOKUP($I29,'Old Pricing - end 26-Jan-2026'!$A:$K,10,FALSE)</f>
        <v>3658</v>
      </c>
      <c r="N29" s="55" t="str">
        <f>VLOOKUP($I29,'Old Pricing - end 26-Jan-2026'!$A:$R,13,FALSE)&amp;" "&amp;VLOOKUP($I29,'Old Pricing - end 26-Jan-2026'!$A:$R,12,FALSE)</f>
        <v>AMC 0103 SILVER FROST</v>
      </c>
      <c r="O29" s="56">
        <v>9.8000000000000007</v>
      </c>
      <c r="P29" s="55">
        <f>(VLOOKUP($I29,'Old Pricing - end 26-Jan-2026'!$A:$R,8,FALSE)/1000)*(VLOOKUP($I29,'Old Pricing - end 26-Jan-2026'!$A:$R,10,FALSE)/1000)*Q29</f>
        <v>910.8420000000001</v>
      </c>
      <c r="Q29" s="55">
        <f>ROUND(('Order Details'!$O29*1000)/((VLOOKUP($I29,'Old Pricing - end 26-Jan-2026'!$A:$Q,7,FALSE)/12)*(VLOOKUP($I29,'Old Pricing - end 26-Jan-2026'!$A:$Q,9,FALSE)/12))/5,0)*5</f>
        <v>200</v>
      </c>
      <c r="R29" s="71">
        <f>$Q29/IFERROR(VLOOKUP($F29&amp;RIGHT($K29,8),'Master Data'!$O$5:$P$10,2,FALSE),'Master Data'!$P$4)</f>
        <v>1</v>
      </c>
      <c r="S29" s="57">
        <f>VLOOKUP($I29,'Old Pricing - end 26-Jan-2026'!$A:$Q,16,FALSE)</f>
        <v>700</v>
      </c>
      <c r="T29" s="57">
        <f>VLOOKUP(I29,'Old Pricing - end 26-Jan-2026'!$A:$O,15,FALSE)</f>
        <v>7.53</v>
      </c>
      <c r="U29" s="57">
        <f t="shared" si="0"/>
        <v>6860.0000000000009</v>
      </c>
      <c r="V29" s="111">
        <f t="shared" si="1"/>
        <v>6858.640260000001</v>
      </c>
      <c r="W29" s="55">
        <f>VLOOKUP($I29,'Old Pricing - end 26-Jan-2026'!$A:$R,18,FALSE)</f>
        <v>90</v>
      </c>
    </row>
    <row r="30" spans="1:23" s="234" customFormat="1" ht="15" hidden="1" thickTop="1" x14ac:dyDescent="0.3">
      <c r="A30" s="227">
        <v>52954705</v>
      </c>
      <c r="B30" s="227">
        <v>0</v>
      </c>
      <c r="C30" s="227" t="str">
        <f>VLOOKUP(A30&amp;"-"&amp;B30,'Order Summary'!$D:$E,2,FALSE)</f>
        <v>PO Revised</v>
      </c>
      <c r="D30" s="228">
        <f>IF($A30="","",VLOOKUP($A30&amp;"-"&amp;$B30,'Order Summary'!$D:$U,3,FALSE))</f>
        <v>45961</v>
      </c>
      <c r="E30" s="227" t="str">
        <f>VLOOKUP(A30&amp;"-"&amp;B30,'Order Summary'!$D:$G,4,FALSE)</f>
        <v>No</v>
      </c>
      <c r="F30" s="227" t="str">
        <f>VLOOKUP($A30,'Order Summary'!$B:$I,8,FALSE)</f>
        <v>Hillsboro, TX</v>
      </c>
      <c r="G30" s="228">
        <f>IF($A30="","",VLOOKUP($A30&amp;"-"&amp;$B30,'Order Summary'!$D:$U,18,FALSE))</f>
        <v>46028</v>
      </c>
      <c r="H30" s="227">
        <v>7</v>
      </c>
      <c r="I30" s="227">
        <v>694445</v>
      </c>
      <c r="J30" s="227" t="str">
        <f>VLOOKUP($I30,'Old Pricing - end 26-Jan-2026'!$A:$R,2,FALSE)</f>
        <v>G1S 694445</v>
      </c>
      <c r="K30" s="227" t="str">
        <f>VLOOKUP($I30,'Old Pricing - end 26-Jan-2026'!$A:$R,6,FALSE)&amp;" "&amp;VLOOKUP($I30,'Old Pricing - end 26-Jan-2026'!$A:$R,7,FALSE)&amp;""" x "&amp;VLOOKUP($I30,'Old Pricing - end 26-Jan-2026'!$A:$R,9,FALSE)&amp;""" "&amp;VLOOKUP($I30,'Old Pricing - end 26-Jan-2026'!$A:$R,5,FALSE)</f>
        <v>2MM 49" x 108" ACP</v>
      </c>
      <c r="L30" s="227">
        <f>VLOOKUP($I30,'Old Pricing - end 26-Jan-2026'!$A:$K,8,FALSE)</f>
        <v>1245</v>
      </c>
      <c r="M30" s="227">
        <f>VLOOKUP($I30,'Old Pricing - end 26-Jan-2026'!$A:$K,10,FALSE)</f>
        <v>2745</v>
      </c>
      <c r="N30" s="227" t="str">
        <f>VLOOKUP($I30,'Old Pricing - end 26-Jan-2026'!$A:$R,13,FALSE)&amp;" "&amp;VLOOKUP($I30,'Old Pricing - end 26-Jan-2026'!$A:$R,12,FALSE)</f>
        <v>AMC 0086 CHARCOAL METALLIC</v>
      </c>
      <c r="O30" s="229">
        <v>16.538</v>
      </c>
      <c r="P30" s="227">
        <f>(VLOOKUP($I30,'Old Pricing - end 26-Jan-2026'!$A:$R,8,FALSE)/1000)*(VLOOKUP($I30,'Old Pricing - end 26-Jan-2026'!$A:$R,10,FALSE)/1000)*Q30</f>
        <v>1537.8862500000002</v>
      </c>
      <c r="Q30" s="227">
        <f>ROUND(('Order Details'!$O30*1000)/((VLOOKUP($I30,'Old Pricing - end 26-Jan-2026'!$A:$Q,7,FALSE)/12)*(VLOOKUP($I30,'Old Pricing - end 26-Jan-2026'!$A:$Q,9,FALSE)/12))/5,0)*5</f>
        <v>450</v>
      </c>
      <c r="R30" s="230">
        <f>$Q30/IFERROR(VLOOKUP($F30&amp;RIGHT($K30,8),'Master Data'!$O$5:$P$10,2,FALSE),'Master Data'!$P$4)</f>
        <v>2.25</v>
      </c>
      <c r="S30" s="231">
        <f>VLOOKUP($I30,'Old Pricing - end 26-Jan-2026'!$A:$Q,16,FALSE)</f>
        <v>750</v>
      </c>
      <c r="T30" s="231">
        <f>VLOOKUP(I30,'Old Pricing - end 26-Jan-2026'!$A:$O,15,FALSE)</f>
        <v>8.07</v>
      </c>
      <c r="U30" s="232">
        <f t="shared" si="0"/>
        <v>12403.5</v>
      </c>
      <c r="V30" s="233">
        <f t="shared" si="1"/>
        <v>12410.742037500002</v>
      </c>
      <c r="W30" s="227">
        <f>VLOOKUP($I30,'Old Pricing - end 26-Jan-2026'!$A:$R,18,FALSE)</f>
        <v>45</v>
      </c>
    </row>
    <row r="31" spans="1:23" ht="15" hidden="1" thickTop="1" x14ac:dyDescent="0.3">
      <c r="A31" s="55">
        <v>52954705</v>
      </c>
      <c r="B31" s="55">
        <v>0</v>
      </c>
      <c r="C31" s="55" t="str">
        <f>VLOOKUP(A31&amp;"-"&amp;B31,'Order Summary'!$D:$E,2,FALSE)</f>
        <v>PO Revised</v>
      </c>
      <c r="D31" s="216">
        <f>IF($A31="","",VLOOKUP($A31&amp;"-"&amp;$B31,'Order Summary'!$D:$U,3,FALSE))</f>
        <v>45961</v>
      </c>
      <c r="E31" s="55" t="str">
        <f>VLOOKUP(A31&amp;"-"&amp;B31,'Order Summary'!$D:$G,4,FALSE)</f>
        <v>No</v>
      </c>
      <c r="F31" s="55" t="str">
        <f>VLOOKUP($A31,'Order Summary'!$B:$I,8,FALSE)</f>
        <v>Hillsboro, TX</v>
      </c>
      <c r="G31" s="216">
        <f>IF($A31="","",VLOOKUP($A31&amp;"-"&amp;$B31,'Order Summary'!$D:$U,18,FALSE))</f>
        <v>46028</v>
      </c>
      <c r="H31" s="55">
        <v>8</v>
      </c>
      <c r="I31" s="55">
        <v>694446</v>
      </c>
      <c r="J31" s="55" t="str">
        <f>VLOOKUP($I31,'Old Pricing - end 26-Jan-2026'!$A:$R,2,FALSE)</f>
        <v>G1S 694446</v>
      </c>
      <c r="K31" s="55" t="str">
        <f>VLOOKUP($I31,'Old Pricing - end 26-Jan-2026'!$A:$R,6,FALSE)&amp;" "&amp;VLOOKUP($I31,'Old Pricing - end 26-Jan-2026'!$A:$R,7,FALSE)&amp;""" x "&amp;VLOOKUP($I31,'Old Pricing - end 26-Jan-2026'!$A:$R,9,FALSE)&amp;""" "&amp;VLOOKUP($I31,'Old Pricing - end 26-Jan-2026'!$A:$R,5,FALSE)</f>
        <v>2MM 49" x 144" ACP</v>
      </c>
      <c r="L31" s="55">
        <f>VLOOKUP($I31,'Old Pricing - end 26-Jan-2026'!$A:$K,8,FALSE)</f>
        <v>1245</v>
      </c>
      <c r="M31" s="55">
        <f>VLOOKUP($I31,'Old Pricing - end 26-Jan-2026'!$A:$K,10,FALSE)</f>
        <v>3658</v>
      </c>
      <c r="N31" s="55" t="str">
        <f>VLOOKUP($I31,'Old Pricing - end 26-Jan-2026'!$A:$R,13,FALSE)&amp;" "&amp;VLOOKUP($I31,'Old Pricing - end 26-Jan-2026'!$A:$R,12,FALSE)</f>
        <v>AMC 0086 CHARCOAL METALLIC</v>
      </c>
      <c r="O31" s="56">
        <v>9.8000000000000007</v>
      </c>
      <c r="P31" s="55">
        <f>(VLOOKUP($I31,'Old Pricing - end 26-Jan-2026'!$A:$R,8,FALSE)/1000)*(VLOOKUP($I31,'Old Pricing - end 26-Jan-2026'!$A:$R,10,FALSE)/1000)*Q31</f>
        <v>910.8420000000001</v>
      </c>
      <c r="Q31" s="55">
        <f>ROUND(('Order Details'!$O31*1000)/((VLOOKUP($I31,'Old Pricing - end 26-Jan-2026'!$A:$Q,7,FALSE)/12)*(VLOOKUP($I31,'Old Pricing - end 26-Jan-2026'!$A:$Q,9,FALSE)/12))/5,0)*5</f>
        <v>200</v>
      </c>
      <c r="R31" s="71">
        <f>$Q31/IFERROR(VLOOKUP($F31&amp;RIGHT($K31,8),'Master Data'!$O$5:$P$10,2,FALSE),'Master Data'!$P$4)</f>
        <v>1</v>
      </c>
      <c r="S31" s="57">
        <f>VLOOKUP($I31,'Old Pricing - end 26-Jan-2026'!$A:$Q,16,FALSE)</f>
        <v>750</v>
      </c>
      <c r="T31" s="57">
        <f>VLOOKUP(I31,'Old Pricing - end 26-Jan-2026'!$A:$O,15,FALSE)</f>
        <v>8.07</v>
      </c>
      <c r="U31" s="57">
        <f t="shared" si="0"/>
        <v>7350.0000000000009</v>
      </c>
      <c r="V31" s="111">
        <f t="shared" si="1"/>
        <v>7350.4949400000014</v>
      </c>
      <c r="W31" s="55">
        <f>VLOOKUP($I31,'Old Pricing - end 26-Jan-2026'!$A:$R,18,FALSE)</f>
        <v>45</v>
      </c>
    </row>
    <row r="32" spans="1:23" ht="15" hidden="1" thickTop="1" x14ac:dyDescent="0.3">
      <c r="A32" s="55">
        <v>52954705</v>
      </c>
      <c r="B32" s="55">
        <v>0</v>
      </c>
      <c r="C32" s="55" t="str">
        <f>VLOOKUP(A32&amp;"-"&amp;B32,'Order Summary'!$D:$E,2,FALSE)</f>
        <v>PO Revised</v>
      </c>
      <c r="D32" s="216">
        <f>IF($A32="","",VLOOKUP($A32&amp;"-"&amp;$B32,'Order Summary'!$D:$U,3,FALSE))</f>
        <v>45961</v>
      </c>
      <c r="E32" s="55" t="str">
        <f>VLOOKUP(A32&amp;"-"&amp;B32,'Order Summary'!$D:$G,4,FALSE)</f>
        <v>No</v>
      </c>
      <c r="F32" s="55" t="str">
        <f>VLOOKUP($A32,'Order Summary'!$B:$I,8,FALSE)</f>
        <v>Hillsboro, TX</v>
      </c>
      <c r="G32" s="216">
        <f>IF($A32="","",VLOOKUP($A32&amp;"-"&amp;$B32,'Order Summary'!$D:$U,18,FALSE))</f>
        <v>46028</v>
      </c>
      <c r="H32" s="55">
        <v>9</v>
      </c>
      <c r="I32" s="98">
        <v>709354</v>
      </c>
      <c r="J32" s="55" t="str">
        <f>VLOOKUP($I32,'Old Pricing - end 26-Jan-2026'!$A:$R,2,FALSE)</f>
        <v>G1S 709354</v>
      </c>
      <c r="K32" s="55" t="str">
        <f>VLOOKUP($I32,'Old Pricing - end 26-Jan-2026'!$A:$R,6,FALSE)&amp;" "&amp;VLOOKUP($I32,'Old Pricing - end 26-Jan-2026'!$A:$R,7,FALSE)&amp;""" x "&amp;VLOOKUP($I32,'Old Pricing - end 26-Jan-2026'!$A:$R,9,FALSE)&amp;""" "&amp;VLOOKUP($I32,'Old Pricing - end 26-Jan-2026'!$A:$R,5,FALSE)</f>
        <v>2MM 49" x 90.5" ACP</v>
      </c>
      <c r="L32" s="55">
        <f>VLOOKUP($I32,'Old Pricing - end 26-Jan-2026'!$A:$K,8,FALSE)</f>
        <v>1245</v>
      </c>
      <c r="M32" s="104">
        <f>VLOOKUP($I32,'Old Pricing - end 26-Jan-2026'!$A:$K,10,FALSE)</f>
        <v>2300</v>
      </c>
      <c r="N32" s="55" t="str">
        <f>VLOOKUP($I32,'Old Pricing - end 26-Jan-2026'!$A:$R,13,FALSE)&amp;" "&amp;VLOOKUP($I32,'Old Pricing - end 26-Jan-2026'!$A:$R,12,FALSE)</f>
        <v>ASC 0096 GLOSSY BLACK</v>
      </c>
      <c r="O32" s="56">
        <v>6.1589999999999998</v>
      </c>
      <c r="P32" s="55">
        <f>(VLOOKUP($I32,'Old Pricing - end 26-Jan-2026'!$A:$R,8,FALSE)/1000)*(VLOOKUP($I32,'Old Pricing - end 26-Jan-2026'!$A:$R,10,FALSE)/1000)*Q32</f>
        <v>572.70000000000005</v>
      </c>
      <c r="Q32" s="55">
        <f>ROUND(('Order Details'!$O32*1000)/((VLOOKUP($I32,'Old Pricing - end 26-Jan-2026'!$A:$Q,7,FALSE)/12)*(VLOOKUP($I32,'Old Pricing - end 26-Jan-2026'!$A:$Q,9,FALSE)/12))/5,0)*5</f>
        <v>200</v>
      </c>
      <c r="R32" s="71">
        <f>$Q32/IFERROR(VLOOKUP($F32&amp;RIGHT($K32,8),'Master Data'!$O$5:$P$10,2,FALSE),'Master Data'!$P$4)</f>
        <v>1</v>
      </c>
      <c r="S32" s="57">
        <f>VLOOKUP($I32,'Old Pricing - end 26-Jan-2026'!$A:$Q,16,FALSE)</f>
        <v>700</v>
      </c>
      <c r="T32" s="57">
        <f>VLOOKUP(I32,'Old Pricing - end 26-Jan-2026'!$A:$O,15,FALSE)</f>
        <v>7.53</v>
      </c>
      <c r="U32" s="57">
        <f t="shared" si="0"/>
        <v>4311.3</v>
      </c>
      <c r="V32" s="111">
        <f t="shared" si="1"/>
        <v>4312.4310000000005</v>
      </c>
      <c r="W32" s="55">
        <f>VLOOKUP($I32,'Old Pricing - end 26-Jan-2026'!$A:$R,18,FALSE)</f>
        <v>45</v>
      </c>
    </row>
    <row r="33" spans="1:27" ht="15" hidden="1" thickTop="1" x14ac:dyDescent="0.3">
      <c r="A33" s="55">
        <v>52954705</v>
      </c>
      <c r="B33" s="55">
        <v>0</v>
      </c>
      <c r="C33" s="55" t="str">
        <f>VLOOKUP(A33&amp;"-"&amp;B33,'Order Summary'!$D:$E,2,FALSE)</f>
        <v>PO Revised</v>
      </c>
      <c r="D33" s="216">
        <f>IF($A33="","",VLOOKUP($A33&amp;"-"&amp;$B33,'Order Summary'!$D:$U,3,FALSE))</f>
        <v>45961</v>
      </c>
      <c r="E33" s="55" t="str">
        <f>VLOOKUP(A33&amp;"-"&amp;B33,'Order Summary'!$D:$G,4,FALSE)</f>
        <v>No</v>
      </c>
      <c r="F33" s="55" t="str">
        <f>VLOOKUP($A33,'Order Summary'!$B:$I,8,FALSE)</f>
        <v>Hillsboro, TX</v>
      </c>
      <c r="G33" s="216">
        <f>IF($A33="","",VLOOKUP($A33&amp;"-"&amp;$B33,'Order Summary'!$D:$U,18,FALSE))</f>
        <v>46028</v>
      </c>
      <c r="H33" s="55">
        <v>10</v>
      </c>
      <c r="I33" s="98">
        <v>709356</v>
      </c>
      <c r="J33" s="55" t="str">
        <f>VLOOKUP($I33,'Old Pricing - end 26-Jan-2026'!$A:$R,2,FALSE)</f>
        <v>G1S 709356</v>
      </c>
      <c r="K33" s="55" t="str">
        <f>VLOOKUP($I33,'Old Pricing - end 26-Jan-2026'!$A:$R,6,FALSE)&amp;" "&amp;VLOOKUP($I33,'Old Pricing - end 26-Jan-2026'!$A:$R,7,FALSE)&amp;""" x "&amp;VLOOKUP($I33,'Old Pricing - end 26-Jan-2026'!$A:$R,9,FALSE)&amp;""" "&amp;VLOOKUP($I33,'Old Pricing - end 26-Jan-2026'!$A:$R,5,FALSE)</f>
        <v>2MM 49" x 90.5" ACP</v>
      </c>
      <c r="L33" s="55">
        <f>VLOOKUP($I33,'Old Pricing - end 26-Jan-2026'!$A:$K,8,FALSE)</f>
        <v>1245</v>
      </c>
      <c r="M33" s="104">
        <f>VLOOKUP($I33,'Old Pricing - end 26-Jan-2026'!$A:$K,10,FALSE)</f>
        <v>2300</v>
      </c>
      <c r="N33" s="55" t="str">
        <f>VLOOKUP($I33,'Old Pricing - end 26-Jan-2026'!$A:$R,13,FALSE)&amp;" "&amp;VLOOKUP($I33,'Old Pricing - end 26-Jan-2026'!$A:$R,12,FALSE)</f>
        <v>AMC 0086 CHARCOAL METALLIC</v>
      </c>
      <c r="O33" s="56">
        <v>6.1589999999999998</v>
      </c>
      <c r="P33" s="55">
        <f>(VLOOKUP($I33,'Old Pricing - end 26-Jan-2026'!$A:$R,8,FALSE)/1000)*(VLOOKUP($I33,'Old Pricing - end 26-Jan-2026'!$A:$R,10,FALSE)/1000)*Q33</f>
        <v>572.70000000000005</v>
      </c>
      <c r="Q33" s="55">
        <f>ROUND(('Order Details'!$O33*1000)/((VLOOKUP($I33,'Old Pricing - end 26-Jan-2026'!$A:$Q,7,FALSE)/12)*(VLOOKUP($I33,'Old Pricing - end 26-Jan-2026'!$A:$Q,9,FALSE)/12))/5,0)*5</f>
        <v>200</v>
      </c>
      <c r="R33" s="71">
        <f>$Q33/IFERROR(VLOOKUP($F33&amp;RIGHT($K33,8),'Master Data'!$O$5:$P$10,2,FALSE),'Master Data'!$P$4)</f>
        <v>1</v>
      </c>
      <c r="S33" s="57">
        <f>VLOOKUP($I33,'Old Pricing - end 26-Jan-2026'!$A:$Q,16,FALSE)</f>
        <v>750</v>
      </c>
      <c r="T33" s="57">
        <f>VLOOKUP(I33,'Old Pricing - end 26-Jan-2026'!$A:$O,15,FALSE)</f>
        <v>8.07</v>
      </c>
      <c r="U33" s="57">
        <f>O33*S33</f>
        <v>4619.25</v>
      </c>
      <c r="V33" s="111">
        <f t="shared" si="1"/>
        <v>4621.6890000000003</v>
      </c>
      <c r="W33" s="55">
        <f>VLOOKUP($I33,'Old Pricing - end 26-Jan-2026'!$A:$R,18,FALSE)</f>
        <v>45</v>
      </c>
    </row>
    <row r="34" spans="1:27" ht="15" hidden="1" thickTop="1" x14ac:dyDescent="0.3">
      <c r="A34" s="55">
        <v>23971982</v>
      </c>
      <c r="B34" s="55">
        <v>0</v>
      </c>
      <c r="C34" s="55" t="str">
        <f>VLOOKUP(A34&amp;"-"&amp;B34,'Order Summary'!$D:$E,2,FALSE)</f>
        <v>Telex / Seaway Released</v>
      </c>
      <c r="D34" s="216">
        <f>IF($A34="","",VLOOKUP($A34&amp;"-"&amp;$B34,'Order Summary'!$D:$U,3,FALSE))</f>
        <v>45792</v>
      </c>
      <c r="E34" s="55" t="str">
        <f>VLOOKUP(A34&amp;"-"&amp;B34,'Order Summary'!$D:$G,4,FALSE)</f>
        <v>Yes</v>
      </c>
      <c r="F34" s="55" t="str">
        <f>VLOOKUP($A34,'Order Summary'!$B:$I,8,FALSE)</f>
        <v>Granger, IN</v>
      </c>
      <c r="G34" s="216">
        <f>IF($A34="","",VLOOKUP($A34&amp;"-"&amp;$B34,'Order Summary'!$D:$U,18,FALSE))</f>
        <v>45959</v>
      </c>
      <c r="H34" s="55">
        <v>1</v>
      </c>
      <c r="I34" s="55">
        <v>694432</v>
      </c>
      <c r="J34" s="55" t="str">
        <f>VLOOKUP($I34,'Old Pricing - end 26-Jan-2026'!$A:$R,2,FALSE)</f>
        <v>G1S 694432</v>
      </c>
      <c r="K34" s="55" t="str">
        <f>VLOOKUP($I34,'Old Pricing - end 26-Jan-2026'!$A:$R,6,FALSE)&amp;" "&amp;VLOOKUP($I34,'Old Pricing - end 26-Jan-2026'!$A:$R,7,FALSE)&amp;""" x "&amp;VLOOKUP($I34,'Old Pricing - end 26-Jan-2026'!$A:$R,9,FALSE)&amp;""" "&amp;VLOOKUP($I34,'Old Pricing - end 26-Jan-2026'!$A:$R,5,FALSE)</f>
        <v>2MM 49" x 96" ACP</v>
      </c>
      <c r="L34" s="55">
        <f>VLOOKUP($I34,'Old Pricing - end 26-Jan-2026'!$A:$K,8,FALSE)</f>
        <v>1245</v>
      </c>
      <c r="M34" s="55">
        <f>VLOOKUP($I34,'Old Pricing - end 26-Jan-2026'!$A:$K,10,FALSE)</f>
        <v>2440</v>
      </c>
      <c r="N34" s="55" t="str">
        <f>VLOOKUP($I34,'Old Pricing - end 26-Jan-2026'!$A:$R,13,FALSE)&amp;" "&amp;VLOOKUP($I34,'Old Pricing - end 26-Jan-2026'!$A:$R,12,FALSE)</f>
        <v>ASC 0096 GLOSSY BLACK</v>
      </c>
      <c r="O34" s="149">
        <f>((VLOOKUP($I34,'Old Pricing - end 26-Jan-2026'!$A:$R,7,FALSE)/12)*(VLOOKUP($I34,'Old Pricing - end 26-Jan-2026'!$A:$R,9,FALSE)/12)*Q34)/1000</f>
        <v>45.733333333333327</v>
      </c>
      <c r="P34" s="55">
        <f>(VLOOKUP($I34,'Old Pricing - end 26-Jan-2026'!$A:$R,8,FALSE)/1000)*(VLOOKUP($I34,'Old Pricing - end 26-Jan-2026'!$A:$R,10,FALSE)/1000)*Q34</f>
        <v>4252.92</v>
      </c>
      <c r="Q34" s="55">
        <v>1400</v>
      </c>
      <c r="R34" s="71">
        <f>$Q34/IFERROR(VLOOKUP($F34&amp;RIGHT($K34,8),'Master Data'!$O$5:$P$10,2,FALSE),'Master Data'!$P$4)</f>
        <v>7</v>
      </c>
      <c r="S34" s="57">
        <f>VLOOKUP($I34,'Old Pricing - end 26-Jan-2026'!$A:$Q,16,FALSE)</f>
        <v>700</v>
      </c>
      <c r="T34" s="57">
        <f>VLOOKUP(I34,'Old Pricing - end 26-Jan-2026'!$A:$O,15,FALSE)</f>
        <v>7.53</v>
      </c>
      <c r="U34" s="57">
        <v>32017.77</v>
      </c>
      <c r="V34" s="111">
        <f t="shared" si="1"/>
        <v>32024.4876</v>
      </c>
      <c r="W34" s="55">
        <f>VLOOKUP($I34,'Old Pricing - end 26-Jan-2026'!$A:$R,18,FALSE)</f>
        <v>45</v>
      </c>
    </row>
    <row r="35" spans="1:27" ht="15" hidden="1" thickTop="1" x14ac:dyDescent="0.3">
      <c r="A35" s="55">
        <v>23971982</v>
      </c>
      <c r="B35" s="55">
        <v>0</v>
      </c>
      <c r="C35" s="55" t="str">
        <f>VLOOKUP(A35&amp;"-"&amp;B35,'Order Summary'!$D:$E,2,FALSE)</f>
        <v>Telex / Seaway Released</v>
      </c>
      <c r="D35" s="216">
        <f>IF($A35="","",VLOOKUP($A35&amp;"-"&amp;$B35,'Order Summary'!$D:$U,3,FALSE))</f>
        <v>45792</v>
      </c>
      <c r="E35" s="55" t="str">
        <f>VLOOKUP(A35&amp;"-"&amp;B35,'Order Summary'!$D:$G,4,FALSE)</f>
        <v>Yes</v>
      </c>
      <c r="F35" s="55" t="str">
        <f>VLOOKUP($A35,'Order Summary'!$B:$I,8,FALSE)</f>
        <v>Granger, IN</v>
      </c>
      <c r="G35" s="216">
        <f>IF($A35="","",VLOOKUP($A35&amp;"-"&amp;$B35,'Order Summary'!$D:$U,18,FALSE))</f>
        <v>45959</v>
      </c>
      <c r="H35" s="55">
        <v>2</v>
      </c>
      <c r="I35" s="55">
        <v>694436</v>
      </c>
      <c r="J35" s="55" t="str">
        <f>VLOOKUP($I35,'Old Pricing - end 26-Jan-2026'!$A:$R,2,FALSE)</f>
        <v>G1S 694436</v>
      </c>
      <c r="K35" s="55" t="str">
        <f>VLOOKUP($I35,'Old Pricing - end 26-Jan-2026'!$A:$R,6,FALSE)&amp;" "&amp;VLOOKUP($I35,'Old Pricing - end 26-Jan-2026'!$A:$R,7,FALSE)&amp;""" x "&amp;VLOOKUP($I35,'Old Pricing - end 26-Jan-2026'!$A:$R,9,FALSE)&amp;""" "&amp;VLOOKUP($I35,'Old Pricing - end 26-Jan-2026'!$A:$R,5,FALSE)</f>
        <v>2MM 49" x 96" ACP</v>
      </c>
      <c r="L35" s="55">
        <f>VLOOKUP($I35,'Old Pricing - end 26-Jan-2026'!$A:$K,8,FALSE)</f>
        <v>1245</v>
      </c>
      <c r="M35" s="55">
        <f>VLOOKUP($I35,'Old Pricing - end 26-Jan-2026'!$A:$K,10,FALSE)</f>
        <v>2440</v>
      </c>
      <c r="N35" s="55" t="str">
        <f>VLOOKUP($I35,'Old Pricing - end 26-Jan-2026'!$A:$R,13,FALSE)&amp;" "&amp;VLOOKUP($I35,'Old Pricing - end 26-Jan-2026'!$A:$R,12,FALSE)</f>
        <v>ASC 0069 GLOSSY WHITE</v>
      </c>
      <c r="O35" s="149">
        <f>((VLOOKUP($I35,'Old Pricing - end 26-Jan-2026'!$A:$R,7,FALSE)/12)*(VLOOKUP($I35,'Old Pricing - end 26-Jan-2026'!$A:$R,9,FALSE)/12)*Q35)/1000</f>
        <v>45.733333333333327</v>
      </c>
      <c r="P35" s="55">
        <f>(VLOOKUP($I35,'Old Pricing - end 26-Jan-2026'!$A:$R,8,FALSE)/1000)*(VLOOKUP($I35,'Old Pricing - end 26-Jan-2026'!$A:$R,10,FALSE)/1000)*Q35</f>
        <v>4252.92</v>
      </c>
      <c r="Q35" s="55">
        <v>1400</v>
      </c>
      <c r="R35" s="71">
        <f>$Q35/IFERROR(VLOOKUP($F35&amp;RIGHT($K35,8),'Master Data'!$O$5:$P$10,2,FALSE),'Master Data'!$P$4)</f>
        <v>7</v>
      </c>
      <c r="S35" s="57">
        <f>VLOOKUP($I35,'Old Pricing - end 26-Jan-2026'!$A:$Q,16,FALSE)</f>
        <v>700</v>
      </c>
      <c r="T35" s="57">
        <f>VLOOKUP(I35,'Old Pricing - end 26-Jan-2026'!$A:$O,15,FALSE)</f>
        <v>7.53</v>
      </c>
      <c r="U35" s="57">
        <v>32017.77</v>
      </c>
      <c r="V35" s="111">
        <f t="shared" si="1"/>
        <v>32024.4876</v>
      </c>
      <c r="W35" s="55">
        <f>VLOOKUP($I35,'Old Pricing - end 26-Jan-2026'!$A:$R,18,FALSE)</f>
        <v>45</v>
      </c>
    </row>
    <row r="36" spans="1:27" ht="15" hidden="1" thickTop="1" x14ac:dyDescent="0.3">
      <c r="A36" s="55">
        <v>24099911</v>
      </c>
      <c r="B36" s="55">
        <v>0</v>
      </c>
      <c r="C36" s="55" t="str">
        <f>VLOOKUP(A36&amp;"-"&amp;B36,'Order Summary'!$D:$E,2,FALSE)</f>
        <v>Telex / Seaway Released</v>
      </c>
      <c r="D36" s="216">
        <f>IF($A36="","",VLOOKUP($A36&amp;"-"&amp;$B36,'Order Summary'!$D:$U,3,FALSE))</f>
        <v>45964</v>
      </c>
      <c r="E36" s="55" t="str">
        <f>VLOOKUP(A36&amp;"-"&amp;B36,'Order Summary'!$D:$G,4,FALSE)</f>
        <v>Yes</v>
      </c>
      <c r="F36" s="55" t="str">
        <f>VLOOKUP($A36,'Order Summary'!$B:$I,8,FALSE)</f>
        <v>Granger, IN</v>
      </c>
      <c r="G36" s="216">
        <f>IF($A36="","",VLOOKUP($A36&amp;"-"&amp;$B36,'Order Summary'!$D:$U,18,FALSE))</f>
        <v>46114</v>
      </c>
      <c r="H36" s="55">
        <v>1</v>
      </c>
      <c r="I36" s="55">
        <v>694432</v>
      </c>
      <c r="J36" s="55" t="str">
        <f>VLOOKUP($I36,'Old Pricing - end 26-Jan-2026'!$A:$R,2,FALSE)</f>
        <v>G1S 694432</v>
      </c>
      <c r="K36" s="55" t="str">
        <f>VLOOKUP($I36,'Old Pricing - end 26-Jan-2026'!$A:$R,6,FALSE)&amp;" "&amp;VLOOKUP($I36,'Old Pricing - end 26-Jan-2026'!$A:$R,7,FALSE)&amp;""" x "&amp;VLOOKUP($I36,'Old Pricing - end 26-Jan-2026'!$A:$R,9,FALSE)&amp;""" "&amp;VLOOKUP($I36,'Old Pricing - end 26-Jan-2026'!$A:$R,5,FALSE)</f>
        <v>2MM 49" x 96" ACP</v>
      </c>
      <c r="L36" s="55">
        <f>VLOOKUP($I36,'Old Pricing - end 26-Jan-2026'!$A:$K,8,FALSE)</f>
        <v>1245</v>
      </c>
      <c r="M36" s="55">
        <f>VLOOKUP($I36,'Old Pricing - end 26-Jan-2026'!$A:$K,10,FALSE)</f>
        <v>2440</v>
      </c>
      <c r="N36" s="55" t="str">
        <f>VLOOKUP($I36,'Old Pricing - end 26-Jan-2026'!$A:$R,13,FALSE)&amp;" "&amp;VLOOKUP($I36,'Old Pricing - end 26-Jan-2026'!$A:$R,12,FALSE)</f>
        <v>ASC 0096 GLOSSY BLACK</v>
      </c>
      <c r="O36" s="56">
        <v>19.600000000000001</v>
      </c>
      <c r="P36" s="55">
        <f>(VLOOKUP($I36,'Old Pricing - end 26-Jan-2026'!$A:$R,8,FALSE)/1000)*(VLOOKUP($I36,'Old Pricing - end 26-Jan-2026'!$A:$R,10,FALSE)/1000)*Q36</f>
        <v>1822.68</v>
      </c>
      <c r="Q36" s="55">
        <f>ROUND(('Order Details'!$O36*1000)/((VLOOKUP($I36,'Old Pricing - end 26-Jan-2026'!$A:$Q,7,FALSE)/12)*(VLOOKUP($I36,'Old Pricing - end 26-Jan-2026'!$A:$Q,9,FALSE)/12))/5,0)*5</f>
        <v>600</v>
      </c>
      <c r="R36" s="71">
        <f>$Q36/IFERROR(VLOOKUP($F36&amp;RIGHT($K36,8),'Master Data'!$O$5:$P$10,2,FALSE),'Master Data'!$P$4)</f>
        <v>3</v>
      </c>
      <c r="S36" s="57">
        <f>VLOOKUP($I36,'Old Pricing - end 26-Jan-2026'!$A:$Q,16,FALSE)</f>
        <v>700</v>
      </c>
      <c r="T36" s="57">
        <f>VLOOKUP(I36,'Old Pricing - end 26-Jan-2026'!$A:$O,15,FALSE)</f>
        <v>7.53</v>
      </c>
      <c r="U36" s="57">
        <f>O36*S36</f>
        <v>13720.000000000002</v>
      </c>
      <c r="V36" s="111">
        <f t="shared" si="1"/>
        <v>13724.780400000001</v>
      </c>
      <c r="W36" s="55">
        <f>VLOOKUP($I36,'Old Pricing - end 26-Jan-2026'!$A:$R,18,FALSE)</f>
        <v>45</v>
      </c>
      <c r="Y36" s="50"/>
      <c r="Z36" s="103"/>
      <c r="AA36" s="103"/>
    </row>
    <row r="37" spans="1:27" ht="15" hidden="1" thickTop="1" x14ac:dyDescent="0.3">
      <c r="A37" s="55">
        <v>24099911</v>
      </c>
      <c r="B37" s="55">
        <v>0</v>
      </c>
      <c r="C37" s="55" t="str">
        <f>VLOOKUP(A37&amp;"-"&amp;B37,'Order Summary'!$D:$E,2,FALSE)</f>
        <v>Telex / Seaway Released</v>
      </c>
      <c r="D37" s="216">
        <f>IF($A37="","",VLOOKUP($A37&amp;"-"&amp;$B37,'Order Summary'!$D:$U,3,FALSE))</f>
        <v>45964</v>
      </c>
      <c r="E37" s="55" t="str">
        <f>VLOOKUP(A37&amp;"-"&amp;B37,'Order Summary'!$D:$G,4,FALSE)</f>
        <v>Yes</v>
      </c>
      <c r="F37" s="55" t="str">
        <f>VLOOKUP($A37,'Order Summary'!$B:$I,8,FALSE)</f>
        <v>Granger, IN</v>
      </c>
      <c r="G37" s="216">
        <f>IF($A37="","",VLOOKUP($A37&amp;"-"&amp;$B37,'Order Summary'!$D:$U,18,FALSE))</f>
        <v>46114</v>
      </c>
      <c r="H37" s="55">
        <v>2</v>
      </c>
      <c r="I37" s="55">
        <v>694436</v>
      </c>
      <c r="J37" s="55" t="str">
        <f>VLOOKUP($I37,'Old Pricing - end 26-Jan-2026'!$A:$R,2,FALSE)</f>
        <v>G1S 694436</v>
      </c>
      <c r="K37" s="55" t="str">
        <f>VLOOKUP($I37,'Old Pricing - end 26-Jan-2026'!$A:$R,6,FALSE)&amp;" "&amp;VLOOKUP($I37,'Old Pricing - end 26-Jan-2026'!$A:$R,7,FALSE)&amp;""" x "&amp;VLOOKUP($I37,'Old Pricing - end 26-Jan-2026'!$A:$R,9,FALSE)&amp;""" "&amp;VLOOKUP($I37,'Old Pricing - end 26-Jan-2026'!$A:$R,5,FALSE)</f>
        <v>2MM 49" x 96" ACP</v>
      </c>
      <c r="L37" s="55">
        <f>VLOOKUP($I37,'Old Pricing - end 26-Jan-2026'!$A:$K,8,FALSE)</f>
        <v>1245</v>
      </c>
      <c r="M37" s="55">
        <f>VLOOKUP($I37,'Old Pricing - end 26-Jan-2026'!$A:$K,10,FALSE)</f>
        <v>2440</v>
      </c>
      <c r="N37" s="55" t="str">
        <f>VLOOKUP($I37,'Old Pricing - end 26-Jan-2026'!$A:$R,13,FALSE)&amp;" "&amp;VLOOKUP($I37,'Old Pricing - end 26-Jan-2026'!$A:$R,12,FALSE)</f>
        <v>ASC 0069 GLOSSY WHITE</v>
      </c>
      <c r="O37" s="56">
        <v>19.600000000000001</v>
      </c>
      <c r="P37" s="55">
        <f>(VLOOKUP($I37,'Old Pricing - end 26-Jan-2026'!$A:$R,8,FALSE)/1000)*(VLOOKUP($I37,'Old Pricing - end 26-Jan-2026'!$A:$R,10,FALSE)/1000)*Q37</f>
        <v>1822.68</v>
      </c>
      <c r="Q37" s="55">
        <f>ROUND(('Order Details'!$O37*1000)/((VLOOKUP($I37,'Old Pricing - end 26-Jan-2026'!$A:$Q,7,FALSE)/12)*(VLOOKUP($I37,'Old Pricing - end 26-Jan-2026'!$A:$Q,9,FALSE)/12))/5,0)*5</f>
        <v>600</v>
      </c>
      <c r="R37" s="71">
        <f>$Q37/IFERROR(VLOOKUP($F37&amp;RIGHT($K37,8),'Master Data'!$O$5:$P$10,2,FALSE),'Master Data'!$P$4)</f>
        <v>3</v>
      </c>
      <c r="S37" s="57">
        <f>VLOOKUP($I37,'Old Pricing - end 26-Jan-2026'!$A:$Q,16,FALSE)</f>
        <v>700</v>
      </c>
      <c r="T37" s="57">
        <f>VLOOKUP(I37,'Old Pricing - end 26-Jan-2026'!$A:$O,15,FALSE)</f>
        <v>7.53</v>
      </c>
      <c r="U37" s="57">
        <f>O37*S37</f>
        <v>13720.000000000002</v>
      </c>
      <c r="V37" s="111">
        <f t="shared" si="1"/>
        <v>13724.780400000001</v>
      </c>
      <c r="W37" s="55">
        <f>VLOOKUP($I37,'Old Pricing - end 26-Jan-2026'!$A:$R,18,FALSE)</f>
        <v>45</v>
      </c>
      <c r="Y37" s="50"/>
      <c r="Z37" s="103"/>
      <c r="AA37" s="103"/>
    </row>
    <row r="38" spans="1:27" ht="15" hidden="1" thickTop="1" x14ac:dyDescent="0.3">
      <c r="A38" s="55">
        <v>24099911</v>
      </c>
      <c r="B38" s="55">
        <v>0</v>
      </c>
      <c r="C38" s="55" t="str">
        <f>VLOOKUP(A38&amp;"-"&amp;B38,'Order Summary'!$D:$E,2,FALSE)</f>
        <v>Telex / Seaway Released</v>
      </c>
      <c r="D38" s="216">
        <f>IF($A38="","",VLOOKUP($A38&amp;"-"&amp;$B38,'Order Summary'!$D:$U,3,FALSE))</f>
        <v>45964</v>
      </c>
      <c r="E38" s="55" t="str">
        <f>VLOOKUP(A38&amp;"-"&amp;B38,'Order Summary'!$D:$G,4,FALSE)</f>
        <v>Yes</v>
      </c>
      <c r="F38" s="55" t="str">
        <f>VLOOKUP($A38,'Order Summary'!$B:$I,8,FALSE)</f>
        <v>Granger, IN</v>
      </c>
      <c r="G38" s="216">
        <f>IF($A38="","",VLOOKUP($A38&amp;"-"&amp;$B38,'Order Summary'!$D:$U,18,FALSE))</f>
        <v>46114</v>
      </c>
      <c r="H38" s="55">
        <v>3</v>
      </c>
      <c r="I38" s="55">
        <v>694440</v>
      </c>
      <c r="J38" s="55" t="str">
        <f>VLOOKUP($I38,'Old Pricing - end 26-Jan-2026'!$A:$R,2,FALSE)</f>
        <v>G1S 694440</v>
      </c>
      <c r="K38" s="55" t="str">
        <f>VLOOKUP($I38,'Old Pricing - end 26-Jan-2026'!$A:$R,6,FALSE)&amp;" "&amp;VLOOKUP($I38,'Old Pricing - end 26-Jan-2026'!$A:$R,7,FALSE)&amp;""" x "&amp;VLOOKUP($I38,'Old Pricing - end 26-Jan-2026'!$A:$R,9,FALSE)&amp;""" "&amp;VLOOKUP($I38,'Old Pricing - end 26-Jan-2026'!$A:$R,5,FALSE)</f>
        <v>2MM 49" x 96" ACP</v>
      </c>
      <c r="L38" s="55">
        <f>VLOOKUP($I38,'Old Pricing - end 26-Jan-2026'!$A:$K,8,FALSE)</f>
        <v>1245</v>
      </c>
      <c r="M38" s="55">
        <f>VLOOKUP($I38,'Old Pricing - end 26-Jan-2026'!$A:$K,10,FALSE)</f>
        <v>2440</v>
      </c>
      <c r="N38" s="55" t="str">
        <f>VLOOKUP($I38,'Old Pricing - end 26-Jan-2026'!$A:$R,13,FALSE)&amp;" "&amp;VLOOKUP($I38,'Old Pricing - end 26-Jan-2026'!$A:$R,12,FALSE)</f>
        <v>AMC 0103 SILVER FROST</v>
      </c>
      <c r="O38" s="56">
        <v>19.600000000000001</v>
      </c>
      <c r="P38" s="55">
        <f>(VLOOKUP($I38,'Old Pricing - end 26-Jan-2026'!$A:$R,8,FALSE)/1000)*(VLOOKUP($I38,'Old Pricing - end 26-Jan-2026'!$A:$R,10,FALSE)/1000)*Q38</f>
        <v>1822.68</v>
      </c>
      <c r="Q38" s="55">
        <f>ROUND(('Order Details'!$O38*1000)/((VLOOKUP($I38,'Old Pricing - end 26-Jan-2026'!$A:$Q,7,FALSE)/12)*(VLOOKUP($I38,'Old Pricing - end 26-Jan-2026'!$A:$Q,9,FALSE)/12))/5,0)*5</f>
        <v>600</v>
      </c>
      <c r="R38" s="71">
        <f>$Q38/IFERROR(VLOOKUP($F38&amp;RIGHT($K38,8),'Master Data'!$O$5:$P$10,2,FALSE),'Master Data'!$P$4)</f>
        <v>3</v>
      </c>
      <c r="S38" s="57">
        <f>VLOOKUP($I38,'Old Pricing - end 26-Jan-2026'!$A:$Q,16,FALSE)</f>
        <v>700</v>
      </c>
      <c r="T38" s="57">
        <f>VLOOKUP(I38,'Old Pricing - end 26-Jan-2026'!$A:$O,15,FALSE)</f>
        <v>7.53</v>
      </c>
      <c r="U38" s="57">
        <f>O38*S38</f>
        <v>13720.000000000002</v>
      </c>
      <c r="V38" s="111">
        <f t="shared" si="1"/>
        <v>13724.780400000001</v>
      </c>
      <c r="W38" s="55">
        <f>VLOOKUP($I38,'Old Pricing - end 26-Jan-2026'!$A:$R,18,FALSE)</f>
        <v>90</v>
      </c>
      <c r="Y38" s="50"/>
      <c r="Z38" s="103"/>
      <c r="AA38" s="103"/>
    </row>
    <row r="39" spans="1:27" ht="15" hidden="1" thickTop="1" x14ac:dyDescent="0.3">
      <c r="A39" s="55">
        <v>24099911</v>
      </c>
      <c r="B39" s="55">
        <v>0</v>
      </c>
      <c r="C39" s="55" t="str">
        <f>VLOOKUP(A39&amp;"-"&amp;B39,'Order Summary'!$D:$E,2,FALSE)</f>
        <v>Telex / Seaway Released</v>
      </c>
      <c r="D39" s="216">
        <f>IF($A39="","",VLOOKUP($A39&amp;"-"&amp;$B39,'Order Summary'!$D:$U,3,FALSE))</f>
        <v>45964</v>
      </c>
      <c r="E39" s="55" t="str">
        <f>VLOOKUP(A39&amp;"-"&amp;B39,'Order Summary'!$D:$G,4,FALSE)</f>
        <v>Yes</v>
      </c>
      <c r="F39" s="55" t="str">
        <f>VLOOKUP($A39,'Order Summary'!$B:$I,8,FALSE)</f>
        <v>Granger, IN</v>
      </c>
      <c r="G39" s="216">
        <f>IF($A39="","",VLOOKUP($A39&amp;"-"&amp;$B39,'Order Summary'!$D:$U,18,FALSE))</f>
        <v>46114</v>
      </c>
      <c r="H39" s="55">
        <v>4</v>
      </c>
      <c r="I39" s="55">
        <v>694444</v>
      </c>
      <c r="J39" s="55" t="str">
        <f>VLOOKUP($I39,'Old Pricing - end 26-Jan-2026'!$A:$R,2,FALSE)</f>
        <v>G1S 694444</v>
      </c>
      <c r="K39" s="55" t="str">
        <f>VLOOKUP($I39,'Old Pricing - end 26-Jan-2026'!$A:$R,6,FALSE)&amp;" "&amp;VLOOKUP($I39,'Old Pricing - end 26-Jan-2026'!$A:$R,7,FALSE)&amp;""" x "&amp;VLOOKUP($I39,'Old Pricing - end 26-Jan-2026'!$A:$R,9,FALSE)&amp;""" "&amp;VLOOKUP($I39,'Old Pricing - end 26-Jan-2026'!$A:$R,5,FALSE)</f>
        <v>2MM 49" x 96" ACP</v>
      </c>
      <c r="L39" s="55">
        <f>VLOOKUP($I39,'Old Pricing - end 26-Jan-2026'!$A:$K,8,FALSE)</f>
        <v>1245</v>
      </c>
      <c r="M39" s="55">
        <f>VLOOKUP($I39,'Old Pricing - end 26-Jan-2026'!$A:$K,10,FALSE)</f>
        <v>2440</v>
      </c>
      <c r="N39" s="55" t="str">
        <f>VLOOKUP($I39,'Old Pricing - end 26-Jan-2026'!$A:$R,13,FALSE)&amp;" "&amp;VLOOKUP($I39,'Old Pricing - end 26-Jan-2026'!$A:$R,12,FALSE)</f>
        <v>AMC 0086 CHARCOAL METALLIC</v>
      </c>
      <c r="O39" s="56">
        <v>19.600000000000001</v>
      </c>
      <c r="P39" s="55">
        <f>(VLOOKUP($I39,'Old Pricing - end 26-Jan-2026'!$A:$R,8,FALSE)/1000)*(VLOOKUP($I39,'Old Pricing - end 26-Jan-2026'!$A:$R,10,FALSE)/1000)*Q39</f>
        <v>1822.68</v>
      </c>
      <c r="Q39" s="55">
        <f>ROUND(('Order Details'!$O39*1000)/((VLOOKUP($I39,'Old Pricing - end 26-Jan-2026'!$A:$Q,7,FALSE)/12)*(VLOOKUP($I39,'Old Pricing - end 26-Jan-2026'!$A:$Q,9,FALSE)/12))/5,0)*5</f>
        <v>600</v>
      </c>
      <c r="R39" s="71">
        <f>$Q39/IFERROR(VLOOKUP($F39&amp;RIGHT($K39,8),'Master Data'!$O$5:$P$10,2,FALSE),'Master Data'!$P$4)</f>
        <v>3</v>
      </c>
      <c r="S39" s="57">
        <f>VLOOKUP($I39,'Old Pricing - end 26-Jan-2026'!$A:$Q,16,FALSE)</f>
        <v>750</v>
      </c>
      <c r="T39" s="57">
        <f>VLOOKUP(I39,'Old Pricing - end 26-Jan-2026'!$A:$O,15,FALSE)</f>
        <v>8.07</v>
      </c>
      <c r="U39" s="57">
        <f>O39*S39</f>
        <v>14700.000000000002</v>
      </c>
      <c r="V39" s="111">
        <f t="shared" si="1"/>
        <v>14709.027600000001</v>
      </c>
      <c r="W39" s="55">
        <f>VLOOKUP($I39,'Old Pricing - end 26-Jan-2026'!$A:$R,18,FALSE)</f>
        <v>45</v>
      </c>
      <c r="Y39" s="50"/>
      <c r="Z39" s="103"/>
      <c r="AA39" s="103"/>
    </row>
    <row r="40" spans="1:27" ht="15" hidden="1" thickTop="1" x14ac:dyDescent="0.3">
      <c r="A40" s="55">
        <v>24099911</v>
      </c>
      <c r="B40" s="55">
        <v>0</v>
      </c>
      <c r="C40" s="55" t="str">
        <f>VLOOKUP(A40&amp;"-"&amp;B40,'Order Summary'!$D:$E,2,FALSE)</f>
        <v>Telex / Seaway Released</v>
      </c>
      <c r="D40" s="216">
        <f>IF($A40="","",VLOOKUP($A40&amp;"-"&amp;$B40,'Order Summary'!$D:$U,3,FALSE))</f>
        <v>45964</v>
      </c>
      <c r="E40" s="55" t="str">
        <f>VLOOKUP(A40&amp;"-"&amp;B40,'Order Summary'!$D:$G,4,FALSE)</f>
        <v>Yes</v>
      </c>
      <c r="F40" s="55" t="str">
        <f>VLOOKUP($A40,'Order Summary'!$B:$I,8,FALSE)</f>
        <v>Granger, IN</v>
      </c>
      <c r="G40" s="216">
        <f>IF($A40="","",VLOOKUP($A40&amp;"-"&amp;$B40,'Order Summary'!$D:$U,18,FALSE))</f>
        <v>46114</v>
      </c>
      <c r="H40" s="55">
        <v>5</v>
      </c>
      <c r="I40" s="55">
        <v>695620</v>
      </c>
      <c r="J40" s="55" t="str">
        <f>VLOOKUP($I40,'Old Pricing - end 26-Jan-2026'!$A:$R,2,FALSE)</f>
        <v>G1S 695620</v>
      </c>
      <c r="K40" s="55" t="str">
        <f>VLOOKUP($I40,'Old Pricing - end 26-Jan-2026'!$A:$R,6,FALSE)&amp;" "&amp;VLOOKUP($I40,'Old Pricing - end 26-Jan-2026'!$A:$R,7,FALSE)&amp;""" x "&amp;VLOOKUP($I40,'Old Pricing - end 26-Jan-2026'!$A:$R,9,FALSE)&amp;""" "&amp;VLOOKUP($I40,'Old Pricing - end 26-Jan-2026'!$A:$R,5,FALSE)</f>
        <v>2MM 49" x 96" ACP</v>
      </c>
      <c r="L40" s="55">
        <f>VLOOKUP($I40,'Old Pricing - end 26-Jan-2026'!$A:$K,8,FALSE)</f>
        <v>1245</v>
      </c>
      <c r="M40" s="55">
        <f>VLOOKUP($I40,'Old Pricing - end 26-Jan-2026'!$A:$K,10,FALSE)</f>
        <v>2440</v>
      </c>
      <c r="N40" s="55" t="str">
        <f>VLOOKUP($I40,'Old Pricing - end 26-Jan-2026'!$A:$R,13,FALSE)&amp;" "&amp;VLOOKUP($I40,'Old Pricing - end 26-Jan-2026'!$A:$R,12,FALSE)</f>
        <v>ASC 0105 INDIGO BLUE</v>
      </c>
      <c r="O40" s="56">
        <v>13.067</v>
      </c>
      <c r="P40" s="55">
        <f>(VLOOKUP($I40,'Old Pricing - end 26-Jan-2026'!$A:$R,8,FALSE)/1000)*(VLOOKUP($I40,'Old Pricing - end 26-Jan-2026'!$A:$R,10,FALSE)/1000)*Q40</f>
        <v>1215.1200000000001</v>
      </c>
      <c r="Q40" s="55">
        <f>ROUND(('Order Details'!$O40*1000)/((VLOOKUP($I40,'Old Pricing - end 26-Jan-2026'!$A:$Q,7,FALSE)/12)*(VLOOKUP($I40,'Old Pricing - end 26-Jan-2026'!$A:$Q,9,FALSE)/12))/5,0)*5</f>
        <v>400</v>
      </c>
      <c r="R40" s="71">
        <f>$Q40/IFERROR(VLOOKUP($F40&amp;RIGHT($K40,8),'Master Data'!$O$5:$P$10,2,FALSE),'Master Data'!$P$4)</f>
        <v>2</v>
      </c>
      <c r="S40" s="57">
        <f>VLOOKUP($I40,'Old Pricing - end 26-Jan-2026'!$A:$Q,16,FALSE)</f>
        <v>750</v>
      </c>
      <c r="T40" s="57">
        <f>VLOOKUP(I40,'Old Pricing - end 26-Jan-2026'!$A:$O,15,FALSE)</f>
        <v>8.07</v>
      </c>
      <c r="U40" s="57">
        <f>O40*S40</f>
        <v>9800.25</v>
      </c>
      <c r="V40" s="111">
        <f t="shared" si="1"/>
        <v>9806.0184000000008</v>
      </c>
      <c r="W40" s="55">
        <f>VLOOKUP($I40,'Old Pricing - end 26-Jan-2026'!$A:$R,18,FALSE)</f>
        <v>45</v>
      </c>
      <c r="Y40" s="50"/>
      <c r="Z40" s="103"/>
      <c r="AA40" s="103"/>
    </row>
    <row r="41" spans="1:27" ht="15" hidden="1" thickTop="1" x14ac:dyDescent="0.3">
      <c r="A41" s="55">
        <v>52895565</v>
      </c>
      <c r="B41" s="55">
        <v>0</v>
      </c>
      <c r="C41" s="55" t="str">
        <f>VLOOKUP(A41&amp;"-"&amp;B41,'Order Summary'!$D:$E,2,FALSE)</f>
        <v>Telex / Seaway Released</v>
      </c>
      <c r="D41" s="216">
        <f>IF($A41="","",VLOOKUP($A41&amp;"-"&amp;$B41,'Order Summary'!$D:$U,3,FALSE))</f>
        <v>45792</v>
      </c>
      <c r="E41" s="55" t="str">
        <f>VLOOKUP(A41&amp;"-"&amp;B41,'Order Summary'!$D:$G,4,FALSE)</f>
        <v>Yes</v>
      </c>
      <c r="F41" s="55" t="str">
        <f>VLOOKUP($A41,'Order Summary'!$B:$I,8,FALSE)</f>
        <v>Nampa, ID</v>
      </c>
      <c r="G41" s="216">
        <f>IF($A41="","",VLOOKUP($A41&amp;"-"&amp;$B41,'Order Summary'!$D:$U,18,FALSE))</f>
        <v>45981</v>
      </c>
      <c r="H41" s="55">
        <v>1</v>
      </c>
      <c r="I41" s="55">
        <v>694447</v>
      </c>
      <c r="J41" s="55" t="str">
        <f>VLOOKUP($I41,'Old Pricing - end 26-Jan-2026'!$A:$R,2,FALSE)</f>
        <v>G1S 694447</v>
      </c>
      <c r="K41" s="55" t="str">
        <f>VLOOKUP($I41,'Old Pricing - end 26-Jan-2026'!$A:$R,6,FALSE)&amp;" "&amp;VLOOKUP($I41,'Old Pricing - end 26-Jan-2026'!$A:$R,7,FALSE)&amp;""" x "&amp;VLOOKUP($I41,'Old Pricing - end 26-Jan-2026'!$A:$R,9,FALSE)&amp;""" "&amp;VLOOKUP($I41,'Old Pricing - end 26-Jan-2026'!$A:$R,5,FALSE)</f>
        <v>2MM 49" x 90" ACP</v>
      </c>
      <c r="L41" s="55">
        <f>VLOOKUP($I41,'Old Pricing - end 26-Jan-2026'!$A:$K,8,FALSE)</f>
        <v>1245</v>
      </c>
      <c r="M41" s="55">
        <f>VLOOKUP($I41,'Old Pricing - end 26-Jan-2026'!$A:$K,10,FALSE)</f>
        <v>2286</v>
      </c>
      <c r="N41" s="55" t="str">
        <f>VLOOKUP($I41,'Old Pricing - end 26-Jan-2026'!$A:$R,13,FALSE)&amp;" "&amp;VLOOKUP($I41,'Old Pricing - end 26-Jan-2026'!$A:$R,12,FALSE)</f>
        <v>ASC 0099 MATTE BLACK</v>
      </c>
      <c r="O41" s="149">
        <f>((VLOOKUP($I41,'Old Pricing - end 26-Jan-2026'!$A:$R,7,FALSE)/12)*(VLOOKUP($I41,'Old Pricing - end 26-Jan-2026'!$A:$R,9,FALSE)/12)*Q41)/1000</f>
        <v>12.249999999999998</v>
      </c>
      <c r="P41" s="55">
        <f>(VLOOKUP($I41,'Old Pricing - end 26-Jan-2026'!$A:$R,8,FALSE)/1000)*(VLOOKUP($I41,'Old Pricing - end 26-Jan-2026'!$A:$R,10,FALSE)/1000)*Q41</f>
        <v>1138.4280000000001</v>
      </c>
      <c r="Q41" s="55">
        <v>400</v>
      </c>
      <c r="R41" s="71">
        <f>$Q41/IFERROR(VLOOKUP($F41&amp;RIGHT($K41,8),'Master Data'!$O$5:$P$10,2,FALSE),'Master Data'!$P$4)</f>
        <v>2</v>
      </c>
      <c r="S41" s="57">
        <f>VLOOKUP($I41,'Old Pricing - end 26-Jan-2026'!$A:$Q,16,FALSE)</f>
        <v>750</v>
      </c>
      <c r="T41" s="57">
        <f>VLOOKUP(I41,'Old Pricing - end 26-Jan-2026'!$A:$O,15,FALSE)</f>
        <v>8.07</v>
      </c>
      <c r="U41" s="57">
        <v>8576</v>
      </c>
      <c r="V41" s="111">
        <f t="shared" si="1"/>
        <v>9187.1139600000006</v>
      </c>
      <c r="W41" s="55">
        <f>VLOOKUP($I41,'Old Pricing - end 26-Jan-2026'!$A:$R,18,FALSE)</f>
        <v>90</v>
      </c>
      <c r="Z41" s="103"/>
    </row>
    <row r="42" spans="1:27" ht="15" hidden="1" thickTop="1" x14ac:dyDescent="0.3">
      <c r="A42" s="55">
        <v>52895565</v>
      </c>
      <c r="B42" s="55">
        <v>0</v>
      </c>
      <c r="C42" s="55" t="str">
        <f>VLOOKUP(A42&amp;"-"&amp;B42,'Order Summary'!$D:$E,2,FALSE)</f>
        <v>Telex / Seaway Released</v>
      </c>
      <c r="D42" s="216">
        <f>IF($A42="","",VLOOKUP($A42&amp;"-"&amp;$B42,'Order Summary'!$D:$U,3,FALSE))</f>
        <v>45792</v>
      </c>
      <c r="E42" s="55" t="str">
        <f>VLOOKUP(A42&amp;"-"&amp;B42,'Order Summary'!$D:$G,4,FALSE)</f>
        <v>Yes</v>
      </c>
      <c r="F42" s="55" t="str">
        <f>VLOOKUP($A42,'Order Summary'!$B:$I,8,FALSE)</f>
        <v>Nampa, ID</v>
      </c>
      <c r="G42" s="216">
        <f>IF($A42="","",VLOOKUP($A42&amp;"-"&amp;$B42,'Order Summary'!$D:$U,18,FALSE))</f>
        <v>45981</v>
      </c>
      <c r="H42" s="55">
        <v>2</v>
      </c>
      <c r="I42" s="55">
        <v>694448</v>
      </c>
      <c r="J42" s="55" t="str">
        <f>VLOOKUP($I42,'Old Pricing - end 26-Jan-2026'!$A:$R,2,FALSE)</f>
        <v>G1S 694448</v>
      </c>
      <c r="K42" s="55" t="str">
        <f>VLOOKUP($I42,'Old Pricing - end 26-Jan-2026'!$A:$R,6,FALSE)&amp;" "&amp;VLOOKUP($I42,'Old Pricing - end 26-Jan-2026'!$A:$R,7,FALSE)&amp;""" x "&amp;VLOOKUP($I42,'Old Pricing - end 26-Jan-2026'!$A:$R,9,FALSE)&amp;""" "&amp;VLOOKUP($I42,'Old Pricing - end 26-Jan-2026'!$A:$R,5,FALSE)</f>
        <v>2MM 49" x 96" ACP</v>
      </c>
      <c r="L42" s="55">
        <f>VLOOKUP($I42,'Old Pricing - end 26-Jan-2026'!$A:$K,8,FALSE)</f>
        <v>1245</v>
      </c>
      <c r="M42" s="55">
        <f>VLOOKUP($I42,'Old Pricing - end 26-Jan-2026'!$A:$K,10,FALSE)</f>
        <v>2440</v>
      </c>
      <c r="N42" s="55" t="str">
        <f>VLOOKUP($I42,'Old Pricing - end 26-Jan-2026'!$A:$R,13,FALSE)&amp;" "&amp;VLOOKUP($I42,'Old Pricing - end 26-Jan-2026'!$A:$R,12,FALSE)</f>
        <v>ASC 0099 MATTE BLACK</v>
      </c>
      <c r="O42" s="149">
        <f>((VLOOKUP($I42,'Old Pricing - end 26-Jan-2026'!$A:$R,7,FALSE)/12)*(VLOOKUP($I42,'Old Pricing - end 26-Jan-2026'!$A:$R,9,FALSE)/12)*Q42)/1000</f>
        <v>52.266666666666666</v>
      </c>
      <c r="P42" s="55">
        <f>(VLOOKUP($I42,'Old Pricing - end 26-Jan-2026'!$A:$R,8,FALSE)/1000)*(VLOOKUP($I42,'Old Pricing - end 26-Jan-2026'!$A:$R,10,FALSE)/1000)*Q42</f>
        <v>4860.4800000000005</v>
      </c>
      <c r="Q42" s="55">
        <v>1600</v>
      </c>
      <c r="R42" s="71">
        <f>$Q42/IFERROR(VLOOKUP($F42&amp;RIGHT($K42,8),'Master Data'!$O$5:$P$10,2,FALSE),'Master Data'!$P$4)</f>
        <v>8</v>
      </c>
      <c r="S42" s="57">
        <f>VLOOKUP($I42,'Old Pricing - end 26-Jan-2026'!$A:$Q,16,FALSE)</f>
        <v>750</v>
      </c>
      <c r="T42" s="57">
        <f>VLOOKUP(I42,'Old Pricing - end 26-Jan-2026'!$A:$O,15,FALSE)</f>
        <v>8.07</v>
      </c>
      <c r="U42" s="57">
        <v>36592.230000000003</v>
      </c>
      <c r="V42" s="111">
        <f t="shared" si="1"/>
        <v>39224.073600000003</v>
      </c>
      <c r="W42" s="55">
        <f>VLOOKUP($I42,'Old Pricing - end 26-Jan-2026'!$A:$R,18,FALSE)</f>
        <v>90</v>
      </c>
      <c r="Y42" s="103"/>
    </row>
    <row r="43" spans="1:27" ht="15" hidden="1" thickTop="1" x14ac:dyDescent="0.3">
      <c r="A43" s="55">
        <v>52895565</v>
      </c>
      <c r="B43" s="55">
        <v>0</v>
      </c>
      <c r="C43" s="55" t="str">
        <f>VLOOKUP(A43&amp;"-"&amp;B43,'Order Summary'!$D:$E,2,FALSE)</f>
        <v>Telex / Seaway Released</v>
      </c>
      <c r="D43" s="216">
        <f>IF($A43="","",VLOOKUP($A43&amp;"-"&amp;$B43,'Order Summary'!$D:$U,3,FALSE))</f>
        <v>45792</v>
      </c>
      <c r="E43" s="55" t="str">
        <f>VLOOKUP(A43&amp;"-"&amp;B43,'Order Summary'!$D:$G,4,FALSE)</f>
        <v>Yes</v>
      </c>
      <c r="F43" s="55" t="str">
        <f>VLOOKUP($A43,'Order Summary'!$B:$I,8,FALSE)</f>
        <v>Nampa, ID</v>
      </c>
      <c r="G43" s="216">
        <f>IF($A43="","",VLOOKUP($A43&amp;"-"&amp;$B43,'Order Summary'!$D:$U,18,FALSE))</f>
        <v>45981</v>
      </c>
      <c r="H43" s="55">
        <v>3</v>
      </c>
      <c r="I43" s="55">
        <v>694449</v>
      </c>
      <c r="J43" s="55" t="str">
        <f>VLOOKUP($I43,'Old Pricing - end 26-Jan-2026'!$A:$R,2,FALSE)</f>
        <v>G1S 694449</v>
      </c>
      <c r="K43" s="55" t="str">
        <f>VLOOKUP($I43,'Old Pricing - end 26-Jan-2026'!$A:$R,6,FALSE)&amp;" "&amp;VLOOKUP($I43,'Old Pricing - end 26-Jan-2026'!$A:$R,7,FALSE)&amp;""" x "&amp;VLOOKUP($I43,'Old Pricing - end 26-Jan-2026'!$A:$R,9,FALSE)&amp;""" "&amp;VLOOKUP($I43,'Old Pricing - end 26-Jan-2026'!$A:$R,5,FALSE)</f>
        <v>2MM 49" x 108" ACP</v>
      </c>
      <c r="L43" s="55">
        <f>VLOOKUP($I43,'Old Pricing - end 26-Jan-2026'!$A:$K,8,FALSE)</f>
        <v>1245</v>
      </c>
      <c r="M43" s="55">
        <f>VLOOKUP($I43,'Old Pricing - end 26-Jan-2026'!$A:$K,10,FALSE)</f>
        <v>2745</v>
      </c>
      <c r="N43" s="55" t="str">
        <f>VLOOKUP($I43,'Old Pricing - end 26-Jan-2026'!$A:$R,13,FALSE)&amp;" "&amp;VLOOKUP($I43,'Old Pricing - end 26-Jan-2026'!$A:$R,12,FALSE)</f>
        <v>ASC 0099 MATTE BLACK</v>
      </c>
      <c r="O43" s="149">
        <f>((VLOOKUP($I43,'Old Pricing - end 26-Jan-2026'!$A:$R,7,FALSE)/12)*(VLOOKUP($I43,'Old Pricing - end 26-Jan-2026'!$A:$R,9,FALSE)/12)*Q43)/1000</f>
        <v>22.05</v>
      </c>
      <c r="P43" s="55">
        <f>(VLOOKUP($I43,'Old Pricing - end 26-Jan-2026'!$A:$R,8,FALSE)/1000)*(VLOOKUP($I43,'Old Pricing - end 26-Jan-2026'!$A:$R,10,FALSE)/1000)*Q43</f>
        <v>2050.5150000000003</v>
      </c>
      <c r="Q43" s="55">
        <v>600</v>
      </c>
      <c r="R43" s="71">
        <f>$Q43/IFERROR(VLOOKUP($F43&amp;RIGHT($K43,8),'Master Data'!$O$5:$P$10,2,FALSE),'Master Data'!$P$4)</f>
        <v>3</v>
      </c>
      <c r="S43" s="57">
        <f>VLOOKUP($I43,'Old Pricing - end 26-Jan-2026'!$A:$Q,16,FALSE)</f>
        <v>750</v>
      </c>
      <c r="T43" s="57">
        <f>VLOOKUP(I43,'Old Pricing - end 26-Jan-2026'!$A:$O,15,FALSE)</f>
        <v>8.07</v>
      </c>
      <c r="U43" s="57">
        <v>15438</v>
      </c>
      <c r="V43" s="111">
        <f t="shared" si="1"/>
        <v>16547.656050000001</v>
      </c>
      <c r="W43" s="55">
        <f>VLOOKUP($I43,'Old Pricing - end 26-Jan-2026'!$A:$R,18,FALSE)</f>
        <v>90</v>
      </c>
    </row>
    <row r="44" spans="1:27" ht="15" hidden="1" thickTop="1" x14ac:dyDescent="0.3">
      <c r="A44">
        <v>24099879</v>
      </c>
      <c r="B44" s="55">
        <v>0</v>
      </c>
      <c r="C44" s="55" t="str">
        <f>VLOOKUP(A44&amp;"-"&amp;B44,'Order Summary'!$D:$E,2,FALSE)</f>
        <v>Telex / Seaway Released</v>
      </c>
      <c r="D44" s="216">
        <f>IF($A44="","",VLOOKUP($A44&amp;"-"&amp;$B44,'Order Summary'!$D:$U,3,FALSE))</f>
        <v>45964</v>
      </c>
      <c r="E44" s="55" t="str">
        <f>VLOOKUP(A44&amp;"-"&amp;B44,'Order Summary'!$D:$G,4,FALSE)</f>
        <v>Yes</v>
      </c>
      <c r="F44" s="55" t="str">
        <f>VLOOKUP($A44,'Order Summary'!$B:$I,8,FALSE)</f>
        <v>Granger, IN</v>
      </c>
      <c r="G44" s="216">
        <f>IF($A44="","",VLOOKUP($A44&amp;"-"&amp;$B44,'Order Summary'!$D:$U,18,FALSE))</f>
        <v>46114</v>
      </c>
      <c r="H44" s="55">
        <v>1</v>
      </c>
      <c r="I44" s="55">
        <v>694432</v>
      </c>
      <c r="J44" s="55" t="str">
        <f>VLOOKUP($I44,'Old Pricing - end 26-Jan-2026'!$A:$R,2,FALSE)</f>
        <v>G1S 694432</v>
      </c>
      <c r="K44" s="55" t="str">
        <f>VLOOKUP($I44,'Old Pricing - end 26-Jan-2026'!$A:$R,6,FALSE)&amp;" "&amp;VLOOKUP($I44,'Old Pricing - end 26-Jan-2026'!$A:$R,7,FALSE)&amp;""" x "&amp;VLOOKUP($I44,'Old Pricing - end 26-Jan-2026'!$A:$R,9,FALSE)&amp;""" "&amp;VLOOKUP($I44,'Old Pricing - end 26-Jan-2026'!$A:$R,5,FALSE)</f>
        <v>2MM 49" x 96" ACP</v>
      </c>
      <c r="L44" s="55">
        <f>VLOOKUP($I44,'Old Pricing - end 26-Jan-2026'!$A:$K,8,FALSE)</f>
        <v>1245</v>
      </c>
      <c r="M44" s="55">
        <f>VLOOKUP($I44,'Old Pricing - end 26-Jan-2026'!$A:$K,10,FALSE)</f>
        <v>2440</v>
      </c>
      <c r="N44" s="55" t="str">
        <f>VLOOKUP($I44,'Old Pricing - end 26-Jan-2026'!$A:$R,13,FALSE)&amp;" "&amp;VLOOKUP($I44,'Old Pricing - end 26-Jan-2026'!$A:$R,12,FALSE)</f>
        <v>ASC 0096 GLOSSY BLACK</v>
      </c>
      <c r="O44" s="56">
        <v>19.600000000000001</v>
      </c>
      <c r="P44" s="55">
        <f>(VLOOKUP($I44,'Old Pricing - end 26-Jan-2026'!$A:$R,8,FALSE)/1000)*(VLOOKUP($I44,'Old Pricing - end 26-Jan-2026'!$A:$R,10,FALSE)/1000)*Q44</f>
        <v>1822.68</v>
      </c>
      <c r="Q44" s="55">
        <f>ROUND(('Order Details'!$O44*1000)/((VLOOKUP($I44,'Old Pricing - end 26-Jan-2026'!$A:$Q,7,FALSE)/12)*(VLOOKUP($I44,'Old Pricing - end 26-Jan-2026'!$A:$Q,9,FALSE)/12))/5,0)*5</f>
        <v>600</v>
      </c>
      <c r="R44" s="71">
        <f>$Q44/IFERROR(VLOOKUP($F44&amp;RIGHT($K44,8),'Master Data'!$O$5:$P$10,2,FALSE),'Master Data'!$P$4)</f>
        <v>3</v>
      </c>
      <c r="S44" s="57">
        <f>VLOOKUP($I44,'Old Pricing - end 26-Jan-2026'!$A:$Q,16,FALSE)</f>
        <v>700</v>
      </c>
      <c r="T44" s="57">
        <f>VLOOKUP(I44,'Old Pricing - end 26-Jan-2026'!$A:$O,15,FALSE)</f>
        <v>7.53</v>
      </c>
      <c r="U44" s="57">
        <f t="shared" ref="U44:U109" si="2">O44*S44</f>
        <v>13720.000000000002</v>
      </c>
      <c r="V44" s="111">
        <f t="shared" si="1"/>
        <v>13724.780400000001</v>
      </c>
      <c r="W44" s="55">
        <f>VLOOKUP($I44,'Old Pricing - end 26-Jan-2026'!$A:$R,18,FALSE)</f>
        <v>45</v>
      </c>
    </row>
    <row r="45" spans="1:27" ht="15" hidden="1" thickTop="1" x14ac:dyDescent="0.3">
      <c r="A45" s="55">
        <v>24099879</v>
      </c>
      <c r="B45" s="55">
        <v>0</v>
      </c>
      <c r="C45" s="55" t="str">
        <f>VLOOKUP(A45&amp;"-"&amp;B45,'Order Summary'!$D:$E,2,FALSE)</f>
        <v>Telex / Seaway Released</v>
      </c>
      <c r="D45" s="216">
        <f>IF($A45="","",VLOOKUP($A45&amp;"-"&amp;$B45,'Order Summary'!$D:$U,3,FALSE))</f>
        <v>45964</v>
      </c>
      <c r="E45" s="55" t="str">
        <f>VLOOKUP(A45&amp;"-"&amp;B45,'Order Summary'!$D:$G,4,FALSE)</f>
        <v>Yes</v>
      </c>
      <c r="F45" s="55" t="str">
        <f>VLOOKUP($A45,'Order Summary'!$B:$I,8,FALSE)</f>
        <v>Granger, IN</v>
      </c>
      <c r="G45" s="216">
        <f>IF($A45="","",VLOOKUP($A45&amp;"-"&amp;$B45,'Order Summary'!$D:$U,18,FALSE))</f>
        <v>46114</v>
      </c>
      <c r="H45" s="55">
        <v>2</v>
      </c>
      <c r="I45" s="55">
        <v>694436</v>
      </c>
      <c r="J45" s="55" t="str">
        <f>VLOOKUP($I45,'Old Pricing - end 26-Jan-2026'!$A:$R,2,FALSE)</f>
        <v>G1S 694436</v>
      </c>
      <c r="K45" s="55" t="str">
        <f>VLOOKUP($I45,'Old Pricing - end 26-Jan-2026'!$A:$R,6,FALSE)&amp;" "&amp;VLOOKUP($I45,'Old Pricing - end 26-Jan-2026'!$A:$R,7,FALSE)&amp;""" x "&amp;VLOOKUP($I45,'Old Pricing - end 26-Jan-2026'!$A:$R,9,FALSE)&amp;""" "&amp;VLOOKUP($I45,'Old Pricing - end 26-Jan-2026'!$A:$R,5,FALSE)</f>
        <v>2MM 49" x 96" ACP</v>
      </c>
      <c r="L45" s="55">
        <f>VLOOKUP($I45,'Old Pricing - end 26-Jan-2026'!$A:$K,8,FALSE)</f>
        <v>1245</v>
      </c>
      <c r="M45" s="55">
        <f>VLOOKUP($I45,'Old Pricing - end 26-Jan-2026'!$A:$K,10,FALSE)</f>
        <v>2440</v>
      </c>
      <c r="N45" s="55" t="str">
        <f>VLOOKUP($I45,'Old Pricing - end 26-Jan-2026'!$A:$R,13,FALSE)&amp;" "&amp;VLOOKUP($I45,'Old Pricing - end 26-Jan-2026'!$A:$R,12,FALSE)</f>
        <v>ASC 0069 GLOSSY WHITE</v>
      </c>
      <c r="O45" s="56">
        <v>19.600000000000001</v>
      </c>
      <c r="P45" s="55">
        <f>(VLOOKUP($I45,'Old Pricing - end 26-Jan-2026'!$A:$R,8,FALSE)/1000)*(VLOOKUP($I45,'Old Pricing - end 26-Jan-2026'!$A:$R,10,FALSE)/1000)*Q45</f>
        <v>1822.68</v>
      </c>
      <c r="Q45" s="55">
        <f>ROUND(('Order Details'!$O45*1000)/((VLOOKUP($I45,'Old Pricing - end 26-Jan-2026'!$A:$Q,7,FALSE)/12)*(VLOOKUP($I45,'Old Pricing - end 26-Jan-2026'!$A:$Q,9,FALSE)/12))/5,0)*5</f>
        <v>600</v>
      </c>
      <c r="R45" s="71">
        <f>$Q45/IFERROR(VLOOKUP($F45&amp;RIGHT($K45,8),'Master Data'!$O$5:$P$10,2,FALSE),'Master Data'!$P$4)</f>
        <v>3</v>
      </c>
      <c r="S45" s="57">
        <f>VLOOKUP($I45,'Old Pricing - end 26-Jan-2026'!$A:$Q,16,FALSE)</f>
        <v>700</v>
      </c>
      <c r="T45" s="57">
        <f>VLOOKUP(I45,'Old Pricing - end 26-Jan-2026'!$A:$O,15,FALSE)</f>
        <v>7.53</v>
      </c>
      <c r="U45" s="57">
        <f t="shared" si="2"/>
        <v>13720.000000000002</v>
      </c>
      <c r="V45" s="111">
        <f t="shared" si="1"/>
        <v>13724.780400000001</v>
      </c>
      <c r="W45" s="55">
        <f>VLOOKUP($I45,'Old Pricing - end 26-Jan-2026'!$A:$R,18,FALSE)</f>
        <v>45</v>
      </c>
    </row>
    <row r="46" spans="1:27" ht="15" hidden="1" thickTop="1" x14ac:dyDescent="0.3">
      <c r="A46" s="55">
        <v>24099879</v>
      </c>
      <c r="B46" s="55">
        <v>0</v>
      </c>
      <c r="C46" s="55" t="str">
        <f>VLOOKUP(A46&amp;"-"&amp;B46,'Order Summary'!$D:$E,2,FALSE)</f>
        <v>Telex / Seaway Released</v>
      </c>
      <c r="D46" s="216">
        <f>IF($A46="","",VLOOKUP($A46&amp;"-"&amp;$B46,'Order Summary'!$D:$U,3,FALSE))</f>
        <v>45964</v>
      </c>
      <c r="E46" s="55" t="str">
        <f>VLOOKUP(A46&amp;"-"&amp;B46,'Order Summary'!$D:$G,4,FALSE)</f>
        <v>Yes</v>
      </c>
      <c r="F46" s="55" t="str">
        <f>VLOOKUP($A46,'Order Summary'!$B:$I,8,FALSE)</f>
        <v>Granger, IN</v>
      </c>
      <c r="G46" s="216">
        <f>IF($A46="","",VLOOKUP($A46&amp;"-"&amp;$B46,'Order Summary'!$D:$U,18,FALSE))</f>
        <v>46114</v>
      </c>
      <c r="H46" s="55">
        <v>3</v>
      </c>
      <c r="I46" s="55">
        <v>694440</v>
      </c>
      <c r="J46" s="55" t="str">
        <f>VLOOKUP($I46,'Old Pricing - end 26-Jan-2026'!$A:$R,2,FALSE)</f>
        <v>G1S 694440</v>
      </c>
      <c r="K46" s="55" t="str">
        <f>VLOOKUP($I46,'Old Pricing - end 26-Jan-2026'!$A:$R,6,FALSE)&amp;" "&amp;VLOOKUP($I46,'Old Pricing - end 26-Jan-2026'!$A:$R,7,FALSE)&amp;""" x "&amp;VLOOKUP($I46,'Old Pricing - end 26-Jan-2026'!$A:$R,9,FALSE)&amp;""" "&amp;VLOOKUP($I46,'Old Pricing - end 26-Jan-2026'!$A:$R,5,FALSE)</f>
        <v>2MM 49" x 96" ACP</v>
      </c>
      <c r="L46" s="55">
        <f>VLOOKUP($I46,'Old Pricing - end 26-Jan-2026'!$A:$K,8,FALSE)</f>
        <v>1245</v>
      </c>
      <c r="M46" s="55">
        <f>VLOOKUP($I46,'Old Pricing - end 26-Jan-2026'!$A:$K,10,FALSE)</f>
        <v>2440</v>
      </c>
      <c r="N46" s="55" t="str">
        <f>VLOOKUP($I46,'Old Pricing - end 26-Jan-2026'!$A:$R,13,FALSE)&amp;" "&amp;VLOOKUP($I46,'Old Pricing - end 26-Jan-2026'!$A:$R,12,FALSE)</f>
        <v>AMC 0103 SILVER FROST</v>
      </c>
      <c r="O46" s="56">
        <v>19.600000000000001</v>
      </c>
      <c r="P46" s="55">
        <f>(VLOOKUP($I46,'Old Pricing - end 26-Jan-2026'!$A:$R,8,FALSE)/1000)*(VLOOKUP($I46,'Old Pricing - end 26-Jan-2026'!$A:$R,10,FALSE)/1000)*Q46</f>
        <v>1822.68</v>
      </c>
      <c r="Q46" s="55">
        <f>ROUND(('Order Details'!$O46*1000)/((VLOOKUP($I46,'Old Pricing - end 26-Jan-2026'!$A:$Q,7,FALSE)/12)*(VLOOKUP($I46,'Old Pricing - end 26-Jan-2026'!$A:$Q,9,FALSE)/12))/5,0)*5</f>
        <v>600</v>
      </c>
      <c r="R46" s="71">
        <f>$Q46/IFERROR(VLOOKUP($F46&amp;RIGHT($K46,8),'Master Data'!$O$5:$P$10,2,FALSE),'Master Data'!$P$4)</f>
        <v>3</v>
      </c>
      <c r="S46" s="57">
        <f>VLOOKUP($I46,'Old Pricing - end 26-Jan-2026'!$A:$Q,16,FALSE)</f>
        <v>700</v>
      </c>
      <c r="T46" s="57">
        <f>VLOOKUP(I46,'Old Pricing - end 26-Jan-2026'!$A:$O,15,FALSE)</f>
        <v>7.53</v>
      </c>
      <c r="U46" s="57">
        <f t="shared" si="2"/>
        <v>13720.000000000002</v>
      </c>
      <c r="V46" s="111">
        <f t="shared" si="1"/>
        <v>13724.780400000001</v>
      </c>
      <c r="W46" s="55">
        <f>VLOOKUP($I46,'Old Pricing - end 26-Jan-2026'!$A:$R,18,FALSE)</f>
        <v>90</v>
      </c>
    </row>
    <row r="47" spans="1:27" ht="15" hidden="1" thickTop="1" x14ac:dyDescent="0.3">
      <c r="A47" s="55">
        <v>24099879</v>
      </c>
      <c r="B47" s="55">
        <v>0</v>
      </c>
      <c r="C47" s="55" t="str">
        <f>VLOOKUP(A47&amp;"-"&amp;B47,'Order Summary'!$D:$E,2,FALSE)</f>
        <v>Telex / Seaway Released</v>
      </c>
      <c r="D47" s="216">
        <f>IF($A47="","",VLOOKUP($A47&amp;"-"&amp;$B47,'Order Summary'!$D:$U,3,FALSE))</f>
        <v>45964</v>
      </c>
      <c r="E47" s="55" t="str">
        <f>VLOOKUP(A47&amp;"-"&amp;B47,'Order Summary'!$D:$G,4,FALSE)</f>
        <v>Yes</v>
      </c>
      <c r="F47" s="55" t="str">
        <f>VLOOKUP($A47,'Order Summary'!$B:$I,8,FALSE)</f>
        <v>Granger, IN</v>
      </c>
      <c r="G47" s="216">
        <f>IF($A47="","",VLOOKUP($A47&amp;"-"&amp;$B47,'Order Summary'!$D:$U,18,FALSE))</f>
        <v>46114</v>
      </c>
      <c r="H47" s="55">
        <v>4</v>
      </c>
      <c r="I47" s="55">
        <v>694444</v>
      </c>
      <c r="J47" s="55" t="str">
        <f>VLOOKUP($I47,'Old Pricing - end 26-Jan-2026'!$A:$R,2,FALSE)</f>
        <v>G1S 694444</v>
      </c>
      <c r="K47" s="55" t="str">
        <f>VLOOKUP($I47,'Old Pricing - end 26-Jan-2026'!$A:$R,6,FALSE)&amp;" "&amp;VLOOKUP($I47,'Old Pricing - end 26-Jan-2026'!$A:$R,7,FALSE)&amp;""" x "&amp;VLOOKUP($I47,'Old Pricing - end 26-Jan-2026'!$A:$R,9,FALSE)&amp;""" "&amp;VLOOKUP($I47,'Old Pricing - end 26-Jan-2026'!$A:$R,5,FALSE)</f>
        <v>2MM 49" x 96" ACP</v>
      </c>
      <c r="L47" s="55">
        <f>VLOOKUP($I47,'Old Pricing - end 26-Jan-2026'!$A:$K,8,FALSE)</f>
        <v>1245</v>
      </c>
      <c r="M47" s="55">
        <f>VLOOKUP($I47,'Old Pricing - end 26-Jan-2026'!$A:$K,10,FALSE)</f>
        <v>2440</v>
      </c>
      <c r="N47" s="55" t="str">
        <f>VLOOKUP($I47,'Old Pricing - end 26-Jan-2026'!$A:$R,13,FALSE)&amp;" "&amp;VLOOKUP($I47,'Old Pricing - end 26-Jan-2026'!$A:$R,12,FALSE)</f>
        <v>AMC 0086 CHARCOAL METALLIC</v>
      </c>
      <c r="O47" s="56">
        <v>19.600000000000001</v>
      </c>
      <c r="P47" s="55">
        <f>(VLOOKUP($I47,'Old Pricing - end 26-Jan-2026'!$A:$R,8,FALSE)/1000)*(VLOOKUP($I47,'Old Pricing - end 26-Jan-2026'!$A:$R,10,FALSE)/1000)*Q47</f>
        <v>1822.68</v>
      </c>
      <c r="Q47" s="55">
        <f>ROUND(('Order Details'!$O47*1000)/((VLOOKUP($I47,'Old Pricing - end 26-Jan-2026'!$A:$Q,7,FALSE)/12)*(VLOOKUP($I47,'Old Pricing - end 26-Jan-2026'!$A:$Q,9,FALSE)/12))/5,0)*5</f>
        <v>600</v>
      </c>
      <c r="R47" s="71">
        <f>$Q47/IFERROR(VLOOKUP($F47&amp;RIGHT($K47,8),'Master Data'!$O$5:$P$10,2,FALSE),'Master Data'!$P$4)</f>
        <v>3</v>
      </c>
      <c r="S47" s="57">
        <f>VLOOKUP($I47,'Old Pricing - end 26-Jan-2026'!$A:$Q,16,FALSE)</f>
        <v>750</v>
      </c>
      <c r="T47" s="57">
        <f>VLOOKUP(I47,'Old Pricing - end 26-Jan-2026'!$A:$O,15,FALSE)</f>
        <v>8.07</v>
      </c>
      <c r="U47" s="57">
        <f t="shared" si="2"/>
        <v>14700.000000000002</v>
      </c>
      <c r="V47" s="111">
        <f t="shared" si="1"/>
        <v>14709.027600000001</v>
      </c>
      <c r="W47" s="55">
        <f>VLOOKUP($I47,'Old Pricing - end 26-Jan-2026'!$A:$R,18,FALSE)</f>
        <v>45</v>
      </c>
    </row>
    <row r="48" spans="1:27" s="243" customFormat="1" ht="15" hidden="1" thickTop="1" x14ac:dyDescent="0.3">
      <c r="A48" s="237">
        <v>24099879</v>
      </c>
      <c r="B48" s="237">
        <v>0</v>
      </c>
      <c r="C48" s="237" t="str">
        <f>VLOOKUP(A48&amp;"-"&amp;B48,'Order Summary'!$D:$E,2,FALSE)</f>
        <v>Telex / Seaway Released</v>
      </c>
      <c r="D48" s="238">
        <f>IF($A48="","",VLOOKUP($A48&amp;"-"&amp;$B48,'Order Summary'!$D:$U,3,FALSE))</f>
        <v>45964</v>
      </c>
      <c r="E48" s="237" t="str">
        <f>VLOOKUP(A48&amp;"-"&amp;B48,'Order Summary'!$D:$G,4,FALSE)</f>
        <v>Yes</v>
      </c>
      <c r="F48" s="237" t="str">
        <f>VLOOKUP($A48,'Order Summary'!$B:$I,8,FALSE)</f>
        <v>Granger, IN</v>
      </c>
      <c r="G48" s="238">
        <f>IF($A48="","",VLOOKUP($A48&amp;"-"&amp;$B48,'Order Summary'!$D:$U,18,FALSE))</f>
        <v>46114</v>
      </c>
      <c r="H48" s="237">
        <v>5</v>
      </c>
      <c r="I48" s="237">
        <v>695620</v>
      </c>
      <c r="J48" s="237" t="str">
        <f>VLOOKUP($I48,'Old Pricing - end 26-Jan-2026'!$A:$R,2,FALSE)</f>
        <v>G1S 695620</v>
      </c>
      <c r="K48" s="237" t="str">
        <f>VLOOKUP($I48,'Old Pricing - end 26-Jan-2026'!$A:$R,6,FALSE)&amp;" "&amp;VLOOKUP($I48,'Old Pricing - end 26-Jan-2026'!$A:$R,7,FALSE)&amp;""" x "&amp;VLOOKUP($I48,'Old Pricing - end 26-Jan-2026'!$A:$R,9,FALSE)&amp;""" "&amp;VLOOKUP($I48,'Old Pricing - end 26-Jan-2026'!$A:$R,5,FALSE)</f>
        <v>2MM 49" x 96" ACP</v>
      </c>
      <c r="L48" s="237">
        <f>VLOOKUP($I48,'Old Pricing - end 26-Jan-2026'!$A:$K,8,FALSE)</f>
        <v>1245</v>
      </c>
      <c r="M48" s="237">
        <f>VLOOKUP($I48,'Old Pricing - end 26-Jan-2026'!$A:$K,10,FALSE)</f>
        <v>2440</v>
      </c>
      <c r="N48" s="237" t="str">
        <f>VLOOKUP($I48,'Old Pricing - end 26-Jan-2026'!$A:$R,13,FALSE)&amp;" "&amp;VLOOKUP($I48,'Old Pricing - end 26-Jan-2026'!$A:$R,12,FALSE)</f>
        <v>ASC 0105 INDIGO BLUE</v>
      </c>
      <c r="O48" s="239">
        <v>6.5330000000000004</v>
      </c>
      <c r="P48" s="237">
        <f>(VLOOKUP($I48,'Old Pricing - end 26-Jan-2026'!$A:$R,8,FALSE)/1000)*(VLOOKUP($I48,'Old Pricing - end 26-Jan-2026'!$A:$R,10,FALSE)/1000)*Q48</f>
        <v>607.56000000000006</v>
      </c>
      <c r="Q48" s="237">
        <f>ROUND(('Order Details'!$O48*1000)/((VLOOKUP($I48,'Old Pricing - end 26-Jan-2026'!$A:$Q,7,FALSE)/12)*(VLOOKUP($I48,'Old Pricing - end 26-Jan-2026'!$A:$Q,9,FALSE)/12))/5,0)*5</f>
        <v>200</v>
      </c>
      <c r="R48" s="240">
        <f>$Q48/IFERROR(VLOOKUP($F48&amp;RIGHT($K48,8),'Master Data'!$O$5:$P$10,2,FALSE),'Master Data'!$P$4)</f>
        <v>1</v>
      </c>
      <c r="S48" s="241">
        <f>VLOOKUP($I48,'Old Pricing - end 26-Jan-2026'!$A:$Q,16,FALSE)</f>
        <v>750</v>
      </c>
      <c r="T48" s="241">
        <f>VLOOKUP(I48,'Old Pricing - end 26-Jan-2026'!$A:$O,15,FALSE)</f>
        <v>8.07</v>
      </c>
      <c r="U48" s="241">
        <f t="shared" si="2"/>
        <v>4899.75</v>
      </c>
      <c r="V48" s="242">
        <f t="shared" si="1"/>
        <v>4903.0092000000004</v>
      </c>
      <c r="W48" s="237">
        <f>VLOOKUP($I48,'Old Pricing - end 26-Jan-2026'!$A:$R,18,FALSE)</f>
        <v>45</v>
      </c>
    </row>
    <row r="49" spans="1:24" s="243" customFormat="1" ht="15" hidden="1" thickTop="1" x14ac:dyDescent="0.3">
      <c r="A49" s="237">
        <v>24099879</v>
      </c>
      <c r="B49" s="237">
        <v>0</v>
      </c>
      <c r="C49" s="237" t="str">
        <f>VLOOKUP(A49&amp;"-"&amp;B49,'Order Summary'!$D:$E,2,FALSE)</f>
        <v>Telex / Seaway Released</v>
      </c>
      <c r="D49" s="238">
        <f>IF($A49="","",VLOOKUP($A49&amp;"-"&amp;$B49,'Order Summary'!$D:$U,3,FALSE))</f>
        <v>45964</v>
      </c>
      <c r="E49" s="237" t="str">
        <f>VLOOKUP(A49&amp;"-"&amp;B49,'Order Summary'!$D:$G,4,FALSE)</f>
        <v>Yes</v>
      </c>
      <c r="F49" s="237" t="str">
        <f>VLOOKUP($A49,'Order Summary'!$B:$I,8,FALSE)</f>
        <v>Granger, IN</v>
      </c>
      <c r="G49" s="238">
        <f>IF($A49="","",VLOOKUP($A49&amp;"-"&amp;$B49,'Order Summary'!$D:$U,18,FALSE))</f>
        <v>46114</v>
      </c>
      <c r="H49" s="237">
        <v>7</v>
      </c>
      <c r="I49" s="237">
        <v>695620</v>
      </c>
      <c r="J49" s="237" t="str">
        <f>VLOOKUP($I49,'Old Pricing - end 26-Jan-2026'!$A:$R,2,FALSE)</f>
        <v>G1S 695620</v>
      </c>
      <c r="K49" s="237" t="str">
        <f>VLOOKUP($I49,'Old Pricing - end 26-Jan-2026'!$A:$R,6,FALSE)&amp;" "&amp;VLOOKUP($I49,'Old Pricing - end 26-Jan-2026'!$A:$R,7,FALSE)&amp;""" x "&amp;VLOOKUP($I49,'Old Pricing - end 26-Jan-2026'!$A:$R,9,FALSE)&amp;""" "&amp;VLOOKUP($I49,'Old Pricing - end 26-Jan-2026'!$A:$R,5,FALSE)</f>
        <v>2MM 49" x 96" ACP</v>
      </c>
      <c r="L49" s="237">
        <f>VLOOKUP($I49,'Old Pricing - end 26-Jan-2026'!$A:$K,8,FALSE)</f>
        <v>1245</v>
      </c>
      <c r="M49" s="237">
        <f>VLOOKUP($I49,'Old Pricing - end 26-Jan-2026'!$A:$K,10,FALSE)</f>
        <v>2440</v>
      </c>
      <c r="N49" s="237" t="str">
        <f>VLOOKUP($I49,'Old Pricing - end 26-Jan-2026'!$A:$R,13,FALSE)&amp;" "&amp;VLOOKUP($I49,'Old Pricing - end 26-Jan-2026'!$A:$R,12,FALSE)</f>
        <v>ASC 0105 INDIGO BLUE</v>
      </c>
      <c r="O49" s="239">
        <v>6.5330000000000004</v>
      </c>
      <c r="P49" s="237">
        <f>(VLOOKUP($I49,'Old Pricing - end 26-Jan-2026'!$A:$R,8,FALSE)/1000)*(VLOOKUP($I49,'Old Pricing - end 26-Jan-2026'!$A:$R,10,FALSE)/1000)*Q49</f>
        <v>607.56000000000006</v>
      </c>
      <c r="Q49" s="237">
        <f>ROUND(('Order Details'!$O49*1000)/((VLOOKUP($I49,'Old Pricing - end 26-Jan-2026'!$A:$Q,7,FALSE)/12)*(VLOOKUP($I49,'Old Pricing - end 26-Jan-2026'!$A:$Q,9,FALSE)/12))/5,0)*5</f>
        <v>200</v>
      </c>
      <c r="R49" s="240">
        <f>$Q49/IFERROR(VLOOKUP($F49&amp;RIGHT($K49,8),'Master Data'!$O$5:$P$10,2,FALSE),'Master Data'!$P$4)</f>
        <v>1</v>
      </c>
      <c r="S49" s="241">
        <f>VLOOKUP($I49,'Old Pricing - end 26-Jan-2026'!$A:$Q,16,FALSE)</f>
        <v>750</v>
      </c>
      <c r="T49" s="241">
        <f>VLOOKUP(I49,'Old Pricing - end 26-Jan-2026'!$A:$O,15,FALSE)</f>
        <v>8.07</v>
      </c>
      <c r="U49" s="241">
        <f t="shared" ref="U49" si="3">O49*S49</f>
        <v>4899.75</v>
      </c>
      <c r="V49" s="242">
        <f t="shared" ref="V49" si="4">P49*T49</f>
        <v>4903.0092000000004</v>
      </c>
      <c r="W49" s="237">
        <f>VLOOKUP($I49,'Old Pricing - end 26-Jan-2026'!$A:$R,18,FALSE)</f>
        <v>45</v>
      </c>
      <c r="X49" s="243" t="s">
        <v>334</v>
      </c>
    </row>
    <row r="50" spans="1:24" ht="15" hidden="1" thickTop="1" x14ac:dyDescent="0.3">
      <c r="A50" s="55">
        <v>24099879</v>
      </c>
      <c r="B50" s="55">
        <v>0</v>
      </c>
      <c r="C50" s="55" t="str">
        <f>VLOOKUP(A50&amp;"-"&amp;B50,'Order Summary'!$D:$E,2,FALSE)</f>
        <v>Telex / Seaway Released</v>
      </c>
      <c r="D50" s="216">
        <f>IF($A50="","",VLOOKUP($A50&amp;"-"&amp;$B50,'Order Summary'!$D:$U,3,FALSE))</f>
        <v>45964</v>
      </c>
      <c r="E50" s="55" t="s">
        <v>197</v>
      </c>
      <c r="F50" s="55" t="str">
        <f>VLOOKUP($A50,'Order Summary'!$B:$I,8,FALSE)</f>
        <v>Granger, IN</v>
      </c>
      <c r="G50" s="216">
        <f>IF($A50="","",VLOOKUP($A50&amp;"-"&amp;$B50,'Order Summary'!$D:$U,18,FALSE))</f>
        <v>46114</v>
      </c>
      <c r="H50" s="55">
        <v>6</v>
      </c>
      <c r="I50" s="55">
        <v>694672</v>
      </c>
      <c r="J50" s="55" t="str">
        <f>VLOOKUP($I50,'Old Pricing - end 26-Jan-2026'!$A:$R,2,FALSE)</f>
        <v>G1S 694672</v>
      </c>
      <c r="K50" s="55" t="str">
        <f>VLOOKUP($I50,'Old Pricing - end 26-Jan-2026'!$A:$R,6,FALSE)&amp;" "&amp;VLOOKUP($I50,'Old Pricing - end 26-Jan-2026'!$A:$R,7,FALSE)&amp;""" x "&amp;VLOOKUP($I50,'Old Pricing - end 26-Jan-2026'!$A:$R,9,FALSE)&amp;""" "&amp;VLOOKUP($I50,'Old Pricing - end 26-Jan-2026'!$A:$R,5,FALSE)</f>
        <v>2MM 49" x 96" ACP</v>
      </c>
      <c r="L50" s="55">
        <f>VLOOKUP($I50,'Old Pricing - end 26-Jan-2026'!$A:$K,8,FALSE)</f>
        <v>1245</v>
      </c>
      <c r="M50" s="55">
        <f>VLOOKUP($I50,'Old Pricing - end 26-Jan-2026'!$A:$K,10,FALSE)</f>
        <v>2440</v>
      </c>
      <c r="N50" s="55" t="str">
        <f>VLOOKUP($I50,'Old Pricing - end 26-Jan-2026'!$A:$R,13,FALSE)&amp;" "&amp;VLOOKUP($I50,'Old Pricing - end 26-Jan-2026'!$A:$R,12,FALSE)</f>
        <v>ASC 0089 VICTORY RED</v>
      </c>
      <c r="O50" s="56">
        <v>6.5330000000000004</v>
      </c>
      <c r="P50" s="55">
        <f>(VLOOKUP($I50,'Old Pricing - end 26-Jan-2026'!$A:$R,8,FALSE)/1000)*(VLOOKUP($I50,'Old Pricing - end 26-Jan-2026'!$A:$R,10,FALSE)/1000)*Q50</f>
        <v>607.56000000000006</v>
      </c>
      <c r="Q50" s="55">
        <f>ROUND(('Order Details'!$O50*1000)/((VLOOKUP($I50,'Old Pricing - end 26-Jan-2026'!$A:$Q,7,FALSE)/12)*(VLOOKUP($I50,'Old Pricing - end 26-Jan-2026'!$A:$Q,9,FALSE)/12))/5,0)*5</f>
        <v>200</v>
      </c>
      <c r="R50" s="71">
        <f>$Q50/IFERROR(VLOOKUP($F50&amp;RIGHT($K50,8),'Master Data'!$O$5:$P$10,2,FALSE),'Master Data'!$P$4)</f>
        <v>1</v>
      </c>
      <c r="S50" s="57">
        <f>VLOOKUP($I50,'Old Pricing - end 26-Jan-2026'!$A:$Q,16,FALSE)</f>
        <v>700</v>
      </c>
      <c r="T50" s="57">
        <f>VLOOKUP(I50,'Old Pricing - end 26-Jan-2026'!$A:$O,15,FALSE)</f>
        <v>7.53</v>
      </c>
      <c r="U50" s="57">
        <f t="shared" si="2"/>
        <v>4573.1000000000004</v>
      </c>
      <c r="V50" s="111">
        <f t="shared" si="1"/>
        <v>4574.9268000000002</v>
      </c>
      <c r="W50" s="55">
        <f>VLOOKUP($I50,'Old Pricing - end 26-Jan-2026'!$A:$R,18,FALSE)</f>
        <v>45</v>
      </c>
    </row>
    <row r="51" spans="1:24" ht="15" hidden="1" thickTop="1" x14ac:dyDescent="0.3">
      <c r="A51">
        <v>24099925</v>
      </c>
      <c r="B51" s="55">
        <v>0</v>
      </c>
      <c r="C51" s="55" t="str">
        <f>VLOOKUP(A51&amp;"-"&amp;B51,'Order Summary'!$D:$E,2,FALSE)</f>
        <v>Telex / Seaway Released</v>
      </c>
      <c r="D51" s="216">
        <f>IF($A51="","",VLOOKUP($A51&amp;"-"&amp;$B51,'Order Summary'!$D:$U,3,FALSE))</f>
        <v>45964</v>
      </c>
      <c r="E51" s="55" t="str">
        <f>VLOOKUP(A51&amp;"-"&amp;B51,'Order Summary'!$D:$G,4,FALSE)</f>
        <v>Yes</v>
      </c>
      <c r="F51" s="55" t="str">
        <f>VLOOKUP($A51,'Order Summary'!$B:$I,8,FALSE)</f>
        <v>Granger, IN</v>
      </c>
      <c r="G51" s="216">
        <f>IF($A51="","",VLOOKUP($A51&amp;"-"&amp;$B51,'Order Summary'!$D:$U,18,FALSE))</f>
        <v>46112</v>
      </c>
      <c r="H51" s="55">
        <v>1</v>
      </c>
      <c r="I51" s="55">
        <v>694433</v>
      </c>
      <c r="J51" s="55" t="str">
        <f>VLOOKUP($I51,'Old Pricing - end 26-Jan-2026'!$A:$R,2,FALSE)</f>
        <v>G1S 694433</v>
      </c>
      <c r="K51" s="55" t="str">
        <f>VLOOKUP($I51,'Old Pricing - end 26-Jan-2026'!$A:$R,6,FALSE)&amp;" "&amp;VLOOKUP($I51,'Old Pricing - end 26-Jan-2026'!$A:$R,7,FALSE)&amp;""" x "&amp;VLOOKUP($I51,'Old Pricing - end 26-Jan-2026'!$A:$R,9,FALSE)&amp;""" "&amp;VLOOKUP($I51,'Old Pricing - end 26-Jan-2026'!$A:$R,5,FALSE)</f>
        <v>2MM 49" x 108" ACP</v>
      </c>
      <c r="L51" s="55">
        <f>VLOOKUP($I51,'Old Pricing - end 26-Jan-2026'!$A:$K,8,FALSE)</f>
        <v>1245</v>
      </c>
      <c r="M51" s="55">
        <f>VLOOKUP($I51,'Old Pricing - end 26-Jan-2026'!$A:$K,10,FALSE)</f>
        <v>2745</v>
      </c>
      <c r="N51" s="55" t="str">
        <f>VLOOKUP($I51,'Old Pricing - end 26-Jan-2026'!$A:$R,13,FALSE)&amp;" "&amp;VLOOKUP($I51,'Old Pricing - end 26-Jan-2026'!$A:$R,12,FALSE)</f>
        <v>ASC 0096 GLOSSY BLACK</v>
      </c>
      <c r="O51" s="113">
        <v>7.35</v>
      </c>
      <c r="P51" s="55">
        <f>(VLOOKUP($I51,'Old Pricing - end 26-Jan-2026'!$A:$R,8,FALSE)/1000)*(VLOOKUP($I51,'Old Pricing - end 26-Jan-2026'!$A:$R,10,FALSE)/1000)*Q51</f>
        <v>683.50500000000011</v>
      </c>
      <c r="Q51" s="55">
        <f>ROUND(('Order Details'!$O51*1000)/((VLOOKUP($I51,'Old Pricing - end 26-Jan-2026'!$A:$Q,7,FALSE)/12)*(VLOOKUP($I51,'Old Pricing - end 26-Jan-2026'!$A:$Q,9,FALSE)/12))/5,0)*5</f>
        <v>200</v>
      </c>
      <c r="R51" s="71">
        <f>$Q51/IFERROR(VLOOKUP($F51&amp;RIGHT($K51,8),'Master Data'!$O$5:$P$10,2,FALSE),'Master Data'!$P$4)</f>
        <v>1</v>
      </c>
      <c r="S51" s="57">
        <f>VLOOKUP($I51,'Old Pricing - end 26-Jan-2026'!$A:$Q,16,FALSE)</f>
        <v>700</v>
      </c>
      <c r="T51" s="57">
        <f>VLOOKUP(I51,'Old Pricing - end 26-Jan-2026'!$A:$O,15,FALSE)</f>
        <v>7.53</v>
      </c>
      <c r="U51" s="57">
        <f t="shared" si="2"/>
        <v>5145</v>
      </c>
      <c r="V51" s="111">
        <f t="shared" si="1"/>
        <v>5146.7926500000012</v>
      </c>
      <c r="W51" s="55">
        <f>VLOOKUP($I51,'Old Pricing - end 26-Jan-2026'!$A:$R,18,FALSE)</f>
        <v>45</v>
      </c>
    </row>
    <row r="52" spans="1:24" ht="15" hidden="1" thickTop="1" x14ac:dyDescent="0.3">
      <c r="A52" s="55">
        <v>24099925</v>
      </c>
      <c r="B52" s="55">
        <v>0</v>
      </c>
      <c r="C52" s="55" t="str">
        <f>VLOOKUP(A52&amp;"-"&amp;B52,'Order Summary'!$D:$E,2,FALSE)</f>
        <v>Telex / Seaway Released</v>
      </c>
      <c r="D52" s="216">
        <f>IF($A52="","",VLOOKUP($A52&amp;"-"&amp;$B52,'Order Summary'!$D:$U,3,FALSE))</f>
        <v>45964</v>
      </c>
      <c r="E52" s="55" t="str">
        <f>VLOOKUP(A52&amp;"-"&amp;B52,'Order Summary'!$D:$G,4,FALSE)</f>
        <v>Yes</v>
      </c>
      <c r="F52" s="55" t="str">
        <f>VLOOKUP($A52,'Order Summary'!$B:$I,8,FALSE)</f>
        <v>Granger, IN</v>
      </c>
      <c r="G52" s="216">
        <f>IF($A52="","",VLOOKUP($A52&amp;"-"&amp;$B52,'Order Summary'!$D:$U,18,FALSE))</f>
        <v>46112</v>
      </c>
      <c r="H52" s="55">
        <v>2</v>
      </c>
      <c r="I52" s="55">
        <v>694434</v>
      </c>
      <c r="J52" s="55" t="str">
        <f>VLOOKUP($I52,'Old Pricing - end 26-Jan-2026'!$A:$R,2,FALSE)</f>
        <v>G1S 694434</v>
      </c>
      <c r="K52" s="55" t="str">
        <f>VLOOKUP($I52,'Old Pricing - end 26-Jan-2026'!$A:$R,6,FALSE)&amp;" "&amp;VLOOKUP($I52,'Old Pricing - end 26-Jan-2026'!$A:$R,7,FALSE)&amp;""" x "&amp;VLOOKUP($I52,'Old Pricing - end 26-Jan-2026'!$A:$R,9,FALSE)&amp;""" "&amp;VLOOKUP($I52,'Old Pricing - end 26-Jan-2026'!$A:$R,5,FALSE)</f>
        <v>2MM 49" x 144" ACP</v>
      </c>
      <c r="L52" s="55">
        <f>VLOOKUP($I52,'Old Pricing - end 26-Jan-2026'!$A:$K,8,FALSE)</f>
        <v>1245</v>
      </c>
      <c r="M52" s="55">
        <f>VLOOKUP($I52,'Old Pricing - end 26-Jan-2026'!$A:$K,10,FALSE)</f>
        <v>3658</v>
      </c>
      <c r="N52" s="55" t="str">
        <f>VLOOKUP($I52,'Old Pricing - end 26-Jan-2026'!$A:$R,13,FALSE)&amp;" "&amp;VLOOKUP($I52,'Old Pricing - end 26-Jan-2026'!$A:$R,12,FALSE)</f>
        <v>ASC 0096 GLOSSY BLACK</v>
      </c>
      <c r="O52" s="113">
        <v>9.8000000000000007</v>
      </c>
      <c r="P52" s="55">
        <f>(VLOOKUP($I52,'Old Pricing - end 26-Jan-2026'!$A:$R,8,FALSE)/1000)*(VLOOKUP($I52,'Old Pricing - end 26-Jan-2026'!$A:$R,10,FALSE)/1000)*Q52</f>
        <v>910.8420000000001</v>
      </c>
      <c r="Q52" s="55">
        <f>ROUND(('Order Details'!$O52*1000)/((VLOOKUP($I52,'Old Pricing - end 26-Jan-2026'!$A:$Q,7,FALSE)/12)*(VLOOKUP($I52,'Old Pricing - end 26-Jan-2026'!$A:$Q,9,FALSE)/12))/5,0)*5</f>
        <v>200</v>
      </c>
      <c r="R52" s="71">
        <f>$Q52/IFERROR(VLOOKUP($F52&amp;RIGHT($K52,8),'Master Data'!$O$5:$P$10,2,FALSE),'Master Data'!$P$4)</f>
        <v>1</v>
      </c>
      <c r="S52" s="57">
        <f>VLOOKUP($I52,'Old Pricing - end 26-Jan-2026'!$A:$Q,16,FALSE)</f>
        <v>700</v>
      </c>
      <c r="T52" s="57">
        <f>VLOOKUP(I52,'Old Pricing - end 26-Jan-2026'!$A:$O,15,FALSE)</f>
        <v>7.53</v>
      </c>
      <c r="U52" s="57">
        <f t="shared" si="2"/>
        <v>6860.0000000000009</v>
      </c>
      <c r="V52" s="111">
        <f t="shared" si="1"/>
        <v>6858.640260000001</v>
      </c>
      <c r="W52" s="55">
        <f>VLOOKUP($I52,'Old Pricing - end 26-Jan-2026'!$A:$R,18,FALSE)</f>
        <v>45</v>
      </c>
    </row>
    <row r="53" spans="1:24" ht="15" hidden="1" thickTop="1" x14ac:dyDescent="0.3">
      <c r="A53" s="55">
        <v>24099925</v>
      </c>
      <c r="B53" s="55">
        <v>0</v>
      </c>
      <c r="C53" s="55" t="str">
        <f>VLOOKUP(A53&amp;"-"&amp;B53,'Order Summary'!$D:$E,2,FALSE)</f>
        <v>Telex / Seaway Released</v>
      </c>
      <c r="D53" s="216">
        <f>IF($A53="","",VLOOKUP($A53&amp;"-"&amp;$B53,'Order Summary'!$D:$U,3,FALSE))</f>
        <v>45964</v>
      </c>
      <c r="E53" s="55" t="str">
        <f>VLOOKUP(A53&amp;"-"&amp;B53,'Order Summary'!$D:$G,4,FALSE)</f>
        <v>Yes</v>
      </c>
      <c r="F53" s="55" t="str">
        <f>VLOOKUP($A53,'Order Summary'!$B:$I,8,FALSE)</f>
        <v>Granger, IN</v>
      </c>
      <c r="G53" s="216">
        <f>IF($A53="","",VLOOKUP($A53&amp;"-"&amp;$B53,'Order Summary'!$D:$U,18,FALSE))</f>
        <v>46112</v>
      </c>
      <c r="H53" s="55">
        <v>3</v>
      </c>
      <c r="I53" s="55">
        <v>694437</v>
      </c>
      <c r="J53" s="55" t="str">
        <f>VLOOKUP($I53,'Old Pricing - end 26-Jan-2026'!$A:$R,2,FALSE)</f>
        <v>G1S 694437</v>
      </c>
      <c r="K53" s="55" t="str">
        <f>VLOOKUP($I53,'Old Pricing - end 26-Jan-2026'!$A:$R,6,FALSE)&amp;" "&amp;VLOOKUP($I53,'Old Pricing - end 26-Jan-2026'!$A:$R,7,FALSE)&amp;""" x "&amp;VLOOKUP($I53,'Old Pricing - end 26-Jan-2026'!$A:$R,9,FALSE)&amp;""" "&amp;VLOOKUP($I53,'Old Pricing - end 26-Jan-2026'!$A:$R,5,FALSE)</f>
        <v>2MM 49" x 108" ACP</v>
      </c>
      <c r="L53" s="55">
        <f>VLOOKUP($I53,'Old Pricing - end 26-Jan-2026'!$A:$K,8,FALSE)</f>
        <v>1245</v>
      </c>
      <c r="M53" s="55">
        <f>VLOOKUP($I53,'Old Pricing - end 26-Jan-2026'!$A:$K,10,FALSE)</f>
        <v>2745</v>
      </c>
      <c r="N53" s="55" t="str">
        <f>VLOOKUP($I53,'Old Pricing - end 26-Jan-2026'!$A:$R,13,FALSE)&amp;" "&amp;VLOOKUP($I53,'Old Pricing - end 26-Jan-2026'!$A:$R,12,FALSE)</f>
        <v>ASC 0069 GLOSSY WHITE</v>
      </c>
      <c r="O53" s="113">
        <v>14.7</v>
      </c>
      <c r="P53" s="55">
        <f>(VLOOKUP($I53,'Old Pricing - end 26-Jan-2026'!$A:$R,8,FALSE)/1000)*(VLOOKUP($I53,'Old Pricing - end 26-Jan-2026'!$A:$R,10,FALSE)/1000)*Q53</f>
        <v>1367.0100000000002</v>
      </c>
      <c r="Q53" s="55">
        <f>ROUND(('Order Details'!$O53*1000)/((VLOOKUP($I53,'Old Pricing - end 26-Jan-2026'!$A:$Q,7,FALSE)/12)*(VLOOKUP($I53,'Old Pricing - end 26-Jan-2026'!$A:$Q,9,FALSE)/12))/5,0)*5</f>
        <v>400</v>
      </c>
      <c r="R53" s="71">
        <f>$Q53/IFERROR(VLOOKUP($F53&amp;RIGHT($K53,8),'Master Data'!$O$5:$P$10,2,FALSE),'Master Data'!$P$4)</f>
        <v>2</v>
      </c>
      <c r="S53" s="57">
        <f>VLOOKUP($I53,'Old Pricing - end 26-Jan-2026'!$A:$Q,16,FALSE)</f>
        <v>700</v>
      </c>
      <c r="T53" s="57">
        <f>VLOOKUP(I53,'Old Pricing - end 26-Jan-2026'!$A:$O,15,FALSE)</f>
        <v>7.53</v>
      </c>
      <c r="U53" s="57">
        <f t="shared" si="2"/>
        <v>10290</v>
      </c>
      <c r="V53" s="111">
        <f t="shared" si="1"/>
        <v>10293.585300000002</v>
      </c>
      <c r="W53" s="55">
        <f>VLOOKUP($I53,'Old Pricing - end 26-Jan-2026'!$A:$R,18,FALSE)</f>
        <v>45</v>
      </c>
    </row>
    <row r="54" spans="1:24" ht="15" hidden="1" thickTop="1" x14ac:dyDescent="0.3">
      <c r="A54" s="55">
        <v>24099925</v>
      </c>
      <c r="B54" s="55">
        <v>0</v>
      </c>
      <c r="C54" s="55" t="str">
        <f>VLOOKUP(A54&amp;"-"&amp;B54,'Order Summary'!$D:$E,2,FALSE)</f>
        <v>Telex / Seaway Released</v>
      </c>
      <c r="D54" s="216">
        <f>IF($A54="","",VLOOKUP($A54&amp;"-"&amp;$B54,'Order Summary'!$D:$U,3,FALSE))</f>
        <v>45964</v>
      </c>
      <c r="E54" s="55" t="str">
        <f>VLOOKUP(A54&amp;"-"&amp;B54,'Order Summary'!$D:$G,4,FALSE)</f>
        <v>Yes</v>
      </c>
      <c r="F54" s="55" t="str">
        <f>VLOOKUP($A54,'Order Summary'!$B:$I,8,FALSE)</f>
        <v>Granger, IN</v>
      </c>
      <c r="G54" s="216">
        <f>IF($A54="","",VLOOKUP($A54&amp;"-"&amp;$B54,'Order Summary'!$D:$U,18,FALSE))</f>
        <v>46112</v>
      </c>
      <c r="H54" s="55">
        <v>4</v>
      </c>
      <c r="I54" s="55">
        <v>694438</v>
      </c>
      <c r="J54" s="55" t="str">
        <f>VLOOKUP($I54,'Old Pricing - end 26-Jan-2026'!$A:$R,2,FALSE)</f>
        <v>G1S 694438</v>
      </c>
      <c r="K54" s="55" t="str">
        <f>VLOOKUP($I54,'Old Pricing - end 26-Jan-2026'!$A:$R,6,FALSE)&amp;" "&amp;VLOOKUP($I54,'Old Pricing - end 26-Jan-2026'!$A:$R,7,FALSE)&amp;""" x "&amp;VLOOKUP($I54,'Old Pricing - end 26-Jan-2026'!$A:$R,9,FALSE)&amp;""" "&amp;VLOOKUP($I54,'Old Pricing - end 26-Jan-2026'!$A:$R,5,FALSE)</f>
        <v>2MM 49" x 144" ACP</v>
      </c>
      <c r="L54" s="55">
        <f>VLOOKUP($I54,'Old Pricing - end 26-Jan-2026'!$A:$K,8,FALSE)</f>
        <v>1245</v>
      </c>
      <c r="M54" s="55">
        <f>VLOOKUP($I54,'Old Pricing - end 26-Jan-2026'!$A:$K,10,FALSE)</f>
        <v>3658</v>
      </c>
      <c r="N54" s="55" t="str">
        <f>VLOOKUP($I54,'Old Pricing - end 26-Jan-2026'!$A:$R,13,FALSE)&amp;" "&amp;VLOOKUP($I54,'Old Pricing - end 26-Jan-2026'!$A:$R,12,FALSE)</f>
        <v>ASC 0069 GLOSSY WHITE</v>
      </c>
      <c r="O54" s="56">
        <v>19.600000000000001</v>
      </c>
      <c r="P54" s="55">
        <f>(VLOOKUP($I54,'Old Pricing - end 26-Jan-2026'!$A:$R,8,FALSE)/1000)*(VLOOKUP($I54,'Old Pricing - end 26-Jan-2026'!$A:$R,10,FALSE)/1000)*Q54</f>
        <v>1821.6840000000002</v>
      </c>
      <c r="Q54" s="55">
        <f>ROUND(('Order Details'!$O54*1000)/((VLOOKUP($I54,'Old Pricing - end 26-Jan-2026'!$A:$Q,7,FALSE)/12)*(VLOOKUP($I54,'Old Pricing - end 26-Jan-2026'!$A:$Q,9,FALSE)/12))/5,0)*5</f>
        <v>400</v>
      </c>
      <c r="R54" s="71">
        <f>$Q54/IFERROR(VLOOKUP($F54&amp;RIGHT($K54,8),'Master Data'!$O$5:$P$10,2,FALSE),'Master Data'!$P$4)</f>
        <v>2</v>
      </c>
      <c r="S54" s="57">
        <f>VLOOKUP($I54,'Old Pricing - end 26-Jan-2026'!$A:$Q,16,FALSE)</f>
        <v>700</v>
      </c>
      <c r="T54" s="57">
        <f>VLOOKUP(I54,'Old Pricing - end 26-Jan-2026'!$A:$O,15,FALSE)</f>
        <v>7.53</v>
      </c>
      <c r="U54" s="57">
        <f t="shared" si="2"/>
        <v>13720.000000000002</v>
      </c>
      <c r="V54" s="111">
        <f t="shared" si="1"/>
        <v>13717.280520000002</v>
      </c>
      <c r="W54" s="55">
        <f>VLOOKUP($I54,'Old Pricing - end 26-Jan-2026'!$A:$R,18,FALSE)</f>
        <v>45</v>
      </c>
    </row>
    <row r="55" spans="1:24" ht="15" hidden="1" thickTop="1" x14ac:dyDescent="0.3">
      <c r="A55" s="55">
        <v>24099925</v>
      </c>
      <c r="B55" s="55">
        <v>0</v>
      </c>
      <c r="C55" s="55" t="str">
        <f>VLOOKUP(A55&amp;"-"&amp;B55,'Order Summary'!$D:$E,2,FALSE)</f>
        <v>Telex / Seaway Released</v>
      </c>
      <c r="D55" s="216">
        <f>IF($A55="","",VLOOKUP($A55&amp;"-"&amp;$B55,'Order Summary'!$D:$U,3,FALSE))</f>
        <v>45964</v>
      </c>
      <c r="E55" s="55" t="str">
        <f>VLOOKUP(A55&amp;"-"&amp;B55,'Order Summary'!$D:$G,4,FALSE)</f>
        <v>Yes</v>
      </c>
      <c r="F55" s="55" t="str">
        <f>VLOOKUP($A55,'Order Summary'!$B:$I,8,FALSE)</f>
        <v>Granger, IN</v>
      </c>
      <c r="G55" s="216">
        <f>IF($A55="","",VLOOKUP($A55&amp;"-"&amp;$B55,'Order Summary'!$D:$U,18,FALSE))</f>
        <v>46112</v>
      </c>
      <c r="H55" s="55">
        <v>5</v>
      </c>
      <c r="I55" s="55">
        <v>694441</v>
      </c>
      <c r="J55" s="55" t="str">
        <f>VLOOKUP($I55,'Old Pricing - end 26-Jan-2026'!$A:$R,2,FALSE)</f>
        <v>G1S 694441</v>
      </c>
      <c r="K55" s="55" t="str">
        <f>VLOOKUP($I55,'Old Pricing - end 26-Jan-2026'!$A:$R,6,FALSE)&amp;" "&amp;VLOOKUP($I55,'Old Pricing - end 26-Jan-2026'!$A:$R,7,FALSE)&amp;""" x "&amp;VLOOKUP($I55,'Old Pricing - end 26-Jan-2026'!$A:$R,9,FALSE)&amp;""" "&amp;VLOOKUP($I55,'Old Pricing - end 26-Jan-2026'!$A:$R,5,FALSE)</f>
        <v>2MM 49" x 108" ACP</v>
      </c>
      <c r="L55" s="55">
        <f>VLOOKUP($I55,'Old Pricing - end 26-Jan-2026'!$A:$K,8,FALSE)</f>
        <v>1245</v>
      </c>
      <c r="M55" s="55">
        <f>VLOOKUP($I55,'Old Pricing - end 26-Jan-2026'!$A:$K,10,FALSE)</f>
        <v>2745</v>
      </c>
      <c r="N55" s="55" t="str">
        <f>VLOOKUP($I55,'Old Pricing - end 26-Jan-2026'!$A:$R,13,FALSE)&amp;" "&amp;VLOOKUP($I55,'Old Pricing - end 26-Jan-2026'!$A:$R,12,FALSE)</f>
        <v>AMC 0103 SILVER FROST</v>
      </c>
      <c r="O55" s="56">
        <v>7.35</v>
      </c>
      <c r="P55" s="55">
        <f>(VLOOKUP($I55,'Old Pricing - end 26-Jan-2026'!$A:$R,8,FALSE)/1000)*(VLOOKUP($I55,'Old Pricing - end 26-Jan-2026'!$A:$R,10,FALSE)/1000)*Q55</f>
        <v>683.50500000000011</v>
      </c>
      <c r="Q55" s="55">
        <f>ROUND(('Order Details'!$O55*1000)/((VLOOKUP($I55,'Old Pricing - end 26-Jan-2026'!$A:$Q,7,FALSE)/12)*(VLOOKUP($I55,'Old Pricing - end 26-Jan-2026'!$A:$Q,9,FALSE)/12))/5,0)*5</f>
        <v>200</v>
      </c>
      <c r="R55" s="71">
        <f>$Q55/IFERROR(VLOOKUP($F55&amp;RIGHT($K55,8),'Master Data'!$O$5:$P$10,2,FALSE),'Master Data'!$P$4)</f>
        <v>1</v>
      </c>
      <c r="S55" s="57">
        <f>VLOOKUP($I55,'Old Pricing - end 26-Jan-2026'!$A:$Q,16,FALSE)</f>
        <v>700</v>
      </c>
      <c r="T55" s="57">
        <f>VLOOKUP(I55,'Old Pricing - end 26-Jan-2026'!$A:$O,15,FALSE)</f>
        <v>7.53</v>
      </c>
      <c r="U55" s="57">
        <f t="shared" si="2"/>
        <v>5145</v>
      </c>
      <c r="V55" s="111">
        <f t="shared" si="1"/>
        <v>5146.7926500000012</v>
      </c>
      <c r="W55" s="55">
        <f>VLOOKUP($I55,'Old Pricing - end 26-Jan-2026'!$A:$R,18,FALSE)</f>
        <v>90</v>
      </c>
    </row>
    <row r="56" spans="1:24" ht="15" hidden="1" thickTop="1" x14ac:dyDescent="0.3">
      <c r="A56" s="55">
        <v>24099925</v>
      </c>
      <c r="B56" s="55">
        <v>0</v>
      </c>
      <c r="C56" s="55" t="str">
        <f>VLOOKUP(A56&amp;"-"&amp;B56,'Order Summary'!$D:$E,2,FALSE)</f>
        <v>Telex / Seaway Released</v>
      </c>
      <c r="D56" s="216">
        <f>IF($A56="","",VLOOKUP($A56&amp;"-"&amp;$B56,'Order Summary'!$D:$U,3,FALSE))</f>
        <v>45964</v>
      </c>
      <c r="E56" s="55" t="str">
        <f>VLOOKUP(A56&amp;"-"&amp;B56,'Order Summary'!$D:$G,4,FALSE)</f>
        <v>Yes</v>
      </c>
      <c r="F56" s="55" t="str">
        <f>VLOOKUP($A56,'Order Summary'!$B:$I,8,FALSE)</f>
        <v>Granger, IN</v>
      </c>
      <c r="G56" s="216">
        <f>IF($A56="","",VLOOKUP($A56&amp;"-"&amp;$B56,'Order Summary'!$D:$U,18,FALSE))</f>
        <v>46112</v>
      </c>
      <c r="H56" s="55">
        <v>6</v>
      </c>
      <c r="I56" s="55">
        <v>694442</v>
      </c>
      <c r="J56" s="55" t="str">
        <f>VLOOKUP($I56,'Old Pricing - end 26-Jan-2026'!$A:$R,2,FALSE)</f>
        <v>G1S 694442</v>
      </c>
      <c r="K56" s="55" t="str">
        <f>VLOOKUP($I56,'Old Pricing - end 26-Jan-2026'!$A:$R,6,FALSE)&amp;" "&amp;VLOOKUP($I56,'Old Pricing - end 26-Jan-2026'!$A:$R,7,FALSE)&amp;""" x "&amp;VLOOKUP($I56,'Old Pricing - end 26-Jan-2026'!$A:$R,9,FALSE)&amp;""" "&amp;VLOOKUP($I56,'Old Pricing - end 26-Jan-2026'!$A:$R,5,FALSE)</f>
        <v>2MM 49" x 144" ACP</v>
      </c>
      <c r="L56" s="55">
        <f>VLOOKUP($I56,'Old Pricing - end 26-Jan-2026'!$A:$K,8,FALSE)</f>
        <v>1245</v>
      </c>
      <c r="M56" s="55">
        <f>VLOOKUP($I56,'Old Pricing - end 26-Jan-2026'!$A:$K,10,FALSE)</f>
        <v>3658</v>
      </c>
      <c r="N56" s="55" t="str">
        <f>VLOOKUP($I56,'Old Pricing - end 26-Jan-2026'!$A:$R,13,FALSE)&amp;" "&amp;VLOOKUP($I56,'Old Pricing - end 26-Jan-2026'!$A:$R,12,FALSE)</f>
        <v>AMC 0103 SILVER FROST</v>
      </c>
      <c r="O56" s="56">
        <v>9.8000000000000007</v>
      </c>
      <c r="P56" s="55">
        <f>(VLOOKUP($I56,'Old Pricing - end 26-Jan-2026'!$A:$R,8,FALSE)/1000)*(VLOOKUP($I56,'Old Pricing - end 26-Jan-2026'!$A:$R,10,FALSE)/1000)*Q56</f>
        <v>910.8420000000001</v>
      </c>
      <c r="Q56" s="55">
        <f>ROUND(('Order Details'!$O56*1000)/((VLOOKUP($I56,'Old Pricing - end 26-Jan-2026'!$A:$Q,7,FALSE)/12)*(VLOOKUP($I56,'Old Pricing - end 26-Jan-2026'!$A:$Q,9,FALSE)/12))/5,0)*5</f>
        <v>200</v>
      </c>
      <c r="R56" s="71">
        <f>$Q56/IFERROR(VLOOKUP($F56&amp;RIGHT($K56,8),'Master Data'!$O$5:$P$10,2,FALSE),'Master Data'!$P$4)</f>
        <v>1</v>
      </c>
      <c r="S56" s="57">
        <f>VLOOKUP($I56,'Old Pricing - end 26-Jan-2026'!$A:$Q,16,FALSE)</f>
        <v>700</v>
      </c>
      <c r="T56" s="57">
        <f>VLOOKUP(I56,'Old Pricing - end 26-Jan-2026'!$A:$O,15,FALSE)</f>
        <v>7.53</v>
      </c>
      <c r="U56" s="57">
        <f t="shared" si="2"/>
        <v>6860.0000000000009</v>
      </c>
      <c r="V56" s="111">
        <f t="shared" si="1"/>
        <v>6858.640260000001</v>
      </c>
      <c r="W56" s="55">
        <f>VLOOKUP($I56,'Old Pricing - end 26-Jan-2026'!$A:$R,18,FALSE)</f>
        <v>90</v>
      </c>
    </row>
    <row r="57" spans="1:24" ht="15" hidden="1" thickTop="1" x14ac:dyDescent="0.3">
      <c r="A57" s="55">
        <v>24099925</v>
      </c>
      <c r="B57" s="55">
        <v>0</v>
      </c>
      <c r="C57" s="55" t="str">
        <f>VLOOKUP(A57&amp;"-"&amp;B57,'Order Summary'!$D:$E,2,FALSE)</f>
        <v>Telex / Seaway Released</v>
      </c>
      <c r="D57" s="216">
        <f>IF($A57="","",VLOOKUP($A57&amp;"-"&amp;$B57,'Order Summary'!$D:$U,3,FALSE))</f>
        <v>45964</v>
      </c>
      <c r="E57" s="55" t="str">
        <f>VLOOKUP(A57&amp;"-"&amp;B57,'Order Summary'!$D:$G,4,FALSE)</f>
        <v>Yes</v>
      </c>
      <c r="F57" s="55" t="str">
        <f>VLOOKUP($A57,'Order Summary'!$B:$I,8,FALSE)</f>
        <v>Granger, IN</v>
      </c>
      <c r="G57" s="216">
        <f>IF($A57="","",VLOOKUP($A57&amp;"-"&amp;$B57,'Order Summary'!$D:$U,18,FALSE))</f>
        <v>46112</v>
      </c>
      <c r="H57" s="55">
        <v>7</v>
      </c>
      <c r="I57" s="55">
        <v>694445</v>
      </c>
      <c r="J57" s="55" t="str">
        <f>VLOOKUP($I57,'Old Pricing - end 26-Jan-2026'!$A:$R,2,FALSE)</f>
        <v>G1S 694445</v>
      </c>
      <c r="K57" s="55" t="str">
        <f>VLOOKUP($I57,'Old Pricing - end 26-Jan-2026'!$A:$R,6,FALSE)&amp;" "&amp;VLOOKUP($I57,'Old Pricing - end 26-Jan-2026'!$A:$R,7,FALSE)&amp;""" x "&amp;VLOOKUP($I57,'Old Pricing - end 26-Jan-2026'!$A:$R,9,FALSE)&amp;""" "&amp;VLOOKUP($I57,'Old Pricing - end 26-Jan-2026'!$A:$R,5,FALSE)</f>
        <v>2MM 49" x 108" ACP</v>
      </c>
      <c r="L57" s="55">
        <f>VLOOKUP($I57,'Old Pricing - end 26-Jan-2026'!$A:$K,8,FALSE)</f>
        <v>1245</v>
      </c>
      <c r="M57" s="55">
        <f>VLOOKUP($I57,'Old Pricing - end 26-Jan-2026'!$A:$K,10,FALSE)</f>
        <v>2745</v>
      </c>
      <c r="N57" s="55" t="str">
        <f>VLOOKUP($I57,'Old Pricing - end 26-Jan-2026'!$A:$R,13,FALSE)&amp;" "&amp;VLOOKUP($I57,'Old Pricing - end 26-Jan-2026'!$A:$R,12,FALSE)</f>
        <v>AMC 0086 CHARCOAL METALLIC</v>
      </c>
      <c r="O57" s="56">
        <v>7.35</v>
      </c>
      <c r="P57" s="55">
        <f>(VLOOKUP($I57,'Old Pricing - end 26-Jan-2026'!$A:$R,8,FALSE)/1000)*(VLOOKUP($I57,'Old Pricing - end 26-Jan-2026'!$A:$R,10,FALSE)/1000)*Q57</f>
        <v>683.50500000000011</v>
      </c>
      <c r="Q57" s="55">
        <f>ROUND(('Order Details'!$O57*1000)/((VLOOKUP($I57,'Old Pricing - end 26-Jan-2026'!$A:$Q,7,FALSE)/12)*(VLOOKUP($I57,'Old Pricing - end 26-Jan-2026'!$A:$Q,9,FALSE)/12))/5,0)*5</f>
        <v>200</v>
      </c>
      <c r="R57" s="71">
        <f>$Q57/IFERROR(VLOOKUP($F57&amp;RIGHT($K57,8),'Master Data'!$O$5:$P$10,2,FALSE),'Master Data'!$P$4)</f>
        <v>1</v>
      </c>
      <c r="S57" s="57">
        <f>VLOOKUP($I57,'Old Pricing - end 26-Jan-2026'!$A:$Q,16,FALSE)</f>
        <v>750</v>
      </c>
      <c r="T57" s="57">
        <f>VLOOKUP(I57,'Old Pricing - end 26-Jan-2026'!$A:$O,15,FALSE)</f>
        <v>8.07</v>
      </c>
      <c r="U57" s="57">
        <f t="shared" si="2"/>
        <v>5512.5</v>
      </c>
      <c r="V57" s="111">
        <f t="shared" si="1"/>
        <v>5515.8853500000014</v>
      </c>
      <c r="W57" s="55">
        <f>VLOOKUP($I57,'Old Pricing - end 26-Jan-2026'!$A:$R,18,FALSE)</f>
        <v>45</v>
      </c>
    </row>
    <row r="58" spans="1:24" ht="15" hidden="1" thickTop="1" x14ac:dyDescent="0.3">
      <c r="A58" s="55">
        <v>24099925</v>
      </c>
      <c r="B58" s="55">
        <v>0</v>
      </c>
      <c r="C58" s="55" t="str">
        <f>VLOOKUP(A58&amp;"-"&amp;B58,'Order Summary'!$D:$E,2,FALSE)</f>
        <v>Telex / Seaway Released</v>
      </c>
      <c r="D58" s="216">
        <f>IF($A58="","",VLOOKUP($A58&amp;"-"&amp;$B58,'Order Summary'!$D:$U,3,FALSE))</f>
        <v>45964</v>
      </c>
      <c r="E58" s="55" t="str">
        <f>VLOOKUP(A58&amp;"-"&amp;B58,'Order Summary'!$D:$G,4,FALSE)</f>
        <v>Yes</v>
      </c>
      <c r="F58" s="55" t="str">
        <f>VLOOKUP($A58,'Order Summary'!$B:$I,8,FALSE)</f>
        <v>Granger, IN</v>
      </c>
      <c r="G58" s="216">
        <f>IF($A58="","",VLOOKUP($A58&amp;"-"&amp;$B58,'Order Summary'!$D:$U,18,FALSE))</f>
        <v>46112</v>
      </c>
      <c r="H58" s="55">
        <v>8</v>
      </c>
      <c r="I58" s="55">
        <v>694446</v>
      </c>
      <c r="J58" s="55" t="str">
        <f>VLOOKUP($I58,'Old Pricing - end 26-Jan-2026'!$A:$R,2,FALSE)</f>
        <v>G1S 694446</v>
      </c>
      <c r="K58" s="55" t="str">
        <f>VLOOKUP($I58,'Old Pricing - end 26-Jan-2026'!$A:$R,6,FALSE)&amp;" "&amp;VLOOKUP($I58,'Old Pricing - end 26-Jan-2026'!$A:$R,7,FALSE)&amp;""" x "&amp;VLOOKUP($I58,'Old Pricing - end 26-Jan-2026'!$A:$R,9,FALSE)&amp;""" "&amp;VLOOKUP($I58,'Old Pricing - end 26-Jan-2026'!$A:$R,5,FALSE)</f>
        <v>2MM 49" x 144" ACP</v>
      </c>
      <c r="L58" s="55">
        <f>VLOOKUP($I58,'Old Pricing - end 26-Jan-2026'!$A:$K,8,FALSE)</f>
        <v>1245</v>
      </c>
      <c r="M58" s="55">
        <f>VLOOKUP($I58,'Old Pricing - end 26-Jan-2026'!$A:$K,10,FALSE)</f>
        <v>3658</v>
      </c>
      <c r="N58" s="55" t="str">
        <f>VLOOKUP($I58,'Old Pricing - end 26-Jan-2026'!$A:$R,13,FALSE)&amp;" "&amp;VLOOKUP($I58,'Old Pricing - end 26-Jan-2026'!$A:$R,12,FALSE)</f>
        <v>AMC 0086 CHARCOAL METALLIC</v>
      </c>
      <c r="O58" s="56">
        <v>9.8000000000000007</v>
      </c>
      <c r="P58" s="55">
        <f>(VLOOKUP($I58,'Old Pricing - end 26-Jan-2026'!$A:$R,8,FALSE)/1000)*(VLOOKUP($I58,'Old Pricing - end 26-Jan-2026'!$A:$R,10,FALSE)/1000)*Q58</f>
        <v>910.8420000000001</v>
      </c>
      <c r="Q58" s="55">
        <f>ROUND(('Order Details'!$O58*1000)/((VLOOKUP($I58,'Old Pricing - end 26-Jan-2026'!$A:$Q,7,FALSE)/12)*(VLOOKUP($I58,'Old Pricing - end 26-Jan-2026'!$A:$Q,9,FALSE)/12))/5,0)*5</f>
        <v>200</v>
      </c>
      <c r="R58" s="71">
        <f>$Q58/IFERROR(VLOOKUP($F58&amp;RIGHT($K58,8),'Master Data'!$O$5:$P$10,2,FALSE),'Master Data'!$P$4)</f>
        <v>1</v>
      </c>
      <c r="S58" s="57">
        <f>VLOOKUP($I58,'Old Pricing - end 26-Jan-2026'!$A:$Q,16,FALSE)</f>
        <v>750</v>
      </c>
      <c r="T58" s="57">
        <f>VLOOKUP(I58,'Old Pricing - end 26-Jan-2026'!$A:$O,15,FALSE)</f>
        <v>8.07</v>
      </c>
      <c r="U58" s="57">
        <f t="shared" si="2"/>
        <v>7350.0000000000009</v>
      </c>
      <c r="V58" s="111">
        <f t="shared" si="1"/>
        <v>7350.4949400000014</v>
      </c>
      <c r="W58" s="55">
        <f>VLOOKUP($I58,'Old Pricing - end 26-Jan-2026'!$A:$R,18,FALSE)</f>
        <v>45</v>
      </c>
    </row>
    <row r="59" spans="1:24" ht="15" hidden="1" thickTop="1" x14ac:dyDescent="0.3">
      <c r="A59" s="55">
        <v>24104813</v>
      </c>
      <c r="B59" s="55">
        <v>0</v>
      </c>
      <c r="C59" s="55" t="str">
        <f>VLOOKUP(A59&amp;"-"&amp;B59,'Order Summary'!$D:$E,2,FALSE)</f>
        <v>Telex / Seaway Released</v>
      </c>
      <c r="D59" s="216">
        <f>IF($A59="","",VLOOKUP($A59&amp;"-"&amp;$B59,'Order Summary'!$D:$U,3,FALSE))</f>
        <v>45964</v>
      </c>
      <c r="E59" s="55" t="str">
        <f>VLOOKUP(A59&amp;"-"&amp;B59,'Order Summary'!$D:$G,4,FALSE)</f>
        <v>Yes</v>
      </c>
      <c r="F59" s="55" t="str">
        <f>VLOOKUP($A59,'Order Summary'!$B:$I,8,FALSE)</f>
        <v>Granger, IN</v>
      </c>
      <c r="G59" s="216">
        <f>IF($A59="","",VLOOKUP($A59&amp;"-"&amp;$B59,'Order Summary'!$D:$U,18,FALSE))</f>
        <v>46085</v>
      </c>
      <c r="H59" s="55">
        <v>1</v>
      </c>
      <c r="I59" s="55">
        <v>709355</v>
      </c>
      <c r="J59" s="55" t="str">
        <f>VLOOKUP($I59,'Old Pricing - end 26-Jan-2026'!$A:$R,2,FALSE)</f>
        <v>G1S 709355</v>
      </c>
      <c r="K59" s="55" t="str">
        <f>VLOOKUP($I59,'Old Pricing - end 26-Jan-2026'!$A:$R,6,FALSE)&amp;" "&amp;VLOOKUP($I59,'Old Pricing - end 26-Jan-2026'!$A:$R,7,FALSE)&amp;""" x "&amp;VLOOKUP($I59,'Old Pricing - end 26-Jan-2026'!$A:$R,9,FALSE)&amp;""" "&amp;VLOOKUP($I59,'Old Pricing - end 26-Jan-2026'!$A:$R,5,FALSE)</f>
        <v>2MM 49" x 90.5" ACP</v>
      </c>
      <c r="L59" s="55">
        <f>VLOOKUP($I59,'Old Pricing - end 26-Jan-2026'!$A:$K,8,FALSE)</f>
        <v>1245</v>
      </c>
      <c r="M59" s="55">
        <f>VLOOKUP($I59,'Old Pricing - end 26-Jan-2026'!$A:$K,10,FALSE)</f>
        <v>2300</v>
      </c>
      <c r="N59" s="55" t="str">
        <f>VLOOKUP($I59,'Old Pricing - end 26-Jan-2026'!$A:$R,13,FALSE)&amp;" "&amp;VLOOKUP($I59,'Old Pricing - end 26-Jan-2026'!$A:$R,12,FALSE)</f>
        <v>ASC 0069 GLOSSY WHITE</v>
      </c>
      <c r="O59" s="56">
        <v>61.59</v>
      </c>
      <c r="P59" s="55">
        <f>(VLOOKUP($I59,'Old Pricing - end 26-Jan-2026'!$A:$R,8,FALSE)/1000)*(VLOOKUP($I59,'Old Pricing - end 26-Jan-2026'!$A:$R,10,FALSE)/1000)*Q59</f>
        <v>5727</v>
      </c>
      <c r="Q59" s="55">
        <f>ROUND(('Order Details'!$O59*1000)/((VLOOKUP($I59,'Old Pricing - end 26-Jan-2026'!$A:$Q,7,FALSE)/12)*(VLOOKUP($I59,'Old Pricing - end 26-Jan-2026'!$A:$Q,9,FALSE)/12))/5,0)*5</f>
        <v>2000</v>
      </c>
      <c r="R59" s="71">
        <f>$Q59/IFERROR(VLOOKUP($F59&amp;RIGHT($K59,8),'Master Data'!$O$5:$P$10,2,FALSE),'Master Data'!$P$4)</f>
        <v>10</v>
      </c>
      <c r="S59" s="57">
        <f>VLOOKUP($I59,'Old Pricing - end 26-Jan-2026'!$A:$Q,16,FALSE)</f>
        <v>700</v>
      </c>
      <c r="T59" s="57">
        <f>VLOOKUP(I59,'Old Pricing - end 26-Jan-2026'!$A:$O,15,FALSE)</f>
        <v>7.53</v>
      </c>
      <c r="U59" s="57">
        <f t="shared" si="2"/>
        <v>43113</v>
      </c>
      <c r="V59" s="111">
        <f t="shared" si="1"/>
        <v>43124.310000000005</v>
      </c>
      <c r="W59" s="55">
        <f>VLOOKUP($I59,'Old Pricing - end 26-Jan-2026'!$A:$R,18,FALSE)</f>
        <v>45</v>
      </c>
    </row>
    <row r="60" spans="1:24" ht="15" hidden="1" thickTop="1" x14ac:dyDescent="0.3">
      <c r="A60" s="55">
        <v>24104813</v>
      </c>
      <c r="B60" s="55">
        <v>0</v>
      </c>
      <c r="C60" s="55" t="str">
        <f>VLOOKUP(A60&amp;"-"&amp;B60,'Order Summary'!$D:$E,2,FALSE)</f>
        <v>Telex / Seaway Released</v>
      </c>
      <c r="D60" s="216">
        <f>IF($A60="","",VLOOKUP($A60&amp;"-"&amp;$B60,'Order Summary'!$D:$U,3,FALSE))</f>
        <v>45964</v>
      </c>
      <c r="E60" s="55" t="str">
        <f>VLOOKUP(A60&amp;"-"&amp;B60,'Order Summary'!$D:$G,4,FALSE)</f>
        <v>Yes</v>
      </c>
      <c r="F60" s="55" t="str">
        <f>VLOOKUP($A60,'Order Summary'!$B:$I,8,FALSE)</f>
        <v>Granger, IN</v>
      </c>
      <c r="G60" s="216">
        <f>IF($A60="","",VLOOKUP($A60&amp;"-"&amp;$B60,'Order Summary'!$D:$U,18,FALSE))</f>
        <v>46085</v>
      </c>
      <c r="H60" s="55">
        <v>2</v>
      </c>
      <c r="I60" s="55">
        <v>709356</v>
      </c>
      <c r="J60" s="55" t="str">
        <f>VLOOKUP($I60,'Old Pricing - end 26-Jan-2026'!$A:$R,2,FALSE)</f>
        <v>G1S 709356</v>
      </c>
      <c r="K60" s="55" t="str">
        <f>VLOOKUP($I60,'Old Pricing - end 26-Jan-2026'!$A:$R,6,FALSE)&amp;" "&amp;VLOOKUP($I60,'Old Pricing - end 26-Jan-2026'!$A:$R,7,FALSE)&amp;""" x "&amp;VLOOKUP($I60,'Old Pricing - end 26-Jan-2026'!$A:$R,9,FALSE)&amp;""" "&amp;VLOOKUP($I60,'Old Pricing - end 26-Jan-2026'!$A:$R,5,FALSE)</f>
        <v>2MM 49" x 90.5" ACP</v>
      </c>
      <c r="L60" s="55">
        <f>VLOOKUP($I60,'Old Pricing - end 26-Jan-2026'!$A:$K,8,FALSE)</f>
        <v>1245</v>
      </c>
      <c r="M60" s="55">
        <f>VLOOKUP($I60,'Old Pricing - end 26-Jan-2026'!$A:$K,10,FALSE)</f>
        <v>2300</v>
      </c>
      <c r="N60" s="55" t="str">
        <f>VLOOKUP($I60,'Old Pricing - end 26-Jan-2026'!$A:$R,13,FALSE)&amp;" "&amp;VLOOKUP($I60,'Old Pricing - end 26-Jan-2026'!$A:$R,12,FALSE)</f>
        <v>AMC 0086 CHARCOAL METALLIC</v>
      </c>
      <c r="O60" s="56">
        <v>30.795000000000002</v>
      </c>
      <c r="P60" s="55">
        <f>(VLOOKUP($I60,'Old Pricing - end 26-Jan-2026'!$A:$R,8,FALSE)/1000)*(VLOOKUP($I60,'Old Pricing - end 26-Jan-2026'!$A:$R,10,FALSE)/1000)*Q60</f>
        <v>2863.5</v>
      </c>
      <c r="Q60" s="55">
        <f>ROUND(('Order Details'!$O60*1000)/((VLOOKUP($I60,'Old Pricing - end 26-Jan-2026'!$A:$Q,7,FALSE)/12)*(VLOOKUP($I60,'Old Pricing - end 26-Jan-2026'!$A:$Q,9,FALSE)/12))/5,0)*5</f>
        <v>1000</v>
      </c>
      <c r="R60" s="71">
        <f>$Q60/IFERROR(VLOOKUP($F60&amp;RIGHT($K60,8),'Master Data'!$O$5:$P$10,2,FALSE),'Master Data'!$P$4)</f>
        <v>5</v>
      </c>
      <c r="S60" s="57">
        <f>VLOOKUP($I60,'Old Pricing - end 26-Jan-2026'!$A:$Q,16,FALSE)</f>
        <v>750</v>
      </c>
      <c r="T60" s="57">
        <f>VLOOKUP(I60,'Old Pricing - end 26-Jan-2026'!$A:$O,15,FALSE)</f>
        <v>8.07</v>
      </c>
      <c r="U60" s="57">
        <f t="shared" si="2"/>
        <v>23096.25</v>
      </c>
      <c r="V60" s="111">
        <f t="shared" si="1"/>
        <v>23108.445</v>
      </c>
      <c r="W60" s="55">
        <f>VLOOKUP($I60,'Old Pricing - end 26-Jan-2026'!$A:$R,18,FALSE)</f>
        <v>45</v>
      </c>
    </row>
    <row r="61" spans="1:24" ht="15" hidden="1" thickTop="1" x14ac:dyDescent="0.3">
      <c r="A61">
        <v>24104818</v>
      </c>
      <c r="B61" s="55">
        <v>0</v>
      </c>
      <c r="C61" s="55" t="str">
        <f>VLOOKUP(A61&amp;"-"&amp;B61,'Order Summary'!$D:$E,2,FALSE)</f>
        <v>Balance Payment Received</v>
      </c>
      <c r="D61" s="216">
        <f>IF($A61="","",VLOOKUP($A61&amp;"-"&amp;$B61,'Order Summary'!$D:$U,3,FALSE))</f>
        <v>45964</v>
      </c>
      <c r="E61" s="55" t="str">
        <f>VLOOKUP(A61&amp;"-"&amp;B61,'Order Summary'!$D:$G,4,FALSE)</f>
        <v>Yes</v>
      </c>
      <c r="F61" s="55" t="str">
        <f>VLOOKUP($A61,'Order Summary'!$B:$I,8,FALSE)</f>
        <v>Granger, IN</v>
      </c>
      <c r="G61" s="216">
        <f>IF($A61="","",VLOOKUP($A61&amp;"-"&amp;$B61,'Order Summary'!$D:$U,18,FALSE))</f>
        <v>46092</v>
      </c>
      <c r="H61" s="55">
        <v>1</v>
      </c>
      <c r="I61" s="55">
        <v>709354</v>
      </c>
      <c r="J61" s="55" t="str">
        <f>VLOOKUP($I61,'Old Pricing - end 26-Jan-2026'!$A:$R,2,FALSE)</f>
        <v>G1S 709354</v>
      </c>
      <c r="K61" s="55" t="str">
        <f>VLOOKUP($I61,'Old Pricing - end 26-Jan-2026'!$A:$R,6,FALSE)&amp;" "&amp;VLOOKUP($I61,'Old Pricing - end 26-Jan-2026'!$A:$R,7,FALSE)&amp;""" x "&amp;VLOOKUP($I61,'Old Pricing - end 26-Jan-2026'!$A:$R,9,FALSE)&amp;""" "&amp;VLOOKUP($I61,'Old Pricing - end 26-Jan-2026'!$A:$R,5,FALSE)</f>
        <v>2MM 49" x 90.5" ACP</v>
      </c>
      <c r="L61" s="55">
        <f>VLOOKUP($I61,'Old Pricing - end 26-Jan-2026'!$A:$K,8,FALSE)</f>
        <v>1245</v>
      </c>
      <c r="M61" s="55">
        <f>VLOOKUP($I61,'Old Pricing - end 26-Jan-2026'!$A:$K,10,FALSE)</f>
        <v>2300</v>
      </c>
      <c r="N61" s="55" t="str">
        <f>VLOOKUP($I61,'Old Pricing - end 26-Jan-2026'!$A:$R,13,FALSE)&amp;" "&amp;VLOOKUP($I61,'Old Pricing - end 26-Jan-2026'!$A:$R,12,FALSE)</f>
        <v>ASC 0096 GLOSSY BLACK</v>
      </c>
      <c r="O61" s="56">
        <v>49.271999999999998</v>
      </c>
      <c r="P61" s="55">
        <f>(VLOOKUP($I61,'Old Pricing - end 26-Jan-2026'!$A:$R,8,FALSE)/1000)*(VLOOKUP($I61,'Old Pricing - end 26-Jan-2026'!$A:$R,10,FALSE)/1000)*Q61</f>
        <v>4581.6000000000004</v>
      </c>
      <c r="Q61" s="55">
        <f>ROUND(('Order Details'!$O61*1000)/((VLOOKUP($I61,'Old Pricing - end 26-Jan-2026'!$A:$Q,7,FALSE)/12)*(VLOOKUP($I61,'Old Pricing - end 26-Jan-2026'!$A:$Q,9,FALSE)/12))/5,0)*5</f>
        <v>1600</v>
      </c>
      <c r="R61" s="71">
        <f>$Q61/IFERROR(VLOOKUP($F61&amp;RIGHT($K61,8),'Master Data'!$O$5:$P$10,2,FALSE),'Master Data'!$P$4)</f>
        <v>8</v>
      </c>
      <c r="S61" s="57">
        <f>VLOOKUP($I61,'Old Pricing - end 26-Jan-2026'!$A:$Q,16,FALSE)</f>
        <v>700</v>
      </c>
      <c r="T61" s="57">
        <f>VLOOKUP(I61,'Old Pricing - end 26-Jan-2026'!$A:$O,15,FALSE)</f>
        <v>7.53</v>
      </c>
      <c r="U61" s="57">
        <f t="shared" si="2"/>
        <v>34490.400000000001</v>
      </c>
      <c r="V61" s="111">
        <f t="shared" si="1"/>
        <v>34499.448000000004</v>
      </c>
      <c r="W61" s="55">
        <f>VLOOKUP($I61,'Old Pricing - end 26-Jan-2026'!$A:$R,18,FALSE)</f>
        <v>45</v>
      </c>
    </row>
    <row r="62" spans="1:24" ht="15" hidden="1" thickTop="1" x14ac:dyDescent="0.3">
      <c r="A62">
        <v>24104818</v>
      </c>
      <c r="B62" s="55">
        <v>0</v>
      </c>
      <c r="C62" s="55" t="str">
        <f>VLOOKUP(A62&amp;"-"&amp;B62,'Order Summary'!$D:$E,2,FALSE)</f>
        <v>Balance Payment Received</v>
      </c>
      <c r="D62" s="216">
        <f>IF($A62="","",VLOOKUP($A62&amp;"-"&amp;$B62,'Order Summary'!$D:$U,3,FALSE))</f>
        <v>45964</v>
      </c>
      <c r="E62" s="55" t="str">
        <f>VLOOKUP(A62&amp;"-"&amp;B62,'Order Summary'!$D:$G,4,FALSE)</f>
        <v>Yes</v>
      </c>
      <c r="F62" s="55" t="str">
        <f>VLOOKUP($A62,'Order Summary'!$B:$I,8,FALSE)</f>
        <v>Granger, IN</v>
      </c>
      <c r="G62" s="216">
        <f>IF($A62="","",VLOOKUP($A62&amp;"-"&amp;$B62,'Order Summary'!$D:$U,18,FALSE))</f>
        <v>46092</v>
      </c>
      <c r="H62" s="55">
        <v>2</v>
      </c>
      <c r="I62" s="55">
        <v>709525</v>
      </c>
      <c r="J62" s="55" t="str">
        <f>VLOOKUP($I62,'Old Pricing - end 26-Jan-2026'!$A:$R,2,FALSE)</f>
        <v>G1S 709525</v>
      </c>
      <c r="K62" s="55" t="str">
        <f>VLOOKUP($I62,'Old Pricing - end 26-Jan-2026'!$A:$R,6,FALSE)&amp;" "&amp;VLOOKUP($I62,'Old Pricing - end 26-Jan-2026'!$A:$R,7,FALSE)&amp;""" x "&amp;VLOOKUP($I62,'Old Pricing - end 26-Jan-2026'!$A:$R,9,FALSE)&amp;""" "&amp;VLOOKUP($I62,'Old Pricing - end 26-Jan-2026'!$A:$R,5,FALSE)</f>
        <v>2MM 49" x 90.5" ACP</v>
      </c>
      <c r="L62" s="55">
        <f>VLOOKUP($I62,'Old Pricing - end 26-Jan-2026'!$A:$K,8,FALSE)</f>
        <v>1245</v>
      </c>
      <c r="M62" s="55">
        <f>VLOOKUP($I62,'Old Pricing - end 26-Jan-2026'!$A:$K,10,FALSE)</f>
        <v>2300</v>
      </c>
      <c r="N62" s="55" t="str">
        <f>VLOOKUP($I62,'Old Pricing - end 26-Jan-2026'!$A:$R,13,FALSE)&amp;" "&amp;VLOOKUP($I62,'Old Pricing - end 26-Jan-2026'!$A:$R,12,FALSE)</f>
        <v>AMC 0103 SILVER FROST</v>
      </c>
      <c r="O62" s="56">
        <v>43.113</v>
      </c>
      <c r="P62" s="55">
        <f>(VLOOKUP($I62,'Old Pricing - end 26-Jan-2026'!$A:$R,8,FALSE)/1000)*(VLOOKUP($I62,'Old Pricing - end 26-Jan-2026'!$A:$R,10,FALSE)/1000)*Q62</f>
        <v>4008.9</v>
      </c>
      <c r="Q62" s="55">
        <f>ROUND(('Order Details'!$O62*1000)/((VLOOKUP($I62,'Old Pricing - end 26-Jan-2026'!$A:$Q,7,FALSE)/12)*(VLOOKUP($I62,'Old Pricing - end 26-Jan-2026'!$A:$Q,9,FALSE)/12))/5,0)*5</f>
        <v>1400</v>
      </c>
      <c r="R62" s="71">
        <f>$Q62/IFERROR(VLOOKUP($F62&amp;RIGHT($K62,8),'Master Data'!$O$5:$P$10,2,FALSE),'Master Data'!$P$4)</f>
        <v>7</v>
      </c>
      <c r="S62" s="57">
        <f>VLOOKUP($I62,'Old Pricing - end 26-Jan-2026'!$A:$Q,16,FALSE)</f>
        <v>700</v>
      </c>
      <c r="T62" s="57">
        <f>VLOOKUP(I62,'Old Pricing - end 26-Jan-2026'!$A:$O,15,FALSE)</f>
        <v>7.53</v>
      </c>
      <c r="U62" s="57">
        <f t="shared" si="2"/>
        <v>30179.1</v>
      </c>
      <c r="V62" s="111">
        <f t="shared" si="1"/>
        <v>30187.017000000003</v>
      </c>
      <c r="W62" s="55">
        <f>VLOOKUP($I62,'Old Pricing - end 26-Jan-2026'!$A:$R,18,FALSE)</f>
        <v>90</v>
      </c>
    </row>
    <row r="63" spans="1:24" ht="15" hidden="1" thickTop="1" x14ac:dyDescent="0.3">
      <c r="A63" s="55">
        <v>24116019</v>
      </c>
      <c r="B63" s="55">
        <v>0</v>
      </c>
      <c r="C63" s="55" t="str">
        <f>VLOOKUP(A63&amp;"-"&amp;B63,'Order Summary'!$D:$E,2,FALSE)</f>
        <v>Balance Payment Received</v>
      </c>
      <c r="D63" s="216">
        <f>IF($A63="","",VLOOKUP($A63&amp;"-"&amp;$B63,'Order Summary'!$D:$U,3,FALSE))</f>
        <v>45964</v>
      </c>
      <c r="E63" s="55" t="str">
        <f>VLOOKUP(A63&amp;"-"&amp;B63,'Order Summary'!$D:$G,4,FALSE)</f>
        <v>Yes</v>
      </c>
      <c r="F63" s="55" t="str">
        <f>VLOOKUP($A63,'Order Summary'!$B:$I,8,FALSE)</f>
        <v>Granger, IN</v>
      </c>
      <c r="G63" s="216">
        <f>IF($A63="","",VLOOKUP($A63&amp;"-"&amp;$B63,'Order Summary'!$D:$U,18,FALSE))</f>
        <v>46092</v>
      </c>
      <c r="H63" s="55">
        <v>1</v>
      </c>
      <c r="I63" s="55">
        <v>694432</v>
      </c>
      <c r="J63" s="55" t="str">
        <f>VLOOKUP($I63,'Old Pricing - end 26-Jan-2026'!$A:$R,2,FALSE)</f>
        <v>G1S 694432</v>
      </c>
      <c r="K63" s="55" t="str">
        <f>VLOOKUP($I63,'Old Pricing - end 26-Jan-2026'!$A:$R,6,FALSE)&amp;" "&amp;VLOOKUP($I63,'Old Pricing - end 26-Jan-2026'!$A:$R,7,FALSE)&amp;""" x "&amp;VLOOKUP($I63,'Old Pricing - end 26-Jan-2026'!$A:$R,9,FALSE)&amp;""" "&amp;VLOOKUP($I63,'Old Pricing - end 26-Jan-2026'!$A:$R,5,FALSE)</f>
        <v>2MM 49" x 96" ACP</v>
      </c>
      <c r="L63" s="55">
        <f>VLOOKUP($I63,'Old Pricing - end 26-Jan-2026'!$A:$K,8,FALSE)</f>
        <v>1245</v>
      </c>
      <c r="M63" s="55">
        <f>VLOOKUP($I63,'Old Pricing - end 26-Jan-2026'!$A:$K,10,FALSE)</f>
        <v>2440</v>
      </c>
      <c r="N63" s="55" t="str">
        <f>VLOOKUP($I63,'Old Pricing - end 26-Jan-2026'!$A:$R,13,FALSE)&amp;" "&amp;VLOOKUP($I63,'Old Pricing - end 26-Jan-2026'!$A:$R,12,FALSE)</f>
        <v>ASC 0096 GLOSSY BLACK</v>
      </c>
      <c r="O63" s="56">
        <v>13.067</v>
      </c>
      <c r="P63" s="55">
        <f>(VLOOKUP($I63,'Old Pricing - end 26-Jan-2026'!$A:$R,8,FALSE)/1000)*(VLOOKUP($I63,'Old Pricing - end 26-Jan-2026'!$A:$R,10,FALSE)/1000)*Q63</f>
        <v>1215.1200000000001</v>
      </c>
      <c r="Q63" s="55">
        <f>ROUND(('Order Details'!$O63*1000)/((VLOOKUP($I63,'Old Pricing - end 26-Jan-2026'!$A:$Q,7,FALSE)/12)*(VLOOKUP($I63,'Old Pricing - end 26-Jan-2026'!$A:$Q,9,FALSE)/12))/5,0)*5</f>
        <v>400</v>
      </c>
      <c r="R63" s="71">
        <f>$Q63/IFERROR(VLOOKUP($F63&amp;RIGHT($K63,8),'Master Data'!$O$5:$P$10,2,FALSE),'Master Data'!$P$4)</f>
        <v>2</v>
      </c>
      <c r="S63" s="57">
        <f>VLOOKUP($I63,'Old Pricing - end 26-Jan-2026'!$A:$Q,16,FALSE)</f>
        <v>700</v>
      </c>
      <c r="T63" s="57">
        <f>VLOOKUP(I63,'Old Pricing - end 26-Jan-2026'!$A:$O,15,FALSE)</f>
        <v>7.53</v>
      </c>
      <c r="U63" s="57">
        <f t="shared" si="2"/>
        <v>9146.9</v>
      </c>
      <c r="V63" s="111">
        <f t="shared" si="1"/>
        <v>9149.8536000000004</v>
      </c>
      <c r="W63" s="55">
        <f>VLOOKUP($I63,'Old Pricing - end 26-Jan-2026'!$A:$R,18,FALSE)</f>
        <v>45</v>
      </c>
    </row>
    <row r="64" spans="1:24" ht="15" hidden="1" thickTop="1" x14ac:dyDescent="0.3">
      <c r="A64" s="55">
        <v>24116019</v>
      </c>
      <c r="B64" s="55">
        <v>0</v>
      </c>
      <c r="C64" s="55" t="str">
        <f>VLOOKUP(A64&amp;"-"&amp;B64,'Order Summary'!$D:$E,2,FALSE)</f>
        <v>Balance Payment Received</v>
      </c>
      <c r="D64" s="216">
        <f>IF($A64="","",VLOOKUP($A64&amp;"-"&amp;$B64,'Order Summary'!$D:$U,3,FALSE))</f>
        <v>45964</v>
      </c>
      <c r="E64" s="55" t="str">
        <f>VLOOKUP(A64&amp;"-"&amp;B64,'Order Summary'!$D:$G,4,FALSE)</f>
        <v>Yes</v>
      </c>
      <c r="F64" s="55" t="str">
        <f>VLOOKUP($A64,'Order Summary'!$B:$I,8,FALSE)</f>
        <v>Granger, IN</v>
      </c>
      <c r="G64" s="216">
        <f>IF($A64="","",VLOOKUP($A64&amp;"-"&amp;$B64,'Order Summary'!$D:$U,18,FALSE))</f>
        <v>46092</v>
      </c>
      <c r="H64" s="55">
        <v>2</v>
      </c>
      <c r="I64" s="55">
        <v>694433</v>
      </c>
      <c r="J64" s="55" t="str">
        <f>VLOOKUP($I64,'Old Pricing - end 26-Jan-2026'!$A:$R,2,FALSE)</f>
        <v>G1S 694433</v>
      </c>
      <c r="K64" s="55" t="str">
        <f>VLOOKUP($I64,'Old Pricing - end 26-Jan-2026'!$A:$R,6,FALSE)&amp;" "&amp;VLOOKUP($I64,'Old Pricing - end 26-Jan-2026'!$A:$R,7,FALSE)&amp;""" x "&amp;VLOOKUP($I64,'Old Pricing - end 26-Jan-2026'!$A:$R,9,FALSE)&amp;""" "&amp;VLOOKUP($I64,'Old Pricing - end 26-Jan-2026'!$A:$R,5,FALSE)</f>
        <v>2MM 49" x 108" ACP</v>
      </c>
      <c r="L64" s="55">
        <f>VLOOKUP($I64,'Old Pricing - end 26-Jan-2026'!$A:$K,8,FALSE)</f>
        <v>1245</v>
      </c>
      <c r="M64" s="55">
        <f>VLOOKUP($I64,'Old Pricing - end 26-Jan-2026'!$A:$K,10,FALSE)</f>
        <v>2745</v>
      </c>
      <c r="N64" s="55" t="str">
        <f>VLOOKUP($I64,'Old Pricing - end 26-Jan-2026'!$A:$R,13,FALSE)&amp;" "&amp;VLOOKUP($I64,'Old Pricing - end 26-Jan-2026'!$A:$R,12,FALSE)</f>
        <v>ASC 0096 GLOSSY BLACK</v>
      </c>
      <c r="O64" s="56">
        <v>7.35</v>
      </c>
      <c r="P64" s="55">
        <f>(VLOOKUP($I64,'Old Pricing - end 26-Jan-2026'!$A:$R,8,FALSE)/1000)*(VLOOKUP($I64,'Old Pricing - end 26-Jan-2026'!$A:$R,10,FALSE)/1000)*Q64</f>
        <v>683.50500000000011</v>
      </c>
      <c r="Q64" s="55">
        <f>ROUND(('Order Details'!$O64*1000)/((VLOOKUP($I64,'Old Pricing - end 26-Jan-2026'!$A:$Q,7,FALSE)/12)*(VLOOKUP($I64,'Old Pricing - end 26-Jan-2026'!$A:$Q,9,FALSE)/12))/5,0)*5</f>
        <v>200</v>
      </c>
      <c r="R64" s="71">
        <f>$Q64/IFERROR(VLOOKUP($F64&amp;RIGHT($K64,8),'Master Data'!$O$5:$P$10,2,FALSE),'Master Data'!$P$4)</f>
        <v>1</v>
      </c>
      <c r="S64" s="57">
        <f>VLOOKUP($I64,'Old Pricing - end 26-Jan-2026'!$A:$Q,16,FALSE)</f>
        <v>700</v>
      </c>
      <c r="T64" s="57">
        <f>VLOOKUP(I64,'Old Pricing - end 26-Jan-2026'!$A:$O,15,FALSE)</f>
        <v>7.53</v>
      </c>
      <c r="U64" s="57">
        <f t="shared" si="2"/>
        <v>5145</v>
      </c>
      <c r="V64" s="111">
        <f t="shared" si="1"/>
        <v>5146.7926500000012</v>
      </c>
      <c r="W64" s="55">
        <f>VLOOKUP($I64,'Old Pricing - end 26-Jan-2026'!$A:$R,18,FALSE)</f>
        <v>45</v>
      </c>
    </row>
    <row r="65" spans="1:23" ht="15" hidden="1" thickTop="1" x14ac:dyDescent="0.3">
      <c r="A65" s="55">
        <v>24116019</v>
      </c>
      <c r="B65" s="55">
        <v>0</v>
      </c>
      <c r="C65" s="55" t="str">
        <f>VLOOKUP(A65&amp;"-"&amp;B65,'Order Summary'!$D:$E,2,FALSE)</f>
        <v>Balance Payment Received</v>
      </c>
      <c r="D65" s="216">
        <f>IF($A65="","",VLOOKUP($A65&amp;"-"&amp;$B65,'Order Summary'!$D:$U,3,FALSE))</f>
        <v>45964</v>
      </c>
      <c r="E65" s="55" t="str">
        <f>VLOOKUP(A65&amp;"-"&amp;B65,'Order Summary'!$D:$G,4,FALSE)</f>
        <v>Yes</v>
      </c>
      <c r="F65" s="55" t="str">
        <f>VLOOKUP($A65,'Order Summary'!$B:$I,8,FALSE)</f>
        <v>Granger, IN</v>
      </c>
      <c r="G65" s="216">
        <f>IF($A65="","",VLOOKUP($A65&amp;"-"&amp;$B65,'Order Summary'!$D:$U,18,FALSE))</f>
        <v>46092</v>
      </c>
      <c r="H65" s="55">
        <v>3</v>
      </c>
      <c r="I65" s="55">
        <v>694434</v>
      </c>
      <c r="J65" s="55" t="str">
        <f>VLOOKUP($I65,'Old Pricing - end 26-Jan-2026'!$A:$R,2,FALSE)</f>
        <v>G1S 694434</v>
      </c>
      <c r="K65" s="55" t="str">
        <f>VLOOKUP($I65,'Old Pricing - end 26-Jan-2026'!$A:$R,6,FALSE)&amp;" "&amp;VLOOKUP($I65,'Old Pricing - end 26-Jan-2026'!$A:$R,7,FALSE)&amp;""" x "&amp;VLOOKUP($I65,'Old Pricing - end 26-Jan-2026'!$A:$R,9,FALSE)&amp;""" "&amp;VLOOKUP($I65,'Old Pricing - end 26-Jan-2026'!$A:$R,5,FALSE)</f>
        <v>2MM 49" x 144" ACP</v>
      </c>
      <c r="L65" s="55">
        <f>VLOOKUP($I65,'Old Pricing - end 26-Jan-2026'!$A:$K,8,FALSE)</f>
        <v>1245</v>
      </c>
      <c r="M65" s="55">
        <f>VLOOKUP($I65,'Old Pricing - end 26-Jan-2026'!$A:$K,10,FALSE)</f>
        <v>3658</v>
      </c>
      <c r="N65" s="55" t="str">
        <f>VLOOKUP($I65,'Old Pricing - end 26-Jan-2026'!$A:$R,13,FALSE)&amp;" "&amp;VLOOKUP($I65,'Old Pricing - end 26-Jan-2026'!$A:$R,12,FALSE)</f>
        <v>ASC 0096 GLOSSY BLACK</v>
      </c>
      <c r="O65" s="56">
        <v>9.8000000000000007</v>
      </c>
      <c r="P65" s="55">
        <f>(VLOOKUP($I65,'Old Pricing - end 26-Jan-2026'!$A:$R,8,FALSE)/1000)*(VLOOKUP($I65,'Old Pricing - end 26-Jan-2026'!$A:$R,10,FALSE)/1000)*Q65</f>
        <v>910.8420000000001</v>
      </c>
      <c r="Q65" s="55">
        <f>ROUND(('Order Details'!$O65*1000)/((VLOOKUP($I65,'Old Pricing - end 26-Jan-2026'!$A:$Q,7,FALSE)/12)*(VLOOKUP($I65,'Old Pricing - end 26-Jan-2026'!$A:$Q,9,FALSE)/12))/5,0)*5</f>
        <v>200</v>
      </c>
      <c r="R65" s="71">
        <f>$Q65/IFERROR(VLOOKUP($F65&amp;RIGHT($K65,8),'Master Data'!$O$5:$P$10,2,FALSE),'Master Data'!$P$4)</f>
        <v>1</v>
      </c>
      <c r="S65" s="57">
        <f>VLOOKUP($I65,'Old Pricing - end 26-Jan-2026'!$A:$Q,16,FALSE)</f>
        <v>700</v>
      </c>
      <c r="T65" s="57">
        <f>VLOOKUP(I65,'Old Pricing - end 26-Jan-2026'!$A:$O,15,FALSE)</f>
        <v>7.53</v>
      </c>
      <c r="U65" s="57">
        <f t="shared" si="2"/>
        <v>6860.0000000000009</v>
      </c>
      <c r="V65" s="111">
        <f t="shared" si="1"/>
        <v>6858.640260000001</v>
      </c>
      <c r="W65" s="55">
        <f>VLOOKUP($I65,'Old Pricing - end 26-Jan-2026'!$A:$R,18,FALSE)</f>
        <v>45</v>
      </c>
    </row>
    <row r="66" spans="1:23" ht="15" hidden="1" thickTop="1" x14ac:dyDescent="0.3">
      <c r="A66" s="55">
        <v>24116019</v>
      </c>
      <c r="B66" s="55">
        <v>0</v>
      </c>
      <c r="C66" s="55" t="str">
        <f>VLOOKUP(A66&amp;"-"&amp;B66,'Order Summary'!$D:$E,2,FALSE)</f>
        <v>Balance Payment Received</v>
      </c>
      <c r="D66" s="216">
        <f>IF($A66="","",VLOOKUP($A66&amp;"-"&amp;$B66,'Order Summary'!$D:$U,3,FALSE))</f>
        <v>45964</v>
      </c>
      <c r="E66" s="55" t="str">
        <f>VLOOKUP(A66&amp;"-"&amp;B66,'Order Summary'!$D:$G,4,FALSE)</f>
        <v>Yes</v>
      </c>
      <c r="F66" s="55" t="str">
        <f>VLOOKUP($A66,'Order Summary'!$B:$I,8,FALSE)</f>
        <v>Granger, IN</v>
      </c>
      <c r="G66" s="216">
        <f>IF($A66="","",VLOOKUP($A66&amp;"-"&amp;$B66,'Order Summary'!$D:$U,18,FALSE))</f>
        <v>46092</v>
      </c>
      <c r="H66" s="55">
        <v>4</v>
      </c>
      <c r="I66" s="55">
        <v>694436</v>
      </c>
      <c r="J66" s="55" t="str">
        <f>VLOOKUP($I66,'Old Pricing - end 26-Jan-2026'!$A:$R,2,FALSE)</f>
        <v>G1S 694436</v>
      </c>
      <c r="K66" s="55" t="str">
        <f>VLOOKUP($I66,'Old Pricing - end 26-Jan-2026'!$A:$R,6,FALSE)&amp;" "&amp;VLOOKUP($I66,'Old Pricing - end 26-Jan-2026'!$A:$R,7,FALSE)&amp;""" x "&amp;VLOOKUP($I66,'Old Pricing - end 26-Jan-2026'!$A:$R,9,FALSE)&amp;""" "&amp;VLOOKUP($I66,'Old Pricing - end 26-Jan-2026'!$A:$R,5,FALSE)</f>
        <v>2MM 49" x 96" ACP</v>
      </c>
      <c r="L66" s="55">
        <f>VLOOKUP($I66,'Old Pricing - end 26-Jan-2026'!$A:$K,8,FALSE)</f>
        <v>1245</v>
      </c>
      <c r="M66" s="55">
        <f>VLOOKUP($I66,'Old Pricing - end 26-Jan-2026'!$A:$K,10,FALSE)</f>
        <v>2440</v>
      </c>
      <c r="N66" s="55" t="str">
        <f>VLOOKUP($I66,'Old Pricing - end 26-Jan-2026'!$A:$R,13,FALSE)&amp;" "&amp;VLOOKUP($I66,'Old Pricing - end 26-Jan-2026'!$A:$R,12,FALSE)</f>
        <v>ASC 0069 GLOSSY WHITE</v>
      </c>
      <c r="O66" s="56">
        <v>6.5330000000000004</v>
      </c>
      <c r="P66" s="55">
        <f>(VLOOKUP($I66,'Old Pricing - end 26-Jan-2026'!$A:$R,8,FALSE)/1000)*(VLOOKUP($I66,'Old Pricing - end 26-Jan-2026'!$A:$R,10,FALSE)/1000)*Q66</f>
        <v>607.56000000000006</v>
      </c>
      <c r="Q66" s="55">
        <f>ROUND(('Order Details'!$O66*1000)/((VLOOKUP($I66,'Old Pricing - end 26-Jan-2026'!$A:$Q,7,FALSE)/12)*(VLOOKUP($I66,'Old Pricing - end 26-Jan-2026'!$A:$Q,9,FALSE)/12))/5,0)*5</f>
        <v>200</v>
      </c>
      <c r="R66" s="71">
        <f>$Q66/IFERROR(VLOOKUP($F66&amp;RIGHT($K66,8),'Master Data'!$O$5:$P$10,2,FALSE),'Master Data'!$P$4)</f>
        <v>1</v>
      </c>
      <c r="S66" s="57">
        <f>VLOOKUP($I66,'Old Pricing - end 26-Jan-2026'!$A:$Q,16,FALSE)</f>
        <v>700</v>
      </c>
      <c r="T66" s="57">
        <f>VLOOKUP(I66,'Old Pricing - end 26-Jan-2026'!$A:$O,15,FALSE)</f>
        <v>7.53</v>
      </c>
      <c r="U66" s="57">
        <f t="shared" si="2"/>
        <v>4573.1000000000004</v>
      </c>
      <c r="V66" s="111">
        <f t="shared" si="1"/>
        <v>4574.9268000000002</v>
      </c>
      <c r="W66" s="55">
        <f>VLOOKUP($I66,'Old Pricing - end 26-Jan-2026'!$A:$R,18,FALSE)</f>
        <v>45</v>
      </c>
    </row>
    <row r="67" spans="1:23" ht="15" hidden="1" thickTop="1" x14ac:dyDescent="0.3">
      <c r="A67" s="55">
        <v>24116019</v>
      </c>
      <c r="B67" s="55">
        <v>0</v>
      </c>
      <c r="C67" s="55" t="str">
        <f>VLOOKUP(A67&amp;"-"&amp;B67,'Order Summary'!$D:$E,2,FALSE)</f>
        <v>Balance Payment Received</v>
      </c>
      <c r="D67" s="216">
        <f>IF($A67="","",VLOOKUP($A67&amp;"-"&amp;$B67,'Order Summary'!$D:$U,3,FALSE))</f>
        <v>45964</v>
      </c>
      <c r="E67" s="55" t="str">
        <f>VLOOKUP(A67&amp;"-"&amp;B67,'Order Summary'!$D:$G,4,FALSE)</f>
        <v>Yes</v>
      </c>
      <c r="F67" s="55" t="str">
        <f>VLOOKUP($A67,'Order Summary'!$B:$I,8,FALSE)</f>
        <v>Granger, IN</v>
      </c>
      <c r="G67" s="216">
        <f>IF($A67="","",VLOOKUP($A67&amp;"-"&amp;$B67,'Order Summary'!$D:$U,18,FALSE))</f>
        <v>46092</v>
      </c>
      <c r="H67" s="55">
        <v>5</v>
      </c>
      <c r="I67" s="55">
        <v>694437</v>
      </c>
      <c r="J67" s="55" t="str">
        <f>VLOOKUP($I67,'Old Pricing - end 26-Jan-2026'!$A:$R,2,FALSE)</f>
        <v>G1S 694437</v>
      </c>
      <c r="K67" s="55" t="str">
        <f>VLOOKUP($I67,'Old Pricing - end 26-Jan-2026'!$A:$R,6,FALSE)&amp;" "&amp;VLOOKUP($I67,'Old Pricing - end 26-Jan-2026'!$A:$R,7,FALSE)&amp;""" x "&amp;VLOOKUP($I67,'Old Pricing - end 26-Jan-2026'!$A:$R,9,FALSE)&amp;""" "&amp;VLOOKUP($I67,'Old Pricing - end 26-Jan-2026'!$A:$R,5,FALSE)</f>
        <v>2MM 49" x 108" ACP</v>
      </c>
      <c r="L67" s="55">
        <f>VLOOKUP($I67,'Old Pricing - end 26-Jan-2026'!$A:$K,8,FALSE)</f>
        <v>1245</v>
      </c>
      <c r="M67" s="55">
        <f>VLOOKUP($I67,'Old Pricing - end 26-Jan-2026'!$A:$K,10,FALSE)</f>
        <v>2745</v>
      </c>
      <c r="N67" s="55" t="str">
        <f>VLOOKUP($I67,'Old Pricing - end 26-Jan-2026'!$A:$R,13,FALSE)&amp;" "&amp;VLOOKUP($I67,'Old Pricing - end 26-Jan-2026'!$A:$R,12,FALSE)</f>
        <v>ASC 0069 GLOSSY WHITE</v>
      </c>
      <c r="O67" s="56">
        <v>7.35</v>
      </c>
      <c r="P67" s="55">
        <f>(VLOOKUP($I67,'Old Pricing - end 26-Jan-2026'!$A:$R,8,FALSE)/1000)*(VLOOKUP($I67,'Old Pricing - end 26-Jan-2026'!$A:$R,10,FALSE)/1000)*Q67</f>
        <v>683.50500000000011</v>
      </c>
      <c r="Q67" s="55">
        <f>ROUND(('Order Details'!$O67*1000)/((VLOOKUP($I67,'Old Pricing - end 26-Jan-2026'!$A:$Q,7,FALSE)/12)*(VLOOKUP($I67,'Old Pricing - end 26-Jan-2026'!$A:$Q,9,FALSE)/12))/5,0)*5</f>
        <v>200</v>
      </c>
      <c r="R67" s="71">
        <f>$Q67/IFERROR(VLOOKUP($F67&amp;RIGHT($K67,8),'Master Data'!$O$5:$P$10,2,FALSE),'Master Data'!$P$4)</f>
        <v>1</v>
      </c>
      <c r="S67" s="57">
        <f>VLOOKUP($I67,'Old Pricing - end 26-Jan-2026'!$A:$Q,16,FALSE)</f>
        <v>700</v>
      </c>
      <c r="T67" s="57">
        <f>VLOOKUP(I67,'Old Pricing - end 26-Jan-2026'!$A:$O,15,FALSE)</f>
        <v>7.53</v>
      </c>
      <c r="U67" s="57">
        <f t="shared" si="2"/>
        <v>5145</v>
      </c>
      <c r="V67" s="111">
        <f t="shared" si="1"/>
        <v>5146.7926500000012</v>
      </c>
      <c r="W67" s="55">
        <f>VLOOKUP($I67,'Old Pricing - end 26-Jan-2026'!$A:$R,18,FALSE)</f>
        <v>45</v>
      </c>
    </row>
    <row r="68" spans="1:23" ht="15" hidden="1" thickTop="1" x14ac:dyDescent="0.3">
      <c r="A68" s="55">
        <v>24116019</v>
      </c>
      <c r="B68" s="55">
        <v>0</v>
      </c>
      <c r="C68" s="55" t="str">
        <f>VLOOKUP(A68&amp;"-"&amp;B68,'Order Summary'!$D:$E,2,FALSE)</f>
        <v>Balance Payment Received</v>
      </c>
      <c r="D68" s="216">
        <f>IF($A68="","",VLOOKUP($A68&amp;"-"&amp;$B68,'Order Summary'!$D:$U,3,FALSE))</f>
        <v>45964</v>
      </c>
      <c r="E68" s="55" t="str">
        <f>VLOOKUP(A68&amp;"-"&amp;B68,'Order Summary'!$D:$G,4,FALSE)</f>
        <v>Yes</v>
      </c>
      <c r="F68" s="55" t="str">
        <f>VLOOKUP($A68,'Order Summary'!$B:$I,8,FALSE)</f>
        <v>Granger, IN</v>
      </c>
      <c r="G68" s="216">
        <f>IF($A68="","",VLOOKUP($A68&amp;"-"&amp;$B68,'Order Summary'!$D:$U,18,FALSE))</f>
        <v>46092</v>
      </c>
      <c r="H68" s="55">
        <v>6</v>
      </c>
      <c r="I68" s="55">
        <v>694438</v>
      </c>
      <c r="J68" s="55" t="str">
        <f>VLOOKUP($I68,'Old Pricing - end 26-Jan-2026'!$A:$R,2,FALSE)</f>
        <v>G1S 694438</v>
      </c>
      <c r="K68" s="55" t="str">
        <f>VLOOKUP($I68,'Old Pricing - end 26-Jan-2026'!$A:$R,6,FALSE)&amp;" "&amp;VLOOKUP($I68,'Old Pricing - end 26-Jan-2026'!$A:$R,7,FALSE)&amp;""" x "&amp;VLOOKUP($I68,'Old Pricing - end 26-Jan-2026'!$A:$R,9,FALSE)&amp;""" "&amp;VLOOKUP($I68,'Old Pricing - end 26-Jan-2026'!$A:$R,5,FALSE)</f>
        <v>2MM 49" x 144" ACP</v>
      </c>
      <c r="L68" s="55">
        <f>VLOOKUP($I68,'Old Pricing - end 26-Jan-2026'!$A:$K,8,FALSE)</f>
        <v>1245</v>
      </c>
      <c r="M68" s="55">
        <f>VLOOKUP($I68,'Old Pricing - end 26-Jan-2026'!$A:$K,10,FALSE)</f>
        <v>3658</v>
      </c>
      <c r="N68" s="55" t="str">
        <f>VLOOKUP($I68,'Old Pricing - end 26-Jan-2026'!$A:$R,13,FALSE)&amp;" "&amp;VLOOKUP($I68,'Old Pricing - end 26-Jan-2026'!$A:$R,12,FALSE)</f>
        <v>ASC 0069 GLOSSY WHITE</v>
      </c>
      <c r="O68" s="56">
        <v>9.8000000000000007</v>
      </c>
      <c r="P68" s="55">
        <f>(VLOOKUP($I68,'Old Pricing - end 26-Jan-2026'!$A:$R,8,FALSE)/1000)*(VLOOKUP($I68,'Old Pricing - end 26-Jan-2026'!$A:$R,10,FALSE)/1000)*Q68</f>
        <v>910.8420000000001</v>
      </c>
      <c r="Q68" s="55">
        <f>ROUND(('Order Details'!$O68*1000)/((VLOOKUP($I68,'Old Pricing - end 26-Jan-2026'!$A:$Q,7,FALSE)/12)*(VLOOKUP($I68,'Old Pricing - end 26-Jan-2026'!$A:$Q,9,FALSE)/12))/5,0)*5</f>
        <v>200</v>
      </c>
      <c r="R68" s="71">
        <f>$Q68/IFERROR(VLOOKUP($F68&amp;RIGHT($K68,8),'Master Data'!$O$5:$P$10,2,FALSE),'Master Data'!$P$4)</f>
        <v>1</v>
      </c>
      <c r="S68" s="57">
        <f>VLOOKUP($I68,'Old Pricing - end 26-Jan-2026'!$A:$Q,16,FALSE)</f>
        <v>700</v>
      </c>
      <c r="T68" s="57">
        <f>VLOOKUP(I68,'Old Pricing - end 26-Jan-2026'!$A:$O,15,FALSE)</f>
        <v>7.53</v>
      </c>
      <c r="U68" s="57">
        <f t="shared" si="2"/>
        <v>6860.0000000000009</v>
      </c>
      <c r="V68" s="111">
        <f t="shared" ref="V68:V132" si="5">P68*T68</f>
        <v>6858.640260000001</v>
      </c>
      <c r="W68" s="55">
        <f>VLOOKUP($I68,'Old Pricing - end 26-Jan-2026'!$A:$R,18,FALSE)</f>
        <v>45</v>
      </c>
    </row>
    <row r="69" spans="1:23" ht="15" hidden="1" thickTop="1" x14ac:dyDescent="0.3">
      <c r="A69" s="55">
        <v>24116019</v>
      </c>
      <c r="B69" s="55">
        <v>0</v>
      </c>
      <c r="C69" s="55" t="str">
        <f>VLOOKUP(A69&amp;"-"&amp;B69,'Order Summary'!$D:$E,2,FALSE)</f>
        <v>Balance Payment Received</v>
      </c>
      <c r="D69" s="216">
        <f>IF($A69="","",VLOOKUP($A69&amp;"-"&amp;$B69,'Order Summary'!$D:$U,3,FALSE))</f>
        <v>45964</v>
      </c>
      <c r="E69" s="55" t="str">
        <f>VLOOKUP(A69&amp;"-"&amp;B69,'Order Summary'!$D:$G,4,FALSE)</f>
        <v>Yes</v>
      </c>
      <c r="F69" s="55" t="str">
        <f>VLOOKUP($A69,'Order Summary'!$B:$I,8,FALSE)</f>
        <v>Granger, IN</v>
      </c>
      <c r="G69" s="216">
        <f>IF($A69="","",VLOOKUP($A69&amp;"-"&amp;$B69,'Order Summary'!$D:$U,18,FALSE))</f>
        <v>46092</v>
      </c>
      <c r="H69" s="55">
        <v>7</v>
      </c>
      <c r="I69" s="55">
        <v>694441</v>
      </c>
      <c r="J69" s="55" t="str">
        <f>VLOOKUP($I69,'Old Pricing - end 26-Jan-2026'!$A:$R,2,FALSE)</f>
        <v>G1S 694441</v>
      </c>
      <c r="K69" s="55" t="str">
        <f>VLOOKUP($I69,'Old Pricing - end 26-Jan-2026'!$A:$R,6,FALSE)&amp;" "&amp;VLOOKUP($I69,'Old Pricing - end 26-Jan-2026'!$A:$R,7,FALSE)&amp;""" x "&amp;VLOOKUP($I69,'Old Pricing - end 26-Jan-2026'!$A:$R,9,FALSE)&amp;""" "&amp;VLOOKUP($I69,'Old Pricing - end 26-Jan-2026'!$A:$R,5,FALSE)</f>
        <v>2MM 49" x 108" ACP</v>
      </c>
      <c r="L69" s="55">
        <f>VLOOKUP($I69,'Old Pricing - end 26-Jan-2026'!$A:$K,8,FALSE)</f>
        <v>1245</v>
      </c>
      <c r="M69" s="55">
        <f>VLOOKUP($I69,'Old Pricing - end 26-Jan-2026'!$A:$K,10,FALSE)</f>
        <v>2745</v>
      </c>
      <c r="N69" s="55" t="str">
        <f>VLOOKUP($I69,'Old Pricing - end 26-Jan-2026'!$A:$R,13,FALSE)&amp;" "&amp;VLOOKUP($I69,'Old Pricing - end 26-Jan-2026'!$A:$R,12,FALSE)</f>
        <v>AMC 0103 SILVER FROST</v>
      </c>
      <c r="O69" s="56">
        <v>7.35</v>
      </c>
      <c r="P69" s="55">
        <f>(VLOOKUP($I69,'Old Pricing - end 26-Jan-2026'!$A:$R,8,FALSE)/1000)*(VLOOKUP($I69,'Old Pricing - end 26-Jan-2026'!$A:$R,10,FALSE)/1000)*Q69</f>
        <v>683.50500000000011</v>
      </c>
      <c r="Q69" s="55">
        <f>ROUND(('Order Details'!$O69*1000)/((VLOOKUP($I69,'Old Pricing - end 26-Jan-2026'!$A:$Q,7,FALSE)/12)*(VLOOKUP($I69,'Old Pricing - end 26-Jan-2026'!$A:$Q,9,FALSE)/12))/5,0)*5</f>
        <v>200</v>
      </c>
      <c r="R69" s="71">
        <f>$Q69/IFERROR(VLOOKUP($F69&amp;RIGHT($K69,8),'Master Data'!$O$5:$P$10,2,FALSE),'Master Data'!$P$4)</f>
        <v>1</v>
      </c>
      <c r="S69" s="57">
        <f>VLOOKUP($I69,'Old Pricing - end 26-Jan-2026'!$A:$Q,16,FALSE)</f>
        <v>700</v>
      </c>
      <c r="T69" s="57">
        <f>VLOOKUP(I69,'Old Pricing - end 26-Jan-2026'!$A:$O,15,FALSE)</f>
        <v>7.53</v>
      </c>
      <c r="U69" s="57">
        <f t="shared" si="2"/>
        <v>5145</v>
      </c>
      <c r="V69" s="111">
        <f t="shared" si="5"/>
        <v>5146.7926500000012</v>
      </c>
      <c r="W69" s="55">
        <f>VLOOKUP($I69,'Old Pricing - end 26-Jan-2026'!$A:$R,18,FALSE)</f>
        <v>90</v>
      </c>
    </row>
    <row r="70" spans="1:23" ht="15" hidden="1" thickTop="1" x14ac:dyDescent="0.3">
      <c r="A70" s="55">
        <v>24116019</v>
      </c>
      <c r="B70" s="55">
        <v>0</v>
      </c>
      <c r="C70" s="55" t="str">
        <f>VLOOKUP(A70&amp;"-"&amp;B70,'Order Summary'!$D:$E,2,FALSE)</f>
        <v>Balance Payment Received</v>
      </c>
      <c r="D70" s="216">
        <f>IF($A70="","",VLOOKUP($A70&amp;"-"&amp;$B70,'Order Summary'!$D:$U,3,FALSE))</f>
        <v>45964</v>
      </c>
      <c r="E70" s="55" t="str">
        <f>VLOOKUP(A70&amp;"-"&amp;B70,'Order Summary'!$D:$G,4,FALSE)</f>
        <v>Yes</v>
      </c>
      <c r="F70" s="55" t="str">
        <f>VLOOKUP($A70,'Order Summary'!$B:$I,8,FALSE)</f>
        <v>Granger, IN</v>
      </c>
      <c r="G70" s="216">
        <f>IF($A70="","",VLOOKUP($A70&amp;"-"&amp;$B70,'Order Summary'!$D:$U,18,FALSE))</f>
        <v>46092</v>
      </c>
      <c r="H70" s="55">
        <v>8</v>
      </c>
      <c r="I70" s="55">
        <v>694442</v>
      </c>
      <c r="J70" s="55" t="str">
        <f>VLOOKUP($I70,'Old Pricing - end 26-Jan-2026'!$A:$R,2,FALSE)</f>
        <v>G1S 694442</v>
      </c>
      <c r="K70" s="55" t="str">
        <f>VLOOKUP($I70,'Old Pricing - end 26-Jan-2026'!$A:$R,6,FALSE)&amp;" "&amp;VLOOKUP($I70,'Old Pricing - end 26-Jan-2026'!$A:$R,7,FALSE)&amp;""" x "&amp;VLOOKUP($I70,'Old Pricing - end 26-Jan-2026'!$A:$R,9,FALSE)&amp;""" "&amp;VLOOKUP($I70,'Old Pricing - end 26-Jan-2026'!$A:$R,5,FALSE)</f>
        <v>2MM 49" x 144" ACP</v>
      </c>
      <c r="L70" s="55">
        <f>VLOOKUP($I70,'Old Pricing - end 26-Jan-2026'!$A:$K,8,FALSE)</f>
        <v>1245</v>
      </c>
      <c r="M70" s="55">
        <f>VLOOKUP($I70,'Old Pricing - end 26-Jan-2026'!$A:$K,10,FALSE)</f>
        <v>3658</v>
      </c>
      <c r="N70" s="55" t="str">
        <f>VLOOKUP($I70,'Old Pricing - end 26-Jan-2026'!$A:$R,13,FALSE)&amp;" "&amp;VLOOKUP($I70,'Old Pricing - end 26-Jan-2026'!$A:$R,12,FALSE)</f>
        <v>AMC 0103 SILVER FROST</v>
      </c>
      <c r="O70" s="56">
        <v>9.8000000000000007</v>
      </c>
      <c r="P70" s="55">
        <f>(VLOOKUP($I70,'Old Pricing - end 26-Jan-2026'!$A:$R,8,FALSE)/1000)*(VLOOKUP($I70,'Old Pricing - end 26-Jan-2026'!$A:$R,10,FALSE)/1000)*Q70</f>
        <v>910.8420000000001</v>
      </c>
      <c r="Q70" s="55">
        <f>ROUND(('Order Details'!$O70*1000)/((VLOOKUP($I70,'Old Pricing - end 26-Jan-2026'!$A:$Q,7,FALSE)/12)*(VLOOKUP($I70,'Old Pricing - end 26-Jan-2026'!$A:$Q,9,FALSE)/12))/5,0)*5</f>
        <v>200</v>
      </c>
      <c r="R70" s="71">
        <f>$Q70/IFERROR(VLOOKUP($F70&amp;RIGHT($K70,8),'Master Data'!$O$5:$P$10,2,FALSE),'Master Data'!$P$4)</f>
        <v>1</v>
      </c>
      <c r="S70" s="57">
        <f>VLOOKUP($I70,'Old Pricing - end 26-Jan-2026'!$A:$Q,16,FALSE)</f>
        <v>700</v>
      </c>
      <c r="T70" s="57">
        <f>VLOOKUP(I70,'Old Pricing - end 26-Jan-2026'!$A:$O,15,FALSE)</f>
        <v>7.53</v>
      </c>
      <c r="U70" s="57">
        <f t="shared" si="2"/>
        <v>6860.0000000000009</v>
      </c>
      <c r="V70" s="111">
        <f t="shared" si="5"/>
        <v>6858.640260000001</v>
      </c>
      <c r="W70" s="55">
        <f>VLOOKUP($I70,'Old Pricing - end 26-Jan-2026'!$A:$R,18,FALSE)</f>
        <v>90</v>
      </c>
    </row>
    <row r="71" spans="1:23" ht="15" hidden="1" thickTop="1" x14ac:dyDescent="0.3">
      <c r="A71" s="55">
        <v>24116019</v>
      </c>
      <c r="B71" s="55">
        <v>0</v>
      </c>
      <c r="C71" s="55" t="str">
        <f>VLOOKUP(A71&amp;"-"&amp;B71,'Order Summary'!$D:$E,2,FALSE)</f>
        <v>Balance Payment Received</v>
      </c>
      <c r="D71" s="216">
        <f>IF($A71="","",VLOOKUP($A71&amp;"-"&amp;$B71,'Order Summary'!$D:$U,3,FALSE))</f>
        <v>45964</v>
      </c>
      <c r="E71" s="55" t="str">
        <f>VLOOKUP(A71&amp;"-"&amp;B71,'Order Summary'!$D:$G,4,FALSE)</f>
        <v>Yes</v>
      </c>
      <c r="F71" s="55" t="str">
        <f>VLOOKUP($A71,'Order Summary'!$B:$I,8,FALSE)</f>
        <v>Granger, IN</v>
      </c>
      <c r="G71" s="216">
        <f>IF($A71="","",VLOOKUP($A71&amp;"-"&amp;$B71,'Order Summary'!$D:$U,18,FALSE))</f>
        <v>46092</v>
      </c>
      <c r="H71" s="55">
        <v>9</v>
      </c>
      <c r="I71" s="55">
        <v>694445</v>
      </c>
      <c r="J71" s="55" t="str">
        <f>VLOOKUP($I71,'Old Pricing - end 26-Jan-2026'!$A:$R,2,FALSE)</f>
        <v>G1S 694445</v>
      </c>
      <c r="K71" s="55" t="str">
        <f>VLOOKUP($I71,'Old Pricing - end 26-Jan-2026'!$A:$R,6,FALSE)&amp;" "&amp;VLOOKUP($I71,'Old Pricing - end 26-Jan-2026'!$A:$R,7,FALSE)&amp;""" x "&amp;VLOOKUP($I71,'Old Pricing - end 26-Jan-2026'!$A:$R,9,FALSE)&amp;""" "&amp;VLOOKUP($I71,'Old Pricing - end 26-Jan-2026'!$A:$R,5,FALSE)</f>
        <v>2MM 49" x 108" ACP</v>
      </c>
      <c r="L71" s="55">
        <f>VLOOKUP($I71,'Old Pricing - end 26-Jan-2026'!$A:$K,8,FALSE)</f>
        <v>1245</v>
      </c>
      <c r="M71" s="55">
        <f>VLOOKUP($I71,'Old Pricing - end 26-Jan-2026'!$A:$K,10,FALSE)</f>
        <v>2745</v>
      </c>
      <c r="N71" s="55" t="str">
        <f>VLOOKUP($I71,'Old Pricing - end 26-Jan-2026'!$A:$R,13,FALSE)&amp;" "&amp;VLOOKUP($I71,'Old Pricing - end 26-Jan-2026'!$A:$R,12,FALSE)</f>
        <v>AMC 0086 CHARCOAL METALLIC</v>
      </c>
      <c r="O71" s="56">
        <v>7.35</v>
      </c>
      <c r="P71" s="55">
        <f>(VLOOKUP($I71,'Old Pricing - end 26-Jan-2026'!$A:$R,8,FALSE)/1000)*(VLOOKUP($I71,'Old Pricing - end 26-Jan-2026'!$A:$R,10,FALSE)/1000)*Q71</f>
        <v>683.50500000000011</v>
      </c>
      <c r="Q71" s="55">
        <f>ROUND(('Order Details'!$O71*1000)/((VLOOKUP($I71,'Old Pricing - end 26-Jan-2026'!$A:$Q,7,FALSE)/12)*(VLOOKUP($I71,'Old Pricing - end 26-Jan-2026'!$A:$Q,9,FALSE)/12))/5,0)*5</f>
        <v>200</v>
      </c>
      <c r="R71" s="71">
        <f>$Q71/IFERROR(VLOOKUP($F71&amp;RIGHT($K71,8),'Master Data'!$O$5:$P$10,2,FALSE),'Master Data'!$P$4)</f>
        <v>1</v>
      </c>
      <c r="S71" s="57">
        <f>VLOOKUP($I71,'Old Pricing - end 26-Jan-2026'!$A:$Q,16,FALSE)</f>
        <v>750</v>
      </c>
      <c r="T71" s="57">
        <f>VLOOKUP(I71,'Old Pricing - end 26-Jan-2026'!$A:$O,15,FALSE)</f>
        <v>8.07</v>
      </c>
      <c r="U71" s="57">
        <f t="shared" si="2"/>
        <v>5512.5</v>
      </c>
      <c r="V71" s="111">
        <f t="shared" si="5"/>
        <v>5515.8853500000014</v>
      </c>
      <c r="W71" s="55">
        <f>VLOOKUP($I71,'Old Pricing - end 26-Jan-2026'!$A:$R,18,FALSE)</f>
        <v>45</v>
      </c>
    </row>
    <row r="72" spans="1:23" ht="15" hidden="1" thickTop="1" x14ac:dyDescent="0.3">
      <c r="A72" s="55">
        <v>24116019</v>
      </c>
      <c r="B72" s="55">
        <v>0</v>
      </c>
      <c r="C72" s="55" t="str">
        <f>VLOOKUP(A72&amp;"-"&amp;B72,'Order Summary'!$D:$E,2,FALSE)</f>
        <v>Balance Payment Received</v>
      </c>
      <c r="D72" s="216">
        <f>IF($A72="","",VLOOKUP($A72&amp;"-"&amp;$B72,'Order Summary'!$D:$U,3,FALSE))</f>
        <v>45964</v>
      </c>
      <c r="E72" s="55" t="str">
        <f>VLOOKUP(A72&amp;"-"&amp;B72,'Order Summary'!$D:$G,4,FALSE)</f>
        <v>Yes</v>
      </c>
      <c r="F72" s="55" t="str">
        <f>VLOOKUP($A72,'Order Summary'!$B:$I,8,FALSE)</f>
        <v>Granger, IN</v>
      </c>
      <c r="G72" s="216">
        <f>IF($A72="","",VLOOKUP($A72&amp;"-"&amp;$B72,'Order Summary'!$D:$U,18,FALSE))</f>
        <v>46092</v>
      </c>
      <c r="H72" s="55">
        <v>10</v>
      </c>
      <c r="I72" s="55">
        <v>694446</v>
      </c>
      <c r="J72" s="55" t="str">
        <f>VLOOKUP($I72,'Old Pricing - end 26-Jan-2026'!$A:$R,2,FALSE)</f>
        <v>G1S 694446</v>
      </c>
      <c r="K72" s="55" t="str">
        <f>VLOOKUP($I72,'Old Pricing - end 26-Jan-2026'!$A:$R,6,FALSE)&amp;" "&amp;VLOOKUP($I72,'Old Pricing - end 26-Jan-2026'!$A:$R,7,FALSE)&amp;""" x "&amp;VLOOKUP($I72,'Old Pricing - end 26-Jan-2026'!$A:$R,9,FALSE)&amp;""" "&amp;VLOOKUP($I72,'Old Pricing - end 26-Jan-2026'!$A:$R,5,FALSE)</f>
        <v>2MM 49" x 144" ACP</v>
      </c>
      <c r="L72" s="55">
        <f>VLOOKUP($I72,'Old Pricing - end 26-Jan-2026'!$A:$K,8,FALSE)</f>
        <v>1245</v>
      </c>
      <c r="M72" s="55">
        <f>VLOOKUP($I72,'Old Pricing - end 26-Jan-2026'!$A:$K,10,FALSE)</f>
        <v>3658</v>
      </c>
      <c r="N72" s="55" t="str">
        <f>VLOOKUP($I72,'Old Pricing - end 26-Jan-2026'!$A:$R,13,FALSE)&amp;" "&amp;VLOOKUP($I72,'Old Pricing - end 26-Jan-2026'!$A:$R,12,FALSE)</f>
        <v>AMC 0086 CHARCOAL METALLIC</v>
      </c>
      <c r="O72" s="56">
        <v>9.8000000000000007</v>
      </c>
      <c r="P72" s="55">
        <f>(VLOOKUP($I72,'Old Pricing - end 26-Jan-2026'!$A:$R,8,FALSE)/1000)*(VLOOKUP($I72,'Old Pricing - end 26-Jan-2026'!$A:$R,10,FALSE)/1000)*Q72</f>
        <v>910.8420000000001</v>
      </c>
      <c r="Q72" s="55">
        <f>ROUND(('Order Details'!$O72*1000)/((VLOOKUP($I72,'Old Pricing - end 26-Jan-2026'!$A:$Q,7,FALSE)/12)*(VLOOKUP($I72,'Old Pricing - end 26-Jan-2026'!$A:$Q,9,FALSE)/12))/5,0)*5</f>
        <v>200</v>
      </c>
      <c r="R72" s="71">
        <f>$Q72/IFERROR(VLOOKUP($F72&amp;RIGHT($K72,8),'Master Data'!$O$5:$P$10,2,FALSE),'Master Data'!$P$4)</f>
        <v>1</v>
      </c>
      <c r="S72" s="57">
        <f>VLOOKUP($I72,'Old Pricing - end 26-Jan-2026'!$A:$Q,16,FALSE)</f>
        <v>750</v>
      </c>
      <c r="T72" s="57">
        <f>VLOOKUP(I72,'Old Pricing - end 26-Jan-2026'!$A:$O,15,FALSE)</f>
        <v>8.07</v>
      </c>
      <c r="U72" s="57">
        <f t="shared" si="2"/>
        <v>7350.0000000000009</v>
      </c>
      <c r="V72" s="111">
        <f t="shared" si="5"/>
        <v>7350.4949400000014</v>
      </c>
      <c r="W72" s="55">
        <f>VLOOKUP($I72,'Old Pricing - end 26-Jan-2026'!$A:$R,18,FALSE)</f>
        <v>45</v>
      </c>
    </row>
    <row r="73" spans="1:23" ht="15" hidden="1" thickTop="1" x14ac:dyDescent="0.3">
      <c r="A73" s="55">
        <v>52954701</v>
      </c>
      <c r="B73" s="55">
        <v>0</v>
      </c>
      <c r="C73" s="55" t="str">
        <f>VLOOKUP(A73&amp;"-"&amp;B73,'Order Summary'!$D:$E,2,FALSE)</f>
        <v>Telex / Seaway Released</v>
      </c>
      <c r="D73" s="216">
        <f>IF($A73="","",VLOOKUP($A73&amp;"-"&amp;$B73,'Order Summary'!$D:$U,3,FALSE))</f>
        <v>45964</v>
      </c>
      <c r="E73" s="55" t="str">
        <f>VLOOKUP(A73&amp;"-"&amp;B73,'Order Summary'!$D:$G,4,FALSE)</f>
        <v>Yes</v>
      </c>
      <c r="F73" s="55" t="str">
        <f>VLOOKUP($A73,'Order Summary'!$B:$I,8,FALSE)</f>
        <v>Hillsboro, TX</v>
      </c>
      <c r="G73" s="216">
        <f>IF($A73="","",VLOOKUP($A73&amp;"-"&amp;$B73,'Order Summary'!$D:$U,18,FALSE))</f>
        <v>46086</v>
      </c>
      <c r="H73" s="55">
        <v>1</v>
      </c>
      <c r="I73" s="55">
        <v>694432</v>
      </c>
      <c r="J73" s="55" t="str">
        <f>VLOOKUP($I73,'Old Pricing - end 26-Jan-2026'!$A:$R,2,FALSE)</f>
        <v>G1S 694432</v>
      </c>
      <c r="K73" s="55" t="str">
        <f>VLOOKUP($I73,'Old Pricing - end 26-Jan-2026'!$A:$R,6,FALSE)&amp;" "&amp;VLOOKUP($I73,'Old Pricing - end 26-Jan-2026'!$A:$R,7,FALSE)&amp;""" x "&amp;VLOOKUP($I73,'Old Pricing - end 26-Jan-2026'!$A:$R,9,FALSE)&amp;""" "&amp;VLOOKUP($I73,'Old Pricing - end 26-Jan-2026'!$A:$R,5,FALSE)</f>
        <v>2MM 49" x 96" ACP</v>
      </c>
      <c r="L73" s="55">
        <f>VLOOKUP($I73,'Old Pricing - end 26-Jan-2026'!$A:$K,8,FALSE)</f>
        <v>1245</v>
      </c>
      <c r="M73" s="55">
        <f>VLOOKUP($I73,'Old Pricing - end 26-Jan-2026'!$A:$K,10,FALSE)</f>
        <v>2440</v>
      </c>
      <c r="N73" s="55" t="str">
        <f>VLOOKUP($I73,'Old Pricing - end 26-Jan-2026'!$A:$R,13,FALSE)&amp;" "&amp;VLOOKUP($I73,'Old Pricing - end 26-Jan-2026'!$A:$R,12,FALSE)</f>
        <v>ASC 0096 GLOSSY BLACK</v>
      </c>
      <c r="O73" s="56">
        <v>6.5330000000000004</v>
      </c>
      <c r="P73" s="55">
        <f>(VLOOKUP($I73,'Old Pricing - end 26-Jan-2026'!$A:$R,8,FALSE)/1000)*(VLOOKUP($I73,'Old Pricing - end 26-Jan-2026'!$A:$R,10,FALSE)/1000)*Q73</f>
        <v>607.56000000000006</v>
      </c>
      <c r="Q73" s="55">
        <f>ROUND(('Order Details'!$O73*1000)/((VLOOKUP($I73,'Old Pricing - end 26-Jan-2026'!$A:$Q,7,FALSE)/12)*(VLOOKUP($I73,'Old Pricing - end 26-Jan-2026'!$A:$Q,9,FALSE)/12))/5,0)*5</f>
        <v>200</v>
      </c>
      <c r="R73" s="71">
        <f>$Q73/IFERROR(VLOOKUP($F73&amp;RIGHT($K73,8),'Master Data'!$O$5:$P$10,2,FALSE),'Master Data'!$P$4)</f>
        <v>1</v>
      </c>
      <c r="S73" s="57">
        <f>VLOOKUP($I73,'Old Pricing - end 26-Jan-2026'!$A:$Q,16,FALSE)</f>
        <v>700</v>
      </c>
      <c r="T73" s="57">
        <f>VLOOKUP(I73,'Old Pricing - end 26-Jan-2026'!$A:$O,15,FALSE)</f>
        <v>7.53</v>
      </c>
      <c r="U73" s="57">
        <f t="shared" si="2"/>
        <v>4573.1000000000004</v>
      </c>
      <c r="V73" s="111">
        <f t="shared" si="5"/>
        <v>4574.9268000000002</v>
      </c>
      <c r="W73" s="55">
        <f>VLOOKUP($I73,'Old Pricing - end 26-Jan-2026'!$A:$R,18,FALSE)</f>
        <v>45</v>
      </c>
    </row>
    <row r="74" spans="1:23" ht="15" hidden="1" thickTop="1" x14ac:dyDescent="0.3">
      <c r="A74" s="55">
        <v>52954701</v>
      </c>
      <c r="B74" s="55">
        <v>0</v>
      </c>
      <c r="C74" s="55" t="str">
        <f>VLOOKUP(A74&amp;"-"&amp;B74,'Order Summary'!$D:$E,2,FALSE)</f>
        <v>Telex / Seaway Released</v>
      </c>
      <c r="D74" s="216">
        <f>IF($A74="","",VLOOKUP($A74&amp;"-"&amp;$B74,'Order Summary'!$D:$U,3,FALSE))</f>
        <v>45964</v>
      </c>
      <c r="E74" s="55" t="str">
        <f>VLOOKUP(A74&amp;"-"&amp;B74,'Order Summary'!$D:$G,4,FALSE)</f>
        <v>Yes</v>
      </c>
      <c r="F74" s="55" t="str">
        <f>VLOOKUP($A74,'Order Summary'!$B:$I,8,FALSE)</f>
        <v>Hillsboro, TX</v>
      </c>
      <c r="G74" s="216">
        <f>IF($A74="","",VLOOKUP($A74&amp;"-"&amp;$B74,'Order Summary'!$D:$U,18,FALSE))</f>
        <v>46086</v>
      </c>
      <c r="H74" s="55">
        <v>2</v>
      </c>
      <c r="I74" s="55">
        <v>694433</v>
      </c>
      <c r="J74" s="55" t="str">
        <f>VLOOKUP($I74,'Old Pricing - end 26-Jan-2026'!$A:$R,2,FALSE)</f>
        <v>G1S 694433</v>
      </c>
      <c r="K74" s="55" t="str">
        <f>VLOOKUP($I74,'Old Pricing - end 26-Jan-2026'!$A:$R,6,FALSE)&amp;" "&amp;VLOOKUP($I74,'Old Pricing - end 26-Jan-2026'!$A:$R,7,FALSE)&amp;""" x "&amp;VLOOKUP($I74,'Old Pricing - end 26-Jan-2026'!$A:$R,9,FALSE)&amp;""" "&amp;VLOOKUP($I74,'Old Pricing - end 26-Jan-2026'!$A:$R,5,FALSE)</f>
        <v>2MM 49" x 108" ACP</v>
      </c>
      <c r="L74" s="55">
        <f>VLOOKUP($I74,'Old Pricing - end 26-Jan-2026'!$A:$K,8,FALSE)</f>
        <v>1245</v>
      </c>
      <c r="M74" s="55">
        <f>VLOOKUP($I74,'Old Pricing - end 26-Jan-2026'!$A:$K,10,FALSE)</f>
        <v>2745</v>
      </c>
      <c r="N74" s="55" t="str">
        <f>VLOOKUP($I74,'Old Pricing - end 26-Jan-2026'!$A:$R,13,FALSE)&amp;" "&amp;VLOOKUP($I74,'Old Pricing - end 26-Jan-2026'!$A:$R,12,FALSE)</f>
        <v>ASC 0096 GLOSSY BLACK</v>
      </c>
      <c r="O74" s="56">
        <v>22.05</v>
      </c>
      <c r="P74" s="55">
        <f>(VLOOKUP($I74,'Old Pricing - end 26-Jan-2026'!$A:$R,8,FALSE)/1000)*(VLOOKUP($I74,'Old Pricing - end 26-Jan-2026'!$A:$R,10,FALSE)/1000)*Q74</f>
        <v>2050.5150000000003</v>
      </c>
      <c r="Q74" s="55">
        <f>ROUND(('Order Details'!$O74*1000)/((VLOOKUP($I74,'Old Pricing - end 26-Jan-2026'!$A:$Q,7,FALSE)/12)*(VLOOKUP($I74,'Old Pricing - end 26-Jan-2026'!$A:$Q,9,FALSE)/12))/5,0)*5</f>
        <v>600</v>
      </c>
      <c r="R74" s="71">
        <f>Q74/150</f>
        <v>4</v>
      </c>
      <c r="S74" s="57">
        <f>VLOOKUP($I74,'Old Pricing - end 26-Jan-2026'!$A:$Q,16,FALSE)</f>
        <v>700</v>
      </c>
      <c r="T74" s="57">
        <f>VLOOKUP(I74,'Old Pricing - end 26-Jan-2026'!$A:$O,15,FALSE)</f>
        <v>7.53</v>
      </c>
      <c r="U74" s="57">
        <f t="shared" si="2"/>
        <v>15435</v>
      </c>
      <c r="V74" s="111">
        <f t="shared" si="5"/>
        <v>15440.377950000004</v>
      </c>
      <c r="W74" s="55">
        <f>VLOOKUP($I74,'Old Pricing - end 26-Jan-2026'!$A:$R,18,FALSE)</f>
        <v>45</v>
      </c>
    </row>
    <row r="75" spans="1:23" ht="15" hidden="1" thickTop="1" x14ac:dyDescent="0.3">
      <c r="A75" s="55">
        <v>52954701</v>
      </c>
      <c r="B75" s="55">
        <v>0</v>
      </c>
      <c r="C75" s="55" t="str">
        <f>VLOOKUP(A75&amp;"-"&amp;B75,'Order Summary'!$D:$E,2,FALSE)</f>
        <v>Telex / Seaway Released</v>
      </c>
      <c r="D75" s="216">
        <f>IF($A75="","",VLOOKUP($A75&amp;"-"&amp;$B75,'Order Summary'!$D:$U,3,FALSE))</f>
        <v>45964</v>
      </c>
      <c r="E75" s="55" t="str">
        <f>VLOOKUP(A75&amp;"-"&amp;B75,'Order Summary'!$D:$G,4,FALSE)</f>
        <v>Yes</v>
      </c>
      <c r="F75" s="55" t="str">
        <f>VLOOKUP($A75,'Order Summary'!$B:$I,8,FALSE)</f>
        <v>Hillsboro, TX</v>
      </c>
      <c r="G75" s="216">
        <f>IF($A75="","",VLOOKUP($A75&amp;"-"&amp;$B75,'Order Summary'!$D:$U,18,FALSE))</f>
        <v>46086</v>
      </c>
      <c r="H75" s="55">
        <v>3</v>
      </c>
      <c r="I75" s="55">
        <v>694434</v>
      </c>
      <c r="J75" s="55" t="str">
        <f>VLOOKUP($I75,'Old Pricing - end 26-Jan-2026'!$A:$R,2,FALSE)</f>
        <v>G1S 694434</v>
      </c>
      <c r="K75" s="55" t="str">
        <f>VLOOKUP($I75,'Old Pricing - end 26-Jan-2026'!$A:$R,6,FALSE)&amp;" "&amp;VLOOKUP($I75,'Old Pricing - end 26-Jan-2026'!$A:$R,7,FALSE)&amp;""" x "&amp;VLOOKUP($I75,'Old Pricing - end 26-Jan-2026'!$A:$R,9,FALSE)&amp;""" "&amp;VLOOKUP($I75,'Old Pricing - end 26-Jan-2026'!$A:$R,5,FALSE)</f>
        <v>2MM 49" x 144" ACP</v>
      </c>
      <c r="L75" s="55">
        <f>VLOOKUP($I75,'Old Pricing - end 26-Jan-2026'!$A:$K,8,FALSE)</f>
        <v>1245</v>
      </c>
      <c r="M75" s="55">
        <f>VLOOKUP($I75,'Old Pricing - end 26-Jan-2026'!$A:$K,10,FALSE)</f>
        <v>3658</v>
      </c>
      <c r="N75" s="55" t="str">
        <f>VLOOKUP($I75,'Old Pricing - end 26-Jan-2026'!$A:$R,13,FALSE)&amp;" "&amp;VLOOKUP($I75,'Old Pricing - end 26-Jan-2026'!$A:$R,12,FALSE)</f>
        <v>ASC 0096 GLOSSY BLACK</v>
      </c>
      <c r="O75" s="56">
        <v>9.8000000000000007</v>
      </c>
      <c r="P75" s="55">
        <f>(VLOOKUP($I75,'Old Pricing - end 26-Jan-2026'!$A:$R,8,FALSE)/1000)*(VLOOKUP($I75,'Old Pricing - end 26-Jan-2026'!$A:$R,10,FALSE)/1000)*Q75</f>
        <v>910.8420000000001</v>
      </c>
      <c r="Q75" s="55">
        <f>ROUND(('Order Details'!$O75*1000)/((VLOOKUP($I75,'Old Pricing - end 26-Jan-2026'!$A:$Q,7,FALSE)/12)*(VLOOKUP($I75,'Old Pricing - end 26-Jan-2026'!$A:$Q,9,FALSE)/12))/5,0)*5</f>
        <v>200</v>
      </c>
      <c r="R75" s="71">
        <f>$Q75/IFERROR(VLOOKUP($F75&amp;RIGHT($K75,8),'Master Data'!$O$5:$P$10,2,FALSE),'Master Data'!$P$4)</f>
        <v>1</v>
      </c>
      <c r="S75" s="57">
        <f>VLOOKUP($I75,'Old Pricing - end 26-Jan-2026'!$A:$Q,16,FALSE)</f>
        <v>700</v>
      </c>
      <c r="T75" s="57">
        <f>VLOOKUP(I75,'Old Pricing - end 26-Jan-2026'!$A:$O,15,FALSE)</f>
        <v>7.53</v>
      </c>
      <c r="U75" s="57">
        <f t="shared" si="2"/>
        <v>6860.0000000000009</v>
      </c>
      <c r="V75" s="111">
        <f t="shared" si="5"/>
        <v>6858.640260000001</v>
      </c>
      <c r="W75" s="55">
        <f>VLOOKUP($I75,'Old Pricing - end 26-Jan-2026'!$A:$R,18,FALSE)</f>
        <v>45</v>
      </c>
    </row>
    <row r="76" spans="1:23" ht="15" hidden="1" thickTop="1" x14ac:dyDescent="0.3">
      <c r="A76" s="55">
        <v>52954701</v>
      </c>
      <c r="B76" s="55">
        <v>0</v>
      </c>
      <c r="C76" s="55" t="str">
        <f>VLOOKUP(A76&amp;"-"&amp;B76,'Order Summary'!$D:$E,2,FALSE)</f>
        <v>Telex / Seaway Released</v>
      </c>
      <c r="D76" s="216">
        <f>IF($A76="","",VLOOKUP($A76&amp;"-"&amp;$B76,'Order Summary'!$D:$U,3,FALSE))</f>
        <v>45964</v>
      </c>
      <c r="E76" s="55" t="str">
        <f>VLOOKUP(A76&amp;"-"&amp;B76,'Order Summary'!$D:$G,4,FALSE)</f>
        <v>Yes</v>
      </c>
      <c r="F76" s="55" t="str">
        <f>VLOOKUP($A76,'Order Summary'!$B:$I,8,FALSE)</f>
        <v>Hillsboro, TX</v>
      </c>
      <c r="G76" s="216">
        <f>IF($A76="","",VLOOKUP($A76&amp;"-"&amp;$B76,'Order Summary'!$D:$U,18,FALSE))</f>
        <v>46086</v>
      </c>
      <c r="H76" s="55">
        <v>4</v>
      </c>
      <c r="I76" s="55">
        <v>694436</v>
      </c>
      <c r="J76" s="55" t="str">
        <f>VLOOKUP($I76,'Old Pricing - end 26-Jan-2026'!$A:$R,2,FALSE)</f>
        <v>G1S 694436</v>
      </c>
      <c r="K76" s="55" t="str">
        <f>VLOOKUP($I76,'Old Pricing - end 26-Jan-2026'!$A:$R,6,FALSE)&amp;" "&amp;VLOOKUP($I76,'Old Pricing - end 26-Jan-2026'!$A:$R,7,FALSE)&amp;""" x "&amp;VLOOKUP($I76,'Old Pricing - end 26-Jan-2026'!$A:$R,9,FALSE)&amp;""" "&amp;VLOOKUP($I76,'Old Pricing - end 26-Jan-2026'!$A:$R,5,FALSE)</f>
        <v>2MM 49" x 96" ACP</v>
      </c>
      <c r="L76" s="55">
        <f>VLOOKUP($I76,'Old Pricing - end 26-Jan-2026'!$A:$K,8,FALSE)</f>
        <v>1245</v>
      </c>
      <c r="M76" s="55">
        <f>VLOOKUP($I76,'Old Pricing - end 26-Jan-2026'!$A:$K,10,FALSE)</f>
        <v>2440</v>
      </c>
      <c r="N76" s="55" t="str">
        <f>VLOOKUP($I76,'Old Pricing - end 26-Jan-2026'!$A:$R,13,FALSE)&amp;" "&amp;VLOOKUP($I76,'Old Pricing - end 26-Jan-2026'!$A:$R,12,FALSE)</f>
        <v>ASC 0069 GLOSSY WHITE</v>
      </c>
      <c r="O76" s="56">
        <v>6.5330000000000004</v>
      </c>
      <c r="P76" s="55">
        <f>(VLOOKUP($I76,'Old Pricing - end 26-Jan-2026'!$A:$R,8,FALSE)/1000)*(VLOOKUP($I76,'Old Pricing - end 26-Jan-2026'!$A:$R,10,FALSE)/1000)*Q76</f>
        <v>607.56000000000006</v>
      </c>
      <c r="Q76" s="55">
        <f>ROUND(('Order Details'!$O76*1000)/((VLOOKUP($I76,'Old Pricing - end 26-Jan-2026'!$A:$Q,7,FALSE)/12)*(VLOOKUP($I76,'Old Pricing - end 26-Jan-2026'!$A:$Q,9,FALSE)/12))/5,0)*5</f>
        <v>200</v>
      </c>
      <c r="R76" s="71">
        <f>$Q76/IFERROR(VLOOKUP($F76&amp;RIGHT($K76,8),'Master Data'!$O$5:$P$10,2,FALSE),'Master Data'!$P$4)</f>
        <v>1</v>
      </c>
      <c r="S76" s="57">
        <f>VLOOKUP($I76,'Old Pricing - end 26-Jan-2026'!$A:$Q,16,FALSE)</f>
        <v>700</v>
      </c>
      <c r="T76" s="57">
        <f>VLOOKUP(I76,'Old Pricing - end 26-Jan-2026'!$A:$O,15,FALSE)</f>
        <v>7.53</v>
      </c>
      <c r="U76" s="57">
        <f t="shared" si="2"/>
        <v>4573.1000000000004</v>
      </c>
      <c r="V76" s="111">
        <f t="shared" si="5"/>
        <v>4574.9268000000002</v>
      </c>
      <c r="W76" s="55">
        <f>VLOOKUP($I76,'Old Pricing - end 26-Jan-2026'!$A:$R,18,FALSE)</f>
        <v>45</v>
      </c>
    </row>
    <row r="77" spans="1:23" ht="15" hidden="1" thickTop="1" x14ac:dyDescent="0.3">
      <c r="A77" s="55">
        <v>52954701</v>
      </c>
      <c r="B77" s="55">
        <v>0</v>
      </c>
      <c r="C77" s="55" t="str">
        <f>VLOOKUP(A77&amp;"-"&amp;B77,'Order Summary'!$D:$E,2,FALSE)</f>
        <v>Telex / Seaway Released</v>
      </c>
      <c r="D77" s="216">
        <f>IF($A77="","",VLOOKUP($A77&amp;"-"&amp;$B77,'Order Summary'!$D:$U,3,FALSE))</f>
        <v>45964</v>
      </c>
      <c r="E77" s="55" t="str">
        <f>VLOOKUP(A77&amp;"-"&amp;B77,'Order Summary'!$D:$G,4,FALSE)</f>
        <v>Yes</v>
      </c>
      <c r="F77" s="55" t="str">
        <f>VLOOKUP($A77,'Order Summary'!$B:$I,8,FALSE)</f>
        <v>Hillsboro, TX</v>
      </c>
      <c r="G77" s="216">
        <f>IF($A77="","",VLOOKUP($A77&amp;"-"&amp;$B77,'Order Summary'!$D:$U,18,FALSE))</f>
        <v>46086</v>
      </c>
      <c r="H77" s="55">
        <v>5</v>
      </c>
      <c r="I77" s="55">
        <v>694437</v>
      </c>
      <c r="J77" s="55" t="str">
        <f>VLOOKUP($I77,'Old Pricing - end 26-Jan-2026'!$A:$R,2,FALSE)</f>
        <v>G1S 694437</v>
      </c>
      <c r="K77" s="55" t="str">
        <f>VLOOKUP($I77,'Old Pricing - end 26-Jan-2026'!$A:$R,6,FALSE)&amp;" "&amp;VLOOKUP($I77,'Old Pricing - end 26-Jan-2026'!$A:$R,7,FALSE)&amp;""" x "&amp;VLOOKUP($I77,'Old Pricing - end 26-Jan-2026'!$A:$R,9,FALSE)&amp;""" "&amp;VLOOKUP($I77,'Old Pricing - end 26-Jan-2026'!$A:$R,5,FALSE)</f>
        <v>2MM 49" x 108" ACP</v>
      </c>
      <c r="L77" s="55">
        <f>VLOOKUP($I77,'Old Pricing - end 26-Jan-2026'!$A:$K,8,FALSE)</f>
        <v>1245</v>
      </c>
      <c r="M77" s="55">
        <f>VLOOKUP($I77,'Old Pricing - end 26-Jan-2026'!$A:$K,10,FALSE)</f>
        <v>2745</v>
      </c>
      <c r="N77" s="55" t="str">
        <f>VLOOKUP($I77,'Old Pricing - end 26-Jan-2026'!$A:$R,13,FALSE)&amp;" "&amp;VLOOKUP($I77,'Old Pricing - end 26-Jan-2026'!$A:$R,12,FALSE)</f>
        <v>ASC 0069 GLOSSY WHITE</v>
      </c>
      <c r="O77" s="56">
        <v>16.538</v>
      </c>
      <c r="P77" s="55">
        <f>(VLOOKUP($I77,'Old Pricing - end 26-Jan-2026'!$A:$R,8,FALSE)/1000)*(VLOOKUP($I77,'Old Pricing - end 26-Jan-2026'!$A:$R,10,FALSE)/1000)*Q77</f>
        <v>1537.8862500000002</v>
      </c>
      <c r="Q77" s="55">
        <f>ROUND(('Order Details'!$O77*1000)/((VLOOKUP($I77,'Old Pricing - end 26-Jan-2026'!$A:$Q,7,FALSE)/12)*(VLOOKUP($I77,'Old Pricing - end 26-Jan-2026'!$A:$Q,9,FALSE)/12))/5,0)*5</f>
        <v>450</v>
      </c>
      <c r="R77" s="71">
        <f>Q77/150</f>
        <v>3</v>
      </c>
      <c r="S77" s="57">
        <f>VLOOKUP($I77,'Old Pricing - end 26-Jan-2026'!$A:$Q,16,FALSE)</f>
        <v>700</v>
      </c>
      <c r="T77" s="57">
        <f>VLOOKUP(I77,'Old Pricing - end 26-Jan-2026'!$A:$O,15,FALSE)</f>
        <v>7.53</v>
      </c>
      <c r="U77" s="57">
        <f t="shared" si="2"/>
        <v>11576.6</v>
      </c>
      <c r="V77" s="111">
        <f t="shared" si="5"/>
        <v>11580.283462500001</v>
      </c>
      <c r="W77" s="55">
        <f>VLOOKUP($I77,'Old Pricing - end 26-Jan-2026'!$A:$R,18,FALSE)</f>
        <v>45</v>
      </c>
    </row>
    <row r="78" spans="1:23" ht="15" hidden="1" thickTop="1" x14ac:dyDescent="0.3">
      <c r="A78" s="55">
        <v>52954701</v>
      </c>
      <c r="B78" s="55">
        <v>0</v>
      </c>
      <c r="C78" s="55" t="str">
        <f>VLOOKUP(A78&amp;"-"&amp;B78,'Order Summary'!$D:$E,2,FALSE)</f>
        <v>Telex / Seaway Released</v>
      </c>
      <c r="D78" s="216">
        <f>IF($A78="","",VLOOKUP($A78&amp;"-"&amp;$B78,'Order Summary'!$D:$U,3,FALSE))</f>
        <v>45964</v>
      </c>
      <c r="E78" s="55" t="str">
        <f>VLOOKUP(A78&amp;"-"&amp;B78,'Order Summary'!$D:$G,4,FALSE)</f>
        <v>Yes</v>
      </c>
      <c r="F78" s="55" t="str">
        <f>VLOOKUP($A78,'Order Summary'!$B:$I,8,FALSE)</f>
        <v>Hillsboro, TX</v>
      </c>
      <c r="G78" s="216">
        <f>IF($A78="","",VLOOKUP($A78&amp;"-"&amp;$B78,'Order Summary'!$D:$U,18,FALSE))</f>
        <v>46086</v>
      </c>
      <c r="H78" s="55">
        <v>6</v>
      </c>
      <c r="I78" s="55">
        <v>694438</v>
      </c>
      <c r="J78" s="55" t="str">
        <f>VLOOKUP($I78,'Old Pricing - end 26-Jan-2026'!$A:$R,2,FALSE)</f>
        <v>G1S 694438</v>
      </c>
      <c r="K78" s="55" t="str">
        <f>VLOOKUP($I78,'Old Pricing - end 26-Jan-2026'!$A:$R,6,FALSE)&amp;" "&amp;VLOOKUP($I78,'Old Pricing - end 26-Jan-2026'!$A:$R,7,FALSE)&amp;""" x "&amp;VLOOKUP($I78,'Old Pricing - end 26-Jan-2026'!$A:$R,9,FALSE)&amp;""" "&amp;VLOOKUP($I78,'Old Pricing - end 26-Jan-2026'!$A:$R,5,FALSE)</f>
        <v>2MM 49" x 144" ACP</v>
      </c>
      <c r="L78" s="55">
        <f>VLOOKUP($I78,'Old Pricing - end 26-Jan-2026'!$A:$K,8,FALSE)</f>
        <v>1245</v>
      </c>
      <c r="M78" s="55">
        <f>VLOOKUP($I78,'Old Pricing - end 26-Jan-2026'!$A:$K,10,FALSE)</f>
        <v>3658</v>
      </c>
      <c r="N78" s="55" t="str">
        <f>VLOOKUP($I78,'Old Pricing - end 26-Jan-2026'!$A:$R,13,FALSE)&amp;" "&amp;VLOOKUP($I78,'Old Pricing - end 26-Jan-2026'!$A:$R,12,FALSE)</f>
        <v>ASC 0069 GLOSSY WHITE</v>
      </c>
      <c r="O78" s="56">
        <v>9.8000000000000007</v>
      </c>
      <c r="P78" s="55">
        <f>(VLOOKUP($I78,'Old Pricing - end 26-Jan-2026'!$A:$R,8,FALSE)/1000)*(VLOOKUP($I78,'Old Pricing - end 26-Jan-2026'!$A:$R,10,FALSE)/1000)*Q78</f>
        <v>910.8420000000001</v>
      </c>
      <c r="Q78" s="55">
        <f>ROUND(('Order Details'!$O78*1000)/((VLOOKUP($I78,'Old Pricing - end 26-Jan-2026'!$A:$Q,7,FALSE)/12)*(VLOOKUP($I78,'Old Pricing - end 26-Jan-2026'!$A:$Q,9,FALSE)/12))/5,0)*5</f>
        <v>200</v>
      </c>
      <c r="R78" s="71">
        <f>$Q78/IFERROR(VLOOKUP($F78&amp;RIGHT($K78,8),'Master Data'!$O$5:$P$10,2,FALSE),'Master Data'!$P$4)</f>
        <v>1</v>
      </c>
      <c r="S78" s="57">
        <f>VLOOKUP($I78,'Old Pricing - end 26-Jan-2026'!$A:$Q,16,FALSE)</f>
        <v>700</v>
      </c>
      <c r="T78" s="57">
        <f>VLOOKUP(I78,'Old Pricing - end 26-Jan-2026'!$A:$O,15,FALSE)</f>
        <v>7.53</v>
      </c>
      <c r="U78" s="57">
        <f t="shared" si="2"/>
        <v>6860.0000000000009</v>
      </c>
      <c r="V78" s="111">
        <f t="shared" si="5"/>
        <v>6858.640260000001</v>
      </c>
      <c r="W78" s="55">
        <f>VLOOKUP($I78,'Old Pricing - end 26-Jan-2026'!$A:$R,18,FALSE)</f>
        <v>45</v>
      </c>
    </row>
    <row r="79" spans="1:23" ht="15" hidden="1" thickTop="1" x14ac:dyDescent="0.3">
      <c r="A79" s="55">
        <v>52954701</v>
      </c>
      <c r="B79" s="55">
        <v>0</v>
      </c>
      <c r="C79" s="55" t="str">
        <f>VLOOKUP(A79&amp;"-"&amp;B79,'Order Summary'!$D:$E,2,FALSE)</f>
        <v>Telex / Seaway Released</v>
      </c>
      <c r="D79" s="216">
        <f>IF($A79="","",VLOOKUP($A79&amp;"-"&amp;$B79,'Order Summary'!$D:$U,3,FALSE))</f>
        <v>45964</v>
      </c>
      <c r="E79" s="55" t="str">
        <f>VLOOKUP(A79&amp;"-"&amp;B79,'Order Summary'!$D:$G,4,FALSE)</f>
        <v>Yes</v>
      </c>
      <c r="F79" s="55" t="str">
        <f>VLOOKUP($A79,'Order Summary'!$B:$I,8,FALSE)</f>
        <v>Hillsboro, TX</v>
      </c>
      <c r="G79" s="216">
        <f>IF($A79="","",VLOOKUP($A79&amp;"-"&amp;$B79,'Order Summary'!$D:$U,18,FALSE))</f>
        <v>46086</v>
      </c>
      <c r="H79" s="55">
        <v>7</v>
      </c>
      <c r="I79" s="55">
        <v>694440</v>
      </c>
      <c r="J79" s="55" t="str">
        <f>VLOOKUP($I79,'Old Pricing - end 26-Jan-2026'!$A:$R,2,FALSE)</f>
        <v>G1S 694440</v>
      </c>
      <c r="K79" s="55" t="str">
        <f>VLOOKUP($I79,'Old Pricing - end 26-Jan-2026'!$A:$R,6,FALSE)&amp;" "&amp;VLOOKUP($I79,'Old Pricing - end 26-Jan-2026'!$A:$R,7,FALSE)&amp;""" x "&amp;VLOOKUP($I79,'Old Pricing - end 26-Jan-2026'!$A:$R,9,FALSE)&amp;""" "&amp;VLOOKUP($I79,'Old Pricing - end 26-Jan-2026'!$A:$R,5,FALSE)</f>
        <v>2MM 49" x 96" ACP</v>
      </c>
      <c r="L79" s="55">
        <f>VLOOKUP($I79,'Old Pricing - end 26-Jan-2026'!$A:$K,8,FALSE)</f>
        <v>1245</v>
      </c>
      <c r="M79" s="55">
        <f>VLOOKUP($I79,'Old Pricing - end 26-Jan-2026'!$A:$K,10,FALSE)</f>
        <v>2440</v>
      </c>
      <c r="N79" s="55" t="str">
        <f>VLOOKUP($I79,'Old Pricing - end 26-Jan-2026'!$A:$R,13,FALSE)&amp;" "&amp;VLOOKUP($I79,'Old Pricing - end 26-Jan-2026'!$A:$R,12,FALSE)</f>
        <v>AMC 0103 SILVER FROST</v>
      </c>
      <c r="O79" s="56">
        <v>6.5330000000000004</v>
      </c>
      <c r="P79" s="55">
        <f>(VLOOKUP($I79,'Old Pricing - end 26-Jan-2026'!$A:$R,8,FALSE)/1000)*(VLOOKUP($I79,'Old Pricing - end 26-Jan-2026'!$A:$R,10,FALSE)/1000)*Q79</f>
        <v>607.56000000000006</v>
      </c>
      <c r="Q79" s="55">
        <f>ROUND(('Order Details'!$O79*1000)/((VLOOKUP($I79,'Old Pricing - end 26-Jan-2026'!$A:$Q,7,FALSE)/12)*(VLOOKUP($I79,'Old Pricing - end 26-Jan-2026'!$A:$Q,9,FALSE)/12))/5,0)*5</f>
        <v>200</v>
      </c>
      <c r="R79" s="71">
        <f>$Q79/IFERROR(VLOOKUP($F79&amp;RIGHT($K79,8),'Master Data'!$O$5:$P$10,2,FALSE),'Master Data'!$P$4)</f>
        <v>1</v>
      </c>
      <c r="S79" s="57">
        <f>VLOOKUP($I79,'Old Pricing - end 26-Jan-2026'!$A:$Q,16,FALSE)</f>
        <v>700</v>
      </c>
      <c r="T79" s="57">
        <f>VLOOKUP(I79,'Old Pricing - end 26-Jan-2026'!$A:$O,15,FALSE)</f>
        <v>7.53</v>
      </c>
      <c r="U79" s="57">
        <f t="shared" si="2"/>
        <v>4573.1000000000004</v>
      </c>
      <c r="V79" s="111">
        <f t="shared" si="5"/>
        <v>4574.9268000000002</v>
      </c>
      <c r="W79" s="55">
        <f>VLOOKUP($I79,'Old Pricing - end 26-Jan-2026'!$A:$R,18,FALSE)</f>
        <v>90</v>
      </c>
    </row>
    <row r="80" spans="1:23" ht="15" hidden="1" thickTop="1" x14ac:dyDescent="0.3">
      <c r="A80" s="55">
        <v>52954701</v>
      </c>
      <c r="B80" s="55">
        <v>0</v>
      </c>
      <c r="C80" s="55" t="str">
        <f>VLOOKUP(A80&amp;"-"&amp;B80,'Order Summary'!$D:$E,2,FALSE)</f>
        <v>Telex / Seaway Released</v>
      </c>
      <c r="D80" s="216">
        <f>IF($A80="","",VLOOKUP($A80&amp;"-"&amp;$B80,'Order Summary'!$D:$U,3,FALSE))</f>
        <v>45964</v>
      </c>
      <c r="E80" s="55" t="str">
        <f>VLOOKUP(A80&amp;"-"&amp;B80,'Order Summary'!$D:$G,4,FALSE)</f>
        <v>Yes</v>
      </c>
      <c r="F80" s="55" t="str">
        <f>VLOOKUP($A80,'Order Summary'!$B:$I,8,FALSE)</f>
        <v>Hillsboro, TX</v>
      </c>
      <c r="G80" s="216">
        <f>IF($A80="","",VLOOKUP($A80&amp;"-"&amp;$B80,'Order Summary'!$D:$U,18,FALSE))</f>
        <v>46086</v>
      </c>
      <c r="H80" s="55">
        <v>8</v>
      </c>
      <c r="I80" s="55">
        <v>709355</v>
      </c>
      <c r="J80" s="55" t="str">
        <f>VLOOKUP($I80,'Old Pricing - end 26-Jan-2026'!$A:$R,2,FALSE)</f>
        <v>G1S 709355</v>
      </c>
      <c r="K80" s="55" t="str">
        <f>VLOOKUP($I80,'Old Pricing - end 26-Jan-2026'!$A:$R,6,FALSE)&amp;" "&amp;VLOOKUP($I80,'Old Pricing - end 26-Jan-2026'!$A:$R,7,FALSE)&amp;""" x "&amp;VLOOKUP($I80,'Old Pricing - end 26-Jan-2026'!$A:$R,9,FALSE)&amp;""" "&amp;VLOOKUP($I80,'Old Pricing - end 26-Jan-2026'!$A:$R,5,FALSE)</f>
        <v>2MM 49" x 90.5" ACP</v>
      </c>
      <c r="L80" s="55">
        <f>VLOOKUP($I80,'Old Pricing - end 26-Jan-2026'!$A:$K,8,FALSE)</f>
        <v>1245</v>
      </c>
      <c r="M80" s="55">
        <f>VLOOKUP($I80,'Old Pricing - end 26-Jan-2026'!$A:$K,10,FALSE)</f>
        <v>2300</v>
      </c>
      <c r="N80" s="55" t="str">
        <f>VLOOKUP($I80,'Old Pricing - end 26-Jan-2026'!$A:$R,13,FALSE)&amp;" "&amp;VLOOKUP($I80,'Old Pricing - end 26-Jan-2026'!$A:$R,12,FALSE)</f>
        <v>ASC 0069 GLOSSY WHITE</v>
      </c>
      <c r="O80" s="56">
        <v>6.1589999999999998</v>
      </c>
      <c r="P80" s="55">
        <f>(VLOOKUP($I80,'Old Pricing - end 26-Jan-2026'!$A:$R,8,FALSE)/1000)*(VLOOKUP($I80,'Old Pricing - end 26-Jan-2026'!$A:$R,10,FALSE)/1000)*Q80</f>
        <v>572.70000000000005</v>
      </c>
      <c r="Q80" s="55">
        <f>ROUND(('Order Details'!$O80*1000)/((VLOOKUP($I80,'Old Pricing - end 26-Jan-2026'!$A:$Q,7,FALSE)/12)*(VLOOKUP($I80,'Old Pricing - end 26-Jan-2026'!$A:$Q,9,FALSE)/12))/5,0)*5</f>
        <v>200</v>
      </c>
      <c r="R80" s="71">
        <f>$Q80/IFERROR(VLOOKUP($F80&amp;RIGHT($K80,8),'Master Data'!$O$5:$P$10,2,FALSE),'Master Data'!$P$4)</f>
        <v>1</v>
      </c>
      <c r="S80" s="57">
        <f>VLOOKUP($I80,'Old Pricing - end 26-Jan-2026'!$A:$Q,16,FALSE)</f>
        <v>700</v>
      </c>
      <c r="T80" s="57">
        <f>VLOOKUP(I80,'Old Pricing - end 26-Jan-2026'!$A:$O,15,FALSE)</f>
        <v>7.53</v>
      </c>
      <c r="U80" s="57">
        <f t="shared" si="2"/>
        <v>4311.3</v>
      </c>
      <c r="V80" s="111">
        <f t="shared" si="5"/>
        <v>4312.4310000000005</v>
      </c>
      <c r="W80" s="55">
        <f>VLOOKUP($I80,'Old Pricing - end 26-Jan-2026'!$A:$R,18,FALSE)</f>
        <v>45</v>
      </c>
    </row>
    <row r="81" spans="1:24" ht="15" hidden="1" thickTop="1" x14ac:dyDescent="0.3">
      <c r="A81" s="55">
        <v>52954701</v>
      </c>
      <c r="B81" s="55">
        <v>0</v>
      </c>
      <c r="C81" s="55" t="str">
        <f>VLOOKUP(A81&amp;"-"&amp;B81,'Order Summary'!$D:$E,2,FALSE)</f>
        <v>Telex / Seaway Released</v>
      </c>
      <c r="D81" s="216">
        <f>IF($A81="","",VLOOKUP($A81&amp;"-"&amp;$B81,'Order Summary'!$D:$U,3,FALSE))</f>
        <v>45964</v>
      </c>
      <c r="E81" s="55" t="str">
        <f>VLOOKUP(A81&amp;"-"&amp;B81,'Order Summary'!$D:$G,4,FALSE)</f>
        <v>Yes</v>
      </c>
      <c r="F81" s="55" t="str">
        <f>VLOOKUP($A81,'Order Summary'!$B:$I,8,FALSE)</f>
        <v>Hillsboro, TX</v>
      </c>
      <c r="G81" s="216">
        <f>IF($A81="","",VLOOKUP($A81&amp;"-"&amp;$B81,'Order Summary'!$D:$U,18,FALSE))</f>
        <v>46086</v>
      </c>
      <c r="H81" s="55">
        <v>9</v>
      </c>
      <c r="I81" s="55">
        <v>709356</v>
      </c>
      <c r="J81" s="55" t="str">
        <f>VLOOKUP($I81,'Old Pricing - end 26-Jan-2026'!$A:$R,2,FALSE)</f>
        <v>G1S 709356</v>
      </c>
      <c r="K81" s="55" t="str">
        <f>VLOOKUP($I81,'Old Pricing - end 26-Jan-2026'!$A:$R,6,FALSE)&amp;" "&amp;VLOOKUP($I81,'Old Pricing - end 26-Jan-2026'!$A:$R,7,FALSE)&amp;""" x "&amp;VLOOKUP($I81,'Old Pricing - end 26-Jan-2026'!$A:$R,9,FALSE)&amp;""" "&amp;VLOOKUP($I81,'Old Pricing - end 26-Jan-2026'!$A:$R,5,FALSE)</f>
        <v>2MM 49" x 90.5" ACP</v>
      </c>
      <c r="L81" s="55">
        <f>VLOOKUP($I81,'Old Pricing - end 26-Jan-2026'!$A:$K,8,FALSE)</f>
        <v>1245</v>
      </c>
      <c r="M81" s="55">
        <f>VLOOKUP($I81,'Old Pricing - end 26-Jan-2026'!$A:$K,10,FALSE)</f>
        <v>2300</v>
      </c>
      <c r="N81" s="55" t="str">
        <f>VLOOKUP($I81,'Old Pricing - end 26-Jan-2026'!$A:$R,13,FALSE)&amp;" "&amp;VLOOKUP($I81,'Old Pricing - end 26-Jan-2026'!$A:$R,12,FALSE)</f>
        <v>AMC 0086 CHARCOAL METALLIC</v>
      </c>
      <c r="O81" s="56">
        <v>6.1589999999999998</v>
      </c>
      <c r="P81" s="55">
        <f>(VLOOKUP($I81,'Old Pricing - end 26-Jan-2026'!$A:$R,8,FALSE)/1000)*(VLOOKUP($I81,'Old Pricing - end 26-Jan-2026'!$A:$R,10,FALSE)/1000)*Q81</f>
        <v>572.70000000000005</v>
      </c>
      <c r="Q81" s="55">
        <f>ROUND(('Order Details'!$O81*1000)/((VLOOKUP($I81,'Old Pricing - end 26-Jan-2026'!$A:$Q,7,FALSE)/12)*(VLOOKUP($I81,'Old Pricing - end 26-Jan-2026'!$A:$Q,9,FALSE)/12))/5,0)*5</f>
        <v>200</v>
      </c>
      <c r="R81" s="71">
        <f>$Q81/IFERROR(VLOOKUP($F81&amp;RIGHT($K81,8),'Master Data'!$O$5:$P$10,2,FALSE),'Master Data'!$P$4)</f>
        <v>1</v>
      </c>
      <c r="S81" s="57">
        <f>VLOOKUP($I81,'Old Pricing - end 26-Jan-2026'!$A:$Q,16,FALSE)</f>
        <v>750</v>
      </c>
      <c r="T81" s="57">
        <f>VLOOKUP(I81,'Old Pricing - end 26-Jan-2026'!$A:$O,15,FALSE)</f>
        <v>8.07</v>
      </c>
      <c r="U81" s="57">
        <f t="shared" si="2"/>
        <v>4619.25</v>
      </c>
      <c r="V81" s="111">
        <f t="shared" si="5"/>
        <v>4621.6890000000003</v>
      </c>
      <c r="W81" s="55">
        <f>VLOOKUP($I81,'Old Pricing - end 26-Jan-2026'!$A:$R,18,FALSE)</f>
        <v>45</v>
      </c>
    </row>
    <row r="82" spans="1:24" ht="15" hidden="1" thickTop="1" x14ac:dyDescent="0.3">
      <c r="A82" s="55">
        <v>52954697</v>
      </c>
      <c r="B82" s="55">
        <v>0</v>
      </c>
      <c r="C82" s="55" t="str">
        <f>VLOOKUP(A82&amp;"-"&amp;B82,'Order Summary'!$D:$E,2,FALSE)</f>
        <v>Telex / Seaway Released</v>
      </c>
      <c r="D82" s="216">
        <f>IF($A82="","",VLOOKUP($A82&amp;"-"&amp;$B82,'Order Summary'!$D:$U,3,FALSE))</f>
        <v>45964</v>
      </c>
      <c r="E82" s="55" t="str">
        <f>VLOOKUP(A82&amp;"-"&amp;B82,'Order Summary'!$D:$G,4,FALSE)</f>
        <v>Yes</v>
      </c>
      <c r="F82" s="55" t="str">
        <f>VLOOKUP($A82,'Order Summary'!$B:$I,8,FALSE)</f>
        <v>Hillsboro, TX</v>
      </c>
      <c r="G82" s="216">
        <f>IF($A82="","",VLOOKUP($A82&amp;"-"&amp;$B82,'Order Summary'!$D:$U,18,FALSE))</f>
        <v>46093</v>
      </c>
      <c r="H82" s="55">
        <v>1</v>
      </c>
      <c r="I82" s="55">
        <v>694432</v>
      </c>
      <c r="J82" s="55" t="str">
        <f>VLOOKUP($I82,'Old Pricing - end 26-Jan-2026'!$A:$R,2,FALSE)</f>
        <v>G1S 694432</v>
      </c>
      <c r="K82" s="55" t="str">
        <f>VLOOKUP($I82,'Old Pricing - end 26-Jan-2026'!$A:$R,6,FALSE)&amp;" "&amp;VLOOKUP($I82,'Old Pricing - end 26-Jan-2026'!$A:$R,7,FALSE)&amp;""" x "&amp;VLOOKUP($I82,'Old Pricing - end 26-Jan-2026'!$A:$R,9,FALSE)&amp;""" "&amp;VLOOKUP($I82,'Old Pricing - end 26-Jan-2026'!$A:$R,5,FALSE)</f>
        <v>2MM 49" x 96" ACP</v>
      </c>
      <c r="L82" s="55">
        <f>VLOOKUP($I82,'Old Pricing - end 26-Jan-2026'!$A:$K,8,FALSE)</f>
        <v>1245</v>
      </c>
      <c r="M82" s="55">
        <f>VLOOKUP($I82,'Old Pricing - end 26-Jan-2026'!$A:$K,10,FALSE)</f>
        <v>2440</v>
      </c>
      <c r="N82" s="55" t="str">
        <f>VLOOKUP($I82,'Old Pricing - end 26-Jan-2026'!$A:$R,13,FALSE)&amp;" "&amp;VLOOKUP($I82,'Old Pricing - end 26-Jan-2026'!$A:$R,12,FALSE)</f>
        <v>ASC 0096 GLOSSY BLACK</v>
      </c>
      <c r="O82" s="56">
        <v>6.5330000000000004</v>
      </c>
      <c r="P82" s="55">
        <f>(VLOOKUP($I82,'Old Pricing - end 26-Jan-2026'!$A:$R,8,FALSE)/1000)*(VLOOKUP($I82,'Old Pricing - end 26-Jan-2026'!$A:$R,10,FALSE)/1000)*Q82</f>
        <v>607.56000000000006</v>
      </c>
      <c r="Q82" s="55">
        <f>ROUND(('Order Details'!$O82*1000)/((VLOOKUP($I82,'Old Pricing - end 26-Jan-2026'!$A:$Q,7,FALSE)/12)*(VLOOKUP($I82,'Old Pricing - end 26-Jan-2026'!$A:$Q,9,FALSE)/12))/5,0)*5</f>
        <v>200</v>
      </c>
      <c r="R82" s="71">
        <f>$Q82/IFERROR(VLOOKUP($F82&amp;RIGHT($K82,8),'Master Data'!$O$5:$P$10,2,FALSE),'Master Data'!$P$4)</f>
        <v>1</v>
      </c>
      <c r="S82" s="57">
        <f>VLOOKUP($I82,'Old Pricing - end 26-Jan-2026'!$A:$Q,16,FALSE)</f>
        <v>700</v>
      </c>
      <c r="T82" s="57">
        <f>VLOOKUP(I82,'Old Pricing - end 26-Jan-2026'!$A:$O,15,FALSE)</f>
        <v>7.53</v>
      </c>
      <c r="U82" s="57">
        <f t="shared" si="2"/>
        <v>4573.1000000000004</v>
      </c>
      <c r="V82" s="111">
        <f t="shared" si="5"/>
        <v>4574.9268000000002</v>
      </c>
      <c r="W82" s="55">
        <f>VLOOKUP($I82,'Old Pricing - end 26-Jan-2026'!$A:$R,18,FALSE)</f>
        <v>45</v>
      </c>
    </row>
    <row r="83" spans="1:24" ht="15" hidden="1" thickTop="1" x14ac:dyDescent="0.3">
      <c r="A83" s="55">
        <v>52954697</v>
      </c>
      <c r="B83" s="55">
        <v>0</v>
      </c>
      <c r="C83" s="55" t="str">
        <f>VLOOKUP(A83&amp;"-"&amp;B83,'Order Summary'!$D:$E,2,FALSE)</f>
        <v>Telex / Seaway Released</v>
      </c>
      <c r="D83" s="216">
        <f>IF($A83="","",VLOOKUP($A83&amp;"-"&amp;$B83,'Order Summary'!$D:$U,3,FALSE))</f>
        <v>45964</v>
      </c>
      <c r="E83" s="55" t="str">
        <f>VLOOKUP(A83&amp;"-"&amp;B83,'Order Summary'!$D:$G,4,FALSE)</f>
        <v>Yes</v>
      </c>
      <c r="F83" s="55" t="str">
        <f>VLOOKUP($A83,'Order Summary'!$B:$I,8,FALSE)</f>
        <v>Hillsboro, TX</v>
      </c>
      <c r="G83" s="216">
        <f>IF($A83="","",VLOOKUP($A83&amp;"-"&amp;$B83,'Order Summary'!$D:$U,18,FALSE))</f>
        <v>46093</v>
      </c>
      <c r="H83" s="55">
        <v>2</v>
      </c>
      <c r="I83" s="55">
        <v>694433</v>
      </c>
      <c r="J83" s="55" t="str">
        <f>VLOOKUP($I83,'Old Pricing - end 26-Jan-2026'!$A:$R,2,FALSE)</f>
        <v>G1S 694433</v>
      </c>
      <c r="K83" s="55" t="str">
        <f>VLOOKUP($I83,'Old Pricing - end 26-Jan-2026'!$A:$R,6,FALSE)&amp;" "&amp;VLOOKUP($I83,'Old Pricing - end 26-Jan-2026'!$A:$R,7,FALSE)&amp;""" x "&amp;VLOOKUP($I83,'Old Pricing - end 26-Jan-2026'!$A:$R,9,FALSE)&amp;""" "&amp;VLOOKUP($I83,'Old Pricing - end 26-Jan-2026'!$A:$R,5,FALSE)</f>
        <v>2MM 49" x 108" ACP</v>
      </c>
      <c r="L83" s="55">
        <f>VLOOKUP($I83,'Old Pricing - end 26-Jan-2026'!$A:$K,8,FALSE)</f>
        <v>1245</v>
      </c>
      <c r="M83" s="55">
        <f>VLOOKUP($I83,'Old Pricing - end 26-Jan-2026'!$A:$K,10,FALSE)</f>
        <v>2745</v>
      </c>
      <c r="N83" s="55" t="str">
        <f>VLOOKUP($I83,'Old Pricing - end 26-Jan-2026'!$A:$R,13,FALSE)&amp;" "&amp;VLOOKUP($I83,'Old Pricing - end 26-Jan-2026'!$A:$R,12,FALSE)</f>
        <v>ASC 0096 GLOSSY BLACK</v>
      </c>
      <c r="O83" s="56">
        <v>22.05</v>
      </c>
      <c r="P83" s="55">
        <f>(VLOOKUP($I83,'Old Pricing - end 26-Jan-2026'!$A:$R,8,FALSE)/1000)*(VLOOKUP($I83,'Old Pricing - end 26-Jan-2026'!$A:$R,10,FALSE)/1000)*Q83</f>
        <v>2050.5150000000003</v>
      </c>
      <c r="Q83" s="55">
        <f>ROUND(('Order Details'!$O83*1000)/((VLOOKUP($I83,'Old Pricing - end 26-Jan-2026'!$A:$Q,7,FALSE)/12)*(VLOOKUP($I83,'Old Pricing - end 26-Jan-2026'!$A:$Q,9,FALSE)/12))/5,0)*5</f>
        <v>600</v>
      </c>
      <c r="R83" s="71">
        <f>Q83/150</f>
        <v>4</v>
      </c>
      <c r="S83" s="57">
        <f>VLOOKUP($I83,'Old Pricing - end 26-Jan-2026'!$A:$Q,16,FALSE)</f>
        <v>700</v>
      </c>
      <c r="T83" s="57">
        <f>VLOOKUP(I83,'Old Pricing - end 26-Jan-2026'!$A:$O,15,FALSE)</f>
        <v>7.53</v>
      </c>
      <c r="U83" s="57">
        <f t="shared" si="2"/>
        <v>15435</v>
      </c>
      <c r="V83" s="111">
        <f t="shared" si="5"/>
        <v>15440.377950000004</v>
      </c>
      <c r="W83" s="55">
        <f>VLOOKUP($I83,'Old Pricing - end 26-Jan-2026'!$A:$R,18,FALSE)</f>
        <v>45</v>
      </c>
    </row>
    <row r="84" spans="1:24" ht="15" hidden="1" thickTop="1" x14ac:dyDescent="0.3">
      <c r="A84" s="55">
        <v>52954697</v>
      </c>
      <c r="B84" s="55">
        <v>0</v>
      </c>
      <c r="C84" s="55" t="str">
        <f>VLOOKUP(A84&amp;"-"&amp;B84,'Order Summary'!$D:$E,2,FALSE)</f>
        <v>Telex / Seaway Released</v>
      </c>
      <c r="D84" s="216">
        <f>IF($A84="","",VLOOKUP($A84&amp;"-"&amp;$B84,'Order Summary'!$D:$U,3,FALSE))</f>
        <v>45964</v>
      </c>
      <c r="E84" s="55" t="str">
        <f>VLOOKUP(A84&amp;"-"&amp;B84,'Order Summary'!$D:$G,4,FALSE)</f>
        <v>Yes</v>
      </c>
      <c r="F84" s="55" t="str">
        <f>VLOOKUP($A84,'Order Summary'!$B:$I,8,FALSE)</f>
        <v>Hillsboro, TX</v>
      </c>
      <c r="G84" s="216">
        <f>IF($A84="","",VLOOKUP($A84&amp;"-"&amp;$B84,'Order Summary'!$D:$U,18,FALSE))</f>
        <v>46093</v>
      </c>
      <c r="H84" s="55">
        <v>3</v>
      </c>
      <c r="I84" s="55">
        <v>694434</v>
      </c>
      <c r="J84" s="55" t="str">
        <f>VLOOKUP($I84,'Old Pricing - end 26-Jan-2026'!$A:$R,2,FALSE)</f>
        <v>G1S 694434</v>
      </c>
      <c r="K84" s="55" t="str">
        <f>VLOOKUP($I84,'Old Pricing - end 26-Jan-2026'!$A:$R,6,FALSE)&amp;" "&amp;VLOOKUP($I84,'Old Pricing - end 26-Jan-2026'!$A:$R,7,FALSE)&amp;""" x "&amp;VLOOKUP($I84,'Old Pricing - end 26-Jan-2026'!$A:$R,9,FALSE)&amp;""" "&amp;VLOOKUP($I84,'Old Pricing - end 26-Jan-2026'!$A:$R,5,FALSE)</f>
        <v>2MM 49" x 144" ACP</v>
      </c>
      <c r="L84" s="55">
        <f>VLOOKUP($I84,'Old Pricing - end 26-Jan-2026'!$A:$K,8,FALSE)</f>
        <v>1245</v>
      </c>
      <c r="M84" s="55">
        <f>VLOOKUP($I84,'Old Pricing - end 26-Jan-2026'!$A:$K,10,FALSE)</f>
        <v>3658</v>
      </c>
      <c r="N84" s="55" t="str">
        <f>VLOOKUP($I84,'Old Pricing - end 26-Jan-2026'!$A:$R,13,FALSE)&amp;" "&amp;VLOOKUP($I84,'Old Pricing - end 26-Jan-2026'!$A:$R,12,FALSE)</f>
        <v>ASC 0096 GLOSSY BLACK</v>
      </c>
      <c r="O84" s="56">
        <v>19.600000000000001</v>
      </c>
      <c r="P84" s="55">
        <f>(VLOOKUP($I84,'Old Pricing - end 26-Jan-2026'!$A:$R,8,FALSE)/1000)*(VLOOKUP($I84,'Old Pricing - end 26-Jan-2026'!$A:$R,10,FALSE)/1000)*Q84</f>
        <v>1821.6840000000002</v>
      </c>
      <c r="Q84" s="55">
        <f>ROUND(('Order Details'!$O84*1000)/((VLOOKUP($I84,'Old Pricing - end 26-Jan-2026'!$A:$Q,7,FALSE)/12)*(VLOOKUP($I84,'Old Pricing - end 26-Jan-2026'!$A:$Q,9,FALSE)/12))/5,0)*5</f>
        <v>400</v>
      </c>
      <c r="R84" s="71">
        <f>$Q84/IFERROR(VLOOKUP($F84&amp;RIGHT($K84,8),'Master Data'!$O$5:$P$10,2,FALSE),'Master Data'!$P$4)</f>
        <v>2</v>
      </c>
      <c r="S84" s="57">
        <f>VLOOKUP($I84,'Old Pricing - end 26-Jan-2026'!$A:$Q,16,FALSE)</f>
        <v>700</v>
      </c>
      <c r="T84" s="57">
        <f>VLOOKUP(I84,'Old Pricing - end 26-Jan-2026'!$A:$O,15,FALSE)</f>
        <v>7.53</v>
      </c>
      <c r="U84" s="57">
        <f t="shared" si="2"/>
        <v>13720.000000000002</v>
      </c>
      <c r="V84" s="111">
        <f t="shared" si="5"/>
        <v>13717.280520000002</v>
      </c>
      <c r="W84" s="55">
        <f>VLOOKUP($I84,'Old Pricing - end 26-Jan-2026'!$A:$R,18,FALSE)</f>
        <v>45</v>
      </c>
    </row>
    <row r="85" spans="1:24" ht="15" hidden="1" thickTop="1" x14ac:dyDescent="0.3">
      <c r="A85" s="55">
        <v>52954697</v>
      </c>
      <c r="B85" s="55">
        <v>0</v>
      </c>
      <c r="C85" s="55" t="str">
        <f>VLOOKUP(A85&amp;"-"&amp;B85,'Order Summary'!$D:$E,2,FALSE)</f>
        <v>Telex / Seaway Released</v>
      </c>
      <c r="D85" s="216">
        <f>IF($A85="","",VLOOKUP($A85&amp;"-"&amp;$B85,'Order Summary'!$D:$U,3,FALSE))</f>
        <v>45964</v>
      </c>
      <c r="E85" s="55" t="str">
        <f>VLOOKUP(A85&amp;"-"&amp;B85,'Order Summary'!$D:$G,4,FALSE)</f>
        <v>Yes</v>
      </c>
      <c r="F85" s="55" t="str">
        <f>VLOOKUP($A85,'Order Summary'!$B:$I,8,FALSE)</f>
        <v>Hillsboro, TX</v>
      </c>
      <c r="G85" s="216">
        <f>IF($A85="","",VLOOKUP($A85&amp;"-"&amp;$B85,'Order Summary'!$D:$U,18,FALSE))</f>
        <v>46093</v>
      </c>
      <c r="H85" s="55">
        <v>4</v>
      </c>
      <c r="I85" s="55">
        <v>694437</v>
      </c>
      <c r="J85" s="55" t="str">
        <f>VLOOKUP($I85,'Old Pricing - end 26-Jan-2026'!$A:$R,2,FALSE)</f>
        <v>G1S 694437</v>
      </c>
      <c r="K85" s="55" t="str">
        <f>VLOOKUP($I85,'Old Pricing - end 26-Jan-2026'!$A:$R,6,FALSE)&amp;" "&amp;VLOOKUP($I85,'Old Pricing - end 26-Jan-2026'!$A:$R,7,FALSE)&amp;""" x "&amp;VLOOKUP($I85,'Old Pricing - end 26-Jan-2026'!$A:$R,9,FALSE)&amp;""" "&amp;VLOOKUP($I85,'Old Pricing - end 26-Jan-2026'!$A:$R,5,FALSE)</f>
        <v>2MM 49" x 108" ACP</v>
      </c>
      <c r="L85" s="55">
        <f>VLOOKUP($I85,'Old Pricing - end 26-Jan-2026'!$A:$K,8,FALSE)</f>
        <v>1245</v>
      </c>
      <c r="M85" s="55">
        <f>VLOOKUP($I85,'Old Pricing - end 26-Jan-2026'!$A:$K,10,FALSE)</f>
        <v>2745</v>
      </c>
      <c r="N85" s="55" t="str">
        <f>VLOOKUP($I85,'Old Pricing - end 26-Jan-2026'!$A:$R,13,FALSE)&amp;" "&amp;VLOOKUP($I85,'Old Pricing - end 26-Jan-2026'!$A:$R,12,FALSE)</f>
        <v>ASC 0069 GLOSSY WHITE</v>
      </c>
      <c r="O85" s="56">
        <v>11.025</v>
      </c>
      <c r="P85" s="55">
        <f>(VLOOKUP($I85,'Old Pricing - end 26-Jan-2026'!$A:$R,8,FALSE)/1000)*(VLOOKUP($I85,'Old Pricing - end 26-Jan-2026'!$A:$R,10,FALSE)/1000)*Q85</f>
        <v>1025.2575000000002</v>
      </c>
      <c r="Q85" s="55">
        <f>ROUND(('Order Details'!$O85*1000)/((VLOOKUP($I85,'Old Pricing - end 26-Jan-2026'!$A:$Q,7,FALSE)/12)*(VLOOKUP($I85,'Old Pricing - end 26-Jan-2026'!$A:$Q,9,FALSE)/12))/5,0)*5</f>
        <v>300</v>
      </c>
      <c r="R85" s="71">
        <f t="shared" ref="R85:R86" si="6">Q85/150</f>
        <v>2</v>
      </c>
      <c r="S85" s="57">
        <f>VLOOKUP($I85,'Old Pricing - end 26-Jan-2026'!$A:$Q,16,FALSE)</f>
        <v>700</v>
      </c>
      <c r="T85" s="57">
        <f>VLOOKUP(I85,'Old Pricing - end 26-Jan-2026'!$A:$O,15,FALSE)</f>
        <v>7.53</v>
      </c>
      <c r="U85" s="57">
        <f t="shared" si="2"/>
        <v>7717.5</v>
      </c>
      <c r="V85" s="111">
        <f t="shared" si="5"/>
        <v>7720.1889750000018</v>
      </c>
      <c r="W85" s="55">
        <f>VLOOKUP($I85,'Old Pricing - end 26-Jan-2026'!$A:$R,18,FALSE)</f>
        <v>45</v>
      </c>
    </row>
    <row r="86" spans="1:24" ht="15" hidden="1" thickTop="1" x14ac:dyDescent="0.3">
      <c r="A86" s="55">
        <v>52954697</v>
      </c>
      <c r="B86" s="55">
        <v>0</v>
      </c>
      <c r="C86" s="55" t="str">
        <f>VLOOKUP(A86&amp;"-"&amp;B86,'Order Summary'!$D:$E,2,FALSE)</f>
        <v>Telex / Seaway Released</v>
      </c>
      <c r="D86" s="216">
        <f>IF($A86="","",VLOOKUP($A86&amp;"-"&amp;$B86,'Order Summary'!$D:$U,3,FALSE))</f>
        <v>45964</v>
      </c>
      <c r="E86" s="55" t="str">
        <f>VLOOKUP(A86&amp;"-"&amp;B86,'Order Summary'!$D:$G,4,FALSE)</f>
        <v>Yes</v>
      </c>
      <c r="F86" s="55" t="str">
        <f>VLOOKUP($A86,'Order Summary'!$B:$I,8,FALSE)</f>
        <v>Hillsboro, TX</v>
      </c>
      <c r="G86" s="216">
        <f>IF($A86="","",VLOOKUP($A86&amp;"-"&amp;$B86,'Order Summary'!$D:$U,18,FALSE))</f>
        <v>46093</v>
      </c>
      <c r="H86" s="55">
        <v>5</v>
      </c>
      <c r="I86" s="55">
        <v>694441</v>
      </c>
      <c r="J86" s="55" t="str">
        <f>VLOOKUP($I86,'Old Pricing - end 26-Jan-2026'!$A:$R,2,FALSE)</f>
        <v>G1S 694441</v>
      </c>
      <c r="K86" s="55" t="str">
        <f>VLOOKUP($I86,'Old Pricing - end 26-Jan-2026'!$A:$R,6,FALSE)&amp;" "&amp;VLOOKUP($I86,'Old Pricing - end 26-Jan-2026'!$A:$R,7,FALSE)&amp;""" x "&amp;VLOOKUP($I86,'Old Pricing - end 26-Jan-2026'!$A:$R,9,FALSE)&amp;""" "&amp;VLOOKUP($I86,'Old Pricing - end 26-Jan-2026'!$A:$R,5,FALSE)</f>
        <v>2MM 49" x 108" ACP</v>
      </c>
      <c r="L86" s="55">
        <f>VLOOKUP($I86,'Old Pricing - end 26-Jan-2026'!$A:$K,8,FALSE)</f>
        <v>1245</v>
      </c>
      <c r="M86" s="55">
        <f>VLOOKUP($I86,'Old Pricing - end 26-Jan-2026'!$A:$K,10,FALSE)</f>
        <v>2745</v>
      </c>
      <c r="N86" s="55" t="str">
        <f>VLOOKUP($I86,'Old Pricing - end 26-Jan-2026'!$A:$R,13,FALSE)&amp;" "&amp;VLOOKUP($I86,'Old Pricing - end 26-Jan-2026'!$A:$R,12,FALSE)</f>
        <v>AMC 0103 SILVER FROST</v>
      </c>
      <c r="O86" s="56">
        <v>5.5129999999999999</v>
      </c>
      <c r="P86" s="55">
        <f>(VLOOKUP($I86,'Old Pricing - end 26-Jan-2026'!$A:$R,8,FALSE)/1000)*(VLOOKUP($I86,'Old Pricing - end 26-Jan-2026'!$A:$R,10,FALSE)/1000)*Q86</f>
        <v>512.62875000000008</v>
      </c>
      <c r="Q86" s="55">
        <f>ROUND(('Order Details'!$O86*1000)/((VLOOKUP($I86,'Old Pricing - end 26-Jan-2026'!$A:$Q,7,FALSE)/12)*(VLOOKUP($I86,'Old Pricing - end 26-Jan-2026'!$A:$Q,9,FALSE)/12))/5,0)*5</f>
        <v>150</v>
      </c>
      <c r="R86" s="71">
        <f t="shared" si="6"/>
        <v>1</v>
      </c>
      <c r="S86" s="57">
        <f>VLOOKUP($I86,'Old Pricing - end 26-Jan-2026'!$A:$Q,16,FALSE)</f>
        <v>700</v>
      </c>
      <c r="T86" s="57">
        <f>VLOOKUP(I86,'Old Pricing - end 26-Jan-2026'!$A:$O,15,FALSE)</f>
        <v>7.53</v>
      </c>
      <c r="U86" s="57">
        <f t="shared" si="2"/>
        <v>3859.1</v>
      </c>
      <c r="V86" s="111">
        <f t="shared" si="5"/>
        <v>3860.0944875000009</v>
      </c>
      <c r="W86" s="55">
        <f>VLOOKUP($I86,'Old Pricing - end 26-Jan-2026'!$A:$R,18,FALSE)</f>
        <v>90</v>
      </c>
    </row>
    <row r="87" spans="1:24" ht="15" hidden="1" thickTop="1" x14ac:dyDescent="0.3">
      <c r="A87" s="55">
        <v>52954697</v>
      </c>
      <c r="B87" s="55">
        <v>0</v>
      </c>
      <c r="C87" s="55" t="str">
        <f>VLOOKUP(A87&amp;"-"&amp;B87,'Order Summary'!$D:$E,2,FALSE)</f>
        <v>Telex / Seaway Released</v>
      </c>
      <c r="D87" s="216">
        <f>IF($A87="","",VLOOKUP($A87&amp;"-"&amp;$B87,'Order Summary'!$D:$U,3,FALSE))</f>
        <v>45964</v>
      </c>
      <c r="E87" s="55" t="str">
        <f>VLOOKUP(A87&amp;"-"&amp;B87,'Order Summary'!$D:$G,4,FALSE)</f>
        <v>Yes</v>
      </c>
      <c r="F87" s="55" t="str">
        <f>VLOOKUP($A87,'Order Summary'!$B:$I,8,FALSE)</f>
        <v>Hillsboro, TX</v>
      </c>
      <c r="G87" s="216">
        <f>IF($A87="","",VLOOKUP($A87&amp;"-"&amp;$B87,'Order Summary'!$D:$U,18,FALSE))</f>
        <v>46093</v>
      </c>
      <c r="H87" s="55">
        <v>6</v>
      </c>
      <c r="I87" s="55">
        <v>708895</v>
      </c>
      <c r="J87" s="55" t="str">
        <f>VLOOKUP($I87,'Old Pricing - end 26-Jan-2026'!$A:$R,2,FALSE)</f>
        <v>G1S 708895</v>
      </c>
      <c r="K87" s="55" t="str">
        <f>VLOOKUP($I87,'Old Pricing - end 26-Jan-2026'!$A:$R,6,FALSE)&amp;" "&amp;VLOOKUP($I87,'Old Pricing - end 26-Jan-2026'!$A:$R,7,FALSE)&amp;""" x "&amp;VLOOKUP($I87,'Old Pricing - end 26-Jan-2026'!$A:$R,9,FALSE)&amp;""" "&amp;VLOOKUP($I87,'Old Pricing - end 26-Jan-2026'!$A:$R,5,FALSE)</f>
        <v>2MM 49" x 120" ACP</v>
      </c>
      <c r="L87" s="55">
        <f>VLOOKUP($I87,'Old Pricing - end 26-Jan-2026'!$A:$K,8,FALSE)</f>
        <v>1245</v>
      </c>
      <c r="M87" s="55">
        <f>VLOOKUP($I87,'Old Pricing - end 26-Jan-2026'!$A:$K,10,FALSE)</f>
        <v>3050</v>
      </c>
      <c r="N87" s="55" t="str">
        <f>VLOOKUP($I87,'Old Pricing - end 26-Jan-2026'!$A:$R,13,FALSE)&amp;" "&amp;VLOOKUP($I87,'Old Pricing - end 26-Jan-2026'!$A:$R,12,FALSE)</f>
        <v>ASC 0092 PEPSI BLUE</v>
      </c>
      <c r="O87" s="56">
        <v>8.1669999999999998</v>
      </c>
      <c r="P87" s="55">
        <f>(VLOOKUP($I87,'Old Pricing - end 26-Jan-2026'!$A:$R,8,FALSE)/1000)*(VLOOKUP($I87,'Old Pricing - end 26-Jan-2026'!$A:$R,10,FALSE)/1000)*Q87</f>
        <v>759.45</v>
      </c>
      <c r="Q87" s="55">
        <f>ROUND(('Order Details'!$O87*1000)/((VLOOKUP($I87,'Old Pricing - end 26-Jan-2026'!$A:$Q,7,FALSE)/12)*(VLOOKUP($I87,'Old Pricing - end 26-Jan-2026'!$A:$Q,9,FALSE)/12))/5,0)*5</f>
        <v>200</v>
      </c>
      <c r="R87" s="71">
        <f>$Q87/IFERROR(VLOOKUP($F87&amp;RIGHT($K87,8),'Master Data'!$O$5:$P$10,2,FALSE),'Master Data'!$P$4)</f>
        <v>1</v>
      </c>
      <c r="S87" s="57">
        <f>VLOOKUP($I87,'Old Pricing - end 26-Jan-2026'!$A:$Q,16,FALSE)</f>
        <v>700</v>
      </c>
      <c r="T87" s="57">
        <f>VLOOKUP(I87,'Old Pricing - end 26-Jan-2026'!$A:$O,15,FALSE)</f>
        <v>7.53</v>
      </c>
      <c r="U87" s="57">
        <f t="shared" si="2"/>
        <v>5716.9</v>
      </c>
      <c r="V87" s="111">
        <f t="shared" si="5"/>
        <v>5718.6585000000005</v>
      </c>
      <c r="W87" s="55">
        <f>VLOOKUP($I87,'Old Pricing - end 26-Jan-2026'!$A:$R,18,FALSE)</f>
        <v>90</v>
      </c>
    </row>
    <row r="88" spans="1:24" ht="15" hidden="1" thickTop="1" x14ac:dyDescent="0.3">
      <c r="A88" s="55">
        <v>52954697</v>
      </c>
      <c r="B88" s="55">
        <v>0</v>
      </c>
      <c r="C88" s="55" t="str">
        <f>VLOOKUP(A88&amp;"-"&amp;B88,'Order Summary'!$D:$E,2,FALSE)</f>
        <v>Telex / Seaway Released</v>
      </c>
      <c r="D88" s="216">
        <f>IF($A88="","",VLOOKUP($A88&amp;"-"&amp;$B88,'Order Summary'!$D:$U,3,FALSE))</f>
        <v>45964</v>
      </c>
      <c r="E88" s="55" t="str">
        <f>VLOOKUP(A88&amp;"-"&amp;B88,'Order Summary'!$D:$G,4,FALSE)</f>
        <v>Yes</v>
      </c>
      <c r="F88" s="55" t="str">
        <f>VLOOKUP($A88,'Order Summary'!$B:$I,8,FALSE)</f>
        <v>Hillsboro, TX</v>
      </c>
      <c r="G88" s="216">
        <f>IF($A88="","",VLOOKUP($A88&amp;"-"&amp;$B88,'Order Summary'!$D:$U,18,FALSE))</f>
        <v>46093</v>
      </c>
      <c r="H88" s="55">
        <v>7</v>
      </c>
      <c r="I88" s="55">
        <v>709354</v>
      </c>
      <c r="J88" s="55" t="str">
        <f>VLOOKUP($I88,'Old Pricing - end 26-Jan-2026'!$A:$R,2,FALSE)</f>
        <v>G1S 709354</v>
      </c>
      <c r="K88" s="55" t="str">
        <f>VLOOKUP($I88,'Old Pricing - end 26-Jan-2026'!$A:$R,6,FALSE)&amp;" "&amp;VLOOKUP($I88,'Old Pricing - end 26-Jan-2026'!$A:$R,7,FALSE)&amp;""" x "&amp;VLOOKUP($I88,'Old Pricing - end 26-Jan-2026'!$A:$R,9,FALSE)&amp;""" "&amp;VLOOKUP($I88,'Old Pricing - end 26-Jan-2026'!$A:$R,5,FALSE)</f>
        <v>2MM 49" x 90.5" ACP</v>
      </c>
      <c r="L88" s="55">
        <f>VLOOKUP($I88,'Old Pricing - end 26-Jan-2026'!$A:$K,8,FALSE)</f>
        <v>1245</v>
      </c>
      <c r="M88" s="55">
        <f>VLOOKUP($I88,'Old Pricing - end 26-Jan-2026'!$A:$K,10,FALSE)</f>
        <v>2300</v>
      </c>
      <c r="N88" s="55" t="str">
        <f>VLOOKUP($I88,'Old Pricing - end 26-Jan-2026'!$A:$R,13,FALSE)&amp;" "&amp;VLOOKUP($I88,'Old Pricing - end 26-Jan-2026'!$A:$R,12,FALSE)</f>
        <v>ASC 0096 GLOSSY BLACK</v>
      </c>
      <c r="O88" s="56">
        <v>12.318</v>
      </c>
      <c r="P88" s="55">
        <f>(VLOOKUP($I88,'Old Pricing - end 26-Jan-2026'!$A:$R,8,FALSE)/1000)*(VLOOKUP($I88,'Old Pricing - end 26-Jan-2026'!$A:$R,10,FALSE)/1000)*Q88</f>
        <v>1145.4000000000001</v>
      </c>
      <c r="Q88" s="55">
        <f>ROUND(('Order Details'!$O88*1000)/((VLOOKUP($I88,'Old Pricing - end 26-Jan-2026'!$A:$Q,7,FALSE)/12)*(VLOOKUP($I88,'Old Pricing - end 26-Jan-2026'!$A:$Q,9,FALSE)/12))/5,0)*5</f>
        <v>400</v>
      </c>
      <c r="R88" s="71">
        <f>$Q88/IFERROR(VLOOKUP($F88&amp;RIGHT($K88,8),'Master Data'!$O$5:$P$10,2,FALSE),'Master Data'!$P$4)</f>
        <v>2</v>
      </c>
      <c r="S88" s="57">
        <f>VLOOKUP($I88,'Old Pricing - end 26-Jan-2026'!$A:$Q,16,FALSE)</f>
        <v>700</v>
      </c>
      <c r="T88" s="57">
        <f>VLOOKUP(I88,'Old Pricing - end 26-Jan-2026'!$A:$O,15,FALSE)</f>
        <v>7.53</v>
      </c>
      <c r="U88" s="57">
        <f t="shared" si="2"/>
        <v>8622.6</v>
      </c>
      <c r="V88" s="111">
        <f t="shared" si="5"/>
        <v>8624.862000000001</v>
      </c>
      <c r="W88" s="55">
        <f>VLOOKUP($I88,'Old Pricing - end 26-Jan-2026'!$A:$R,18,FALSE)</f>
        <v>45</v>
      </c>
    </row>
    <row r="89" spans="1:24" ht="15" hidden="1" thickTop="1" x14ac:dyDescent="0.3">
      <c r="A89" s="55">
        <v>52954697</v>
      </c>
      <c r="B89" s="55">
        <v>0</v>
      </c>
      <c r="C89" s="55" t="str">
        <f>VLOOKUP(A89&amp;"-"&amp;B89,'Order Summary'!$D:$E,2,FALSE)</f>
        <v>Telex / Seaway Released</v>
      </c>
      <c r="D89" s="216">
        <f>IF($A89="","",VLOOKUP($A89&amp;"-"&amp;$B89,'Order Summary'!$D:$U,3,FALSE))</f>
        <v>45964</v>
      </c>
      <c r="E89" s="55" t="str">
        <f>VLOOKUP(A89&amp;"-"&amp;B89,'Order Summary'!$D:$G,4,FALSE)</f>
        <v>Yes</v>
      </c>
      <c r="F89" s="55" t="str">
        <f>VLOOKUP($A89,'Order Summary'!$B:$I,8,FALSE)</f>
        <v>Hillsboro, TX</v>
      </c>
      <c r="G89" s="216">
        <f>IF($A89="","",VLOOKUP($A89&amp;"-"&amp;$B89,'Order Summary'!$D:$U,18,FALSE))</f>
        <v>46093</v>
      </c>
      <c r="H89" s="55">
        <v>8</v>
      </c>
      <c r="I89" s="55">
        <v>709355</v>
      </c>
      <c r="J89" s="55" t="str">
        <f>VLOOKUP($I89,'Old Pricing - end 26-Jan-2026'!$A:$R,2,FALSE)</f>
        <v>G1S 709355</v>
      </c>
      <c r="K89" s="55" t="str">
        <f>VLOOKUP($I89,'Old Pricing - end 26-Jan-2026'!$A:$R,6,FALSE)&amp;" "&amp;VLOOKUP($I89,'Old Pricing - end 26-Jan-2026'!$A:$R,7,FALSE)&amp;""" x "&amp;VLOOKUP($I89,'Old Pricing - end 26-Jan-2026'!$A:$R,9,FALSE)&amp;""" "&amp;VLOOKUP($I89,'Old Pricing - end 26-Jan-2026'!$A:$R,5,FALSE)</f>
        <v>2MM 49" x 90.5" ACP</v>
      </c>
      <c r="L89" s="55">
        <f>VLOOKUP($I89,'Old Pricing - end 26-Jan-2026'!$A:$K,8,FALSE)</f>
        <v>1245</v>
      </c>
      <c r="M89" s="55">
        <f>VLOOKUP($I89,'Old Pricing - end 26-Jan-2026'!$A:$K,10,FALSE)</f>
        <v>2300</v>
      </c>
      <c r="N89" s="55" t="str">
        <f>VLOOKUP($I89,'Old Pricing - end 26-Jan-2026'!$A:$R,13,FALSE)&amp;" "&amp;VLOOKUP($I89,'Old Pricing - end 26-Jan-2026'!$A:$R,12,FALSE)</f>
        <v>ASC 0069 GLOSSY WHITE</v>
      </c>
      <c r="O89" s="56">
        <v>6.1589999999999998</v>
      </c>
      <c r="P89" s="55">
        <f>(VLOOKUP($I89,'Old Pricing - end 26-Jan-2026'!$A:$R,8,FALSE)/1000)*(VLOOKUP($I89,'Old Pricing - end 26-Jan-2026'!$A:$R,10,FALSE)/1000)*Q89</f>
        <v>572.70000000000005</v>
      </c>
      <c r="Q89" s="55">
        <f>ROUND(('Order Details'!$O89*1000)/((VLOOKUP($I89,'Old Pricing - end 26-Jan-2026'!$A:$Q,7,FALSE)/12)*(VLOOKUP($I89,'Old Pricing - end 26-Jan-2026'!$A:$Q,9,FALSE)/12))/5,0)*5</f>
        <v>200</v>
      </c>
      <c r="R89" s="71">
        <f>$Q89/IFERROR(VLOOKUP($F89&amp;RIGHT($K89,8),'Master Data'!$O$5:$P$10,2,FALSE),'Master Data'!$P$4)</f>
        <v>1</v>
      </c>
      <c r="S89" s="57">
        <f>VLOOKUP($I89,'Old Pricing - end 26-Jan-2026'!$A:$Q,16,FALSE)</f>
        <v>700</v>
      </c>
      <c r="T89" s="57">
        <f>VLOOKUP(I89,'Old Pricing - end 26-Jan-2026'!$A:$O,15,FALSE)</f>
        <v>7.53</v>
      </c>
      <c r="U89" s="57">
        <f t="shared" si="2"/>
        <v>4311.3</v>
      </c>
      <c r="V89" s="111">
        <f t="shared" si="5"/>
        <v>4312.4310000000005</v>
      </c>
      <c r="W89" s="55">
        <f>VLOOKUP($I89,'Old Pricing - end 26-Jan-2026'!$A:$R,18,FALSE)</f>
        <v>45</v>
      </c>
    </row>
    <row r="90" spans="1:24" ht="15" hidden="1" thickTop="1" x14ac:dyDescent="0.3">
      <c r="A90" s="55">
        <v>52963984</v>
      </c>
      <c r="B90" s="55">
        <v>0</v>
      </c>
      <c r="C90" s="55" t="str">
        <f>VLOOKUP(A90&amp;"-"&amp;B90,'Order Summary'!$D:$E,2,FALSE)</f>
        <v>Telex / Seaway Released</v>
      </c>
      <c r="D90" s="216">
        <f>IF($A90="","",VLOOKUP($A90&amp;"-"&amp;$B90,'Order Summary'!$D:$U,3,FALSE))</f>
        <v>45965</v>
      </c>
      <c r="E90" s="55" t="str">
        <f>VLOOKUP(A90&amp;"-"&amp;B90,'Order Summary'!$D:$G,4,FALSE)</f>
        <v>Yes</v>
      </c>
      <c r="F90" s="55" t="str">
        <f>VLOOKUP($A90,'Order Summary'!$B:$I,8,FALSE)</f>
        <v>Hillsboro, TX</v>
      </c>
      <c r="G90" s="216">
        <f>IF($A90="","",VLOOKUP($A90&amp;"-"&amp;$B90,'Order Summary'!$D:$U,18,FALSE))</f>
        <v>46100</v>
      </c>
      <c r="H90" s="55">
        <v>1</v>
      </c>
      <c r="I90" s="55">
        <v>709354</v>
      </c>
      <c r="J90" s="55" t="str">
        <f>VLOOKUP($I90,'Old Pricing - end 26-Jan-2026'!$A:$R,2,FALSE)</f>
        <v>G1S 709354</v>
      </c>
      <c r="K90" s="55" t="str">
        <f>VLOOKUP($I90,'Old Pricing - end 26-Jan-2026'!$A:$R,6,FALSE)&amp;" "&amp;VLOOKUP($I90,'Old Pricing - end 26-Jan-2026'!$A:$R,7,FALSE)&amp;""" x "&amp;VLOOKUP($I90,'Old Pricing - end 26-Jan-2026'!$A:$R,9,FALSE)&amp;""" "&amp;VLOOKUP($I90,'Old Pricing - end 26-Jan-2026'!$A:$R,5,FALSE)</f>
        <v>2MM 49" x 90.5" ACP</v>
      </c>
      <c r="L90" s="55">
        <f>VLOOKUP($I90,'Old Pricing - end 26-Jan-2026'!$A:$K,8,FALSE)</f>
        <v>1245</v>
      </c>
      <c r="M90" s="55">
        <f>VLOOKUP($I90,'Old Pricing - end 26-Jan-2026'!$A:$K,10,FALSE)</f>
        <v>2300</v>
      </c>
      <c r="N90" s="55" t="str">
        <f>VLOOKUP($I90,'Old Pricing - end 26-Jan-2026'!$A:$R,13,FALSE)&amp;" "&amp;VLOOKUP($I90,'Old Pricing - end 26-Jan-2026'!$A:$R,12,FALSE)</f>
        <v>ASC 0096 GLOSSY BLACK</v>
      </c>
      <c r="O90" s="56">
        <v>18.477</v>
      </c>
      <c r="P90" s="55">
        <f>(VLOOKUP($I90,'Old Pricing - end 26-Jan-2026'!$A:$R,8,FALSE)/1000)*(VLOOKUP($I90,'Old Pricing - end 26-Jan-2026'!$A:$R,10,FALSE)/1000)*Q90</f>
        <v>1718.1000000000001</v>
      </c>
      <c r="Q90" s="55">
        <f>ROUND(('Order Details'!$O90*1000)/((VLOOKUP($I90,'Old Pricing - end 26-Jan-2026'!$A:$Q,7,FALSE)/12)*(VLOOKUP($I90,'Old Pricing - end 26-Jan-2026'!$A:$Q,9,FALSE)/12))/5,0)*5</f>
        <v>600</v>
      </c>
      <c r="R90" s="71">
        <f>$Q90/IFERROR(VLOOKUP($F90&amp;RIGHT($K90,8),'Master Data'!$O$5:$P$10,2,FALSE),'Master Data'!$P$4)</f>
        <v>3</v>
      </c>
      <c r="S90" s="57">
        <f>VLOOKUP($I90,'Old Pricing - end 26-Jan-2026'!$A:$Q,16,FALSE)</f>
        <v>700</v>
      </c>
      <c r="T90" s="57">
        <f>VLOOKUP(I90,'Old Pricing - end 26-Jan-2026'!$A:$O,15,FALSE)</f>
        <v>7.53</v>
      </c>
      <c r="U90" s="57">
        <f t="shared" si="2"/>
        <v>12933.9</v>
      </c>
      <c r="V90" s="111">
        <f t="shared" si="5"/>
        <v>12937.293000000001</v>
      </c>
      <c r="W90" s="55">
        <f>VLOOKUP($I90,'Old Pricing - end 26-Jan-2026'!$A:$R,18,FALSE)</f>
        <v>45</v>
      </c>
    </row>
    <row r="91" spans="1:24" ht="15" hidden="1" thickTop="1" x14ac:dyDescent="0.3">
      <c r="A91" s="55">
        <v>52963984</v>
      </c>
      <c r="B91" s="55">
        <v>0</v>
      </c>
      <c r="C91" s="55" t="str">
        <f>VLOOKUP(A91&amp;"-"&amp;B91,'Order Summary'!$D:$E,2,FALSE)</f>
        <v>Telex / Seaway Released</v>
      </c>
      <c r="D91" s="216">
        <f>IF($A91="","",VLOOKUP($A91&amp;"-"&amp;$B91,'Order Summary'!$D:$U,3,FALSE))</f>
        <v>45965</v>
      </c>
      <c r="E91" s="55" t="str">
        <f>VLOOKUP(A91&amp;"-"&amp;B91,'Order Summary'!$D:$G,4,FALSE)</f>
        <v>Yes</v>
      </c>
      <c r="F91" s="55" t="str">
        <f>VLOOKUP($A91,'Order Summary'!$B:$I,8,FALSE)</f>
        <v>Hillsboro, TX</v>
      </c>
      <c r="G91" s="216">
        <f>IF($A91="","",VLOOKUP($A91&amp;"-"&amp;$B91,'Order Summary'!$D:$U,18,FALSE))</f>
        <v>46100</v>
      </c>
      <c r="H91" s="55">
        <v>2</v>
      </c>
      <c r="I91" s="55">
        <v>709355</v>
      </c>
      <c r="J91" s="55" t="str">
        <f>VLOOKUP($I91,'Old Pricing - end 26-Jan-2026'!$A:$R,2,FALSE)</f>
        <v>G1S 709355</v>
      </c>
      <c r="K91" s="55" t="str">
        <f>VLOOKUP($I91,'Old Pricing - end 26-Jan-2026'!$A:$R,6,FALSE)&amp;" "&amp;VLOOKUP($I91,'Old Pricing - end 26-Jan-2026'!$A:$R,7,FALSE)&amp;""" x "&amp;VLOOKUP($I91,'Old Pricing - end 26-Jan-2026'!$A:$R,9,FALSE)&amp;""" "&amp;VLOOKUP($I91,'Old Pricing - end 26-Jan-2026'!$A:$R,5,FALSE)</f>
        <v>2MM 49" x 90.5" ACP</v>
      </c>
      <c r="L91" s="55">
        <f>VLOOKUP($I91,'Old Pricing - end 26-Jan-2026'!$A:$K,8,FALSE)</f>
        <v>1245</v>
      </c>
      <c r="M91" s="55">
        <f>VLOOKUP($I91,'Old Pricing - end 26-Jan-2026'!$A:$K,10,FALSE)</f>
        <v>2300</v>
      </c>
      <c r="N91" s="55" t="str">
        <f>VLOOKUP($I91,'Old Pricing - end 26-Jan-2026'!$A:$R,13,FALSE)&amp;" "&amp;VLOOKUP($I91,'Old Pricing - end 26-Jan-2026'!$A:$R,12,FALSE)</f>
        <v>ASC 0069 GLOSSY WHITE</v>
      </c>
      <c r="O91" s="56">
        <v>18.477</v>
      </c>
      <c r="P91" s="55">
        <f>(VLOOKUP($I91,'Old Pricing - end 26-Jan-2026'!$A:$R,8,FALSE)/1000)*(VLOOKUP($I91,'Old Pricing - end 26-Jan-2026'!$A:$R,10,FALSE)/1000)*Q91</f>
        <v>1718.1000000000001</v>
      </c>
      <c r="Q91" s="55">
        <f>ROUND(('Order Details'!$O91*1000)/((VLOOKUP($I91,'Old Pricing - end 26-Jan-2026'!$A:$Q,7,FALSE)/12)*(VLOOKUP($I91,'Old Pricing - end 26-Jan-2026'!$A:$Q,9,FALSE)/12))/5,0)*5</f>
        <v>600</v>
      </c>
      <c r="R91" s="71">
        <f>$Q91/IFERROR(VLOOKUP($F91&amp;RIGHT($K91,8),'Master Data'!$O$5:$P$10,2,FALSE),'Master Data'!$P$4)</f>
        <v>3</v>
      </c>
      <c r="S91" s="57">
        <f>VLOOKUP($I91,'Old Pricing - end 26-Jan-2026'!$A:$Q,16,FALSE)</f>
        <v>700</v>
      </c>
      <c r="T91" s="57">
        <f>VLOOKUP(I91,'Old Pricing - end 26-Jan-2026'!$A:$O,15,FALSE)</f>
        <v>7.53</v>
      </c>
      <c r="U91" s="57">
        <f t="shared" si="2"/>
        <v>12933.9</v>
      </c>
      <c r="V91" s="111">
        <f t="shared" si="5"/>
        <v>12937.293000000001</v>
      </c>
      <c r="W91" s="55">
        <f>VLOOKUP($I91,'Old Pricing - end 26-Jan-2026'!$A:$R,18,FALSE)</f>
        <v>45</v>
      </c>
    </row>
    <row r="92" spans="1:24" ht="15" hidden="1" thickTop="1" x14ac:dyDescent="0.3">
      <c r="A92" s="55">
        <v>52963984</v>
      </c>
      <c r="B92" s="55">
        <v>0</v>
      </c>
      <c r="C92" s="55" t="str">
        <f>VLOOKUP(A92&amp;"-"&amp;B92,'Order Summary'!$D:$E,2,FALSE)</f>
        <v>Telex / Seaway Released</v>
      </c>
      <c r="D92" s="216">
        <f>IF($A92="","",VLOOKUP($A92&amp;"-"&amp;$B92,'Order Summary'!$D:$U,3,FALSE))</f>
        <v>45965</v>
      </c>
      <c r="E92" s="55" t="str">
        <f>VLOOKUP(A92&amp;"-"&amp;B92,'Order Summary'!$D:$G,4,FALSE)</f>
        <v>Yes</v>
      </c>
      <c r="F92" s="55" t="str">
        <f>VLOOKUP($A92,'Order Summary'!$B:$I,8,FALSE)</f>
        <v>Hillsboro, TX</v>
      </c>
      <c r="G92" s="216">
        <f>IF($A92="","",VLOOKUP($A92&amp;"-"&amp;$B92,'Order Summary'!$D:$U,18,FALSE))</f>
        <v>46100</v>
      </c>
      <c r="H92" s="55">
        <v>3</v>
      </c>
      <c r="I92" s="55">
        <v>709525</v>
      </c>
      <c r="J92" s="55" t="str">
        <f>VLOOKUP($I92,'Old Pricing - end 26-Jan-2026'!$A:$R,2,FALSE)</f>
        <v>G1S 709525</v>
      </c>
      <c r="K92" s="55" t="str">
        <f>VLOOKUP($I92,'Old Pricing - end 26-Jan-2026'!$A:$R,6,FALSE)&amp;" "&amp;VLOOKUP($I92,'Old Pricing - end 26-Jan-2026'!$A:$R,7,FALSE)&amp;""" x "&amp;VLOOKUP($I92,'Old Pricing - end 26-Jan-2026'!$A:$R,9,FALSE)&amp;""" "&amp;VLOOKUP($I92,'Old Pricing - end 26-Jan-2026'!$A:$R,5,FALSE)</f>
        <v>2MM 49" x 90.5" ACP</v>
      </c>
      <c r="L92" s="55">
        <f>VLOOKUP($I92,'Old Pricing - end 26-Jan-2026'!$A:$K,8,FALSE)</f>
        <v>1245</v>
      </c>
      <c r="M92" s="55">
        <f>VLOOKUP($I92,'Old Pricing - end 26-Jan-2026'!$A:$K,10,FALSE)</f>
        <v>2300</v>
      </c>
      <c r="N92" s="55" t="str">
        <f>VLOOKUP($I92,'Old Pricing - end 26-Jan-2026'!$A:$R,13,FALSE)&amp;" "&amp;VLOOKUP($I92,'Old Pricing - end 26-Jan-2026'!$A:$R,12,FALSE)</f>
        <v>AMC 0103 SILVER FROST</v>
      </c>
      <c r="O92" s="56">
        <v>6.1589999999999998</v>
      </c>
      <c r="P92" s="55">
        <f>(VLOOKUP($I92,'Old Pricing - end 26-Jan-2026'!$A:$R,8,FALSE)/1000)*(VLOOKUP($I92,'Old Pricing - end 26-Jan-2026'!$A:$R,10,FALSE)/1000)*Q92</f>
        <v>572.70000000000005</v>
      </c>
      <c r="Q92" s="55">
        <f>ROUND(('Order Details'!$O92*1000)/((VLOOKUP($I92,'Old Pricing - end 26-Jan-2026'!$A:$Q,7,FALSE)/12)*(VLOOKUP($I92,'Old Pricing - end 26-Jan-2026'!$A:$Q,9,FALSE)/12))/5,0)*5</f>
        <v>200</v>
      </c>
      <c r="R92" s="71">
        <f>$Q92/IFERROR(VLOOKUP($F92&amp;RIGHT($K92,8),'Master Data'!$O$5:$P$10,2,FALSE),'Master Data'!$P$4)</f>
        <v>1</v>
      </c>
      <c r="S92" s="57">
        <f>VLOOKUP($I92,'Old Pricing - end 26-Jan-2026'!$A:$Q,16,FALSE)</f>
        <v>700</v>
      </c>
      <c r="T92" s="57">
        <f>VLOOKUP(I92,'Old Pricing - end 26-Jan-2026'!$A:$O,15,FALSE)</f>
        <v>7.53</v>
      </c>
      <c r="U92" s="57">
        <f t="shared" si="2"/>
        <v>4311.3</v>
      </c>
      <c r="V92" s="111">
        <f t="shared" si="5"/>
        <v>4312.4310000000005</v>
      </c>
      <c r="W92" s="55">
        <f>VLOOKUP($I92,'Old Pricing - end 26-Jan-2026'!$A:$R,18,FALSE)</f>
        <v>90</v>
      </c>
    </row>
    <row r="93" spans="1:24" ht="15" hidden="1" thickTop="1" x14ac:dyDescent="0.3">
      <c r="A93" s="55">
        <v>52963984</v>
      </c>
      <c r="B93" s="55">
        <v>0</v>
      </c>
      <c r="C93" s="55" t="str">
        <f>VLOOKUP(A93&amp;"-"&amp;B93,'Order Summary'!$D:$E,2,FALSE)</f>
        <v>Telex / Seaway Released</v>
      </c>
      <c r="D93" s="216">
        <f>IF($A93="","",VLOOKUP($A93&amp;"-"&amp;$B93,'Order Summary'!$D:$U,3,FALSE))</f>
        <v>45965</v>
      </c>
      <c r="E93" s="55" t="str">
        <f>VLOOKUP(A93&amp;"-"&amp;B93,'Order Summary'!$D:$G,4,FALSE)</f>
        <v>Yes</v>
      </c>
      <c r="F93" s="55" t="str">
        <f>VLOOKUP($A93,'Order Summary'!$B:$I,8,FALSE)</f>
        <v>Hillsboro, TX</v>
      </c>
      <c r="G93" s="216">
        <f>IF($A93="","",VLOOKUP($A93&amp;"-"&amp;$B93,'Order Summary'!$D:$U,18,FALSE))</f>
        <v>46100</v>
      </c>
      <c r="H93" s="55">
        <v>4</v>
      </c>
      <c r="I93" s="55">
        <v>694442</v>
      </c>
      <c r="J93" s="55" t="str">
        <f>VLOOKUP($I93,'Old Pricing - end 26-Jan-2026'!$A:$R,2,FALSE)</f>
        <v>G1S 694442</v>
      </c>
      <c r="K93" s="55" t="str">
        <f>VLOOKUP($I93,'Old Pricing - end 26-Jan-2026'!$A:$R,6,FALSE)&amp;" "&amp;VLOOKUP($I93,'Old Pricing - end 26-Jan-2026'!$A:$R,7,FALSE)&amp;""" x "&amp;VLOOKUP($I93,'Old Pricing - end 26-Jan-2026'!$A:$R,9,FALSE)&amp;""" "&amp;VLOOKUP($I93,'Old Pricing - end 26-Jan-2026'!$A:$R,5,FALSE)</f>
        <v>2MM 49" x 144" ACP</v>
      </c>
      <c r="L93" s="55">
        <f>VLOOKUP($I93,'Old Pricing - end 26-Jan-2026'!$A:$K,8,FALSE)</f>
        <v>1245</v>
      </c>
      <c r="M93" s="55">
        <f>VLOOKUP($I93,'Old Pricing - end 26-Jan-2026'!$A:$K,10,FALSE)</f>
        <v>3658</v>
      </c>
      <c r="N93" s="55" t="str">
        <f>VLOOKUP($I93,'Old Pricing - end 26-Jan-2026'!$A:$R,13,FALSE)&amp;" "&amp;VLOOKUP($I93,'Old Pricing - end 26-Jan-2026'!$A:$R,12,FALSE)</f>
        <v>AMC 0103 SILVER FROST</v>
      </c>
      <c r="O93" s="56">
        <v>29.4</v>
      </c>
      <c r="P93" s="55">
        <f>(VLOOKUP($I93,'Old Pricing - end 26-Jan-2026'!$A:$R,8,FALSE)/1000)*(VLOOKUP($I93,'Old Pricing - end 26-Jan-2026'!$A:$R,10,FALSE)/1000)*Q93</f>
        <v>2732.5260000000003</v>
      </c>
      <c r="Q93" s="55">
        <f>ROUND(('Order Details'!$O93*1000)/((VLOOKUP($I93,'Old Pricing - end 26-Jan-2026'!$A:$Q,7,FALSE)/12)*(VLOOKUP($I93,'Old Pricing - end 26-Jan-2026'!$A:$Q,9,FALSE)/12))/5,0)*5</f>
        <v>600</v>
      </c>
      <c r="R93" s="71">
        <f>$Q93/IFERROR(VLOOKUP($F93&amp;RIGHT($K93,8),'Master Data'!$O$5:$P$10,2,FALSE),'Master Data'!$P$4)</f>
        <v>3</v>
      </c>
      <c r="S93" s="57">
        <f>VLOOKUP($I93,'Old Pricing - end 26-Jan-2026'!$A:$Q,16,FALSE)</f>
        <v>700</v>
      </c>
      <c r="T93" s="57">
        <f>VLOOKUP(I93,'Old Pricing - end 26-Jan-2026'!$A:$O,15,FALSE)</f>
        <v>7.53</v>
      </c>
      <c r="U93" s="57">
        <f t="shared" si="2"/>
        <v>20580</v>
      </c>
      <c r="V93" s="111">
        <f t="shared" si="5"/>
        <v>20575.920780000004</v>
      </c>
      <c r="W93" s="55">
        <f>VLOOKUP($I93,'Old Pricing - end 26-Jan-2026'!$A:$R,18,FALSE)</f>
        <v>90</v>
      </c>
    </row>
    <row r="94" spans="1:24" ht="15" hidden="1" thickTop="1" x14ac:dyDescent="0.3">
      <c r="A94" s="55">
        <v>52963984</v>
      </c>
      <c r="B94" s="55">
        <v>0</v>
      </c>
      <c r="C94" s="55" t="str">
        <f>VLOOKUP(A94&amp;"-"&amp;B94,'Order Summary'!$D:$E,2,FALSE)</f>
        <v>Telex / Seaway Released</v>
      </c>
      <c r="D94" s="216">
        <f>IF($A94="","",VLOOKUP($A94&amp;"-"&amp;$B94,'Order Summary'!$D:$U,3,FALSE))</f>
        <v>45965</v>
      </c>
      <c r="E94" s="55" t="str">
        <f>VLOOKUP(A94&amp;"-"&amp;B94,'Order Summary'!$D:$G,4,FALSE)</f>
        <v>Yes</v>
      </c>
      <c r="F94" s="55" t="str">
        <f>VLOOKUP($A94,'Order Summary'!$B:$I,8,FALSE)</f>
        <v>Hillsboro, TX</v>
      </c>
      <c r="G94" s="216">
        <f>IF($A94="","",VLOOKUP($A94&amp;"-"&amp;$B94,'Order Summary'!$D:$U,18,FALSE))</f>
        <v>46100</v>
      </c>
      <c r="H94" s="55">
        <v>5</v>
      </c>
      <c r="I94" s="55">
        <v>709356</v>
      </c>
      <c r="J94" s="55" t="str">
        <f>VLOOKUP($I94,'Old Pricing - end 26-Jan-2026'!$A:$R,2,FALSE)</f>
        <v>G1S 709356</v>
      </c>
      <c r="K94" s="55" t="str">
        <f>VLOOKUP($I94,'Old Pricing - end 26-Jan-2026'!$A:$R,6,FALSE)&amp;" "&amp;VLOOKUP($I94,'Old Pricing - end 26-Jan-2026'!$A:$R,7,FALSE)&amp;""" x "&amp;VLOOKUP($I94,'Old Pricing - end 26-Jan-2026'!$A:$R,9,FALSE)&amp;""" "&amp;VLOOKUP($I94,'Old Pricing - end 26-Jan-2026'!$A:$R,5,FALSE)</f>
        <v>2MM 49" x 90.5" ACP</v>
      </c>
      <c r="L94" s="55">
        <f>VLOOKUP($I94,'Old Pricing - end 26-Jan-2026'!$A:$K,8,FALSE)</f>
        <v>1245</v>
      </c>
      <c r="M94" s="55">
        <f>VLOOKUP($I94,'Old Pricing - end 26-Jan-2026'!$A:$K,10,FALSE)</f>
        <v>2300</v>
      </c>
      <c r="N94" s="55" t="str">
        <f>VLOOKUP($I94,'Old Pricing - end 26-Jan-2026'!$A:$R,13,FALSE)&amp;" "&amp;VLOOKUP($I94,'Old Pricing - end 26-Jan-2026'!$A:$R,12,FALSE)</f>
        <v>AMC 0086 CHARCOAL METALLIC</v>
      </c>
      <c r="O94" s="56">
        <v>6.1589999999999998</v>
      </c>
      <c r="P94" s="55">
        <f>(VLOOKUP($I94,'Old Pricing - end 26-Jan-2026'!$A:$R,8,FALSE)/1000)*(VLOOKUP($I94,'Old Pricing - end 26-Jan-2026'!$A:$R,10,FALSE)/1000)*Q94</f>
        <v>572.70000000000005</v>
      </c>
      <c r="Q94" s="55">
        <f>ROUND(('Order Details'!$O94*1000)/((VLOOKUP($I94,'Old Pricing - end 26-Jan-2026'!$A:$Q,7,FALSE)/12)*(VLOOKUP($I94,'Old Pricing - end 26-Jan-2026'!$A:$Q,9,FALSE)/12))/5,0)*5</f>
        <v>200</v>
      </c>
      <c r="R94" s="71">
        <f>$Q94/IFERROR(VLOOKUP($F94&amp;RIGHT($K94,8),'Master Data'!$O$5:$P$10,2,FALSE),'Master Data'!$P$4)</f>
        <v>1</v>
      </c>
      <c r="S94" s="57">
        <f>VLOOKUP($I94,'Old Pricing - end 26-Jan-2026'!$A:$Q,16,FALSE)</f>
        <v>750</v>
      </c>
      <c r="T94" s="57">
        <f>VLOOKUP(I94,'Old Pricing - end 26-Jan-2026'!$A:$O,15,FALSE)</f>
        <v>8.07</v>
      </c>
      <c r="U94" s="57">
        <f t="shared" si="2"/>
        <v>4619.25</v>
      </c>
      <c r="V94" s="111">
        <f t="shared" si="5"/>
        <v>4621.6890000000003</v>
      </c>
      <c r="W94" s="55">
        <f>VLOOKUP($I94,'Old Pricing - end 26-Jan-2026'!$A:$R,18,FALSE)</f>
        <v>45</v>
      </c>
    </row>
    <row r="95" spans="1:24" ht="15" hidden="1" thickTop="1" x14ac:dyDescent="0.3">
      <c r="A95" s="55">
        <v>52963984</v>
      </c>
      <c r="B95" s="55">
        <v>0</v>
      </c>
      <c r="C95" s="55" t="str">
        <f>VLOOKUP(A95&amp;"-"&amp;B95,'Order Summary'!$D:$E,2,FALSE)</f>
        <v>Telex / Seaway Released</v>
      </c>
      <c r="D95" s="216">
        <f>IF($A95="","",VLOOKUP($A95&amp;"-"&amp;$B95,'Order Summary'!$D:$U,3,FALSE))</f>
        <v>45965</v>
      </c>
      <c r="E95" s="55" t="str">
        <f>VLOOKUP(A95&amp;"-"&amp;B95,'Order Summary'!$D:$G,4,FALSE)</f>
        <v>Yes</v>
      </c>
      <c r="F95" s="55" t="str">
        <f>VLOOKUP($A95,'Order Summary'!$B:$I,8,FALSE)</f>
        <v>Hillsboro, TX</v>
      </c>
      <c r="G95" s="216">
        <f>IF($A95="","",VLOOKUP($A95&amp;"-"&amp;$B95,'Order Summary'!$D:$U,18,FALSE))</f>
        <v>46100</v>
      </c>
      <c r="H95" s="55">
        <v>6</v>
      </c>
      <c r="I95" s="259">
        <v>710940</v>
      </c>
      <c r="J95" s="55" t="str">
        <f>VLOOKUP($I95,'Old Pricing - end 26-Jan-2026'!$A:$R,2,FALSE)</f>
        <v>G1S 710940</v>
      </c>
      <c r="K95" s="55" t="str">
        <f>VLOOKUP($I95,'Old Pricing - end 26-Jan-2026'!$A:$R,6,FALSE)&amp;" "&amp;VLOOKUP($I95,'Old Pricing - end 26-Jan-2026'!$A:$R,7,FALSE)&amp;""" x "&amp;VLOOKUP($I95,'Old Pricing - end 26-Jan-2026'!$A:$R,9,FALSE)&amp;""" "&amp;VLOOKUP($I95,'Old Pricing - end 26-Jan-2026'!$A:$R,5,FALSE)</f>
        <v>2MM 49" x 90.5" ACP</v>
      </c>
      <c r="L95" s="55">
        <f>VLOOKUP($I95,'Old Pricing - end 26-Jan-2026'!$A:$K,8,FALSE)</f>
        <v>1245</v>
      </c>
      <c r="M95" s="55">
        <f>VLOOKUP($I95,'Old Pricing - end 26-Jan-2026'!$A:$K,10,FALSE)</f>
        <v>2300</v>
      </c>
      <c r="N95" s="55" t="str">
        <f>VLOOKUP($I95,'Old Pricing - end 26-Jan-2026'!$A:$R,13,FALSE)&amp;" "&amp;VLOOKUP($I95,'Old Pricing - end 26-Jan-2026'!$A:$R,12,FALSE)</f>
        <v>ASC 0092 PEPSI BLUE</v>
      </c>
      <c r="O95" s="56">
        <v>6.1589999999999998</v>
      </c>
      <c r="P95" s="55">
        <f>(VLOOKUP($I95,'Old Pricing - end 26-Jan-2026'!$A:$R,8,FALSE)/1000)*(VLOOKUP($I95,'Old Pricing - end 26-Jan-2026'!$A:$R,10,FALSE)/1000)*Q95</f>
        <v>572.70000000000005</v>
      </c>
      <c r="Q95" s="55">
        <f>ROUND(('Order Details'!$O95*1000)/((VLOOKUP($I95,'Old Pricing - end 26-Jan-2026'!$A:$Q,7,FALSE)/12)*(VLOOKUP($I95,'Old Pricing - end 26-Jan-2026'!$A:$Q,9,FALSE)/12))/5,0)*5</f>
        <v>200</v>
      </c>
      <c r="R95" s="71">
        <f>$Q95/IFERROR(VLOOKUP($F95&amp;RIGHT($K95,8),'Master Data'!$O$5:$P$10,2,FALSE),'Master Data'!$P$4)</f>
        <v>1</v>
      </c>
      <c r="S95" s="57">
        <f>VLOOKUP($I95,'Old Pricing - end 26-Jan-2026'!$A:$Q,16,FALSE)</f>
        <v>700</v>
      </c>
      <c r="T95" s="57">
        <f>VLOOKUP(I95,'Old Pricing - end 26-Jan-2026'!$A:$O,15,FALSE)</f>
        <v>7.53</v>
      </c>
      <c r="U95" s="57">
        <f t="shared" si="2"/>
        <v>4311.3</v>
      </c>
      <c r="V95" s="111">
        <f t="shared" si="5"/>
        <v>4312.4310000000005</v>
      </c>
      <c r="W95" s="55">
        <f>VLOOKUP($I95,'Old Pricing - end 26-Jan-2026'!$A:$R,18,FALSE)</f>
        <v>90</v>
      </c>
    </row>
    <row r="96" spans="1:24" s="256" customFormat="1" ht="15" hidden="1" thickTop="1" x14ac:dyDescent="0.3">
      <c r="A96" s="250">
        <v>52963984</v>
      </c>
      <c r="B96" s="250">
        <v>0</v>
      </c>
      <c r="C96" s="250" t="str">
        <f>VLOOKUP(A96&amp;"-"&amp;B96,'Order Summary'!$D:$E,2,FALSE)</f>
        <v>Telex / Seaway Released</v>
      </c>
      <c r="D96" s="251">
        <f>IF($A96="","",VLOOKUP($A96&amp;"-"&amp;$B96,'Order Summary'!$D:$U,3,FALSE))</f>
        <v>45965</v>
      </c>
      <c r="E96" s="250" t="str">
        <f>VLOOKUP(A96&amp;"-"&amp;B96,'Order Summary'!$D:$G,4,FALSE)</f>
        <v>Yes</v>
      </c>
      <c r="F96" s="250" t="str">
        <f>VLOOKUP($A96,'Order Summary'!$B:$I,8,FALSE)</f>
        <v>Hillsboro, TX</v>
      </c>
      <c r="G96" s="251">
        <f>IF($A96="","",VLOOKUP($A96&amp;"-"&amp;$B96,'Order Summary'!$D:$U,18,FALSE))</f>
        <v>46100</v>
      </c>
      <c r="H96" s="257">
        <v>8</v>
      </c>
      <c r="I96" s="260">
        <v>695620</v>
      </c>
      <c r="J96" s="258" t="str">
        <f>VLOOKUP($I96,'Old Pricing - end 26-Jan-2026'!$A:$R,2,FALSE)</f>
        <v>G1S 695620</v>
      </c>
      <c r="K96" s="250" t="str">
        <f>VLOOKUP($I96,'Old Pricing - end 26-Jan-2026'!$A:$R,6,FALSE)&amp;" "&amp;VLOOKUP($I96,'Old Pricing - end 26-Jan-2026'!$A:$R,7,FALSE)&amp;""" x "&amp;VLOOKUP($I96,'Old Pricing - end 26-Jan-2026'!$A:$R,9,FALSE)&amp;""" "&amp;VLOOKUP($I96,'Old Pricing - end 26-Jan-2026'!$A:$R,5,FALSE)</f>
        <v>2MM 49" x 96" ACP</v>
      </c>
      <c r="L96" s="250">
        <f>VLOOKUP($I96,'Old Pricing - end 26-Jan-2026'!$A:$K,8,FALSE)</f>
        <v>1245</v>
      </c>
      <c r="M96" s="250">
        <f>VLOOKUP($I96,'Old Pricing - end 26-Jan-2026'!$A:$K,10,FALSE)</f>
        <v>2440</v>
      </c>
      <c r="N96" s="250" t="str">
        <f>VLOOKUP($I96,'Old Pricing - end 26-Jan-2026'!$A:$R,13,FALSE)&amp;" "&amp;VLOOKUP($I96,'Old Pricing - end 26-Jan-2026'!$A:$R,12,FALSE)</f>
        <v>ASC 0105 INDIGO BLUE</v>
      </c>
      <c r="O96" s="252">
        <v>6.5330000000000004</v>
      </c>
      <c r="P96" s="250">
        <f>(VLOOKUP($I96,'Old Pricing - end 26-Jan-2026'!$A:$R,8,FALSE)/1000)*(VLOOKUP($I96,'Old Pricing - end 26-Jan-2026'!$A:$R,10,FALSE)/1000)*Q96</f>
        <v>607.56000000000006</v>
      </c>
      <c r="Q96" s="250">
        <f>ROUND(('Order Details'!$O96*1000)/((VLOOKUP($I96,'Old Pricing - end 26-Jan-2026'!$A:$Q,7,FALSE)/12)*(VLOOKUP($I96,'Old Pricing - end 26-Jan-2026'!$A:$Q,9,FALSE)/12))/5,0)*5</f>
        <v>200</v>
      </c>
      <c r="R96" s="253">
        <f>$Q96/IFERROR(VLOOKUP($F96&amp;RIGHT($K96,8),'Master Data'!$O$5:$P$10,2,FALSE),'Master Data'!$P$4)</f>
        <v>1</v>
      </c>
      <c r="S96" s="254">
        <f>VLOOKUP($I96,'Old Pricing - end 26-Jan-2026'!$A:$Q,16,FALSE)</f>
        <v>750</v>
      </c>
      <c r="T96" s="254">
        <f>VLOOKUP(I96,'Old Pricing - end 26-Jan-2026'!$A:$O,15,FALSE)</f>
        <v>8.07</v>
      </c>
      <c r="U96" s="254">
        <f t="shared" ref="U96" si="7">O96*S96</f>
        <v>4899.75</v>
      </c>
      <c r="V96" s="255">
        <f t="shared" ref="V96" si="8">P96*T96</f>
        <v>4903.0092000000004</v>
      </c>
      <c r="W96" s="250">
        <f>VLOOKUP($I96,'Old Pricing - end 26-Jan-2026'!$A:$R,18,FALSE)</f>
        <v>45</v>
      </c>
      <c r="X96" s="256" t="s">
        <v>335</v>
      </c>
    </row>
    <row r="97" spans="1:23" ht="15" hidden="1" thickTop="1" x14ac:dyDescent="0.3">
      <c r="A97" s="55">
        <v>52963984</v>
      </c>
      <c r="B97" s="55">
        <v>0</v>
      </c>
      <c r="C97" s="55" t="str">
        <f>VLOOKUP(A97&amp;"-"&amp;B97,'Order Summary'!$D:$E,2,FALSE)</f>
        <v>Telex / Seaway Released</v>
      </c>
      <c r="D97" s="216">
        <f>IF($A97="","",VLOOKUP($A97&amp;"-"&amp;$B97,'Order Summary'!$D:$U,3,FALSE))</f>
        <v>45965</v>
      </c>
      <c r="E97" s="55" t="s">
        <v>197</v>
      </c>
      <c r="F97" s="55" t="str">
        <f>VLOOKUP($A97,'Order Summary'!$B:$I,8,FALSE)</f>
        <v>Hillsboro, TX</v>
      </c>
      <c r="G97" s="216">
        <f>IF($A97="","",VLOOKUP($A97&amp;"-"&amp;$B97,'Order Summary'!$D:$U,18,FALSE))</f>
        <v>46100</v>
      </c>
      <c r="H97" s="55">
        <v>7</v>
      </c>
      <c r="I97" s="71">
        <v>710941</v>
      </c>
      <c r="J97" s="55" t="str">
        <f>VLOOKUP($I97,'Old Pricing - end 26-Jan-2026'!$A:$R,2,FALSE)</f>
        <v>G1S 710941</v>
      </c>
      <c r="K97" s="55" t="str">
        <f>VLOOKUP($I97,'Old Pricing - end 26-Jan-2026'!$A:$R,6,FALSE)&amp;" "&amp;VLOOKUP($I97,'Old Pricing - end 26-Jan-2026'!$A:$R,7,FALSE)&amp;""" x "&amp;VLOOKUP($I97,'Old Pricing - end 26-Jan-2026'!$A:$R,9,FALSE)&amp;""" "&amp;VLOOKUP($I97,'Old Pricing - end 26-Jan-2026'!$A:$R,5,FALSE)</f>
        <v>2MM 49" x 90.5" ACP</v>
      </c>
      <c r="L97" s="55">
        <f>VLOOKUP($I97,'Old Pricing - end 26-Jan-2026'!$A:$K,8,FALSE)</f>
        <v>1245</v>
      </c>
      <c r="M97" s="55">
        <f>VLOOKUP($I97,'Old Pricing - end 26-Jan-2026'!$A:$K,10,FALSE)</f>
        <v>2300</v>
      </c>
      <c r="N97" s="55" t="str">
        <f>VLOOKUP($I97,'Old Pricing - end 26-Jan-2026'!$A:$R,13,FALSE)&amp;" "&amp;VLOOKUP($I97,'Old Pricing - end 26-Jan-2026'!$A:$R,12,FALSE)</f>
        <v>ASC 0089 VICTORY RED</v>
      </c>
      <c r="O97" s="56">
        <v>6.1589999999999998</v>
      </c>
      <c r="P97" s="55">
        <f>(VLOOKUP($I97,'Old Pricing - end 26-Jan-2026'!$A:$R,8,FALSE)/1000)*(VLOOKUP($I97,'Old Pricing - end 26-Jan-2026'!$A:$R,10,FALSE)/1000)*Q97</f>
        <v>572.70000000000005</v>
      </c>
      <c r="Q97" s="55">
        <f>ROUND(('Order Details'!$O97*1000)/((VLOOKUP($I97,'Old Pricing - end 26-Jan-2026'!$A:$Q,7,FALSE)/12)*(VLOOKUP($I97,'Old Pricing - end 26-Jan-2026'!$A:$Q,9,FALSE)/12))/5,0)*5</f>
        <v>200</v>
      </c>
      <c r="R97" s="71">
        <f>$Q97/IFERROR(VLOOKUP($F97&amp;RIGHT($K97,8),'Master Data'!$O$5:$P$10,2,FALSE),'Master Data'!$P$4)</f>
        <v>1</v>
      </c>
      <c r="S97" s="57">
        <f>VLOOKUP($I97,'Old Pricing - end 26-Jan-2026'!$A:$Q,16,FALSE)</f>
        <v>700</v>
      </c>
      <c r="T97" s="57">
        <f>VLOOKUP(I97,'Old Pricing - end 26-Jan-2026'!$A:$O,15,FALSE)</f>
        <v>7.53</v>
      </c>
      <c r="U97" s="57">
        <f t="shared" si="2"/>
        <v>4311.3</v>
      </c>
      <c r="V97" s="111">
        <f t="shared" si="5"/>
        <v>4312.4310000000005</v>
      </c>
      <c r="W97" s="55">
        <f>VLOOKUP($I97,'Old Pricing - end 26-Jan-2026'!$A:$R,18,FALSE)</f>
        <v>45</v>
      </c>
    </row>
    <row r="98" spans="1:23" ht="15" hidden="1" thickTop="1" x14ac:dyDescent="0.3">
      <c r="A98">
        <v>52963980</v>
      </c>
      <c r="B98" s="55">
        <v>0</v>
      </c>
      <c r="C98" s="55" t="str">
        <f>VLOOKUP(A98&amp;"-"&amp;B98,'Order Summary'!$D:$E,2,FALSE)</f>
        <v>PO Revised</v>
      </c>
      <c r="D98" s="216">
        <f>IF($A98="","",VLOOKUP($A98&amp;"-"&amp;$B98,'Order Summary'!$D:$U,3,FALSE))</f>
        <v>45965</v>
      </c>
      <c r="E98" s="55" t="str">
        <f>VLOOKUP(A98&amp;"-"&amp;B98,'Order Summary'!$D:$G,4,FALSE)</f>
        <v>No</v>
      </c>
      <c r="F98" s="55" t="str">
        <f>VLOOKUP($A98,'Order Summary'!$B:$I,8,FALSE)</f>
        <v>Hillsboro, TX</v>
      </c>
      <c r="G98" s="216">
        <f>IF($A98="","",VLOOKUP($A98&amp;"-"&amp;$B98,'Order Summary'!$D:$U,18,FALSE))</f>
        <v>0</v>
      </c>
      <c r="H98" s="55">
        <v>1</v>
      </c>
      <c r="I98" s="55">
        <v>709354</v>
      </c>
      <c r="J98" s="55" t="str">
        <f>VLOOKUP($I98,'Old Pricing - end 26-Jan-2026'!$A:$R,2,FALSE)</f>
        <v>G1S 709354</v>
      </c>
      <c r="K98" s="55" t="str">
        <f>VLOOKUP($I98,'Old Pricing - end 26-Jan-2026'!$A:$R,6,FALSE)&amp;" "&amp;VLOOKUP($I98,'Old Pricing - end 26-Jan-2026'!$A:$R,7,FALSE)&amp;""" x "&amp;VLOOKUP($I98,'Old Pricing - end 26-Jan-2026'!$A:$R,9,FALSE)&amp;""" "&amp;VLOOKUP($I98,'Old Pricing - end 26-Jan-2026'!$A:$R,5,FALSE)</f>
        <v>2MM 49" x 90.5" ACP</v>
      </c>
      <c r="L98" s="55">
        <f>VLOOKUP($I98,'Old Pricing - end 26-Jan-2026'!$A:$K,8,FALSE)</f>
        <v>1245</v>
      </c>
      <c r="M98" s="55">
        <f>VLOOKUP($I98,'Old Pricing - end 26-Jan-2026'!$A:$K,10,FALSE)</f>
        <v>2300</v>
      </c>
      <c r="N98" s="55" t="str">
        <f>VLOOKUP($I98,'Old Pricing - end 26-Jan-2026'!$A:$R,13,FALSE)&amp;" "&amp;VLOOKUP($I98,'Old Pricing - end 26-Jan-2026'!$A:$R,12,FALSE)</f>
        <v>ASC 0096 GLOSSY BLACK</v>
      </c>
      <c r="O98" s="56">
        <v>18.477</v>
      </c>
      <c r="P98" s="55">
        <f>(VLOOKUP($I98,'Old Pricing - end 26-Jan-2026'!$A:$R,8,FALSE)/1000)*(VLOOKUP($I98,'Old Pricing - end 26-Jan-2026'!$A:$R,10,FALSE)/1000)*Q98</f>
        <v>1718.1000000000001</v>
      </c>
      <c r="Q98" s="55">
        <f>ROUND(('Order Details'!$O98*1000)/((VLOOKUP($I98,'Old Pricing - end 26-Jan-2026'!$A:$Q,7,FALSE)/12)*(VLOOKUP($I98,'Old Pricing - end 26-Jan-2026'!$A:$Q,9,FALSE)/12))/5,0)*5</f>
        <v>600</v>
      </c>
      <c r="R98" s="71">
        <f>$Q98/IFERROR(VLOOKUP($F98&amp;RIGHT($K98,8),'Master Data'!$O$5:$P$10,2,FALSE),'Master Data'!$P$4)</f>
        <v>3</v>
      </c>
      <c r="S98" s="57">
        <f>VLOOKUP($I98,'Old Pricing - end 26-Jan-2026'!$A:$Q,16,FALSE)</f>
        <v>700</v>
      </c>
      <c r="T98" s="57">
        <f>VLOOKUP(I98,'Old Pricing - end 26-Jan-2026'!$A:$O,15,FALSE)</f>
        <v>7.53</v>
      </c>
      <c r="U98" s="57">
        <f t="shared" si="2"/>
        <v>12933.9</v>
      </c>
      <c r="V98" s="111">
        <f t="shared" si="5"/>
        <v>12937.293000000001</v>
      </c>
      <c r="W98" s="55">
        <f>VLOOKUP($I98,'Old Pricing - end 26-Jan-2026'!$A:$R,18,FALSE)</f>
        <v>45</v>
      </c>
    </row>
    <row r="99" spans="1:23" ht="15" hidden="1" thickTop="1" x14ac:dyDescent="0.3">
      <c r="A99" s="55">
        <v>52963980</v>
      </c>
      <c r="B99" s="55">
        <v>0</v>
      </c>
      <c r="C99" s="55" t="str">
        <f>VLOOKUP(A99&amp;"-"&amp;B99,'Order Summary'!$D:$E,2,FALSE)</f>
        <v>PO Revised</v>
      </c>
      <c r="D99" s="216">
        <f>IF($A99="","",VLOOKUP($A99&amp;"-"&amp;$B99,'Order Summary'!$D:$U,3,FALSE))</f>
        <v>45965</v>
      </c>
      <c r="E99" s="55" t="str">
        <f>VLOOKUP(A99&amp;"-"&amp;B99,'Order Summary'!$D:$G,4,FALSE)</f>
        <v>No</v>
      </c>
      <c r="F99" s="55" t="str">
        <f>VLOOKUP($A99,'Order Summary'!$B:$I,8,FALSE)</f>
        <v>Hillsboro, TX</v>
      </c>
      <c r="G99" s="216">
        <f>IF($A99="","",VLOOKUP($A99&amp;"-"&amp;$B99,'Order Summary'!$D:$U,18,FALSE))</f>
        <v>0</v>
      </c>
      <c r="H99" s="55">
        <v>2</v>
      </c>
      <c r="I99" s="55">
        <v>709355</v>
      </c>
      <c r="J99" s="55" t="str">
        <f>VLOOKUP($I99,'Old Pricing - end 26-Jan-2026'!$A:$R,2,FALSE)</f>
        <v>G1S 709355</v>
      </c>
      <c r="K99" s="55" t="str">
        <f>VLOOKUP($I99,'Old Pricing - end 26-Jan-2026'!$A:$R,6,FALSE)&amp;" "&amp;VLOOKUP($I99,'Old Pricing - end 26-Jan-2026'!$A:$R,7,FALSE)&amp;""" x "&amp;VLOOKUP($I99,'Old Pricing - end 26-Jan-2026'!$A:$R,9,FALSE)&amp;""" "&amp;VLOOKUP($I99,'Old Pricing - end 26-Jan-2026'!$A:$R,5,FALSE)</f>
        <v>2MM 49" x 90.5" ACP</v>
      </c>
      <c r="L99" s="55">
        <f>VLOOKUP($I99,'Old Pricing - end 26-Jan-2026'!$A:$K,8,FALSE)</f>
        <v>1245</v>
      </c>
      <c r="M99" s="55">
        <f>VLOOKUP($I99,'Old Pricing - end 26-Jan-2026'!$A:$K,10,FALSE)</f>
        <v>2300</v>
      </c>
      <c r="N99" s="55" t="str">
        <f>VLOOKUP($I99,'Old Pricing - end 26-Jan-2026'!$A:$R,13,FALSE)&amp;" "&amp;VLOOKUP($I99,'Old Pricing - end 26-Jan-2026'!$A:$R,12,FALSE)</f>
        <v>ASC 0069 GLOSSY WHITE</v>
      </c>
      <c r="O99" s="56">
        <v>18.477</v>
      </c>
      <c r="P99" s="55">
        <f>(VLOOKUP($I99,'Old Pricing - end 26-Jan-2026'!$A:$R,8,FALSE)/1000)*(VLOOKUP($I99,'Old Pricing - end 26-Jan-2026'!$A:$R,10,FALSE)/1000)*Q99</f>
        <v>1718.1000000000001</v>
      </c>
      <c r="Q99" s="55">
        <f>ROUND(('Order Details'!$O99*1000)/((VLOOKUP($I99,'Old Pricing - end 26-Jan-2026'!$A:$Q,7,FALSE)/12)*(VLOOKUP($I99,'Old Pricing - end 26-Jan-2026'!$A:$Q,9,FALSE)/12))/5,0)*5</f>
        <v>600</v>
      </c>
      <c r="R99" s="71">
        <f>$Q99/IFERROR(VLOOKUP($F99&amp;RIGHT($K99,8),'Master Data'!$O$5:$P$10,2,FALSE),'Master Data'!$P$4)</f>
        <v>3</v>
      </c>
      <c r="S99" s="57">
        <f>VLOOKUP($I99,'Old Pricing - end 26-Jan-2026'!$A:$Q,16,FALSE)</f>
        <v>700</v>
      </c>
      <c r="T99" s="57">
        <f>VLOOKUP(I99,'Old Pricing - end 26-Jan-2026'!$A:$O,15,FALSE)</f>
        <v>7.53</v>
      </c>
      <c r="U99" s="57">
        <f t="shared" si="2"/>
        <v>12933.9</v>
      </c>
      <c r="V99" s="111">
        <f t="shared" si="5"/>
        <v>12937.293000000001</v>
      </c>
      <c r="W99" s="55">
        <f>VLOOKUP($I99,'Old Pricing - end 26-Jan-2026'!$A:$R,18,FALSE)</f>
        <v>45</v>
      </c>
    </row>
    <row r="100" spans="1:23" ht="15" hidden="1" thickTop="1" x14ac:dyDescent="0.3">
      <c r="A100" s="55">
        <v>52963980</v>
      </c>
      <c r="B100" s="55">
        <v>0</v>
      </c>
      <c r="C100" s="55" t="str">
        <f>VLOOKUP(A100&amp;"-"&amp;B100,'Order Summary'!$D:$E,2,FALSE)</f>
        <v>PO Revised</v>
      </c>
      <c r="D100" s="216">
        <f>IF($A100="","",VLOOKUP($A100&amp;"-"&amp;$B100,'Order Summary'!$D:$U,3,FALSE))</f>
        <v>45965</v>
      </c>
      <c r="E100" s="55" t="str">
        <f>VLOOKUP(A100&amp;"-"&amp;B100,'Order Summary'!$D:$G,4,FALSE)</f>
        <v>No</v>
      </c>
      <c r="F100" s="55" t="str">
        <f>VLOOKUP($A100,'Order Summary'!$B:$I,8,FALSE)</f>
        <v>Hillsboro, TX</v>
      </c>
      <c r="G100" s="216">
        <f>IF($A100="","",VLOOKUP($A100&amp;"-"&amp;$B100,'Order Summary'!$D:$U,18,FALSE))</f>
        <v>0</v>
      </c>
      <c r="H100" s="55">
        <v>3</v>
      </c>
      <c r="I100" s="55">
        <v>709525</v>
      </c>
      <c r="J100" s="55" t="str">
        <f>VLOOKUP($I100,'Old Pricing - end 26-Jan-2026'!$A:$R,2,FALSE)</f>
        <v>G1S 709525</v>
      </c>
      <c r="K100" s="55" t="str">
        <f>VLOOKUP($I100,'Old Pricing - end 26-Jan-2026'!$A:$R,6,FALSE)&amp;" "&amp;VLOOKUP($I100,'Old Pricing - end 26-Jan-2026'!$A:$R,7,FALSE)&amp;""" x "&amp;VLOOKUP($I100,'Old Pricing - end 26-Jan-2026'!$A:$R,9,FALSE)&amp;""" "&amp;VLOOKUP($I100,'Old Pricing - end 26-Jan-2026'!$A:$R,5,FALSE)</f>
        <v>2MM 49" x 90.5" ACP</v>
      </c>
      <c r="L100" s="55">
        <f>VLOOKUP($I100,'Old Pricing - end 26-Jan-2026'!$A:$K,8,FALSE)</f>
        <v>1245</v>
      </c>
      <c r="M100" s="55">
        <f>VLOOKUP($I100,'Old Pricing - end 26-Jan-2026'!$A:$K,10,FALSE)</f>
        <v>2300</v>
      </c>
      <c r="N100" s="55" t="str">
        <f>VLOOKUP($I100,'Old Pricing - end 26-Jan-2026'!$A:$R,13,FALSE)&amp;" "&amp;VLOOKUP($I100,'Old Pricing - end 26-Jan-2026'!$A:$R,12,FALSE)</f>
        <v>AMC 0103 SILVER FROST</v>
      </c>
      <c r="O100" s="56">
        <v>18.477</v>
      </c>
      <c r="P100" s="55">
        <f>(VLOOKUP($I100,'Old Pricing - end 26-Jan-2026'!$A:$R,8,FALSE)/1000)*(VLOOKUP($I100,'Old Pricing - end 26-Jan-2026'!$A:$R,10,FALSE)/1000)*Q100</f>
        <v>1718.1000000000001</v>
      </c>
      <c r="Q100" s="55">
        <f>ROUND(('Order Details'!$O100*1000)/((VLOOKUP($I100,'Old Pricing - end 26-Jan-2026'!$A:$Q,7,FALSE)/12)*(VLOOKUP($I100,'Old Pricing - end 26-Jan-2026'!$A:$Q,9,FALSE)/12))/5,0)*5</f>
        <v>600</v>
      </c>
      <c r="R100" s="71">
        <f>$Q100/IFERROR(VLOOKUP($F100&amp;RIGHT($K100,8),'Master Data'!$O$5:$P$10,2,FALSE),'Master Data'!$P$4)</f>
        <v>3</v>
      </c>
      <c r="S100" s="57">
        <f>VLOOKUP($I100,'Old Pricing - end 26-Jan-2026'!$A:$Q,16,FALSE)</f>
        <v>700</v>
      </c>
      <c r="T100" s="57">
        <f>VLOOKUP(I100,'Old Pricing - end 26-Jan-2026'!$A:$O,15,FALSE)</f>
        <v>7.53</v>
      </c>
      <c r="U100" s="57">
        <f t="shared" si="2"/>
        <v>12933.9</v>
      </c>
      <c r="V100" s="111">
        <f t="shared" si="5"/>
        <v>12937.293000000001</v>
      </c>
      <c r="W100" s="55">
        <f>VLOOKUP($I100,'Old Pricing - end 26-Jan-2026'!$A:$R,18,FALSE)</f>
        <v>90</v>
      </c>
    </row>
    <row r="101" spans="1:23" ht="15" hidden="1" thickTop="1" x14ac:dyDescent="0.3">
      <c r="A101" s="55">
        <v>52963980</v>
      </c>
      <c r="B101" s="55">
        <v>0</v>
      </c>
      <c r="C101" s="55" t="str">
        <f>VLOOKUP(A101&amp;"-"&amp;B101,'Order Summary'!$D:$E,2,FALSE)</f>
        <v>PO Revised</v>
      </c>
      <c r="D101" s="216">
        <f>IF($A101="","",VLOOKUP($A101&amp;"-"&amp;$B101,'Order Summary'!$D:$U,3,FALSE))</f>
        <v>45965</v>
      </c>
      <c r="E101" s="55" t="str">
        <f>VLOOKUP(A101&amp;"-"&amp;B101,'Order Summary'!$D:$G,4,FALSE)</f>
        <v>No</v>
      </c>
      <c r="F101" s="55" t="str">
        <f>VLOOKUP($A101,'Order Summary'!$B:$I,8,FALSE)</f>
        <v>Hillsboro, TX</v>
      </c>
      <c r="G101" s="216">
        <f>IF($A101="","",VLOOKUP($A101&amp;"-"&amp;$B101,'Order Summary'!$D:$U,18,FALSE))</f>
        <v>0</v>
      </c>
      <c r="H101" s="55">
        <v>4</v>
      </c>
      <c r="I101" s="55">
        <v>709356</v>
      </c>
      <c r="J101" s="55" t="str">
        <f>VLOOKUP($I101,'Old Pricing - end 26-Jan-2026'!$A:$R,2,FALSE)</f>
        <v>G1S 709356</v>
      </c>
      <c r="K101" s="55" t="str">
        <f>VLOOKUP($I101,'Old Pricing - end 26-Jan-2026'!$A:$R,6,FALSE)&amp;" "&amp;VLOOKUP($I101,'Old Pricing - end 26-Jan-2026'!$A:$R,7,FALSE)&amp;""" x "&amp;VLOOKUP($I101,'Old Pricing - end 26-Jan-2026'!$A:$R,9,FALSE)&amp;""" "&amp;VLOOKUP($I101,'Old Pricing - end 26-Jan-2026'!$A:$R,5,FALSE)</f>
        <v>2MM 49" x 90.5" ACP</v>
      </c>
      <c r="L101" s="55">
        <f>VLOOKUP($I101,'Old Pricing - end 26-Jan-2026'!$A:$K,8,FALSE)</f>
        <v>1245</v>
      </c>
      <c r="M101" s="55">
        <f>VLOOKUP($I101,'Old Pricing - end 26-Jan-2026'!$A:$K,10,FALSE)</f>
        <v>2300</v>
      </c>
      <c r="N101" s="55" t="str">
        <f>VLOOKUP($I101,'Old Pricing - end 26-Jan-2026'!$A:$R,13,FALSE)&amp;" "&amp;VLOOKUP($I101,'Old Pricing - end 26-Jan-2026'!$A:$R,12,FALSE)</f>
        <v>AMC 0086 CHARCOAL METALLIC</v>
      </c>
      <c r="O101" s="56">
        <v>18.477</v>
      </c>
      <c r="P101" s="55">
        <f>(VLOOKUP($I101,'Old Pricing - end 26-Jan-2026'!$A:$R,8,FALSE)/1000)*(VLOOKUP($I101,'Old Pricing - end 26-Jan-2026'!$A:$R,10,FALSE)/1000)*Q101</f>
        <v>1718.1000000000001</v>
      </c>
      <c r="Q101" s="55">
        <f>ROUND(('Order Details'!$O101*1000)/((VLOOKUP($I101,'Old Pricing - end 26-Jan-2026'!$A:$Q,7,FALSE)/12)*(VLOOKUP($I101,'Old Pricing - end 26-Jan-2026'!$A:$Q,9,FALSE)/12))/5,0)*5</f>
        <v>600</v>
      </c>
      <c r="R101" s="71">
        <f>$Q101/IFERROR(VLOOKUP($F101&amp;RIGHT($K101,8),'Master Data'!$O$5:$P$10,2,FALSE),'Master Data'!$P$4)</f>
        <v>3</v>
      </c>
      <c r="S101" s="57">
        <f>VLOOKUP($I101,'Old Pricing - end 26-Jan-2026'!$A:$Q,16,FALSE)</f>
        <v>750</v>
      </c>
      <c r="T101" s="57">
        <f>VLOOKUP(I101,'Old Pricing - end 26-Jan-2026'!$A:$O,15,FALSE)</f>
        <v>8.07</v>
      </c>
      <c r="U101" s="57">
        <f t="shared" si="2"/>
        <v>13857.75</v>
      </c>
      <c r="V101" s="111">
        <f t="shared" si="5"/>
        <v>13865.067000000001</v>
      </c>
      <c r="W101" s="55">
        <f>VLOOKUP($I101,'Old Pricing - end 26-Jan-2026'!$A:$R,18,FALSE)</f>
        <v>45</v>
      </c>
    </row>
    <row r="102" spans="1:23" ht="15" hidden="1" thickTop="1" x14ac:dyDescent="0.3">
      <c r="A102" s="55">
        <v>52963980</v>
      </c>
      <c r="B102" s="55">
        <v>0</v>
      </c>
      <c r="C102" s="55" t="str">
        <f>VLOOKUP(A102&amp;"-"&amp;B102,'Order Summary'!$D:$E,2,FALSE)</f>
        <v>PO Revised</v>
      </c>
      <c r="D102" s="216">
        <f>IF($A102="","",VLOOKUP($A102&amp;"-"&amp;$B102,'Order Summary'!$D:$U,3,FALSE))</f>
        <v>45965</v>
      </c>
      <c r="E102" s="55" t="str">
        <f>VLOOKUP(A102&amp;"-"&amp;B102,'Order Summary'!$D:$G,4,FALSE)</f>
        <v>No</v>
      </c>
      <c r="F102" s="55" t="str">
        <f>VLOOKUP($A102,'Order Summary'!$B:$I,8,FALSE)</f>
        <v>Hillsboro, TX</v>
      </c>
      <c r="G102" s="216">
        <f>IF($A102="","",VLOOKUP($A102&amp;"-"&amp;$B102,'Order Summary'!$D:$U,18,FALSE))</f>
        <v>0</v>
      </c>
      <c r="H102" s="55">
        <v>5</v>
      </c>
      <c r="I102" s="55">
        <v>710940</v>
      </c>
      <c r="J102" s="55" t="str">
        <f>VLOOKUP($I102,'Old Pricing - end 26-Jan-2026'!$A:$R,2,FALSE)</f>
        <v>G1S 710940</v>
      </c>
      <c r="K102" s="55" t="str">
        <f>VLOOKUP($I102,'Old Pricing - end 26-Jan-2026'!$A:$R,6,FALSE)&amp;" "&amp;VLOOKUP($I102,'Old Pricing - end 26-Jan-2026'!$A:$R,7,FALSE)&amp;""" x "&amp;VLOOKUP($I102,'Old Pricing - end 26-Jan-2026'!$A:$R,9,FALSE)&amp;""" "&amp;VLOOKUP($I102,'Old Pricing - end 26-Jan-2026'!$A:$R,5,FALSE)</f>
        <v>2MM 49" x 90.5" ACP</v>
      </c>
      <c r="L102" s="55">
        <f>VLOOKUP($I102,'Old Pricing - end 26-Jan-2026'!$A:$K,8,FALSE)</f>
        <v>1245</v>
      </c>
      <c r="M102" s="55">
        <f>VLOOKUP($I102,'Old Pricing - end 26-Jan-2026'!$A:$K,10,FALSE)</f>
        <v>2300</v>
      </c>
      <c r="N102" s="55" t="str">
        <f>VLOOKUP($I102,'Old Pricing - end 26-Jan-2026'!$A:$R,13,FALSE)&amp;" "&amp;VLOOKUP($I102,'Old Pricing - end 26-Jan-2026'!$A:$R,12,FALSE)</f>
        <v>ASC 0092 PEPSI BLUE</v>
      </c>
      <c r="O102" s="56">
        <v>6.1589999999999998</v>
      </c>
      <c r="P102" s="55">
        <f>(VLOOKUP($I102,'Old Pricing - end 26-Jan-2026'!$A:$R,8,FALSE)/1000)*(VLOOKUP($I102,'Old Pricing - end 26-Jan-2026'!$A:$R,10,FALSE)/1000)*Q102</f>
        <v>572.70000000000005</v>
      </c>
      <c r="Q102" s="55">
        <f>ROUND(('Order Details'!$O102*1000)/((VLOOKUP($I102,'Old Pricing - end 26-Jan-2026'!$A:$Q,7,FALSE)/12)*(VLOOKUP($I102,'Old Pricing - end 26-Jan-2026'!$A:$Q,9,FALSE)/12))/5,0)*5</f>
        <v>200</v>
      </c>
      <c r="R102" s="71">
        <f>$Q102/IFERROR(VLOOKUP($F102&amp;RIGHT($K102,8),'Master Data'!$O$5:$P$10,2,FALSE),'Master Data'!$P$4)</f>
        <v>1</v>
      </c>
      <c r="S102" s="57">
        <f>VLOOKUP($I102,'Old Pricing - end 26-Jan-2026'!$A:$Q,16,FALSE)</f>
        <v>700</v>
      </c>
      <c r="T102" s="57">
        <f>VLOOKUP(I102,'Old Pricing - end 26-Jan-2026'!$A:$O,15,FALSE)</f>
        <v>7.53</v>
      </c>
      <c r="U102" s="57">
        <f t="shared" si="2"/>
        <v>4311.3</v>
      </c>
      <c r="V102" s="111">
        <f t="shared" si="5"/>
        <v>4312.4310000000005</v>
      </c>
      <c r="W102" s="55">
        <f>VLOOKUP($I102,'Old Pricing - end 26-Jan-2026'!$A:$R,18,FALSE)</f>
        <v>90</v>
      </c>
    </row>
    <row r="103" spans="1:23" s="234" customFormat="1" ht="15" hidden="1" thickTop="1" x14ac:dyDescent="0.3">
      <c r="A103" s="227">
        <v>52963980</v>
      </c>
      <c r="B103" s="227">
        <v>0</v>
      </c>
      <c r="C103" s="227" t="str">
        <f>VLOOKUP(A103&amp;"-"&amp;B103,'Order Summary'!$D:$E,2,FALSE)</f>
        <v>PO Revised</v>
      </c>
      <c r="D103" s="228">
        <f>IF($A103="","",VLOOKUP($A103&amp;"-"&amp;$B103,'Order Summary'!$D:$U,3,FALSE))</f>
        <v>45965</v>
      </c>
      <c r="E103" s="227" t="str">
        <f>VLOOKUP(A103&amp;"-"&amp;B103,'Order Summary'!$D:$G,4,FALSE)</f>
        <v>No</v>
      </c>
      <c r="F103" s="227" t="str">
        <f>VLOOKUP($A103,'Order Summary'!$B:$I,8,FALSE)</f>
        <v>Hillsboro, TX</v>
      </c>
      <c r="G103" s="228">
        <f>IF($A103="","",VLOOKUP($A103&amp;"-"&amp;$B103,'Order Summary'!$D:$U,18,FALSE))</f>
        <v>0</v>
      </c>
      <c r="H103" s="227">
        <v>6</v>
      </c>
      <c r="I103" s="227">
        <v>710941</v>
      </c>
      <c r="J103" s="227" t="str">
        <f>VLOOKUP($I103,'Old Pricing - end 26-Jan-2026'!$A:$R,2,FALSE)</f>
        <v>G1S 710941</v>
      </c>
      <c r="K103" s="227" t="str">
        <f>VLOOKUP($I103,'Old Pricing - end 26-Jan-2026'!$A:$R,6,FALSE)&amp;" "&amp;VLOOKUP($I103,'Old Pricing - end 26-Jan-2026'!$A:$R,7,FALSE)&amp;""" x "&amp;VLOOKUP($I103,'Old Pricing - end 26-Jan-2026'!$A:$R,9,FALSE)&amp;""" "&amp;VLOOKUP($I103,'Old Pricing - end 26-Jan-2026'!$A:$R,5,FALSE)</f>
        <v>2MM 49" x 90.5" ACP</v>
      </c>
      <c r="L103" s="227">
        <f>VLOOKUP($I103,'Old Pricing - end 26-Jan-2026'!$A:$K,8,FALSE)</f>
        <v>1245</v>
      </c>
      <c r="M103" s="227">
        <f>VLOOKUP($I103,'Old Pricing - end 26-Jan-2026'!$A:$K,10,FALSE)</f>
        <v>2300</v>
      </c>
      <c r="N103" s="227" t="str">
        <f>VLOOKUP($I103,'Old Pricing - end 26-Jan-2026'!$A:$R,13,FALSE)&amp;" "&amp;VLOOKUP($I103,'Old Pricing - end 26-Jan-2026'!$A:$R,12,FALSE)</f>
        <v>ASC 0089 VICTORY RED</v>
      </c>
      <c r="O103" s="229">
        <v>6.1589999999999998</v>
      </c>
      <c r="P103" s="227">
        <f>(VLOOKUP($I103,'Old Pricing - end 26-Jan-2026'!$A:$R,8,FALSE)/1000)*(VLOOKUP($I103,'Old Pricing - end 26-Jan-2026'!$A:$R,10,FALSE)/1000)*Q103</f>
        <v>572.70000000000005</v>
      </c>
      <c r="Q103" s="227">
        <f>ROUND(('Order Details'!$O103*1000)/((VLOOKUP($I103,'Old Pricing - end 26-Jan-2026'!$A:$Q,7,FALSE)/12)*(VLOOKUP($I103,'Old Pricing - end 26-Jan-2026'!$A:$Q,9,FALSE)/12))/5,0)*5</f>
        <v>200</v>
      </c>
      <c r="R103" s="230">
        <f>$Q103/IFERROR(VLOOKUP($F103&amp;RIGHT($K103,8),'Master Data'!$O$5:$P$10,2,FALSE),'Master Data'!$P$4)</f>
        <v>1</v>
      </c>
      <c r="S103" s="231">
        <f>VLOOKUP($I103,'Old Pricing - end 26-Jan-2026'!$A:$Q,16,FALSE)</f>
        <v>700</v>
      </c>
      <c r="T103" s="231">
        <f>VLOOKUP(I103,'Old Pricing - end 26-Jan-2026'!$A:$O,15,FALSE)</f>
        <v>7.53</v>
      </c>
      <c r="U103" s="231">
        <f t="shared" si="2"/>
        <v>4311.3</v>
      </c>
      <c r="V103" s="233">
        <f t="shared" si="5"/>
        <v>4312.4310000000005</v>
      </c>
      <c r="W103" s="227">
        <f>VLOOKUP($I103,'Old Pricing - end 26-Jan-2026'!$A:$R,18,FALSE)</f>
        <v>45</v>
      </c>
    </row>
    <row r="104" spans="1:23" ht="15" hidden="1" thickTop="1" x14ac:dyDescent="0.3">
      <c r="A104" s="55">
        <v>52952099</v>
      </c>
      <c r="B104" s="55">
        <v>0</v>
      </c>
      <c r="C104" s="55" t="str">
        <f>VLOOKUP(A104&amp;"-"&amp;B104,'Order Summary'!$D:$E,2,FALSE)</f>
        <v>Balance Payment Received</v>
      </c>
      <c r="D104" s="216">
        <f>IF($A104="","",VLOOKUP($A104&amp;"-"&amp;$B104,'Order Summary'!$D:$U,3,FALSE))</f>
        <v>45970</v>
      </c>
      <c r="E104" s="55" t="str">
        <f>VLOOKUP(A104&amp;"-"&amp;B104,'Order Summary'!$D:$G,4,FALSE)</f>
        <v>Yes</v>
      </c>
      <c r="F104" s="55" t="str">
        <f>VLOOKUP($A104,'Order Summary'!$B:$I,8,FALSE)</f>
        <v>Minneota, MN</v>
      </c>
      <c r="G104" s="235">
        <f>IF($A104="","",VLOOKUP($A104&amp;"-"&amp;$B104,'Order Summary'!$D:$U,18,FALSE))</f>
        <v>46107</v>
      </c>
      <c r="H104" s="55">
        <v>1</v>
      </c>
      <c r="I104" s="55">
        <v>694433</v>
      </c>
      <c r="J104" s="55" t="str">
        <f>VLOOKUP($I104,'Old Pricing - end 26-Jan-2026'!$A:$R,2,FALSE)</f>
        <v>G1S 694433</v>
      </c>
      <c r="K104" s="55" t="str">
        <f>VLOOKUP($I104,'Old Pricing - end 26-Jan-2026'!$A:$R,6,FALSE)&amp;" "&amp;VLOOKUP($I104,'Old Pricing - end 26-Jan-2026'!$A:$R,7,FALSE)&amp;""" x "&amp;VLOOKUP($I104,'Old Pricing - end 26-Jan-2026'!$A:$R,9,FALSE)&amp;""" "&amp;VLOOKUP($I104,'Old Pricing - end 26-Jan-2026'!$A:$R,5,FALSE)</f>
        <v>2MM 49" x 108" ACP</v>
      </c>
      <c r="L104" s="55">
        <f>VLOOKUP($I104,'Old Pricing - end 26-Jan-2026'!$A:$K,8,FALSE)</f>
        <v>1245</v>
      </c>
      <c r="M104" s="55">
        <f>VLOOKUP($I104,'Old Pricing - end 26-Jan-2026'!$A:$K,10,FALSE)</f>
        <v>2745</v>
      </c>
      <c r="N104" s="55" t="str">
        <f>VLOOKUP($I104,'Old Pricing - end 26-Jan-2026'!$A:$R,13,FALSE)&amp;" "&amp;VLOOKUP($I104,'Old Pricing - end 26-Jan-2026'!$A:$R,12,FALSE)</f>
        <v>ASC 0096 GLOSSY BLACK</v>
      </c>
      <c r="O104" s="56">
        <v>14.7</v>
      </c>
      <c r="P104" s="55">
        <f>(VLOOKUP($I104,'Old Pricing - end 26-Jan-2026'!$A:$R,8,FALSE)/1000)*(VLOOKUP($I104,'Old Pricing - end 26-Jan-2026'!$A:$R,10,FALSE)/1000)*Q104</f>
        <v>1367.0100000000002</v>
      </c>
      <c r="Q104" s="55">
        <f>ROUND(('Order Details'!$O104*1000)/((VLOOKUP($I104,'Old Pricing - end 26-Jan-2026'!$A:$Q,7,FALSE)/12)*(VLOOKUP($I104,'Old Pricing - end 26-Jan-2026'!$A:$Q,9,FALSE)/12))/5,0)*5</f>
        <v>400</v>
      </c>
      <c r="R104" s="71">
        <f>$Q104/IFERROR(VLOOKUP($F104&amp;RIGHT($K104,8),'Master Data'!$O$5:$P$10,2,FALSE),'Master Data'!$P$4)</f>
        <v>2</v>
      </c>
      <c r="S104" s="123">
        <f>VLOOKUP($I104,'Old Pricing - end 26-Jan-2026'!$A:$Q,16,FALSE)</f>
        <v>700</v>
      </c>
      <c r="T104" s="123">
        <f>VLOOKUP(I104,'Old Pricing - end 26-Jan-2026'!$A:$O,15,FALSE)</f>
        <v>7.53</v>
      </c>
      <c r="U104" s="123">
        <f t="shared" si="2"/>
        <v>10290</v>
      </c>
      <c r="V104" s="111">
        <f t="shared" si="5"/>
        <v>10293.585300000002</v>
      </c>
      <c r="W104" s="55">
        <f>VLOOKUP($I104,'Old Pricing - end 26-Jan-2026'!$A:$R,18,FALSE)</f>
        <v>45</v>
      </c>
    </row>
    <row r="105" spans="1:23" ht="15" hidden="1" thickTop="1" x14ac:dyDescent="0.3">
      <c r="A105" s="55">
        <v>52952099</v>
      </c>
      <c r="B105" s="55">
        <v>0</v>
      </c>
      <c r="C105" s="55" t="str">
        <f>VLOOKUP(A105&amp;"-"&amp;B105,'Order Summary'!$D:$E,2,FALSE)</f>
        <v>Balance Payment Received</v>
      </c>
      <c r="D105" s="216">
        <f>IF($A105="","",VLOOKUP($A105&amp;"-"&amp;$B105,'Order Summary'!$D:$U,3,FALSE))</f>
        <v>45970</v>
      </c>
      <c r="E105" s="55" t="str">
        <f>VLOOKUP(A105&amp;"-"&amp;B105,'Order Summary'!$D:$G,4,FALSE)</f>
        <v>Yes</v>
      </c>
      <c r="F105" s="55" t="str">
        <f>VLOOKUP($A105,'Order Summary'!$B:$I,8,FALSE)</f>
        <v>Minneota, MN</v>
      </c>
      <c r="G105" s="216">
        <f>IF($A105="","",VLOOKUP($A105&amp;"-"&amp;$B105,'Order Summary'!$D:$U,18,FALSE))</f>
        <v>46107</v>
      </c>
      <c r="H105" s="55">
        <v>2</v>
      </c>
      <c r="I105" s="55">
        <v>694432</v>
      </c>
      <c r="J105" s="55" t="str">
        <f>VLOOKUP($I105,'Old Pricing - end 26-Jan-2026'!$A:$R,2,FALSE)</f>
        <v>G1S 694432</v>
      </c>
      <c r="K105" s="55" t="str">
        <f>VLOOKUP($I105,'Old Pricing - end 26-Jan-2026'!$A:$R,6,FALSE)&amp;" "&amp;VLOOKUP($I105,'Old Pricing - end 26-Jan-2026'!$A:$R,7,FALSE)&amp;""" x "&amp;VLOOKUP($I105,'Old Pricing - end 26-Jan-2026'!$A:$R,9,FALSE)&amp;""" "&amp;VLOOKUP($I105,'Old Pricing - end 26-Jan-2026'!$A:$R,5,FALSE)</f>
        <v>2MM 49" x 96" ACP</v>
      </c>
      <c r="L105" s="55">
        <f>VLOOKUP($I105,'Old Pricing - end 26-Jan-2026'!$A:$K,8,FALSE)</f>
        <v>1245</v>
      </c>
      <c r="M105" s="55">
        <f>VLOOKUP($I105,'Old Pricing - end 26-Jan-2026'!$A:$K,10,FALSE)</f>
        <v>2440</v>
      </c>
      <c r="N105" s="55" t="str">
        <f>VLOOKUP($I105,'Old Pricing - end 26-Jan-2026'!$A:$R,13,FALSE)&amp;" "&amp;VLOOKUP($I105,'Old Pricing - end 26-Jan-2026'!$A:$R,12,FALSE)</f>
        <v>ASC 0096 GLOSSY BLACK</v>
      </c>
      <c r="O105" s="56">
        <v>13.067</v>
      </c>
      <c r="P105" s="55">
        <f>(VLOOKUP($I105,'Old Pricing - end 26-Jan-2026'!$A:$R,8,FALSE)/1000)*(VLOOKUP($I105,'Old Pricing - end 26-Jan-2026'!$A:$R,10,FALSE)/1000)*Q105</f>
        <v>1215.1200000000001</v>
      </c>
      <c r="Q105" s="55">
        <f>ROUND(('Order Details'!$O105*1000)/((VLOOKUP($I105,'Old Pricing - end 26-Jan-2026'!$A:$Q,7,FALSE)/12)*(VLOOKUP($I105,'Old Pricing - end 26-Jan-2026'!$A:$Q,9,FALSE)/12))/5,0)*5</f>
        <v>400</v>
      </c>
      <c r="R105" s="71">
        <f>$Q105/IFERROR(VLOOKUP($F105&amp;RIGHT($K105,8),'Master Data'!$O$5:$P$10,2,FALSE),'Master Data'!$P$4)</f>
        <v>2</v>
      </c>
      <c r="S105" s="123">
        <f>VLOOKUP($I105,'Old Pricing - end 26-Jan-2026'!$A:$Q,16,FALSE)</f>
        <v>700</v>
      </c>
      <c r="T105" s="123">
        <f>VLOOKUP(I105,'Old Pricing - end 26-Jan-2026'!$A:$O,15,FALSE)</f>
        <v>7.53</v>
      </c>
      <c r="U105" s="123">
        <f t="shared" si="2"/>
        <v>9146.9</v>
      </c>
      <c r="V105" s="111">
        <f t="shared" si="5"/>
        <v>9149.8536000000004</v>
      </c>
      <c r="W105" s="55">
        <f>VLOOKUP($I105,'Old Pricing - end 26-Jan-2026'!$A:$R,18,FALSE)</f>
        <v>45</v>
      </c>
    </row>
    <row r="106" spans="1:23" ht="15" hidden="1" thickTop="1" x14ac:dyDescent="0.3">
      <c r="A106" s="55">
        <v>52952099</v>
      </c>
      <c r="B106" s="55">
        <v>0</v>
      </c>
      <c r="C106" s="55" t="str">
        <f>VLOOKUP(A106&amp;"-"&amp;B106,'Order Summary'!$D:$E,2,FALSE)</f>
        <v>Balance Payment Received</v>
      </c>
      <c r="D106" s="216">
        <f>IF($A106="","",VLOOKUP($A106&amp;"-"&amp;$B106,'Order Summary'!$D:$U,3,FALSE))</f>
        <v>45970</v>
      </c>
      <c r="E106" s="55" t="str">
        <f>VLOOKUP(A106&amp;"-"&amp;B106,'Order Summary'!$D:$G,4,FALSE)</f>
        <v>Yes</v>
      </c>
      <c r="F106" s="55" t="str">
        <f>VLOOKUP($A106,'Order Summary'!$B:$I,8,FALSE)</f>
        <v>Minneota, MN</v>
      </c>
      <c r="G106" s="216">
        <f>IF($A106="","",VLOOKUP($A106&amp;"-"&amp;$B106,'Order Summary'!$D:$U,18,FALSE))</f>
        <v>46107</v>
      </c>
      <c r="H106" s="55">
        <v>3</v>
      </c>
      <c r="I106" s="55">
        <v>694436</v>
      </c>
      <c r="J106" s="55" t="str">
        <f>VLOOKUP($I106,'Old Pricing - end 26-Jan-2026'!$A:$R,2,FALSE)</f>
        <v>G1S 694436</v>
      </c>
      <c r="K106" s="55" t="str">
        <f>VLOOKUP($I106,'Old Pricing - end 26-Jan-2026'!$A:$R,6,FALSE)&amp;" "&amp;VLOOKUP($I106,'Old Pricing - end 26-Jan-2026'!$A:$R,7,FALSE)&amp;""" x "&amp;VLOOKUP($I106,'Old Pricing - end 26-Jan-2026'!$A:$R,9,FALSE)&amp;""" "&amp;VLOOKUP($I106,'Old Pricing - end 26-Jan-2026'!$A:$R,5,FALSE)</f>
        <v>2MM 49" x 96" ACP</v>
      </c>
      <c r="L106" s="55">
        <f>VLOOKUP($I106,'Old Pricing - end 26-Jan-2026'!$A:$K,8,FALSE)</f>
        <v>1245</v>
      </c>
      <c r="M106" s="55">
        <f>VLOOKUP($I106,'Old Pricing - end 26-Jan-2026'!$A:$K,10,FALSE)</f>
        <v>2440</v>
      </c>
      <c r="N106" s="55" t="str">
        <f>VLOOKUP($I106,'Old Pricing - end 26-Jan-2026'!$A:$R,13,FALSE)&amp;" "&amp;VLOOKUP($I106,'Old Pricing - end 26-Jan-2026'!$A:$R,12,FALSE)</f>
        <v>ASC 0069 GLOSSY WHITE</v>
      </c>
      <c r="O106" s="56">
        <v>6.5330000000000004</v>
      </c>
      <c r="P106" s="55">
        <f>(VLOOKUP($I106,'Old Pricing - end 26-Jan-2026'!$A:$R,8,FALSE)/1000)*(VLOOKUP($I106,'Old Pricing - end 26-Jan-2026'!$A:$R,10,FALSE)/1000)*Q106</f>
        <v>607.56000000000006</v>
      </c>
      <c r="Q106" s="55">
        <f>ROUND(('Order Details'!$O106*1000)/((VLOOKUP($I106,'Old Pricing - end 26-Jan-2026'!$A:$Q,7,FALSE)/12)*(VLOOKUP($I106,'Old Pricing - end 26-Jan-2026'!$A:$Q,9,FALSE)/12))/5,0)*5</f>
        <v>200</v>
      </c>
      <c r="R106" s="71">
        <f>$Q106/IFERROR(VLOOKUP($F106&amp;RIGHT($K106,8),'Master Data'!$O$5:$P$10,2,FALSE),'Master Data'!$P$4)</f>
        <v>1</v>
      </c>
      <c r="S106" s="123">
        <f>VLOOKUP($I106,'Old Pricing - end 26-Jan-2026'!$A:$Q,16,FALSE)</f>
        <v>700</v>
      </c>
      <c r="T106" s="123">
        <f>VLOOKUP(I106,'Old Pricing - end 26-Jan-2026'!$A:$O,15,FALSE)</f>
        <v>7.53</v>
      </c>
      <c r="U106" s="123">
        <f t="shared" si="2"/>
        <v>4573.1000000000004</v>
      </c>
      <c r="V106" s="111">
        <f t="shared" si="5"/>
        <v>4574.9268000000002</v>
      </c>
      <c r="W106" s="55">
        <f>VLOOKUP($I106,'Old Pricing - end 26-Jan-2026'!$A:$R,18,FALSE)</f>
        <v>45</v>
      </c>
    </row>
    <row r="107" spans="1:23" ht="15" hidden="1" thickTop="1" x14ac:dyDescent="0.3">
      <c r="A107" s="55">
        <v>52952099</v>
      </c>
      <c r="B107" s="55">
        <v>0</v>
      </c>
      <c r="C107" s="55" t="str">
        <f>VLOOKUP(A107&amp;"-"&amp;B107,'Order Summary'!$D:$E,2,FALSE)</f>
        <v>Balance Payment Received</v>
      </c>
      <c r="D107" s="216">
        <f>IF($A107="","",VLOOKUP($A107&amp;"-"&amp;$B107,'Order Summary'!$D:$U,3,FALSE))</f>
        <v>45970</v>
      </c>
      <c r="E107" s="55" t="str">
        <f>VLOOKUP(A107&amp;"-"&amp;B107,'Order Summary'!$D:$G,4,FALSE)</f>
        <v>Yes</v>
      </c>
      <c r="F107" s="55" t="str">
        <f>VLOOKUP($A107,'Order Summary'!$B:$I,8,FALSE)</f>
        <v>Minneota, MN</v>
      </c>
      <c r="G107" s="216">
        <f>IF($A107="","",VLOOKUP($A107&amp;"-"&amp;$B107,'Order Summary'!$D:$U,18,FALSE))</f>
        <v>46107</v>
      </c>
      <c r="H107" s="55">
        <v>4</v>
      </c>
      <c r="I107" s="55">
        <v>694437</v>
      </c>
      <c r="J107" s="55" t="str">
        <f>VLOOKUP($I107,'Old Pricing - end 26-Jan-2026'!$A:$R,2,FALSE)</f>
        <v>G1S 694437</v>
      </c>
      <c r="K107" s="55" t="str">
        <f>VLOOKUP($I107,'Old Pricing - end 26-Jan-2026'!$A:$R,6,FALSE)&amp;" "&amp;VLOOKUP($I107,'Old Pricing - end 26-Jan-2026'!$A:$R,7,FALSE)&amp;""" x "&amp;VLOOKUP($I107,'Old Pricing - end 26-Jan-2026'!$A:$R,9,FALSE)&amp;""" "&amp;VLOOKUP($I107,'Old Pricing - end 26-Jan-2026'!$A:$R,5,FALSE)</f>
        <v>2MM 49" x 108" ACP</v>
      </c>
      <c r="L107" s="55">
        <f>VLOOKUP($I107,'Old Pricing - end 26-Jan-2026'!$A:$K,8,FALSE)</f>
        <v>1245</v>
      </c>
      <c r="M107" s="55">
        <f>VLOOKUP($I107,'Old Pricing - end 26-Jan-2026'!$A:$K,10,FALSE)</f>
        <v>2745</v>
      </c>
      <c r="N107" s="55" t="str">
        <f>VLOOKUP($I107,'Old Pricing - end 26-Jan-2026'!$A:$R,13,FALSE)&amp;" "&amp;VLOOKUP($I107,'Old Pricing - end 26-Jan-2026'!$A:$R,12,FALSE)</f>
        <v>ASC 0069 GLOSSY WHITE</v>
      </c>
      <c r="O107" s="56">
        <v>14.7</v>
      </c>
      <c r="P107" s="55">
        <f>(VLOOKUP($I107,'Old Pricing - end 26-Jan-2026'!$A:$R,8,FALSE)/1000)*(VLOOKUP($I107,'Old Pricing - end 26-Jan-2026'!$A:$R,10,FALSE)/1000)*Q107</f>
        <v>1367.0100000000002</v>
      </c>
      <c r="Q107" s="55">
        <f>ROUND(('Order Details'!$O107*1000)/((VLOOKUP($I107,'Old Pricing - end 26-Jan-2026'!$A:$Q,7,FALSE)/12)*(VLOOKUP($I107,'Old Pricing - end 26-Jan-2026'!$A:$Q,9,FALSE)/12))/5,0)*5</f>
        <v>400</v>
      </c>
      <c r="R107" s="71">
        <f>$Q107/IFERROR(VLOOKUP($F107&amp;RIGHT($K107,8),'Master Data'!$O$5:$P$10,2,FALSE),'Master Data'!$P$4)</f>
        <v>2</v>
      </c>
      <c r="S107" s="123">
        <f>VLOOKUP($I107,'Old Pricing - end 26-Jan-2026'!$A:$Q,16,FALSE)</f>
        <v>700</v>
      </c>
      <c r="T107" s="123">
        <f>VLOOKUP(I107,'Old Pricing - end 26-Jan-2026'!$A:$O,15,FALSE)</f>
        <v>7.53</v>
      </c>
      <c r="U107" s="123">
        <f t="shared" si="2"/>
        <v>10290</v>
      </c>
      <c r="V107" s="111">
        <f t="shared" si="5"/>
        <v>10293.585300000002</v>
      </c>
      <c r="W107" s="55">
        <f>VLOOKUP($I107,'Old Pricing - end 26-Jan-2026'!$A:$R,18,FALSE)</f>
        <v>45</v>
      </c>
    </row>
    <row r="108" spans="1:23" ht="15" hidden="1" thickTop="1" x14ac:dyDescent="0.3">
      <c r="A108" s="55">
        <v>52952099</v>
      </c>
      <c r="B108" s="55">
        <v>0</v>
      </c>
      <c r="C108" s="55" t="str">
        <f>VLOOKUP(A108&amp;"-"&amp;B108,'Order Summary'!$D:$E,2,FALSE)</f>
        <v>Balance Payment Received</v>
      </c>
      <c r="D108" s="216">
        <f>IF($A108="","",VLOOKUP($A108&amp;"-"&amp;$B108,'Order Summary'!$D:$U,3,FALSE))</f>
        <v>45970</v>
      </c>
      <c r="E108" s="55" t="str">
        <f>VLOOKUP(A108&amp;"-"&amp;B108,'Order Summary'!$D:$G,4,FALSE)</f>
        <v>Yes</v>
      </c>
      <c r="F108" s="55" t="str">
        <f>VLOOKUP($A108,'Order Summary'!$B:$I,8,FALSE)</f>
        <v>Minneota, MN</v>
      </c>
      <c r="G108" s="216">
        <f>IF($A108="","",VLOOKUP($A108&amp;"-"&amp;$B108,'Order Summary'!$D:$U,18,FALSE))</f>
        <v>46107</v>
      </c>
      <c r="H108" s="55">
        <v>5</v>
      </c>
      <c r="I108" s="55">
        <v>694440</v>
      </c>
      <c r="J108" s="55" t="str">
        <f>VLOOKUP($I108,'Old Pricing - end 26-Jan-2026'!$A:$R,2,FALSE)</f>
        <v>G1S 694440</v>
      </c>
      <c r="K108" s="55" t="str">
        <f>VLOOKUP($I108,'Old Pricing - end 26-Jan-2026'!$A:$R,6,FALSE)&amp;" "&amp;VLOOKUP($I108,'Old Pricing - end 26-Jan-2026'!$A:$R,7,FALSE)&amp;""" x "&amp;VLOOKUP($I108,'Old Pricing - end 26-Jan-2026'!$A:$R,9,FALSE)&amp;""" "&amp;VLOOKUP($I108,'Old Pricing - end 26-Jan-2026'!$A:$R,5,FALSE)</f>
        <v>2MM 49" x 96" ACP</v>
      </c>
      <c r="L108" s="55">
        <f>VLOOKUP($I108,'Old Pricing - end 26-Jan-2026'!$A:$K,8,FALSE)</f>
        <v>1245</v>
      </c>
      <c r="M108" s="55">
        <f>VLOOKUP($I108,'Old Pricing - end 26-Jan-2026'!$A:$K,10,FALSE)</f>
        <v>2440</v>
      </c>
      <c r="N108" s="55" t="str">
        <f>VLOOKUP($I108,'Old Pricing - end 26-Jan-2026'!$A:$R,13,FALSE)&amp;" "&amp;VLOOKUP($I108,'Old Pricing - end 26-Jan-2026'!$A:$R,12,FALSE)</f>
        <v>AMC 0103 SILVER FROST</v>
      </c>
      <c r="O108" s="56">
        <v>6.5330000000000004</v>
      </c>
      <c r="P108" s="55">
        <f>(VLOOKUP($I108,'Old Pricing - end 26-Jan-2026'!$A:$R,8,FALSE)/1000)*(VLOOKUP($I108,'Old Pricing - end 26-Jan-2026'!$A:$R,10,FALSE)/1000)*Q108</f>
        <v>607.56000000000006</v>
      </c>
      <c r="Q108" s="55">
        <f>ROUND(('Order Details'!$O108*1000)/((VLOOKUP($I108,'Old Pricing - end 26-Jan-2026'!$A:$Q,7,FALSE)/12)*(VLOOKUP($I108,'Old Pricing - end 26-Jan-2026'!$A:$Q,9,FALSE)/12))/5,0)*5</f>
        <v>200</v>
      </c>
      <c r="R108" s="71">
        <f>$Q108/IFERROR(VLOOKUP($F108&amp;RIGHT($K108,8),'Master Data'!$O$5:$P$10,2,FALSE),'Master Data'!$P$4)</f>
        <v>1</v>
      </c>
      <c r="S108" s="123">
        <f>VLOOKUP($I108,'Old Pricing - end 26-Jan-2026'!$A:$Q,16,FALSE)</f>
        <v>700</v>
      </c>
      <c r="T108" s="123">
        <f>VLOOKUP(I108,'Old Pricing - end 26-Jan-2026'!$A:$O,15,FALSE)</f>
        <v>7.53</v>
      </c>
      <c r="U108" s="123">
        <f t="shared" si="2"/>
        <v>4573.1000000000004</v>
      </c>
      <c r="V108" s="111">
        <f t="shared" si="5"/>
        <v>4574.9268000000002</v>
      </c>
      <c r="W108" s="55">
        <f>VLOOKUP($I108,'Old Pricing - end 26-Jan-2026'!$A:$R,18,FALSE)</f>
        <v>90</v>
      </c>
    </row>
    <row r="109" spans="1:23" ht="15" hidden="1" thickTop="1" x14ac:dyDescent="0.3">
      <c r="A109" s="55">
        <v>52952099</v>
      </c>
      <c r="B109" s="55">
        <v>0</v>
      </c>
      <c r="C109" s="55" t="str">
        <f>VLOOKUP(A109&amp;"-"&amp;B109,'Order Summary'!$D:$E,2,FALSE)</f>
        <v>Balance Payment Received</v>
      </c>
      <c r="D109" s="216">
        <f>IF($A109="","",VLOOKUP($A109&amp;"-"&amp;$B109,'Order Summary'!$D:$U,3,FALSE))</f>
        <v>45970</v>
      </c>
      <c r="E109" s="55" t="str">
        <f>VLOOKUP(A109&amp;"-"&amp;B109,'Order Summary'!$D:$G,4,FALSE)</f>
        <v>Yes</v>
      </c>
      <c r="F109" s="55" t="str">
        <f>VLOOKUP($A109,'Order Summary'!$B:$I,8,FALSE)</f>
        <v>Minneota, MN</v>
      </c>
      <c r="G109" s="216">
        <f>IF($A109="","",VLOOKUP($A109&amp;"-"&amp;$B109,'Order Summary'!$D:$U,18,FALSE))</f>
        <v>46107</v>
      </c>
      <c r="H109" s="55">
        <v>6</v>
      </c>
      <c r="I109" s="55">
        <v>694441</v>
      </c>
      <c r="J109" s="55" t="str">
        <f>VLOOKUP($I109,'Old Pricing - end 26-Jan-2026'!$A:$R,2,FALSE)</f>
        <v>G1S 694441</v>
      </c>
      <c r="K109" s="55" t="str">
        <f>VLOOKUP($I109,'Old Pricing - end 26-Jan-2026'!$A:$R,6,FALSE)&amp;" "&amp;VLOOKUP($I109,'Old Pricing - end 26-Jan-2026'!$A:$R,7,FALSE)&amp;""" x "&amp;VLOOKUP($I109,'Old Pricing - end 26-Jan-2026'!$A:$R,9,FALSE)&amp;""" "&amp;VLOOKUP($I109,'Old Pricing - end 26-Jan-2026'!$A:$R,5,FALSE)</f>
        <v>2MM 49" x 108" ACP</v>
      </c>
      <c r="L109" s="55">
        <f>VLOOKUP($I109,'Old Pricing - end 26-Jan-2026'!$A:$K,8,FALSE)</f>
        <v>1245</v>
      </c>
      <c r="M109" s="55">
        <f>VLOOKUP($I109,'Old Pricing - end 26-Jan-2026'!$A:$K,10,FALSE)</f>
        <v>2745</v>
      </c>
      <c r="N109" s="55" t="str">
        <f>VLOOKUP($I109,'Old Pricing - end 26-Jan-2026'!$A:$R,13,FALSE)&amp;" "&amp;VLOOKUP($I109,'Old Pricing - end 26-Jan-2026'!$A:$R,12,FALSE)</f>
        <v>AMC 0103 SILVER FROST</v>
      </c>
      <c r="O109" s="56">
        <v>7.35</v>
      </c>
      <c r="P109" s="55">
        <f>(VLOOKUP($I109,'Old Pricing - end 26-Jan-2026'!$A:$R,8,FALSE)/1000)*(VLOOKUP($I109,'Old Pricing - end 26-Jan-2026'!$A:$R,10,FALSE)/1000)*Q109</f>
        <v>683.50500000000011</v>
      </c>
      <c r="Q109" s="55">
        <f>ROUND(('Order Details'!$O109*1000)/((VLOOKUP($I109,'Old Pricing - end 26-Jan-2026'!$A:$Q,7,FALSE)/12)*(VLOOKUP($I109,'Old Pricing - end 26-Jan-2026'!$A:$Q,9,FALSE)/12))/5,0)*5</f>
        <v>200</v>
      </c>
      <c r="R109" s="71">
        <f>$Q109/IFERROR(VLOOKUP($F109&amp;RIGHT($K109,8),'Master Data'!$O$5:$P$10,2,FALSE),'Master Data'!$P$4)</f>
        <v>1</v>
      </c>
      <c r="S109" s="123">
        <f>VLOOKUP($I109,'Old Pricing - end 26-Jan-2026'!$A:$Q,16,FALSE)</f>
        <v>700</v>
      </c>
      <c r="T109" s="123">
        <f>VLOOKUP(I109,'Old Pricing - end 26-Jan-2026'!$A:$O,15,FALSE)</f>
        <v>7.53</v>
      </c>
      <c r="U109" s="123">
        <f t="shared" si="2"/>
        <v>5145</v>
      </c>
      <c r="V109" s="111">
        <f t="shared" si="5"/>
        <v>5146.7926500000012</v>
      </c>
      <c r="W109" s="55">
        <f>VLOOKUP($I109,'Old Pricing - end 26-Jan-2026'!$A:$R,18,FALSE)</f>
        <v>90</v>
      </c>
    </row>
    <row r="110" spans="1:23" ht="15" hidden="1" thickTop="1" x14ac:dyDescent="0.3">
      <c r="A110" s="55">
        <v>52952099</v>
      </c>
      <c r="B110" s="55">
        <v>0</v>
      </c>
      <c r="C110" s="55" t="str">
        <f>VLOOKUP(A110&amp;"-"&amp;B110,'Order Summary'!$D:$E,2,FALSE)</f>
        <v>Balance Payment Received</v>
      </c>
      <c r="D110" s="216">
        <f>IF($A110="","",VLOOKUP($A110&amp;"-"&amp;$B110,'Order Summary'!$D:$U,3,FALSE))</f>
        <v>45970</v>
      </c>
      <c r="E110" s="55" t="str">
        <f>VLOOKUP(A110&amp;"-"&amp;B110,'Order Summary'!$D:$G,4,FALSE)</f>
        <v>Yes</v>
      </c>
      <c r="F110" s="55" t="str">
        <f>VLOOKUP($A110,'Order Summary'!$B:$I,8,FALSE)</f>
        <v>Minneota, MN</v>
      </c>
      <c r="G110" s="216">
        <f>IF($A110="","",VLOOKUP($A110&amp;"-"&amp;$B110,'Order Summary'!$D:$U,18,FALSE))</f>
        <v>46107</v>
      </c>
      <c r="H110" s="55">
        <v>7</v>
      </c>
      <c r="I110" s="55">
        <v>694444</v>
      </c>
      <c r="J110" s="55" t="str">
        <f>VLOOKUP($I110,'Old Pricing - end 26-Jan-2026'!$A:$R,2,FALSE)</f>
        <v>G1S 694444</v>
      </c>
      <c r="K110" s="55" t="str">
        <f>VLOOKUP($I110,'Old Pricing - end 26-Jan-2026'!$A:$R,6,FALSE)&amp;" "&amp;VLOOKUP($I110,'Old Pricing - end 26-Jan-2026'!$A:$R,7,FALSE)&amp;""" x "&amp;VLOOKUP($I110,'Old Pricing - end 26-Jan-2026'!$A:$R,9,FALSE)&amp;""" "&amp;VLOOKUP($I110,'Old Pricing - end 26-Jan-2026'!$A:$R,5,FALSE)</f>
        <v>2MM 49" x 96" ACP</v>
      </c>
      <c r="L110" s="55">
        <f>VLOOKUP($I110,'Old Pricing - end 26-Jan-2026'!$A:$K,8,FALSE)</f>
        <v>1245</v>
      </c>
      <c r="M110" s="55">
        <f>VLOOKUP($I110,'Old Pricing - end 26-Jan-2026'!$A:$K,10,FALSE)</f>
        <v>2440</v>
      </c>
      <c r="N110" s="55" t="str">
        <f>VLOOKUP($I110,'Old Pricing - end 26-Jan-2026'!$A:$R,13,FALSE)&amp;" "&amp;VLOOKUP($I110,'Old Pricing - end 26-Jan-2026'!$A:$R,12,FALSE)</f>
        <v>AMC 0086 CHARCOAL METALLIC</v>
      </c>
      <c r="O110" s="56">
        <v>13.067</v>
      </c>
      <c r="P110" s="55">
        <f>(VLOOKUP($I110,'Old Pricing - end 26-Jan-2026'!$A:$R,8,FALSE)/1000)*(VLOOKUP($I110,'Old Pricing - end 26-Jan-2026'!$A:$R,10,FALSE)/1000)*Q110</f>
        <v>1215.1200000000001</v>
      </c>
      <c r="Q110" s="55">
        <f>ROUND(('Order Details'!$O110*1000)/((VLOOKUP($I110,'Old Pricing - end 26-Jan-2026'!$A:$Q,7,FALSE)/12)*(VLOOKUP($I110,'Old Pricing - end 26-Jan-2026'!$A:$Q,9,FALSE)/12))/5,0)*5</f>
        <v>400</v>
      </c>
      <c r="R110" s="71">
        <f>$Q110/IFERROR(VLOOKUP($F110&amp;RIGHT($K110,8),'Master Data'!$O$5:$P$10,2,FALSE),'Master Data'!$P$4)</f>
        <v>2</v>
      </c>
      <c r="S110" s="123">
        <f>VLOOKUP($I110,'Old Pricing - end 26-Jan-2026'!$A:$Q,16,FALSE)</f>
        <v>750</v>
      </c>
      <c r="T110" s="123">
        <f>VLOOKUP(I110,'Old Pricing - end 26-Jan-2026'!$A:$O,15,FALSE)</f>
        <v>8.07</v>
      </c>
      <c r="U110" s="123">
        <f t="shared" ref="U110:U145" si="9">O110*S110</f>
        <v>9800.25</v>
      </c>
      <c r="V110" s="111">
        <f t="shared" si="5"/>
        <v>9806.0184000000008</v>
      </c>
      <c r="W110" s="55">
        <f>VLOOKUP($I110,'Old Pricing - end 26-Jan-2026'!$A:$R,18,FALSE)</f>
        <v>45</v>
      </c>
    </row>
    <row r="111" spans="1:23" ht="15" hidden="1" thickTop="1" x14ac:dyDescent="0.3">
      <c r="A111" s="55">
        <v>52952099</v>
      </c>
      <c r="B111" s="55">
        <v>0</v>
      </c>
      <c r="C111" s="55" t="str">
        <f>VLOOKUP(A111&amp;"-"&amp;B111,'Order Summary'!$D:$E,2,FALSE)</f>
        <v>Balance Payment Received</v>
      </c>
      <c r="D111" s="216">
        <f>IF($A111="","",VLOOKUP($A111&amp;"-"&amp;$B111,'Order Summary'!$D:$U,3,FALSE))</f>
        <v>45970</v>
      </c>
      <c r="E111" s="55" t="str">
        <f>VLOOKUP(A111&amp;"-"&amp;B111,'Order Summary'!$D:$G,4,FALSE)</f>
        <v>Yes</v>
      </c>
      <c r="F111" s="55" t="str">
        <f>VLOOKUP($A111,'Order Summary'!$B:$I,8,FALSE)</f>
        <v>Minneota, MN</v>
      </c>
      <c r="G111" s="216">
        <f>IF($A111="","",VLOOKUP($A111&amp;"-"&amp;$B111,'Order Summary'!$D:$U,18,FALSE))</f>
        <v>46107</v>
      </c>
      <c r="H111" s="55">
        <v>8</v>
      </c>
      <c r="I111" s="55">
        <v>694445</v>
      </c>
      <c r="J111" s="55" t="str">
        <f>VLOOKUP($I111,'Old Pricing - end 26-Jan-2026'!$A:$R,2,FALSE)</f>
        <v>G1S 694445</v>
      </c>
      <c r="K111" s="55" t="str">
        <f>VLOOKUP($I111,'Old Pricing - end 26-Jan-2026'!$A:$R,6,FALSE)&amp;" "&amp;VLOOKUP($I111,'Old Pricing - end 26-Jan-2026'!$A:$R,7,FALSE)&amp;""" x "&amp;VLOOKUP($I111,'Old Pricing - end 26-Jan-2026'!$A:$R,9,FALSE)&amp;""" "&amp;VLOOKUP($I111,'Old Pricing - end 26-Jan-2026'!$A:$R,5,FALSE)</f>
        <v>2MM 49" x 108" ACP</v>
      </c>
      <c r="L111" s="55">
        <f>VLOOKUP($I111,'Old Pricing - end 26-Jan-2026'!$A:$K,8,FALSE)</f>
        <v>1245</v>
      </c>
      <c r="M111" s="55">
        <f>VLOOKUP($I111,'Old Pricing - end 26-Jan-2026'!$A:$K,10,FALSE)</f>
        <v>2745</v>
      </c>
      <c r="N111" s="55" t="str">
        <f>VLOOKUP($I111,'Old Pricing - end 26-Jan-2026'!$A:$R,13,FALSE)&amp;" "&amp;VLOOKUP($I111,'Old Pricing - end 26-Jan-2026'!$A:$R,12,FALSE)</f>
        <v>AMC 0086 CHARCOAL METALLIC</v>
      </c>
      <c r="O111" s="56">
        <v>14.7</v>
      </c>
      <c r="P111" s="55">
        <f>(VLOOKUP($I111,'Old Pricing - end 26-Jan-2026'!$A:$R,8,FALSE)/1000)*(VLOOKUP($I111,'Old Pricing - end 26-Jan-2026'!$A:$R,10,FALSE)/1000)*Q111</f>
        <v>1367.0100000000002</v>
      </c>
      <c r="Q111" s="55">
        <f>ROUND(('Order Details'!$O111*1000)/((VLOOKUP($I111,'Old Pricing - end 26-Jan-2026'!$A:$Q,7,FALSE)/12)*(VLOOKUP($I111,'Old Pricing - end 26-Jan-2026'!$A:$Q,9,FALSE)/12))/5,0)*5</f>
        <v>400</v>
      </c>
      <c r="R111" s="71">
        <f>$Q111/IFERROR(VLOOKUP($F111&amp;RIGHT($K111,8),'Master Data'!$O$5:$P$10,2,FALSE),'Master Data'!$P$4)</f>
        <v>2</v>
      </c>
      <c r="S111" s="123">
        <f>VLOOKUP($I111,'Old Pricing - end 26-Jan-2026'!$A:$Q,16,FALSE)</f>
        <v>750</v>
      </c>
      <c r="T111" s="123">
        <f>VLOOKUP(I111,'Old Pricing - end 26-Jan-2026'!$A:$O,15,FALSE)</f>
        <v>8.07</v>
      </c>
      <c r="U111" s="123">
        <f t="shared" si="9"/>
        <v>11025</v>
      </c>
      <c r="V111" s="111">
        <f t="shared" si="5"/>
        <v>11031.770700000003</v>
      </c>
      <c r="W111" s="55">
        <f>VLOOKUP($I111,'Old Pricing - end 26-Jan-2026'!$A:$R,18,FALSE)</f>
        <v>45</v>
      </c>
    </row>
    <row r="112" spans="1:23" ht="15" hidden="1" thickTop="1" x14ac:dyDescent="0.3">
      <c r="A112" s="55">
        <v>24092839</v>
      </c>
      <c r="B112" s="55">
        <v>0</v>
      </c>
      <c r="C112" s="55" t="str">
        <f>VLOOKUP(A112&amp;"-"&amp;B112,'Order Summary'!$D:$E,2,FALSE)</f>
        <v>Balance Payment Received</v>
      </c>
      <c r="D112" s="216">
        <f>IF($A112="","",VLOOKUP($A112&amp;"-"&amp;$B112,'Order Summary'!$D:$U,3,FALSE))</f>
        <v>45970</v>
      </c>
      <c r="E112" s="55" t="str">
        <f>VLOOKUP(A112&amp;"-"&amp;B112,'Order Summary'!$D:$G,4,FALSE)</f>
        <v>Yes</v>
      </c>
      <c r="F112" s="55" t="str">
        <f>VLOOKUP($A112,'Order Summary'!$B:$I,8,FALSE)</f>
        <v>Granger, IN</v>
      </c>
      <c r="G112" s="216">
        <f>IF($A112="","",VLOOKUP($A112&amp;"-"&amp;$B112,'Order Summary'!$D:$U,18,FALSE))</f>
        <v>0</v>
      </c>
      <c r="H112" s="55">
        <v>1</v>
      </c>
      <c r="I112" s="55">
        <v>694432</v>
      </c>
      <c r="J112" s="55" t="str">
        <f>VLOOKUP($I112,'Old Pricing - end 26-Jan-2026'!$A:$R,2,FALSE)</f>
        <v>G1S 694432</v>
      </c>
      <c r="K112" s="55" t="str">
        <f>VLOOKUP($I112,'Old Pricing - end 26-Jan-2026'!$A:$R,6,FALSE)&amp;" "&amp;VLOOKUP($I112,'Old Pricing - end 26-Jan-2026'!$A:$R,7,FALSE)&amp;""" x "&amp;VLOOKUP($I112,'Old Pricing - end 26-Jan-2026'!$A:$R,9,FALSE)&amp;""" "&amp;VLOOKUP($I112,'Old Pricing - end 26-Jan-2026'!$A:$R,5,FALSE)</f>
        <v>2MM 49" x 96" ACP</v>
      </c>
      <c r="L112" s="55">
        <f>VLOOKUP($I112,'Old Pricing - end 26-Jan-2026'!$A:$K,8,FALSE)</f>
        <v>1245</v>
      </c>
      <c r="M112" s="55">
        <f>VLOOKUP($I112,'Old Pricing - end 26-Jan-2026'!$A:$K,10,FALSE)</f>
        <v>2440</v>
      </c>
      <c r="N112" s="55" t="str">
        <f>VLOOKUP($I112,'Old Pricing - end 26-Jan-2026'!$A:$R,13,FALSE)&amp;" "&amp;VLOOKUP($I112,'Old Pricing - end 26-Jan-2026'!$A:$R,12,FALSE)</f>
        <v>ASC 0096 GLOSSY BLACK</v>
      </c>
      <c r="O112" s="56">
        <v>26.132999999999999</v>
      </c>
      <c r="P112" s="55">
        <f>(VLOOKUP($I112,'Old Pricing - end 26-Jan-2026'!$A:$R,8,FALSE)/1000)*(VLOOKUP($I112,'Old Pricing - end 26-Jan-2026'!$A:$R,10,FALSE)/1000)*Q112</f>
        <v>2430.2400000000002</v>
      </c>
      <c r="Q112" s="55">
        <f>ROUND(('Order Details'!$O112*1000)/((VLOOKUP($I112,'Old Pricing - end 26-Jan-2026'!$A:$Q,7,FALSE)/12)*(VLOOKUP($I112,'Old Pricing - end 26-Jan-2026'!$A:$Q,9,FALSE)/12))/5,0)*5</f>
        <v>800</v>
      </c>
      <c r="R112" s="71">
        <f>$Q112/IFERROR(VLOOKUP($F112&amp;RIGHT($K112,8),'Master Data'!$O$5:$P$10,2,FALSE),'Master Data'!$P$4)</f>
        <v>4</v>
      </c>
      <c r="S112" s="123">
        <f>VLOOKUP($I112,'Old Pricing - end 26-Jan-2026'!$A:$Q,16,FALSE)</f>
        <v>700</v>
      </c>
      <c r="T112" s="123">
        <f>VLOOKUP(I112,'Old Pricing - end 26-Jan-2026'!$A:$O,15,FALSE)</f>
        <v>7.53</v>
      </c>
      <c r="U112" s="123">
        <f t="shared" si="9"/>
        <v>18293.099999999999</v>
      </c>
      <c r="V112" s="111">
        <f t="shared" si="5"/>
        <v>18299.707200000001</v>
      </c>
      <c r="W112" s="55">
        <f>VLOOKUP($I112,'Old Pricing - end 26-Jan-2026'!$A:$R,18,FALSE)</f>
        <v>45</v>
      </c>
    </row>
    <row r="113" spans="1:24" ht="15" hidden="1" thickTop="1" x14ac:dyDescent="0.3">
      <c r="A113" s="55">
        <v>24092839</v>
      </c>
      <c r="B113" s="55">
        <v>0</v>
      </c>
      <c r="C113" s="55" t="str">
        <f>VLOOKUP(A113&amp;"-"&amp;B113,'Order Summary'!$D:$E,2,FALSE)</f>
        <v>Balance Payment Received</v>
      </c>
      <c r="D113" s="216">
        <f>IF($A113="","",VLOOKUP($A113&amp;"-"&amp;$B113,'Order Summary'!$D:$U,3,FALSE))</f>
        <v>45970</v>
      </c>
      <c r="E113" s="55" t="str">
        <f>VLOOKUP(A113&amp;"-"&amp;B113,'Order Summary'!$D:$G,4,FALSE)</f>
        <v>Yes</v>
      </c>
      <c r="F113" s="55" t="str">
        <f>VLOOKUP($A113,'Order Summary'!$B:$I,8,FALSE)</f>
        <v>Granger, IN</v>
      </c>
      <c r="G113" s="216">
        <f>IF($A113="","",VLOOKUP($A113&amp;"-"&amp;$B113,'Order Summary'!$D:$U,18,FALSE))</f>
        <v>0</v>
      </c>
      <c r="H113" s="55">
        <v>2</v>
      </c>
      <c r="I113" s="55">
        <v>694436</v>
      </c>
      <c r="J113" s="55" t="str">
        <f>VLOOKUP($I113,'Old Pricing - end 26-Jan-2026'!$A:$R,2,FALSE)</f>
        <v>G1S 694436</v>
      </c>
      <c r="K113" s="55" t="str">
        <f>VLOOKUP($I113,'Old Pricing - end 26-Jan-2026'!$A:$R,6,FALSE)&amp;" "&amp;VLOOKUP($I113,'Old Pricing - end 26-Jan-2026'!$A:$R,7,FALSE)&amp;""" x "&amp;VLOOKUP($I113,'Old Pricing - end 26-Jan-2026'!$A:$R,9,FALSE)&amp;""" "&amp;VLOOKUP($I113,'Old Pricing - end 26-Jan-2026'!$A:$R,5,FALSE)</f>
        <v>2MM 49" x 96" ACP</v>
      </c>
      <c r="L113" s="55">
        <f>VLOOKUP($I113,'Old Pricing - end 26-Jan-2026'!$A:$K,8,FALSE)</f>
        <v>1245</v>
      </c>
      <c r="M113" s="55">
        <f>VLOOKUP($I113,'Old Pricing - end 26-Jan-2026'!$A:$K,10,FALSE)</f>
        <v>2440</v>
      </c>
      <c r="N113" s="55" t="str">
        <f>VLOOKUP($I113,'Old Pricing - end 26-Jan-2026'!$A:$R,13,FALSE)&amp;" "&amp;VLOOKUP($I113,'Old Pricing - end 26-Jan-2026'!$A:$R,12,FALSE)</f>
        <v>ASC 0069 GLOSSY WHITE</v>
      </c>
      <c r="O113" s="56">
        <v>39.200000000000003</v>
      </c>
      <c r="P113" s="55">
        <f>(VLOOKUP($I113,'Old Pricing - end 26-Jan-2026'!$A:$R,8,FALSE)/1000)*(VLOOKUP($I113,'Old Pricing - end 26-Jan-2026'!$A:$R,10,FALSE)/1000)*Q113</f>
        <v>3645.36</v>
      </c>
      <c r="Q113" s="55">
        <f>ROUND(('Order Details'!$O113*1000)/((VLOOKUP($I113,'Old Pricing - end 26-Jan-2026'!$A:$Q,7,FALSE)/12)*(VLOOKUP($I113,'Old Pricing - end 26-Jan-2026'!$A:$Q,9,FALSE)/12))/5,0)*5</f>
        <v>1200</v>
      </c>
      <c r="R113" s="71">
        <f>$Q113/IFERROR(VLOOKUP($F113&amp;RIGHT($K113,8),'Master Data'!$O$5:$P$10,2,FALSE),'Master Data'!$P$4)</f>
        <v>6</v>
      </c>
      <c r="S113" s="123">
        <f>VLOOKUP($I113,'Old Pricing - end 26-Jan-2026'!$A:$Q,16,FALSE)</f>
        <v>700</v>
      </c>
      <c r="T113" s="123">
        <f>VLOOKUP(I113,'Old Pricing - end 26-Jan-2026'!$A:$O,15,FALSE)</f>
        <v>7.53</v>
      </c>
      <c r="U113" s="123">
        <f t="shared" si="9"/>
        <v>27440.000000000004</v>
      </c>
      <c r="V113" s="111">
        <f t="shared" si="5"/>
        <v>27449.560800000003</v>
      </c>
      <c r="W113" s="55">
        <f>VLOOKUP($I113,'Old Pricing - end 26-Jan-2026'!$A:$R,18,FALSE)</f>
        <v>45</v>
      </c>
    </row>
    <row r="114" spans="1:24" ht="15" hidden="1" thickTop="1" x14ac:dyDescent="0.3">
      <c r="A114" s="55">
        <v>24092839</v>
      </c>
      <c r="B114" s="55">
        <v>0</v>
      </c>
      <c r="C114" s="55" t="str">
        <f>VLOOKUP(A114&amp;"-"&amp;B114,'Order Summary'!$D:$E,2,FALSE)</f>
        <v>Balance Payment Received</v>
      </c>
      <c r="D114" s="216">
        <f>IF($A114="","",VLOOKUP($A114&amp;"-"&amp;$B114,'Order Summary'!$D:$U,3,FALSE))</f>
        <v>45970</v>
      </c>
      <c r="E114" s="55" t="str">
        <f>VLOOKUP(A114&amp;"-"&amp;B114,'Order Summary'!$D:$G,4,FALSE)</f>
        <v>Yes</v>
      </c>
      <c r="F114" s="55" t="str">
        <f>VLOOKUP($A114,'Order Summary'!$B:$I,8,FALSE)</f>
        <v>Granger, IN</v>
      </c>
      <c r="G114" s="216">
        <f>IF($A114="","",VLOOKUP($A114&amp;"-"&amp;$B114,'Order Summary'!$D:$U,18,FALSE))</f>
        <v>0</v>
      </c>
      <c r="H114" s="55">
        <v>3</v>
      </c>
      <c r="I114" s="55">
        <v>694440</v>
      </c>
      <c r="J114" s="55" t="str">
        <f>VLOOKUP($I114,'Old Pricing - end 26-Jan-2026'!$A:$R,2,FALSE)</f>
        <v>G1S 694440</v>
      </c>
      <c r="K114" s="55" t="str">
        <f>VLOOKUP($I114,'Old Pricing - end 26-Jan-2026'!$A:$R,6,FALSE)&amp;" "&amp;VLOOKUP($I114,'Old Pricing - end 26-Jan-2026'!$A:$R,7,FALSE)&amp;""" x "&amp;VLOOKUP($I114,'Old Pricing - end 26-Jan-2026'!$A:$R,9,FALSE)&amp;""" "&amp;VLOOKUP($I114,'Old Pricing - end 26-Jan-2026'!$A:$R,5,FALSE)</f>
        <v>2MM 49" x 96" ACP</v>
      </c>
      <c r="L114" s="55">
        <f>VLOOKUP($I114,'Old Pricing - end 26-Jan-2026'!$A:$K,8,FALSE)</f>
        <v>1245</v>
      </c>
      <c r="M114" s="55">
        <f>VLOOKUP($I114,'Old Pricing - end 26-Jan-2026'!$A:$K,10,FALSE)</f>
        <v>2440</v>
      </c>
      <c r="N114" s="55" t="str">
        <f>VLOOKUP($I114,'Old Pricing - end 26-Jan-2026'!$A:$R,13,FALSE)&amp;" "&amp;VLOOKUP($I114,'Old Pricing - end 26-Jan-2026'!$A:$R,12,FALSE)</f>
        <v>AMC 0103 SILVER FROST</v>
      </c>
      <c r="O114" s="56">
        <v>13.067</v>
      </c>
      <c r="P114" s="55">
        <f>(VLOOKUP($I114,'Old Pricing - end 26-Jan-2026'!$A:$R,8,FALSE)/1000)*(VLOOKUP($I114,'Old Pricing - end 26-Jan-2026'!$A:$R,10,FALSE)/1000)*Q114</f>
        <v>1215.1200000000001</v>
      </c>
      <c r="Q114" s="55">
        <f>ROUND(('Order Details'!$O114*1000)/((VLOOKUP($I114,'Old Pricing - end 26-Jan-2026'!$A:$Q,7,FALSE)/12)*(VLOOKUP($I114,'Old Pricing - end 26-Jan-2026'!$A:$Q,9,FALSE)/12))/5,0)*5</f>
        <v>400</v>
      </c>
      <c r="R114" s="71">
        <f>$Q114/IFERROR(VLOOKUP($F114&amp;RIGHT($K114,8),'Master Data'!$O$5:$P$10,2,FALSE),'Master Data'!$P$4)</f>
        <v>2</v>
      </c>
      <c r="S114" s="123">
        <f>VLOOKUP($I114,'Old Pricing - end 26-Jan-2026'!$A:$Q,16,FALSE)</f>
        <v>700</v>
      </c>
      <c r="T114" s="123">
        <f>VLOOKUP(I114,'Old Pricing - end 26-Jan-2026'!$A:$O,15,FALSE)</f>
        <v>7.53</v>
      </c>
      <c r="U114" s="123">
        <f t="shared" si="9"/>
        <v>9146.9</v>
      </c>
      <c r="V114" s="111">
        <f t="shared" si="5"/>
        <v>9149.8536000000004</v>
      </c>
      <c r="W114" s="55">
        <f>VLOOKUP($I114,'Old Pricing - end 26-Jan-2026'!$A:$R,18,FALSE)</f>
        <v>90</v>
      </c>
    </row>
    <row r="115" spans="1:24" ht="15" hidden="1" thickTop="1" x14ac:dyDescent="0.3">
      <c r="A115" s="55">
        <v>24092839</v>
      </c>
      <c r="B115" s="55">
        <v>0</v>
      </c>
      <c r="C115" s="55" t="str">
        <f>VLOOKUP(A115&amp;"-"&amp;B115,'Order Summary'!$D:$E,2,FALSE)</f>
        <v>Balance Payment Received</v>
      </c>
      <c r="D115" s="216">
        <f>IF($A115="","",VLOOKUP($A115&amp;"-"&amp;$B115,'Order Summary'!$D:$U,3,FALSE))</f>
        <v>45970</v>
      </c>
      <c r="E115" s="55" t="str">
        <f>VLOOKUP(A115&amp;"-"&amp;B115,'Order Summary'!$D:$G,4,FALSE)</f>
        <v>Yes</v>
      </c>
      <c r="F115" s="55" t="str">
        <f>VLOOKUP($A115,'Order Summary'!$B:$I,8,FALSE)</f>
        <v>Granger, IN</v>
      </c>
      <c r="G115" s="216">
        <f>IF($A115="","",VLOOKUP($A115&amp;"-"&amp;$B115,'Order Summary'!$D:$U,18,FALSE))</f>
        <v>0</v>
      </c>
      <c r="H115" s="55">
        <v>4</v>
      </c>
      <c r="I115" s="55">
        <v>694444</v>
      </c>
      <c r="J115" s="55" t="str">
        <f>VLOOKUP($I115,'Old Pricing - end 26-Jan-2026'!$A:$R,2,FALSE)</f>
        <v>G1S 694444</v>
      </c>
      <c r="K115" s="55" t="str">
        <f>VLOOKUP($I115,'Old Pricing - end 26-Jan-2026'!$A:$R,6,FALSE)&amp;" "&amp;VLOOKUP($I115,'Old Pricing - end 26-Jan-2026'!$A:$R,7,FALSE)&amp;""" x "&amp;VLOOKUP($I115,'Old Pricing - end 26-Jan-2026'!$A:$R,9,FALSE)&amp;""" "&amp;VLOOKUP($I115,'Old Pricing - end 26-Jan-2026'!$A:$R,5,FALSE)</f>
        <v>2MM 49" x 96" ACP</v>
      </c>
      <c r="L115" s="55">
        <f>VLOOKUP($I115,'Old Pricing - end 26-Jan-2026'!$A:$K,8,FALSE)</f>
        <v>1245</v>
      </c>
      <c r="M115" s="55">
        <f>VLOOKUP($I115,'Old Pricing - end 26-Jan-2026'!$A:$K,10,FALSE)</f>
        <v>2440</v>
      </c>
      <c r="N115" s="55" t="str">
        <f>VLOOKUP($I115,'Old Pricing - end 26-Jan-2026'!$A:$R,13,FALSE)&amp;" "&amp;VLOOKUP($I115,'Old Pricing - end 26-Jan-2026'!$A:$R,12,FALSE)</f>
        <v>AMC 0086 CHARCOAL METALLIC</v>
      </c>
      <c r="O115" s="56">
        <v>13.067</v>
      </c>
      <c r="P115" s="55">
        <f>(VLOOKUP($I115,'Old Pricing - end 26-Jan-2026'!$A:$R,8,FALSE)/1000)*(VLOOKUP($I115,'Old Pricing - end 26-Jan-2026'!$A:$R,10,FALSE)/1000)*Q115</f>
        <v>1215.1200000000001</v>
      </c>
      <c r="Q115" s="55">
        <f>ROUND(('Order Details'!$O115*1000)/((VLOOKUP($I115,'Old Pricing - end 26-Jan-2026'!$A:$Q,7,FALSE)/12)*(VLOOKUP($I115,'Old Pricing - end 26-Jan-2026'!$A:$Q,9,FALSE)/12))/5,0)*5</f>
        <v>400</v>
      </c>
      <c r="R115" s="71">
        <f>$Q115/IFERROR(VLOOKUP($F115&amp;RIGHT($K115,8),'Master Data'!$O$5:$P$10,2,FALSE),'Master Data'!$P$4)</f>
        <v>2</v>
      </c>
      <c r="S115" s="123">
        <f>VLOOKUP($I115,'Old Pricing - end 26-Jan-2026'!$A:$Q,16,FALSE)</f>
        <v>750</v>
      </c>
      <c r="T115" s="123">
        <f>VLOOKUP(I115,'Old Pricing - end 26-Jan-2026'!$A:$O,15,FALSE)</f>
        <v>8.07</v>
      </c>
      <c r="U115" s="123">
        <f t="shared" si="9"/>
        <v>9800.25</v>
      </c>
      <c r="V115" s="111">
        <f t="shared" si="5"/>
        <v>9806.0184000000008</v>
      </c>
      <c r="W115" s="55">
        <f>VLOOKUP($I115,'Old Pricing - end 26-Jan-2026'!$A:$R,18,FALSE)</f>
        <v>45</v>
      </c>
    </row>
    <row r="116" spans="1:24" ht="15" hidden="1" thickTop="1" x14ac:dyDescent="0.3">
      <c r="A116">
        <v>24092848</v>
      </c>
      <c r="B116" s="55">
        <v>0</v>
      </c>
      <c r="C116" s="55" t="str">
        <f>VLOOKUP(A116&amp;"-"&amp;B116,'Order Summary'!$D:$E,2,FALSE)</f>
        <v>Telex / Seaway Released</v>
      </c>
      <c r="D116" s="216">
        <f>IF($A116="","",VLOOKUP($A116&amp;"-"&amp;$B116,'Order Summary'!$D:$U,3,FALSE))</f>
        <v>45970</v>
      </c>
      <c r="E116" s="55" t="str">
        <f>VLOOKUP(A116&amp;"-"&amp;B116,'Order Summary'!$D:$G,4,FALSE)</f>
        <v>Yes</v>
      </c>
      <c r="F116" s="55" t="str">
        <f>VLOOKUP($A116,'Order Summary'!$B:$I,8,FALSE)</f>
        <v>Granger, IN</v>
      </c>
      <c r="G116" s="216">
        <f>IF($A116="","",VLOOKUP($A116&amp;"-"&amp;$B116,'Order Summary'!$D:$U,18,FALSE))</f>
        <v>46134</v>
      </c>
      <c r="H116" s="55">
        <v>1</v>
      </c>
      <c r="I116" s="55">
        <v>694432</v>
      </c>
      <c r="J116" s="55" t="str">
        <f>VLOOKUP($I116,'Old Pricing - end 26-Jan-2026'!$A:$R,2,FALSE)</f>
        <v>G1S 694432</v>
      </c>
      <c r="K116" s="55" t="str">
        <f>VLOOKUP($I116,'Old Pricing - end 26-Jan-2026'!$A:$R,6,FALSE)&amp;" "&amp;VLOOKUP($I116,'Old Pricing - end 26-Jan-2026'!$A:$R,7,FALSE)&amp;""" x "&amp;VLOOKUP($I116,'Old Pricing - end 26-Jan-2026'!$A:$R,9,FALSE)&amp;""" "&amp;VLOOKUP($I116,'Old Pricing - end 26-Jan-2026'!$A:$R,5,FALSE)</f>
        <v>2MM 49" x 96" ACP</v>
      </c>
      <c r="L116" s="55">
        <f>VLOOKUP($I116,'Old Pricing - end 26-Jan-2026'!$A:$K,8,FALSE)</f>
        <v>1245</v>
      </c>
      <c r="M116" s="55">
        <f>VLOOKUP($I116,'Old Pricing - end 26-Jan-2026'!$A:$K,10,FALSE)</f>
        <v>2440</v>
      </c>
      <c r="N116" s="55" t="str">
        <f>VLOOKUP($I116,'Old Pricing - end 26-Jan-2026'!$A:$R,13,FALSE)&amp;" "&amp;VLOOKUP($I116,'Old Pricing - end 26-Jan-2026'!$A:$R,12,FALSE)</f>
        <v>ASC 0096 GLOSSY BLACK</v>
      </c>
      <c r="O116" s="56">
        <v>13.067</v>
      </c>
      <c r="P116" s="55">
        <f>(VLOOKUP($I116,'Old Pricing - end 26-Jan-2026'!$A:$R,8,FALSE)/1000)*(VLOOKUP($I116,'Old Pricing - end 26-Jan-2026'!$A:$R,10,FALSE)/1000)*Q116</f>
        <v>1215.1200000000001</v>
      </c>
      <c r="Q116" s="55">
        <f>ROUND(('Order Details'!$O116*1000)/((VLOOKUP($I116,'Old Pricing - end 26-Jan-2026'!$A:$Q,7,FALSE)/12)*(VLOOKUP($I116,'Old Pricing - end 26-Jan-2026'!$A:$Q,9,FALSE)/12))/5,0)*5</f>
        <v>400</v>
      </c>
      <c r="R116" s="71">
        <f>$Q116/IFERROR(VLOOKUP($F116&amp;RIGHT($K116,8),'Master Data'!$O$5:$P$10,2,FALSE),'Master Data'!$P$4)</f>
        <v>2</v>
      </c>
      <c r="S116" s="123">
        <f>VLOOKUP($I116,'Old Pricing - end 26-Jan-2026'!$A:$Q,16,FALSE)</f>
        <v>700</v>
      </c>
      <c r="T116" s="123">
        <f>VLOOKUP(I116,'Old Pricing - end 26-Jan-2026'!$A:$O,15,FALSE)</f>
        <v>7.53</v>
      </c>
      <c r="U116" s="123">
        <f t="shared" si="9"/>
        <v>9146.9</v>
      </c>
      <c r="V116" s="111">
        <f t="shared" si="5"/>
        <v>9149.8536000000004</v>
      </c>
      <c r="W116" s="55">
        <f>VLOOKUP($I116,'Old Pricing - end 26-Jan-2026'!$A:$R,18,FALSE)</f>
        <v>45</v>
      </c>
    </row>
    <row r="117" spans="1:24" ht="15" hidden="1" thickTop="1" x14ac:dyDescent="0.3">
      <c r="A117" s="55">
        <v>24092848</v>
      </c>
      <c r="B117" s="55">
        <v>0</v>
      </c>
      <c r="C117" s="55" t="str">
        <f>VLOOKUP(A117&amp;"-"&amp;B117,'Order Summary'!$D:$E,2,FALSE)</f>
        <v>Telex / Seaway Released</v>
      </c>
      <c r="D117" s="216">
        <f>IF($A117="","",VLOOKUP($A117&amp;"-"&amp;$B117,'Order Summary'!$D:$U,3,FALSE))</f>
        <v>45970</v>
      </c>
      <c r="E117" s="55" t="str">
        <f>VLOOKUP(A117&amp;"-"&amp;B117,'Order Summary'!$D:$G,4,FALSE)</f>
        <v>Yes</v>
      </c>
      <c r="F117" s="55" t="str">
        <f>VLOOKUP($A117,'Order Summary'!$B:$I,8,FALSE)</f>
        <v>Granger, IN</v>
      </c>
      <c r="G117" s="216">
        <f>IF($A117="","",VLOOKUP($A117&amp;"-"&amp;$B117,'Order Summary'!$D:$U,18,FALSE))</f>
        <v>46134</v>
      </c>
      <c r="H117" s="55">
        <v>2</v>
      </c>
      <c r="I117" s="55">
        <v>694436</v>
      </c>
      <c r="J117" s="55" t="str">
        <f>VLOOKUP($I117,'Old Pricing - end 26-Jan-2026'!$A:$R,2,FALSE)</f>
        <v>G1S 694436</v>
      </c>
      <c r="K117" s="55" t="str">
        <f>VLOOKUP($I117,'Old Pricing - end 26-Jan-2026'!$A:$R,6,FALSE)&amp;" "&amp;VLOOKUP($I117,'Old Pricing - end 26-Jan-2026'!$A:$R,7,FALSE)&amp;""" x "&amp;VLOOKUP($I117,'Old Pricing - end 26-Jan-2026'!$A:$R,9,FALSE)&amp;""" "&amp;VLOOKUP($I117,'Old Pricing - end 26-Jan-2026'!$A:$R,5,FALSE)</f>
        <v>2MM 49" x 96" ACP</v>
      </c>
      <c r="L117" s="55">
        <f>VLOOKUP($I117,'Old Pricing - end 26-Jan-2026'!$A:$K,8,FALSE)</f>
        <v>1245</v>
      </c>
      <c r="M117" s="55">
        <f>VLOOKUP($I117,'Old Pricing - end 26-Jan-2026'!$A:$K,10,FALSE)</f>
        <v>2440</v>
      </c>
      <c r="N117" s="55" t="str">
        <f>VLOOKUP($I117,'Old Pricing - end 26-Jan-2026'!$A:$R,13,FALSE)&amp;" "&amp;VLOOKUP($I117,'Old Pricing - end 26-Jan-2026'!$A:$R,12,FALSE)</f>
        <v>ASC 0069 GLOSSY WHITE</v>
      </c>
      <c r="O117" s="56">
        <v>13.067</v>
      </c>
      <c r="P117" s="55">
        <f>(VLOOKUP($I117,'Old Pricing - end 26-Jan-2026'!$A:$R,8,FALSE)/1000)*(VLOOKUP($I117,'Old Pricing - end 26-Jan-2026'!$A:$R,10,FALSE)/1000)*Q117</f>
        <v>1215.1200000000001</v>
      </c>
      <c r="Q117" s="55">
        <f>ROUND(('Order Details'!$O117*1000)/((VLOOKUP($I117,'Old Pricing - end 26-Jan-2026'!$A:$Q,7,FALSE)/12)*(VLOOKUP($I117,'Old Pricing - end 26-Jan-2026'!$A:$Q,9,FALSE)/12))/5,0)*5</f>
        <v>400</v>
      </c>
      <c r="R117" s="71">
        <f>$Q117/IFERROR(VLOOKUP($F117&amp;RIGHT($K117,8),'Master Data'!$O$5:$P$10,2,FALSE),'Master Data'!$P$4)</f>
        <v>2</v>
      </c>
      <c r="S117" s="123">
        <f>VLOOKUP($I117,'Old Pricing - end 26-Jan-2026'!$A:$Q,16,FALSE)</f>
        <v>700</v>
      </c>
      <c r="T117" s="123">
        <f>VLOOKUP(I117,'Old Pricing - end 26-Jan-2026'!$A:$O,15,FALSE)</f>
        <v>7.53</v>
      </c>
      <c r="U117" s="123">
        <f t="shared" si="9"/>
        <v>9146.9</v>
      </c>
      <c r="V117" s="111">
        <f t="shared" si="5"/>
        <v>9149.8536000000004</v>
      </c>
      <c r="W117" s="55">
        <f>VLOOKUP($I117,'Old Pricing - end 26-Jan-2026'!$A:$R,18,FALSE)</f>
        <v>45</v>
      </c>
    </row>
    <row r="118" spans="1:24" ht="15" hidden="1" thickTop="1" x14ac:dyDescent="0.3">
      <c r="A118" s="55">
        <v>24092848</v>
      </c>
      <c r="B118" s="55">
        <v>0</v>
      </c>
      <c r="C118" s="55" t="str">
        <f>VLOOKUP(A118&amp;"-"&amp;B118,'Order Summary'!$D:$E,2,FALSE)</f>
        <v>Telex / Seaway Released</v>
      </c>
      <c r="D118" s="216">
        <f>IF($A118="","",VLOOKUP($A118&amp;"-"&amp;$B118,'Order Summary'!$D:$U,3,FALSE))</f>
        <v>45970</v>
      </c>
      <c r="E118" s="55" t="str">
        <f>VLOOKUP(A118&amp;"-"&amp;B118,'Order Summary'!$D:$G,4,FALSE)</f>
        <v>Yes</v>
      </c>
      <c r="F118" s="55" t="str">
        <f>VLOOKUP($A118,'Order Summary'!$B:$I,8,FALSE)</f>
        <v>Granger, IN</v>
      </c>
      <c r="G118" s="216">
        <f>IF($A118="","",VLOOKUP($A118&amp;"-"&amp;$B118,'Order Summary'!$D:$U,18,FALSE))</f>
        <v>46134</v>
      </c>
      <c r="H118" s="55">
        <v>3</v>
      </c>
      <c r="I118" s="55">
        <v>694440</v>
      </c>
      <c r="J118" s="55" t="str">
        <f>VLOOKUP($I118,'Old Pricing - end 26-Jan-2026'!$A:$R,2,FALSE)</f>
        <v>G1S 694440</v>
      </c>
      <c r="K118" s="55" t="str">
        <f>VLOOKUP($I118,'Old Pricing - end 26-Jan-2026'!$A:$R,6,FALSE)&amp;" "&amp;VLOOKUP($I118,'Old Pricing - end 26-Jan-2026'!$A:$R,7,FALSE)&amp;""" x "&amp;VLOOKUP($I118,'Old Pricing - end 26-Jan-2026'!$A:$R,9,FALSE)&amp;""" "&amp;VLOOKUP($I118,'Old Pricing - end 26-Jan-2026'!$A:$R,5,FALSE)</f>
        <v>2MM 49" x 96" ACP</v>
      </c>
      <c r="L118" s="55">
        <f>VLOOKUP($I118,'Old Pricing - end 26-Jan-2026'!$A:$K,8,FALSE)</f>
        <v>1245</v>
      </c>
      <c r="M118" s="55">
        <f>VLOOKUP($I118,'Old Pricing - end 26-Jan-2026'!$A:$K,10,FALSE)</f>
        <v>2440</v>
      </c>
      <c r="N118" s="55" t="str">
        <f>VLOOKUP($I118,'Old Pricing - end 26-Jan-2026'!$A:$R,13,FALSE)&amp;" "&amp;VLOOKUP($I118,'Old Pricing - end 26-Jan-2026'!$A:$R,12,FALSE)</f>
        <v>AMC 0103 SILVER FROST</v>
      </c>
      <c r="O118" s="56">
        <v>19.600000000000001</v>
      </c>
      <c r="P118" s="55">
        <f>(VLOOKUP($I118,'Old Pricing - end 26-Jan-2026'!$A:$R,8,FALSE)/1000)*(VLOOKUP($I118,'Old Pricing - end 26-Jan-2026'!$A:$R,10,FALSE)/1000)*Q118</f>
        <v>1822.68</v>
      </c>
      <c r="Q118" s="55">
        <f>ROUND(('Order Details'!$O118*1000)/((VLOOKUP($I118,'Old Pricing - end 26-Jan-2026'!$A:$Q,7,FALSE)/12)*(VLOOKUP($I118,'Old Pricing - end 26-Jan-2026'!$A:$Q,9,FALSE)/12))/5,0)*5</f>
        <v>600</v>
      </c>
      <c r="R118" s="71">
        <f>$Q118/IFERROR(VLOOKUP($F118&amp;RIGHT($K118,8),'Master Data'!$O$5:$P$10,2,FALSE),'Master Data'!$P$4)</f>
        <v>3</v>
      </c>
      <c r="S118" s="123">
        <f>VLOOKUP($I118,'Old Pricing - end 26-Jan-2026'!$A:$Q,16,FALSE)</f>
        <v>700</v>
      </c>
      <c r="T118" s="123">
        <f>VLOOKUP(I118,'Old Pricing - end 26-Jan-2026'!$A:$O,15,FALSE)</f>
        <v>7.53</v>
      </c>
      <c r="U118" s="123">
        <f t="shared" si="9"/>
        <v>13720.000000000002</v>
      </c>
      <c r="V118" s="111">
        <f t="shared" si="5"/>
        <v>13724.780400000001</v>
      </c>
      <c r="W118" s="55">
        <f>VLOOKUP($I118,'Old Pricing - end 26-Jan-2026'!$A:$R,18,FALSE)</f>
        <v>90</v>
      </c>
    </row>
    <row r="119" spans="1:24" ht="15" hidden="1" thickTop="1" x14ac:dyDescent="0.3">
      <c r="A119" s="55">
        <v>24092848</v>
      </c>
      <c r="B119" s="55">
        <v>0</v>
      </c>
      <c r="C119" s="55" t="str">
        <f>VLOOKUP(A119&amp;"-"&amp;B119,'Order Summary'!$D:$E,2,FALSE)</f>
        <v>Telex / Seaway Released</v>
      </c>
      <c r="D119" s="216">
        <f>IF($A119="","",VLOOKUP($A119&amp;"-"&amp;$B119,'Order Summary'!$D:$U,3,FALSE))</f>
        <v>45970</v>
      </c>
      <c r="E119" s="55" t="str">
        <f>VLOOKUP(A119&amp;"-"&amp;B119,'Order Summary'!$D:$G,4,FALSE)</f>
        <v>Yes</v>
      </c>
      <c r="F119" s="55" t="str">
        <f>VLOOKUP($A119,'Order Summary'!$B:$I,8,FALSE)</f>
        <v>Granger, IN</v>
      </c>
      <c r="G119" s="216">
        <f>IF($A119="","",VLOOKUP($A119&amp;"-"&amp;$B119,'Order Summary'!$D:$U,18,FALSE))</f>
        <v>46134</v>
      </c>
      <c r="H119" s="55">
        <v>4</v>
      </c>
      <c r="I119" s="55">
        <v>694444</v>
      </c>
      <c r="J119" s="55" t="str">
        <f>VLOOKUP($I119,'Old Pricing - end 26-Jan-2026'!$A:$R,2,FALSE)</f>
        <v>G1S 694444</v>
      </c>
      <c r="K119" s="55" t="str">
        <f>VLOOKUP($I119,'Old Pricing - end 26-Jan-2026'!$A:$R,6,FALSE)&amp;" "&amp;VLOOKUP($I119,'Old Pricing - end 26-Jan-2026'!$A:$R,7,FALSE)&amp;""" x "&amp;VLOOKUP($I119,'Old Pricing - end 26-Jan-2026'!$A:$R,9,FALSE)&amp;""" "&amp;VLOOKUP($I119,'Old Pricing - end 26-Jan-2026'!$A:$R,5,FALSE)</f>
        <v>2MM 49" x 96" ACP</v>
      </c>
      <c r="L119" s="55">
        <f>VLOOKUP($I119,'Old Pricing - end 26-Jan-2026'!$A:$K,8,FALSE)</f>
        <v>1245</v>
      </c>
      <c r="M119" s="55">
        <f>VLOOKUP($I119,'Old Pricing - end 26-Jan-2026'!$A:$K,10,FALSE)</f>
        <v>2440</v>
      </c>
      <c r="N119" s="55" t="str">
        <f>VLOOKUP($I119,'Old Pricing - end 26-Jan-2026'!$A:$R,13,FALSE)&amp;" "&amp;VLOOKUP($I119,'Old Pricing - end 26-Jan-2026'!$A:$R,12,FALSE)</f>
        <v>AMC 0086 CHARCOAL METALLIC</v>
      </c>
      <c r="O119" s="56">
        <v>19.600000000000001</v>
      </c>
      <c r="P119" s="55">
        <f>(VLOOKUP($I119,'Old Pricing - end 26-Jan-2026'!$A:$R,8,FALSE)/1000)*(VLOOKUP($I119,'Old Pricing - end 26-Jan-2026'!$A:$R,10,FALSE)/1000)*Q119</f>
        <v>1822.68</v>
      </c>
      <c r="Q119" s="55">
        <f>ROUND(('Order Details'!$O119*1000)/((VLOOKUP($I119,'Old Pricing - end 26-Jan-2026'!$A:$Q,7,FALSE)/12)*(VLOOKUP($I119,'Old Pricing - end 26-Jan-2026'!$A:$Q,9,FALSE)/12))/5,0)*5</f>
        <v>600</v>
      </c>
      <c r="R119" s="71">
        <f>$Q119/IFERROR(VLOOKUP($F119&amp;RIGHT($K119,8),'Master Data'!$O$5:$P$10,2,FALSE),'Master Data'!$P$4)</f>
        <v>3</v>
      </c>
      <c r="S119" s="123">
        <f>VLOOKUP($I119,'Old Pricing - end 26-Jan-2026'!$A:$Q,16,FALSE)</f>
        <v>750</v>
      </c>
      <c r="T119" s="123">
        <f>VLOOKUP(I119,'Old Pricing - end 26-Jan-2026'!$A:$O,15,FALSE)</f>
        <v>8.07</v>
      </c>
      <c r="U119" s="123">
        <f t="shared" si="9"/>
        <v>14700.000000000002</v>
      </c>
      <c r="V119" s="111">
        <f t="shared" si="5"/>
        <v>14709.027600000001</v>
      </c>
      <c r="W119" s="55">
        <f>VLOOKUP($I119,'Old Pricing - end 26-Jan-2026'!$A:$R,18,FALSE)</f>
        <v>45</v>
      </c>
    </row>
    <row r="120" spans="1:24" ht="15" hidden="1" thickTop="1" x14ac:dyDescent="0.3">
      <c r="A120" s="55">
        <v>24092848</v>
      </c>
      <c r="B120" s="55">
        <v>0</v>
      </c>
      <c r="C120" s="55" t="str">
        <f>VLOOKUP(A120&amp;"-"&amp;B120,'Order Summary'!$D:$E,2,FALSE)</f>
        <v>Telex / Seaway Released</v>
      </c>
      <c r="D120" s="216">
        <f>IF($A120="","",VLOOKUP($A120&amp;"-"&amp;$B120,'Order Summary'!$D:$U,3,FALSE))</f>
        <v>45970</v>
      </c>
      <c r="E120" s="55" t="s">
        <v>197</v>
      </c>
      <c r="F120" s="55" t="str">
        <f>VLOOKUP($A120,'Order Summary'!$B:$I,8,FALSE)</f>
        <v>Granger, IN</v>
      </c>
      <c r="G120" s="216">
        <f>IF($A120="","",VLOOKUP($A120&amp;"-"&amp;$B120,'Order Summary'!$D:$U,18,FALSE))</f>
        <v>46134</v>
      </c>
      <c r="H120" s="55">
        <v>5</v>
      </c>
      <c r="I120" s="55">
        <v>695620</v>
      </c>
      <c r="J120" s="55" t="str">
        <f>VLOOKUP($I120,'Old Pricing - end 26-Jan-2026'!$A:$R,2,FALSE)</f>
        <v>G1S 695620</v>
      </c>
      <c r="K120" s="55" t="str">
        <f>VLOOKUP($I120,'Old Pricing - end 26-Jan-2026'!$A:$R,6,FALSE)&amp;" "&amp;VLOOKUP($I120,'Old Pricing - end 26-Jan-2026'!$A:$R,7,FALSE)&amp;""" x "&amp;VLOOKUP($I120,'Old Pricing - end 26-Jan-2026'!$A:$R,9,FALSE)&amp;""" "&amp;VLOOKUP($I120,'Old Pricing - end 26-Jan-2026'!$A:$R,5,FALSE)</f>
        <v>2MM 49" x 96" ACP</v>
      </c>
      <c r="L120" s="55">
        <f>VLOOKUP($I120,'Old Pricing - end 26-Jan-2026'!$A:$K,8,FALSE)</f>
        <v>1245</v>
      </c>
      <c r="M120" s="55">
        <f>VLOOKUP($I120,'Old Pricing - end 26-Jan-2026'!$A:$K,10,FALSE)</f>
        <v>2440</v>
      </c>
      <c r="N120" s="55" t="str">
        <f>VLOOKUP($I120,'Old Pricing - end 26-Jan-2026'!$A:$R,13,FALSE)&amp;" "&amp;VLOOKUP($I120,'Old Pricing - end 26-Jan-2026'!$A:$R,12,FALSE)</f>
        <v>ASC 0105 INDIGO BLUE</v>
      </c>
      <c r="O120" s="56">
        <v>13.067</v>
      </c>
      <c r="P120" s="55">
        <f>(VLOOKUP($I120,'Old Pricing - end 26-Jan-2026'!$A:$R,8,FALSE)/1000)*(VLOOKUP($I120,'Old Pricing - end 26-Jan-2026'!$A:$R,10,FALSE)/1000)*Q120</f>
        <v>1215.1200000000001</v>
      </c>
      <c r="Q120" s="55">
        <f>ROUND(('Order Details'!$O120*1000)/((VLOOKUP($I120,'Old Pricing - end 26-Jan-2026'!$A:$Q,7,FALSE)/12)*(VLOOKUP($I120,'Old Pricing - end 26-Jan-2026'!$A:$Q,9,FALSE)/12))/5,0)*5</f>
        <v>400</v>
      </c>
      <c r="R120" s="71">
        <f>$Q120/IFERROR(VLOOKUP($F120&amp;RIGHT($K120,8),'Master Data'!$O$5:$P$10,2,FALSE),'Master Data'!$P$4)</f>
        <v>2</v>
      </c>
      <c r="S120" s="123">
        <f>VLOOKUP($I120,'Old Pricing - end 26-Jan-2026'!$A:$Q,16,FALSE)</f>
        <v>750</v>
      </c>
      <c r="T120" s="123">
        <f>VLOOKUP(I120,'Old Pricing - end 26-Jan-2026'!$A:$O,15,FALSE)</f>
        <v>8.07</v>
      </c>
      <c r="U120" s="123">
        <f t="shared" si="9"/>
        <v>9800.25</v>
      </c>
      <c r="V120" s="111">
        <f t="shared" si="5"/>
        <v>9806.0184000000008</v>
      </c>
      <c r="W120" s="55">
        <f>VLOOKUP($I120,'Old Pricing - end 26-Jan-2026'!$A:$R,18,FALSE)</f>
        <v>45</v>
      </c>
      <c r="X120" t="s">
        <v>503</v>
      </c>
    </row>
    <row r="121" spans="1:24" ht="15" hidden="1" thickTop="1" x14ac:dyDescent="0.3">
      <c r="A121" s="55">
        <v>24092848</v>
      </c>
      <c r="B121" s="55">
        <v>0</v>
      </c>
      <c r="C121" s="55" t="str">
        <f>VLOOKUP(A121&amp;"-"&amp;B121,'Order Summary'!$D:$E,2,FALSE)</f>
        <v>Telex / Seaway Released</v>
      </c>
      <c r="D121" s="216">
        <f>IF($A121="","",VLOOKUP($A121&amp;"-"&amp;$B121,'Order Summary'!$D:$U,3,FALSE))</f>
        <v>45970</v>
      </c>
      <c r="E121" s="55" t="s">
        <v>197</v>
      </c>
      <c r="F121" s="55" t="str">
        <f>VLOOKUP($A121,'Order Summary'!$B:$I,8,FALSE)</f>
        <v>Granger, IN</v>
      </c>
      <c r="G121" s="216">
        <f>IF($A121="","",VLOOKUP($A121&amp;"-"&amp;$B121,'Order Summary'!$D:$U,18,FALSE))</f>
        <v>46134</v>
      </c>
      <c r="H121" s="55">
        <v>6</v>
      </c>
      <c r="I121" s="55">
        <v>694672</v>
      </c>
      <c r="J121" s="55" t="str">
        <f>VLOOKUP($I121,'Old Pricing - end 26-Jan-2026'!$A:$R,2,FALSE)</f>
        <v>G1S 694672</v>
      </c>
      <c r="K121" s="55" t="str">
        <f>VLOOKUP($I121,'Old Pricing - end 26-Jan-2026'!$A:$R,6,FALSE)&amp;" "&amp;VLOOKUP($I121,'Old Pricing - end 26-Jan-2026'!$A:$R,7,FALSE)&amp;""" x "&amp;VLOOKUP($I121,'Old Pricing - end 26-Jan-2026'!$A:$R,9,FALSE)&amp;""" "&amp;VLOOKUP($I121,'Old Pricing - end 26-Jan-2026'!$A:$R,5,FALSE)</f>
        <v>2MM 49" x 96" ACP</v>
      </c>
      <c r="L121" s="55">
        <f>VLOOKUP($I121,'Old Pricing - end 26-Jan-2026'!$A:$K,8,FALSE)</f>
        <v>1245</v>
      </c>
      <c r="M121" s="55">
        <f>VLOOKUP($I121,'Old Pricing - end 26-Jan-2026'!$A:$K,10,FALSE)</f>
        <v>2440</v>
      </c>
      <c r="N121" s="55" t="str">
        <f>VLOOKUP($I121,'Old Pricing - end 26-Jan-2026'!$A:$R,13,FALSE)&amp;" "&amp;VLOOKUP($I121,'Old Pricing - end 26-Jan-2026'!$A:$R,12,FALSE)</f>
        <v>ASC 0089 VICTORY RED</v>
      </c>
      <c r="O121" s="56">
        <v>13.067</v>
      </c>
      <c r="P121" s="55">
        <f>(VLOOKUP($I121,'Old Pricing - end 26-Jan-2026'!$A:$R,8,FALSE)/1000)*(VLOOKUP($I121,'Old Pricing - end 26-Jan-2026'!$A:$R,10,FALSE)/1000)*Q121</f>
        <v>1215.1200000000001</v>
      </c>
      <c r="Q121" s="55">
        <f>ROUND(('Order Details'!$O121*1000)/((VLOOKUP($I121,'Old Pricing - end 26-Jan-2026'!$A:$Q,7,FALSE)/12)*(VLOOKUP($I121,'Old Pricing - end 26-Jan-2026'!$A:$Q,9,FALSE)/12))/5,0)*5</f>
        <v>400</v>
      </c>
      <c r="R121" s="71">
        <f>$Q121/IFERROR(VLOOKUP($F121&amp;RIGHT($K121,8),'Master Data'!$O$5:$P$10,2,FALSE),'Master Data'!$P$4)</f>
        <v>2</v>
      </c>
      <c r="S121" s="123">
        <f>VLOOKUP($I121,'Old Pricing - end 26-Jan-2026'!$A:$Q,16,FALSE)</f>
        <v>700</v>
      </c>
      <c r="T121" s="123">
        <f>VLOOKUP(I121,'Old Pricing - end 26-Jan-2026'!$A:$O,15,FALSE)</f>
        <v>7.53</v>
      </c>
      <c r="U121" s="123">
        <f t="shared" si="9"/>
        <v>9146.9</v>
      </c>
      <c r="V121" s="111">
        <f t="shared" si="5"/>
        <v>9149.8536000000004</v>
      </c>
      <c r="W121" s="55">
        <f>VLOOKUP($I121,'Old Pricing - end 26-Jan-2026'!$A:$R,18,FALSE)</f>
        <v>45</v>
      </c>
      <c r="X121" t="s">
        <v>503</v>
      </c>
    </row>
    <row r="122" spans="1:24" ht="15" hidden="1" thickTop="1" x14ac:dyDescent="0.3">
      <c r="A122" s="55">
        <v>52950705</v>
      </c>
      <c r="B122" s="55">
        <v>0</v>
      </c>
      <c r="C122" s="55" t="str">
        <f>VLOOKUP(A122&amp;"-"&amp;B122,'Order Summary'!$D:$E,2,FALSE)</f>
        <v>Telex / Seaway Released</v>
      </c>
      <c r="D122" s="216">
        <f>IF($A122="","",VLOOKUP($A122&amp;"-"&amp;$B122,'Order Summary'!$D:$U,3,FALSE))</f>
        <v>45917</v>
      </c>
      <c r="E122" s="55" t="str">
        <f>VLOOKUP(A122&amp;"-"&amp;B122,'Order Summary'!$D:$G,4,FALSE)</f>
        <v>Yes</v>
      </c>
      <c r="F122" s="55" t="str">
        <f>VLOOKUP($A122,'Order Summary'!$B:$I,8,FALSE)</f>
        <v>Nampa, ID</v>
      </c>
      <c r="G122" s="216">
        <f>IF($A122="","",VLOOKUP($A122&amp;"-"&amp;$B122,'Order Summary'!$D:$U,18,FALSE))</f>
        <v>46037</v>
      </c>
      <c r="H122" s="55">
        <v>1</v>
      </c>
      <c r="I122" s="55">
        <v>694431</v>
      </c>
      <c r="J122" s="55" t="str">
        <f>VLOOKUP($I122,'Old Pricing - end 26-Jan-2026'!$A:$R,2,FALSE)</f>
        <v>G1S 694431</v>
      </c>
      <c r="K122" s="55" t="str">
        <f>VLOOKUP($I122,'Old Pricing - end 26-Jan-2026'!$A:$R,6,FALSE)&amp;" "&amp;VLOOKUP($I122,'Old Pricing - end 26-Jan-2026'!$A:$R,7,FALSE)&amp;""" x "&amp;VLOOKUP($I122,'Old Pricing - end 26-Jan-2026'!$A:$R,9,FALSE)&amp;""" "&amp;VLOOKUP($I122,'Old Pricing - end 26-Jan-2026'!$A:$R,5,FALSE)</f>
        <v>2MM 49" x 90" ACP</v>
      </c>
      <c r="L122" s="55">
        <f>VLOOKUP($I122,'Old Pricing - end 26-Jan-2026'!$A:$K,8,FALSE)</f>
        <v>1245</v>
      </c>
      <c r="M122" s="55">
        <f>VLOOKUP($I122,'Old Pricing - end 26-Jan-2026'!$A:$K,10,FALSE)</f>
        <v>2286</v>
      </c>
      <c r="N122" s="55" t="str">
        <f>VLOOKUP($I122,'Old Pricing - end 26-Jan-2026'!$A:$R,13,FALSE)&amp;" "&amp;VLOOKUP($I122,'Old Pricing - end 26-Jan-2026'!$A:$R,12,FALSE)</f>
        <v>ASC 0096 GLOSSY BLACK</v>
      </c>
      <c r="O122" s="56">
        <v>6.125</v>
      </c>
      <c r="P122" s="55">
        <f>(VLOOKUP($I122,'Old Pricing - end 26-Jan-2026'!$A:$R,8,FALSE)/1000)*(VLOOKUP($I122,'Old Pricing - end 26-Jan-2026'!$A:$R,10,FALSE)/1000)*Q122</f>
        <v>569.21400000000006</v>
      </c>
      <c r="Q122" s="55">
        <f>ROUND(('Order Details'!$O122*1000)/((VLOOKUP($I122,'Old Pricing - end 26-Jan-2026'!$A:$Q,7,FALSE)/12)*(VLOOKUP($I122,'Old Pricing - end 26-Jan-2026'!$A:$Q,9,FALSE)/12))/5,0)*5</f>
        <v>200</v>
      </c>
      <c r="R122" s="71">
        <f>$Q122/IFERROR(VLOOKUP($F122&amp;RIGHT($K122,8),'Master Data'!$O$5:$P$10,2,FALSE),'Master Data'!$P$4)</f>
        <v>1</v>
      </c>
      <c r="S122" s="57">
        <f>VLOOKUP($I122,'Old Pricing - end 26-Jan-2026'!$A:$Q,16,FALSE)</f>
        <v>700</v>
      </c>
      <c r="T122" s="57">
        <f>VLOOKUP(I122,'Old Pricing - end 26-Jan-2026'!$A:$O,15,FALSE)</f>
        <v>7.53</v>
      </c>
      <c r="U122" s="57">
        <f t="shared" si="9"/>
        <v>4287.5</v>
      </c>
      <c r="V122" s="111">
        <f t="shared" si="5"/>
        <v>4286.1814200000008</v>
      </c>
      <c r="W122" s="55">
        <f>VLOOKUP($I122,'Old Pricing - end 26-Jan-2026'!$A:$R,18,FALSE)</f>
        <v>45</v>
      </c>
    </row>
    <row r="123" spans="1:24" ht="15" hidden="1" thickTop="1" x14ac:dyDescent="0.3">
      <c r="A123" s="55">
        <v>52950705</v>
      </c>
      <c r="B123" s="55">
        <v>0</v>
      </c>
      <c r="C123" s="55" t="str">
        <f>VLOOKUP(A123&amp;"-"&amp;B123,'Order Summary'!$D:$E,2,FALSE)</f>
        <v>Telex / Seaway Released</v>
      </c>
      <c r="D123" s="216">
        <f>IF($A123="","",VLOOKUP($A123&amp;"-"&amp;$B123,'Order Summary'!$D:$U,3,FALSE))</f>
        <v>45917</v>
      </c>
      <c r="E123" s="55" t="str">
        <f>VLOOKUP(A123&amp;"-"&amp;B123,'Order Summary'!$D:$G,4,FALSE)</f>
        <v>Yes</v>
      </c>
      <c r="F123" s="55" t="str">
        <f>VLOOKUP($A123,'Order Summary'!$B:$I,8,FALSE)</f>
        <v>Nampa, ID</v>
      </c>
      <c r="G123" s="216">
        <f>IF($A123="","",VLOOKUP($A123&amp;"-"&amp;$B123,'Order Summary'!$D:$U,18,FALSE))</f>
        <v>46037</v>
      </c>
      <c r="H123" s="55">
        <v>2</v>
      </c>
      <c r="I123" s="55">
        <v>694432</v>
      </c>
      <c r="J123" s="55" t="str">
        <f>VLOOKUP($I123,'Old Pricing - end 26-Jan-2026'!$A:$R,2,FALSE)</f>
        <v>G1S 694432</v>
      </c>
      <c r="K123" s="55" t="str">
        <f>VLOOKUP($I123,'Old Pricing - end 26-Jan-2026'!$A:$R,6,FALSE)&amp;" "&amp;VLOOKUP($I123,'Old Pricing - end 26-Jan-2026'!$A:$R,7,FALSE)&amp;""" x "&amp;VLOOKUP($I123,'Old Pricing - end 26-Jan-2026'!$A:$R,9,FALSE)&amp;""" "&amp;VLOOKUP($I123,'Old Pricing - end 26-Jan-2026'!$A:$R,5,FALSE)</f>
        <v>2MM 49" x 96" ACP</v>
      </c>
      <c r="L123" s="55">
        <f>VLOOKUP($I123,'Old Pricing - end 26-Jan-2026'!$A:$K,8,FALSE)</f>
        <v>1245</v>
      </c>
      <c r="M123" s="55">
        <f>VLOOKUP($I123,'Old Pricing - end 26-Jan-2026'!$A:$K,10,FALSE)</f>
        <v>2440</v>
      </c>
      <c r="N123" s="55" t="str">
        <f>VLOOKUP($I123,'Old Pricing - end 26-Jan-2026'!$A:$R,13,FALSE)&amp;" "&amp;VLOOKUP($I123,'Old Pricing - end 26-Jan-2026'!$A:$R,12,FALSE)</f>
        <v>ASC 0096 GLOSSY BLACK</v>
      </c>
      <c r="O123" s="56">
        <v>6.5330000000000004</v>
      </c>
      <c r="P123" s="55">
        <f>(VLOOKUP($I123,'Old Pricing - end 26-Jan-2026'!$A:$R,8,FALSE)/1000)*(VLOOKUP($I123,'Old Pricing - end 26-Jan-2026'!$A:$R,10,FALSE)/1000)*Q123</f>
        <v>607.56000000000006</v>
      </c>
      <c r="Q123" s="55">
        <f>ROUND(('Order Details'!$O123*1000)/((VLOOKUP($I123,'Old Pricing - end 26-Jan-2026'!$A:$Q,7,FALSE)/12)*(VLOOKUP($I123,'Old Pricing - end 26-Jan-2026'!$A:$Q,9,FALSE)/12))/5,0)*5</f>
        <v>200</v>
      </c>
      <c r="R123" s="71">
        <f>$Q123/IFERROR(VLOOKUP($F123&amp;RIGHT($K123,8),'Master Data'!$O$5:$P$10,2,FALSE),'Master Data'!$P$4)</f>
        <v>1</v>
      </c>
      <c r="S123" s="57">
        <f>VLOOKUP($I123,'Old Pricing - end 26-Jan-2026'!$A:$Q,16,FALSE)</f>
        <v>700</v>
      </c>
      <c r="T123" s="57">
        <f>VLOOKUP(I123,'Old Pricing - end 26-Jan-2026'!$A:$O,15,FALSE)</f>
        <v>7.53</v>
      </c>
      <c r="U123" s="57">
        <f t="shared" si="9"/>
        <v>4573.1000000000004</v>
      </c>
      <c r="V123" s="111">
        <f t="shared" si="5"/>
        <v>4574.9268000000002</v>
      </c>
      <c r="W123" s="55">
        <f>VLOOKUP($I123,'Old Pricing - end 26-Jan-2026'!$A:$R,18,FALSE)</f>
        <v>45</v>
      </c>
    </row>
    <row r="124" spans="1:24" ht="15" hidden="1" thickTop="1" x14ac:dyDescent="0.3">
      <c r="A124" s="55">
        <v>52950705</v>
      </c>
      <c r="B124" s="55">
        <v>0</v>
      </c>
      <c r="C124" s="55" t="str">
        <f>VLOOKUP(A124&amp;"-"&amp;B124,'Order Summary'!$D:$E,2,FALSE)</f>
        <v>Telex / Seaway Released</v>
      </c>
      <c r="D124" s="216">
        <f>IF($A124="","",VLOOKUP($A124&amp;"-"&amp;$B124,'Order Summary'!$D:$U,3,FALSE))</f>
        <v>45917</v>
      </c>
      <c r="E124" s="55" t="str">
        <f>VLOOKUP(A124&amp;"-"&amp;B124,'Order Summary'!$D:$G,4,FALSE)</f>
        <v>Yes</v>
      </c>
      <c r="F124" s="55" t="str">
        <f>VLOOKUP($A124,'Order Summary'!$B:$I,8,FALSE)</f>
        <v>Nampa, ID</v>
      </c>
      <c r="G124" s="216">
        <f>IF($A124="","",VLOOKUP($A124&amp;"-"&amp;$B124,'Order Summary'!$D:$U,18,FALSE))</f>
        <v>46037</v>
      </c>
      <c r="H124" s="55">
        <v>3</v>
      </c>
      <c r="I124" s="55">
        <v>694433</v>
      </c>
      <c r="J124" s="55" t="str">
        <f>VLOOKUP($I124,'Old Pricing - end 26-Jan-2026'!$A:$R,2,FALSE)</f>
        <v>G1S 694433</v>
      </c>
      <c r="K124" s="55" t="str">
        <f>VLOOKUP($I124,'Old Pricing - end 26-Jan-2026'!$A:$R,6,FALSE)&amp;" "&amp;VLOOKUP($I124,'Old Pricing - end 26-Jan-2026'!$A:$R,7,FALSE)&amp;""" x "&amp;VLOOKUP($I124,'Old Pricing - end 26-Jan-2026'!$A:$R,9,FALSE)&amp;""" "&amp;VLOOKUP($I124,'Old Pricing - end 26-Jan-2026'!$A:$R,5,FALSE)</f>
        <v>2MM 49" x 108" ACP</v>
      </c>
      <c r="L124" s="55">
        <f>VLOOKUP($I124,'Old Pricing - end 26-Jan-2026'!$A:$K,8,FALSE)</f>
        <v>1245</v>
      </c>
      <c r="M124" s="55">
        <f>VLOOKUP($I124,'Old Pricing - end 26-Jan-2026'!$A:$K,10,FALSE)</f>
        <v>2745</v>
      </c>
      <c r="N124" s="55" t="str">
        <f>VLOOKUP($I124,'Old Pricing - end 26-Jan-2026'!$A:$R,13,FALSE)&amp;" "&amp;VLOOKUP($I124,'Old Pricing - end 26-Jan-2026'!$A:$R,12,FALSE)</f>
        <v>ASC 0096 GLOSSY BLACK</v>
      </c>
      <c r="O124" s="56">
        <v>14.7</v>
      </c>
      <c r="P124" s="55">
        <f>(VLOOKUP($I124,'Old Pricing - end 26-Jan-2026'!$A:$R,8,FALSE)/1000)*(VLOOKUP($I124,'Old Pricing - end 26-Jan-2026'!$A:$R,10,FALSE)/1000)*Q124</f>
        <v>1367.0100000000002</v>
      </c>
      <c r="Q124" s="55">
        <f>ROUND(('Order Details'!$O124*1000)/((VLOOKUP($I124,'Old Pricing - end 26-Jan-2026'!$A:$Q,7,FALSE)/12)*(VLOOKUP($I124,'Old Pricing - end 26-Jan-2026'!$A:$Q,9,FALSE)/12))/5,0)*5</f>
        <v>400</v>
      </c>
      <c r="R124" s="71">
        <f>$Q124/IFERROR(VLOOKUP($F124&amp;RIGHT($K124,8),'Master Data'!$O$5:$P$10,2,FALSE),'Master Data'!$P$4)</f>
        <v>2</v>
      </c>
      <c r="S124" s="57">
        <f>VLOOKUP($I124,'Old Pricing - end 26-Jan-2026'!$A:$Q,16,FALSE)</f>
        <v>700</v>
      </c>
      <c r="T124" s="57">
        <f>VLOOKUP(I124,'Old Pricing - end 26-Jan-2026'!$A:$O,15,FALSE)</f>
        <v>7.53</v>
      </c>
      <c r="U124" s="57">
        <f t="shared" si="9"/>
        <v>10290</v>
      </c>
      <c r="V124" s="111">
        <f t="shared" si="5"/>
        <v>10293.585300000002</v>
      </c>
      <c r="W124" s="55">
        <f>VLOOKUP($I124,'Old Pricing - end 26-Jan-2026'!$A:$R,18,FALSE)</f>
        <v>45</v>
      </c>
    </row>
    <row r="125" spans="1:24" ht="15" hidden="1" thickTop="1" x14ac:dyDescent="0.3">
      <c r="A125" s="55">
        <v>52950705</v>
      </c>
      <c r="B125" s="55">
        <v>0</v>
      </c>
      <c r="C125" s="55" t="str">
        <f>VLOOKUP(A125&amp;"-"&amp;B125,'Order Summary'!$D:$E,2,FALSE)</f>
        <v>Telex / Seaway Released</v>
      </c>
      <c r="D125" s="216">
        <f>IF($A125="","",VLOOKUP($A125&amp;"-"&amp;$B125,'Order Summary'!$D:$U,3,FALSE))</f>
        <v>45917</v>
      </c>
      <c r="E125" s="55" t="str">
        <f>VLOOKUP(A125&amp;"-"&amp;B125,'Order Summary'!$D:$G,4,FALSE)</f>
        <v>Yes</v>
      </c>
      <c r="F125" s="55" t="str">
        <f>VLOOKUP($A125,'Order Summary'!$B:$I,8,FALSE)</f>
        <v>Nampa, ID</v>
      </c>
      <c r="G125" s="216">
        <f>IF($A125="","",VLOOKUP($A125&amp;"-"&amp;$B125,'Order Summary'!$D:$U,18,FALSE))</f>
        <v>46037</v>
      </c>
      <c r="H125" s="55">
        <v>4</v>
      </c>
      <c r="I125" s="55">
        <v>694437</v>
      </c>
      <c r="J125" s="55" t="str">
        <f>VLOOKUP($I125,'Old Pricing - end 26-Jan-2026'!$A:$R,2,FALSE)</f>
        <v>G1S 694437</v>
      </c>
      <c r="K125" s="55" t="str">
        <f>VLOOKUP($I125,'Old Pricing - end 26-Jan-2026'!$A:$R,6,FALSE)&amp;" "&amp;VLOOKUP($I125,'Old Pricing - end 26-Jan-2026'!$A:$R,7,FALSE)&amp;""" x "&amp;VLOOKUP($I125,'Old Pricing - end 26-Jan-2026'!$A:$R,9,FALSE)&amp;""" "&amp;VLOOKUP($I125,'Old Pricing - end 26-Jan-2026'!$A:$R,5,FALSE)</f>
        <v>2MM 49" x 108" ACP</v>
      </c>
      <c r="L125" s="55">
        <f>VLOOKUP($I125,'Old Pricing - end 26-Jan-2026'!$A:$K,8,FALSE)</f>
        <v>1245</v>
      </c>
      <c r="M125" s="55">
        <f>VLOOKUP($I125,'Old Pricing - end 26-Jan-2026'!$A:$K,10,FALSE)</f>
        <v>2745</v>
      </c>
      <c r="N125" s="55" t="str">
        <f>VLOOKUP($I125,'Old Pricing - end 26-Jan-2026'!$A:$R,13,FALSE)&amp;" "&amp;VLOOKUP($I125,'Old Pricing - end 26-Jan-2026'!$A:$R,12,FALSE)</f>
        <v>ASC 0069 GLOSSY WHITE</v>
      </c>
      <c r="O125" s="56">
        <v>14.7</v>
      </c>
      <c r="P125" s="55">
        <f>(VLOOKUP($I125,'Old Pricing - end 26-Jan-2026'!$A:$R,8,FALSE)/1000)*(VLOOKUP($I125,'Old Pricing - end 26-Jan-2026'!$A:$R,10,FALSE)/1000)*Q125</f>
        <v>1367.0100000000002</v>
      </c>
      <c r="Q125" s="55">
        <f>ROUND(('Order Details'!$O125*1000)/((VLOOKUP($I125,'Old Pricing - end 26-Jan-2026'!$A:$Q,7,FALSE)/12)*(VLOOKUP($I125,'Old Pricing - end 26-Jan-2026'!$A:$Q,9,FALSE)/12))/5,0)*5</f>
        <v>400</v>
      </c>
      <c r="R125" s="71">
        <f>$Q125/IFERROR(VLOOKUP($F125&amp;RIGHT($K125,8),'Master Data'!$O$5:$P$10,2,FALSE),'Master Data'!$P$4)</f>
        <v>2</v>
      </c>
      <c r="S125" s="57">
        <f>VLOOKUP($I125,'Old Pricing - end 26-Jan-2026'!$A:$Q,16,FALSE)</f>
        <v>700</v>
      </c>
      <c r="T125" s="57">
        <f>VLOOKUP(I125,'Old Pricing - end 26-Jan-2026'!$A:$O,15,FALSE)</f>
        <v>7.53</v>
      </c>
      <c r="U125" s="57">
        <f t="shared" si="9"/>
        <v>10290</v>
      </c>
      <c r="V125" s="111">
        <f t="shared" si="5"/>
        <v>10293.585300000002</v>
      </c>
      <c r="W125" s="55">
        <f>VLOOKUP($I125,'Old Pricing - end 26-Jan-2026'!$A:$R,18,FALSE)</f>
        <v>45</v>
      </c>
    </row>
    <row r="126" spans="1:24" ht="15" hidden="1" thickTop="1" x14ac:dyDescent="0.3">
      <c r="A126" s="55">
        <v>52950705</v>
      </c>
      <c r="B126" s="55">
        <v>0</v>
      </c>
      <c r="C126" s="55" t="str">
        <f>VLOOKUP(A126&amp;"-"&amp;B126,'Order Summary'!$D:$E,2,FALSE)</f>
        <v>Telex / Seaway Released</v>
      </c>
      <c r="D126" s="216">
        <f>IF($A126="","",VLOOKUP($A126&amp;"-"&amp;$B126,'Order Summary'!$D:$U,3,FALSE))</f>
        <v>45917</v>
      </c>
      <c r="E126" s="55" t="str">
        <f>VLOOKUP(A126&amp;"-"&amp;B126,'Order Summary'!$D:$G,4,FALSE)</f>
        <v>Yes</v>
      </c>
      <c r="F126" s="55" t="str">
        <f>VLOOKUP($A126,'Order Summary'!$B:$I,8,FALSE)</f>
        <v>Nampa, ID</v>
      </c>
      <c r="G126" s="216">
        <f>IF($A126="","",VLOOKUP($A126&amp;"-"&amp;$B126,'Order Summary'!$D:$U,18,FALSE))</f>
        <v>46037</v>
      </c>
      <c r="H126" s="55">
        <v>5</v>
      </c>
      <c r="I126" s="55">
        <v>694439</v>
      </c>
      <c r="J126" s="55" t="str">
        <f>VLOOKUP($I126,'Old Pricing - end 26-Jan-2026'!$A:$R,2,FALSE)</f>
        <v>G1S 694439</v>
      </c>
      <c r="K126" s="55" t="str">
        <f>VLOOKUP($I126,'Old Pricing - end 26-Jan-2026'!$A:$R,6,FALSE)&amp;" "&amp;VLOOKUP($I126,'Old Pricing - end 26-Jan-2026'!$A:$R,7,FALSE)&amp;""" x "&amp;VLOOKUP($I126,'Old Pricing - end 26-Jan-2026'!$A:$R,9,FALSE)&amp;""" "&amp;VLOOKUP($I126,'Old Pricing - end 26-Jan-2026'!$A:$R,5,FALSE)</f>
        <v>2MM 49" x 90" ACP</v>
      </c>
      <c r="L126" s="55">
        <f>VLOOKUP($I126,'Old Pricing - end 26-Jan-2026'!$A:$K,8,FALSE)</f>
        <v>1245</v>
      </c>
      <c r="M126" s="55">
        <f>VLOOKUP($I126,'Old Pricing - end 26-Jan-2026'!$A:$K,10,FALSE)</f>
        <v>2286</v>
      </c>
      <c r="N126" s="55" t="str">
        <f>VLOOKUP($I126,'Old Pricing - end 26-Jan-2026'!$A:$R,13,FALSE)&amp;" "&amp;VLOOKUP($I126,'Old Pricing - end 26-Jan-2026'!$A:$R,12,FALSE)</f>
        <v>AMC 0103 SILVER FROST</v>
      </c>
      <c r="O126" s="56">
        <v>6.125</v>
      </c>
      <c r="P126" s="55">
        <f>(VLOOKUP($I126,'Old Pricing - end 26-Jan-2026'!$A:$R,8,FALSE)/1000)*(VLOOKUP($I126,'Old Pricing - end 26-Jan-2026'!$A:$R,10,FALSE)/1000)*Q126</f>
        <v>569.21400000000006</v>
      </c>
      <c r="Q126" s="55">
        <f>ROUND(('Order Details'!$O126*1000)/((VLOOKUP($I126,'Old Pricing - end 26-Jan-2026'!$A:$Q,7,FALSE)/12)*(VLOOKUP($I126,'Old Pricing - end 26-Jan-2026'!$A:$Q,9,FALSE)/12))/5,0)*5</f>
        <v>200</v>
      </c>
      <c r="R126" s="71">
        <f>$Q126/IFERROR(VLOOKUP($F126&amp;RIGHT($K126,8),'Master Data'!$O$5:$P$10,2,FALSE),'Master Data'!$P$4)</f>
        <v>1</v>
      </c>
      <c r="S126" s="57">
        <f>VLOOKUP($I126,'Old Pricing - end 26-Jan-2026'!$A:$Q,16,FALSE)</f>
        <v>700</v>
      </c>
      <c r="T126" s="57">
        <f>VLOOKUP(I126,'Old Pricing - end 26-Jan-2026'!$A:$O,15,FALSE)</f>
        <v>7.53</v>
      </c>
      <c r="U126" s="57">
        <f t="shared" si="9"/>
        <v>4287.5</v>
      </c>
      <c r="V126" s="111">
        <f t="shared" si="5"/>
        <v>4286.1814200000008</v>
      </c>
      <c r="W126" s="55">
        <f>VLOOKUP($I126,'Old Pricing - end 26-Jan-2026'!$A:$R,18,FALSE)</f>
        <v>90</v>
      </c>
    </row>
    <row r="127" spans="1:24" ht="15" hidden="1" thickTop="1" x14ac:dyDescent="0.3">
      <c r="A127" s="55">
        <v>52950705</v>
      </c>
      <c r="B127" s="55">
        <v>0</v>
      </c>
      <c r="C127" s="55" t="str">
        <f>VLOOKUP(A127&amp;"-"&amp;B127,'Order Summary'!$D:$E,2,FALSE)</f>
        <v>Telex / Seaway Released</v>
      </c>
      <c r="D127" s="216">
        <f>IF($A127="","",VLOOKUP($A127&amp;"-"&amp;$B127,'Order Summary'!$D:$U,3,FALSE))</f>
        <v>45917</v>
      </c>
      <c r="E127" s="55" t="str">
        <f>VLOOKUP(A127&amp;"-"&amp;B127,'Order Summary'!$D:$G,4,FALSE)</f>
        <v>Yes</v>
      </c>
      <c r="F127" s="55" t="str">
        <f>VLOOKUP($A127,'Order Summary'!$B:$I,8,FALSE)</f>
        <v>Nampa, ID</v>
      </c>
      <c r="G127" s="216">
        <f>IF($A127="","",VLOOKUP($A127&amp;"-"&amp;$B127,'Order Summary'!$D:$U,18,FALSE))</f>
        <v>46037</v>
      </c>
      <c r="H127" s="55">
        <v>6</v>
      </c>
      <c r="I127" s="55">
        <v>694440</v>
      </c>
      <c r="J127" s="55" t="str">
        <f>VLOOKUP($I127,'Old Pricing - end 26-Jan-2026'!$A:$R,2,FALSE)</f>
        <v>G1S 694440</v>
      </c>
      <c r="K127" s="55" t="str">
        <f>VLOOKUP($I127,'Old Pricing - end 26-Jan-2026'!$A:$R,6,FALSE)&amp;" "&amp;VLOOKUP($I127,'Old Pricing - end 26-Jan-2026'!$A:$R,7,FALSE)&amp;""" x "&amp;VLOOKUP($I127,'Old Pricing - end 26-Jan-2026'!$A:$R,9,FALSE)&amp;""" "&amp;VLOOKUP($I127,'Old Pricing - end 26-Jan-2026'!$A:$R,5,FALSE)</f>
        <v>2MM 49" x 96" ACP</v>
      </c>
      <c r="L127" s="55">
        <f>VLOOKUP($I127,'Old Pricing - end 26-Jan-2026'!$A:$K,8,FALSE)</f>
        <v>1245</v>
      </c>
      <c r="M127" s="55">
        <f>VLOOKUP($I127,'Old Pricing - end 26-Jan-2026'!$A:$K,10,FALSE)</f>
        <v>2440</v>
      </c>
      <c r="N127" s="55" t="str">
        <f>VLOOKUP($I127,'Old Pricing - end 26-Jan-2026'!$A:$R,13,FALSE)&amp;" "&amp;VLOOKUP($I127,'Old Pricing - end 26-Jan-2026'!$A:$R,12,FALSE)</f>
        <v>AMC 0103 SILVER FROST</v>
      </c>
      <c r="O127" s="56">
        <v>6.5330000000000004</v>
      </c>
      <c r="P127" s="55">
        <f>(VLOOKUP($I127,'Old Pricing - end 26-Jan-2026'!$A:$R,8,FALSE)/1000)*(VLOOKUP($I127,'Old Pricing - end 26-Jan-2026'!$A:$R,10,FALSE)/1000)*Q127</f>
        <v>607.56000000000006</v>
      </c>
      <c r="Q127" s="55">
        <f>ROUND(('Order Details'!$O127*1000)/((VLOOKUP($I127,'Old Pricing - end 26-Jan-2026'!$A:$Q,7,FALSE)/12)*(VLOOKUP($I127,'Old Pricing - end 26-Jan-2026'!$A:$Q,9,FALSE)/12))/5,0)*5</f>
        <v>200</v>
      </c>
      <c r="R127" s="71">
        <f>$Q127/IFERROR(VLOOKUP($F127&amp;RIGHT($K127,8),'Master Data'!$O$5:$P$10,2,FALSE),'Master Data'!$P$4)</f>
        <v>1</v>
      </c>
      <c r="S127" s="57">
        <f>VLOOKUP($I127,'Old Pricing - end 26-Jan-2026'!$A:$Q,16,FALSE)</f>
        <v>700</v>
      </c>
      <c r="T127" s="57">
        <f>VLOOKUP(I127,'Old Pricing - end 26-Jan-2026'!$A:$O,15,FALSE)</f>
        <v>7.53</v>
      </c>
      <c r="U127" s="57">
        <f t="shared" si="9"/>
        <v>4573.1000000000004</v>
      </c>
      <c r="V127" s="111">
        <f t="shared" si="5"/>
        <v>4574.9268000000002</v>
      </c>
      <c r="W127" s="55">
        <f>VLOOKUP($I127,'Old Pricing - end 26-Jan-2026'!$A:$R,18,FALSE)</f>
        <v>90</v>
      </c>
    </row>
    <row r="128" spans="1:24" ht="15" hidden="1" thickTop="1" x14ac:dyDescent="0.3">
      <c r="A128" s="55">
        <v>52950705</v>
      </c>
      <c r="B128" s="55">
        <v>0</v>
      </c>
      <c r="C128" s="55" t="str">
        <f>VLOOKUP(A128&amp;"-"&amp;B128,'Order Summary'!$D:$E,2,FALSE)</f>
        <v>Telex / Seaway Released</v>
      </c>
      <c r="D128" s="216">
        <f>IF($A128="","",VLOOKUP($A128&amp;"-"&amp;$B128,'Order Summary'!$D:$U,3,FALSE))</f>
        <v>45917</v>
      </c>
      <c r="E128" s="55" t="str">
        <f>VLOOKUP(A128&amp;"-"&amp;B128,'Order Summary'!$D:$G,4,FALSE)</f>
        <v>Yes</v>
      </c>
      <c r="F128" s="55" t="str">
        <f>VLOOKUP($A128,'Order Summary'!$B:$I,8,FALSE)</f>
        <v>Nampa, ID</v>
      </c>
      <c r="G128" s="216">
        <f>IF($A128="","",VLOOKUP($A128&amp;"-"&amp;$B128,'Order Summary'!$D:$U,18,FALSE))</f>
        <v>46037</v>
      </c>
      <c r="H128" s="55">
        <v>7</v>
      </c>
      <c r="I128" s="55">
        <v>694441</v>
      </c>
      <c r="J128" s="55" t="str">
        <f>VLOOKUP($I128,'Old Pricing - end 26-Jan-2026'!$A:$R,2,FALSE)</f>
        <v>G1S 694441</v>
      </c>
      <c r="K128" s="55" t="str">
        <f>VLOOKUP($I128,'Old Pricing - end 26-Jan-2026'!$A:$R,6,FALSE)&amp;" "&amp;VLOOKUP($I128,'Old Pricing - end 26-Jan-2026'!$A:$R,7,FALSE)&amp;""" x "&amp;VLOOKUP($I128,'Old Pricing - end 26-Jan-2026'!$A:$R,9,FALSE)&amp;""" "&amp;VLOOKUP($I128,'Old Pricing - end 26-Jan-2026'!$A:$R,5,FALSE)</f>
        <v>2MM 49" x 108" ACP</v>
      </c>
      <c r="L128" s="55">
        <f>VLOOKUP($I128,'Old Pricing - end 26-Jan-2026'!$A:$K,8,FALSE)</f>
        <v>1245</v>
      </c>
      <c r="M128" s="55">
        <f>VLOOKUP($I128,'Old Pricing - end 26-Jan-2026'!$A:$K,10,FALSE)</f>
        <v>2745</v>
      </c>
      <c r="N128" s="55" t="str">
        <f>VLOOKUP($I128,'Old Pricing - end 26-Jan-2026'!$A:$R,13,FALSE)&amp;" "&amp;VLOOKUP($I128,'Old Pricing - end 26-Jan-2026'!$A:$R,12,FALSE)</f>
        <v>AMC 0103 SILVER FROST</v>
      </c>
      <c r="O128" s="56">
        <v>7.35</v>
      </c>
      <c r="P128" s="55">
        <f>(VLOOKUP($I128,'Old Pricing - end 26-Jan-2026'!$A:$R,8,FALSE)/1000)*(VLOOKUP($I128,'Old Pricing - end 26-Jan-2026'!$A:$R,10,FALSE)/1000)*Q128</f>
        <v>683.50500000000011</v>
      </c>
      <c r="Q128" s="55">
        <f>ROUND(('Order Details'!$O128*1000)/((VLOOKUP($I128,'Old Pricing - end 26-Jan-2026'!$A:$Q,7,FALSE)/12)*(VLOOKUP($I128,'Old Pricing - end 26-Jan-2026'!$A:$Q,9,FALSE)/12))/5,0)*5</f>
        <v>200</v>
      </c>
      <c r="R128" s="71">
        <f>$Q128/IFERROR(VLOOKUP($F128&amp;RIGHT($K128,8),'Master Data'!$O$5:$P$10,2,FALSE),'Master Data'!$P$4)</f>
        <v>1</v>
      </c>
      <c r="S128" s="57">
        <f>VLOOKUP($I128,'Old Pricing - end 26-Jan-2026'!$A:$Q,16,FALSE)</f>
        <v>700</v>
      </c>
      <c r="T128" s="57">
        <f>VLOOKUP(I128,'Old Pricing - end 26-Jan-2026'!$A:$O,15,FALSE)</f>
        <v>7.53</v>
      </c>
      <c r="U128" s="57">
        <f t="shared" si="9"/>
        <v>5145</v>
      </c>
      <c r="V128" s="111">
        <f t="shared" si="5"/>
        <v>5146.7926500000012</v>
      </c>
      <c r="W128" s="55">
        <f>VLOOKUP($I128,'Old Pricing - end 26-Jan-2026'!$A:$R,18,FALSE)</f>
        <v>90</v>
      </c>
    </row>
    <row r="129" spans="1:23" ht="15" hidden="1" thickTop="1" x14ac:dyDescent="0.3">
      <c r="A129" s="55">
        <v>52950705</v>
      </c>
      <c r="B129" s="55">
        <v>0</v>
      </c>
      <c r="C129" s="55" t="str">
        <f>VLOOKUP(A129&amp;"-"&amp;B129,'Order Summary'!$D:$E,2,FALSE)</f>
        <v>Telex / Seaway Released</v>
      </c>
      <c r="D129" s="216">
        <f>IF($A129="","",VLOOKUP($A129&amp;"-"&amp;$B129,'Order Summary'!$D:$U,3,FALSE))</f>
        <v>45917</v>
      </c>
      <c r="E129" s="55" t="str">
        <f>VLOOKUP(A129&amp;"-"&amp;B129,'Order Summary'!$D:$G,4,FALSE)</f>
        <v>Yes</v>
      </c>
      <c r="F129" s="55" t="str">
        <f>VLOOKUP($A129,'Order Summary'!$B:$I,8,FALSE)</f>
        <v>Nampa, ID</v>
      </c>
      <c r="G129" s="216">
        <f>IF($A129="","",VLOOKUP($A129&amp;"-"&amp;$B129,'Order Summary'!$D:$U,18,FALSE))</f>
        <v>46037</v>
      </c>
      <c r="H129" s="55">
        <v>8</v>
      </c>
      <c r="I129" s="55">
        <v>694443</v>
      </c>
      <c r="J129" s="55" t="str">
        <f>VLOOKUP($I129,'Old Pricing - end 26-Jan-2026'!$A:$R,2,FALSE)</f>
        <v>G1S 694443</v>
      </c>
      <c r="K129" s="55" t="str">
        <f>VLOOKUP($I129,'Old Pricing - end 26-Jan-2026'!$A:$R,6,FALSE)&amp;" "&amp;VLOOKUP($I129,'Old Pricing - end 26-Jan-2026'!$A:$R,7,FALSE)&amp;""" x "&amp;VLOOKUP($I129,'Old Pricing - end 26-Jan-2026'!$A:$R,9,FALSE)&amp;""" "&amp;VLOOKUP($I129,'Old Pricing - end 26-Jan-2026'!$A:$R,5,FALSE)</f>
        <v>2MM 49" x 90" ACP</v>
      </c>
      <c r="L129" s="55">
        <f>VLOOKUP($I129,'Old Pricing - end 26-Jan-2026'!$A:$K,8,FALSE)</f>
        <v>1245</v>
      </c>
      <c r="M129" s="55">
        <f>VLOOKUP($I129,'Old Pricing - end 26-Jan-2026'!$A:$K,10,FALSE)</f>
        <v>2286</v>
      </c>
      <c r="N129" s="55" t="str">
        <f>VLOOKUP($I129,'Old Pricing - end 26-Jan-2026'!$A:$R,13,FALSE)&amp;" "&amp;VLOOKUP($I129,'Old Pricing - end 26-Jan-2026'!$A:$R,12,FALSE)</f>
        <v>AMC 0086 CHARCOAL METALLIC</v>
      </c>
      <c r="O129" s="56">
        <v>6.125</v>
      </c>
      <c r="P129" s="55">
        <f>(VLOOKUP($I129,'Old Pricing - end 26-Jan-2026'!$A:$R,8,FALSE)/1000)*(VLOOKUP($I129,'Old Pricing - end 26-Jan-2026'!$A:$R,10,FALSE)/1000)*Q129</f>
        <v>569.21400000000006</v>
      </c>
      <c r="Q129" s="55">
        <f>ROUND(('Order Details'!$O129*1000)/((VLOOKUP($I129,'Old Pricing - end 26-Jan-2026'!$A:$Q,7,FALSE)/12)*(VLOOKUP($I129,'Old Pricing - end 26-Jan-2026'!$A:$Q,9,FALSE)/12))/5,0)*5</f>
        <v>200</v>
      </c>
      <c r="R129" s="71">
        <f>$Q129/IFERROR(VLOOKUP($F129&amp;RIGHT($K129,8),'Master Data'!$O$5:$P$10,2,FALSE),'Master Data'!$P$4)</f>
        <v>1</v>
      </c>
      <c r="S129" s="57">
        <f>VLOOKUP($I129,'Old Pricing - end 26-Jan-2026'!$A:$Q,16,FALSE)</f>
        <v>750</v>
      </c>
      <c r="T129" s="57">
        <f>VLOOKUP(I129,'Old Pricing - end 26-Jan-2026'!$A:$O,15,FALSE)</f>
        <v>8.07</v>
      </c>
      <c r="U129" s="57">
        <f t="shared" si="9"/>
        <v>4593.75</v>
      </c>
      <c r="V129" s="111">
        <f t="shared" si="5"/>
        <v>4593.5569800000003</v>
      </c>
      <c r="W129" s="55">
        <f>VLOOKUP($I129,'Old Pricing - end 26-Jan-2026'!$A:$R,18,FALSE)</f>
        <v>45</v>
      </c>
    </row>
    <row r="130" spans="1:23" ht="15" hidden="1" thickTop="1" x14ac:dyDescent="0.3">
      <c r="A130" s="55">
        <v>52950705</v>
      </c>
      <c r="B130" s="55">
        <v>0</v>
      </c>
      <c r="C130" s="55" t="str">
        <f>VLOOKUP(A130&amp;"-"&amp;B130,'Order Summary'!$D:$E,2,FALSE)</f>
        <v>Telex / Seaway Released</v>
      </c>
      <c r="D130" s="216">
        <f>IF($A130="","",VLOOKUP($A130&amp;"-"&amp;$B130,'Order Summary'!$D:$U,3,FALSE))</f>
        <v>45917</v>
      </c>
      <c r="E130" s="55" t="str">
        <f>VLOOKUP(A130&amp;"-"&amp;B130,'Order Summary'!$D:$G,4,FALSE)</f>
        <v>Yes</v>
      </c>
      <c r="F130" s="55" t="str">
        <f>VLOOKUP($A130,'Order Summary'!$B:$I,8,FALSE)</f>
        <v>Nampa, ID</v>
      </c>
      <c r="G130" s="216">
        <f>IF($A130="","",VLOOKUP($A130&amp;"-"&amp;$B130,'Order Summary'!$D:$U,18,FALSE))</f>
        <v>46037</v>
      </c>
      <c r="H130" s="55">
        <v>9</v>
      </c>
      <c r="I130" s="55">
        <v>694444</v>
      </c>
      <c r="J130" s="55" t="str">
        <f>VLOOKUP($I130,'Old Pricing - end 26-Jan-2026'!$A:$R,2,FALSE)</f>
        <v>G1S 694444</v>
      </c>
      <c r="K130" s="55" t="str">
        <f>VLOOKUP($I130,'Old Pricing - end 26-Jan-2026'!$A:$R,6,FALSE)&amp;" "&amp;VLOOKUP($I130,'Old Pricing - end 26-Jan-2026'!$A:$R,7,FALSE)&amp;""" x "&amp;VLOOKUP($I130,'Old Pricing - end 26-Jan-2026'!$A:$R,9,FALSE)&amp;""" "&amp;VLOOKUP($I130,'Old Pricing - end 26-Jan-2026'!$A:$R,5,FALSE)</f>
        <v>2MM 49" x 96" ACP</v>
      </c>
      <c r="L130" s="55">
        <f>VLOOKUP($I130,'Old Pricing - end 26-Jan-2026'!$A:$K,8,FALSE)</f>
        <v>1245</v>
      </c>
      <c r="M130" s="55">
        <f>VLOOKUP($I130,'Old Pricing - end 26-Jan-2026'!$A:$K,10,FALSE)</f>
        <v>2440</v>
      </c>
      <c r="N130" s="55" t="str">
        <f>VLOOKUP($I130,'Old Pricing - end 26-Jan-2026'!$A:$R,13,FALSE)&amp;" "&amp;VLOOKUP($I130,'Old Pricing - end 26-Jan-2026'!$A:$R,12,FALSE)</f>
        <v>AMC 0086 CHARCOAL METALLIC</v>
      </c>
      <c r="O130" s="56">
        <v>6.5330000000000004</v>
      </c>
      <c r="P130" s="55">
        <f>(VLOOKUP($I130,'Old Pricing - end 26-Jan-2026'!$A:$R,8,FALSE)/1000)*(VLOOKUP($I130,'Old Pricing - end 26-Jan-2026'!$A:$R,10,FALSE)/1000)*Q130</f>
        <v>607.56000000000006</v>
      </c>
      <c r="Q130" s="55">
        <f>ROUND(('Order Details'!$O130*1000)/((VLOOKUP($I130,'Old Pricing - end 26-Jan-2026'!$A:$Q,7,FALSE)/12)*(VLOOKUP($I130,'Old Pricing - end 26-Jan-2026'!$A:$Q,9,FALSE)/12))/5,0)*5</f>
        <v>200</v>
      </c>
      <c r="R130" s="71">
        <f>$Q130/IFERROR(VLOOKUP($F130&amp;RIGHT($K130,8),'Master Data'!$O$5:$P$10,2,FALSE),'Master Data'!$P$4)</f>
        <v>1</v>
      </c>
      <c r="S130" s="57">
        <f>VLOOKUP($I130,'Old Pricing - end 26-Jan-2026'!$A:$Q,16,FALSE)</f>
        <v>750</v>
      </c>
      <c r="T130" s="57">
        <f>VLOOKUP(I130,'Old Pricing - end 26-Jan-2026'!$A:$O,15,FALSE)</f>
        <v>8.07</v>
      </c>
      <c r="U130" s="57">
        <f t="shared" si="9"/>
        <v>4899.75</v>
      </c>
      <c r="V130" s="111">
        <f t="shared" si="5"/>
        <v>4903.0092000000004</v>
      </c>
      <c r="W130" s="55">
        <f>VLOOKUP($I130,'Old Pricing - end 26-Jan-2026'!$A:$R,18,FALSE)</f>
        <v>45</v>
      </c>
    </row>
    <row r="131" spans="1:23" ht="15" hidden="1" thickTop="1" x14ac:dyDescent="0.3">
      <c r="A131" s="55">
        <v>52950705</v>
      </c>
      <c r="B131" s="55">
        <v>0</v>
      </c>
      <c r="C131" s="55" t="str">
        <f>VLOOKUP(A131&amp;"-"&amp;B131,'Order Summary'!$D:$E,2,FALSE)</f>
        <v>Telex / Seaway Released</v>
      </c>
      <c r="D131" s="216">
        <f>IF($A131="","",VLOOKUP($A131&amp;"-"&amp;$B131,'Order Summary'!$D:$U,3,FALSE))</f>
        <v>45917</v>
      </c>
      <c r="E131" s="55" t="str">
        <f>VLOOKUP(A131&amp;"-"&amp;B131,'Order Summary'!$D:$G,4,FALSE)</f>
        <v>Yes</v>
      </c>
      <c r="F131" s="55" t="str">
        <f>VLOOKUP($A131,'Order Summary'!$B:$I,8,FALSE)</f>
        <v>Nampa, ID</v>
      </c>
      <c r="G131" s="216">
        <f>IF($A131="","",VLOOKUP($A131&amp;"-"&amp;$B131,'Order Summary'!$D:$U,18,FALSE))</f>
        <v>46037</v>
      </c>
      <c r="H131" s="55">
        <v>10</v>
      </c>
      <c r="I131" s="55">
        <v>694445</v>
      </c>
      <c r="J131" s="55" t="str">
        <f>VLOOKUP($I131,'Old Pricing - end 26-Jan-2026'!$A:$R,2,FALSE)</f>
        <v>G1S 694445</v>
      </c>
      <c r="K131" s="55" t="str">
        <f>VLOOKUP($I131,'Old Pricing - end 26-Jan-2026'!$A:$R,6,FALSE)&amp;" "&amp;VLOOKUP($I131,'Old Pricing - end 26-Jan-2026'!$A:$R,7,FALSE)&amp;""" x "&amp;VLOOKUP($I131,'Old Pricing - end 26-Jan-2026'!$A:$R,9,FALSE)&amp;""" "&amp;VLOOKUP($I131,'Old Pricing - end 26-Jan-2026'!$A:$R,5,FALSE)</f>
        <v>2MM 49" x 108" ACP</v>
      </c>
      <c r="L131" s="55">
        <f>VLOOKUP($I131,'Old Pricing - end 26-Jan-2026'!$A:$K,8,FALSE)</f>
        <v>1245</v>
      </c>
      <c r="M131" s="55">
        <f>VLOOKUP($I131,'Old Pricing - end 26-Jan-2026'!$A:$K,10,FALSE)</f>
        <v>2745</v>
      </c>
      <c r="N131" s="55" t="str">
        <f>VLOOKUP($I131,'Old Pricing - end 26-Jan-2026'!$A:$R,13,FALSE)&amp;" "&amp;VLOOKUP($I131,'Old Pricing - end 26-Jan-2026'!$A:$R,12,FALSE)</f>
        <v>AMC 0086 CHARCOAL METALLIC</v>
      </c>
      <c r="O131" s="56">
        <v>14.7</v>
      </c>
      <c r="P131" s="55">
        <f>(VLOOKUP($I131,'Old Pricing - end 26-Jan-2026'!$A:$R,8,FALSE)/1000)*(VLOOKUP($I131,'Old Pricing - end 26-Jan-2026'!$A:$R,10,FALSE)/1000)*Q131</f>
        <v>1367.0100000000002</v>
      </c>
      <c r="Q131" s="55">
        <f>ROUND(('Order Details'!$O131*1000)/((VLOOKUP($I131,'Old Pricing - end 26-Jan-2026'!$A:$Q,7,FALSE)/12)*(VLOOKUP($I131,'Old Pricing - end 26-Jan-2026'!$A:$Q,9,FALSE)/12))/5,0)*5</f>
        <v>400</v>
      </c>
      <c r="R131" s="71">
        <f>$Q131/IFERROR(VLOOKUP($F131&amp;RIGHT($K131,8),'Master Data'!$O$5:$P$10,2,FALSE),'Master Data'!$P$4)</f>
        <v>2</v>
      </c>
      <c r="S131" s="57">
        <f>VLOOKUP($I131,'Old Pricing - end 26-Jan-2026'!$A:$Q,16,FALSE)</f>
        <v>750</v>
      </c>
      <c r="T131" s="57">
        <f>VLOOKUP(I131,'Old Pricing - end 26-Jan-2026'!$A:$O,15,FALSE)</f>
        <v>8.07</v>
      </c>
      <c r="U131" s="57">
        <f t="shared" si="9"/>
        <v>11025</v>
      </c>
      <c r="V131" s="111">
        <f t="shared" si="5"/>
        <v>11031.770700000003</v>
      </c>
      <c r="W131" s="55">
        <f>VLOOKUP($I131,'Old Pricing - end 26-Jan-2026'!$A:$R,18,FALSE)</f>
        <v>45</v>
      </c>
    </row>
    <row r="132" spans="1:23" ht="15" hidden="1" thickTop="1" x14ac:dyDescent="0.3">
      <c r="A132" s="55">
        <v>23971953</v>
      </c>
      <c r="B132" s="55">
        <v>0</v>
      </c>
      <c r="C132" s="55" t="str">
        <f>VLOOKUP(A132&amp;"-"&amp;B132,'Order Summary'!$D:$E,2,FALSE)</f>
        <v>Telex / Seaway Released</v>
      </c>
      <c r="D132" s="216">
        <f>IF($A132="","",VLOOKUP($A132&amp;"-"&amp;$B132,'Order Summary'!$D:$U,3,FALSE))</f>
        <v>45792</v>
      </c>
      <c r="E132" s="55" t="str">
        <f>VLOOKUP(A132&amp;"-"&amp;B132,'Order Summary'!$D:$G,4,FALSE)</f>
        <v>Yes</v>
      </c>
      <c r="F132" s="55" t="str">
        <f>VLOOKUP($A132,'Order Summary'!$B:$I,8,FALSE)</f>
        <v>Granger, IN</v>
      </c>
      <c r="G132" s="216">
        <f>IF($A132="","",VLOOKUP($A132&amp;"-"&amp;$B132,'Order Summary'!$D:$U,18,FALSE))</f>
        <v>45959</v>
      </c>
      <c r="H132" s="55">
        <v>1</v>
      </c>
      <c r="I132" s="55">
        <v>694432</v>
      </c>
      <c r="J132" s="55" t="str">
        <f>VLOOKUP($I132,'Old Pricing - end 26-Jan-2026'!$A:$R,2,FALSE)</f>
        <v>G1S 694432</v>
      </c>
      <c r="K132" s="55" t="str">
        <f>VLOOKUP($I132,'Old Pricing - end 26-Jan-2026'!$A:$R,6,FALSE)&amp;" "&amp;VLOOKUP($I132,'Old Pricing - end 26-Jan-2026'!$A:$R,7,FALSE)&amp;""" x "&amp;VLOOKUP($I132,'Old Pricing - end 26-Jan-2026'!$A:$R,9,FALSE)&amp;""" "&amp;VLOOKUP($I132,'Old Pricing - end 26-Jan-2026'!$A:$R,5,FALSE)</f>
        <v>2MM 49" x 96" ACP</v>
      </c>
      <c r="L132" s="55">
        <f>VLOOKUP($I132,'Old Pricing - end 26-Jan-2026'!$A:$K,8,FALSE)</f>
        <v>1245</v>
      </c>
      <c r="M132" s="55">
        <f>VLOOKUP($I132,'Old Pricing - end 26-Jan-2026'!$A:$K,10,FALSE)</f>
        <v>2440</v>
      </c>
      <c r="N132" s="55" t="str">
        <f>VLOOKUP($I132,'Old Pricing - end 26-Jan-2026'!$A:$R,13,FALSE)&amp;" "&amp;VLOOKUP($I132,'Old Pricing - end 26-Jan-2026'!$A:$R,12,FALSE)</f>
        <v>ASC 0096 GLOSSY BLACK</v>
      </c>
      <c r="O132" s="149">
        <f>((VLOOKUP($I132,'Old Pricing - end 26-Jan-2026'!$A:$R,7,FALSE)/12)*(VLOOKUP($I132,'Old Pricing - end 26-Jan-2026'!$A:$R,9,FALSE)/12)*Q132)/1000</f>
        <v>6.5333333333333332</v>
      </c>
      <c r="P132" s="55">
        <f>(VLOOKUP($I132,'Old Pricing - end 26-Jan-2026'!$A:$R,8,FALSE)/1000)*(VLOOKUP($I132,'Old Pricing - end 26-Jan-2026'!$A:$R,10,FALSE)/1000)*Q132</f>
        <v>607.56000000000006</v>
      </c>
      <c r="Q132" s="55">
        <v>200</v>
      </c>
      <c r="R132" s="71">
        <f>$Q132/IFERROR(VLOOKUP($F132&amp;RIGHT($K132,8),'Master Data'!$O$5:$P$10,2,FALSE),'Master Data'!$P$4)</f>
        <v>1</v>
      </c>
      <c r="S132" s="57">
        <f>VLOOKUP($I132,'Old Pricing - end 26-Jan-2026'!$A:$Q,16,FALSE)</f>
        <v>700</v>
      </c>
      <c r="T132" s="57">
        <f>VLOOKUP(I132,'Old Pricing - end 26-Jan-2026'!$A:$O,15,FALSE)</f>
        <v>7.53</v>
      </c>
      <c r="U132" s="57">
        <v>4573.7700000000004</v>
      </c>
      <c r="V132" s="111">
        <f t="shared" si="5"/>
        <v>4574.9268000000002</v>
      </c>
      <c r="W132" s="55">
        <f>VLOOKUP($I132,'Old Pricing - end 26-Jan-2026'!$A:$R,18,FALSE)</f>
        <v>45</v>
      </c>
    </row>
    <row r="133" spans="1:23" ht="15" hidden="1" thickTop="1" x14ac:dyDescent="0.3">
      <c r="A133" s="55">
        <v>23971953</v>
      </c>
      <c r="B133" s="55">
        <v>0</v>
      </c>
      <c r="C133" s="55" t="str">
        <f>VLOOKUP(A133&amp;"-"&amp;B133,'Order Summary'!$D:$E,2,FALSE)</f>
        <v>Telex / Seaway Released</v>
      </c>
      <c r="D133" s="216">
        <f>IF($A133="","",VLOOKUP($A133&amp;"-"&amp;$B133,'Order Summary'!$D:$U,3,FALSE))</f>
        <v>45792</v>
      </c>
      <c r="E133" s="55" t="str">
        <f>VLOOKUP(A133&amp;"-"&amp;B133,'Order Summary'!$D:$G,4,FALSE)</f>
        <v>Yes</v>
      </c>
      <c r="F133" s="55" t="str">
        <f>VLOOKUP($A133,'Order Summary'!$B:$I,8,FALSE)</f>
        <v>Granger, IN</v>
      </c>
      <c r="G133" s="216">
        <f>IF($A133="","",VLOOKUP($A133&amp;"-"&amp;$B133,'Order Summary'!$D:$U,18,FALSE))</f>
        <v>45959</v>
      </c>
      <c r="H133" s="55">
        <v>2</v>
      </c>
      <c r="I133" s="55">
        <v>694433</v>
      </c>
      <c r="J133" s="55" t="str">
        <f>VLOOKUP($I133,'Old Pricing - end 26-Jan-2026'!$A:$R,2,FALSE)</f>
        <v>G1S 694433</v>
      </c>
      <c r="K133" s="55" t="str">
        <f>VLOOKUP($I133,'Old Pricing - end 26-Jan-2026'!$A:$R,6,FALSE)&amp;" "&amp;VLOOKUP($I133,'Old Pricing - end 26-Jan-2026'!$A:$R,7,FALSE)&amp;""" x "&amp;VLOOKUP($I133,'Old Pricing - end 26-Jan-2026'!$A:$R,9,FALSE)&amp;""" "&amp;VLOOKUP($I133,'Old Pricing - end 26-Jan-2026'!$A:$R,5,FALSE)</f>
        <v>2MM 49" x 108" ACP</v>
      </c>
      <c r="L133" s="55">
        <f>VLOOKUP($I133,'Old Pricing - end 26-Jan-2026'!$A:$K,8,FALSE)</f>
        <v>1245</v>
      </c>
      <c r="M133" s="55">
        <f>VLOOKUP($I133,'Old Pricing - end 26-Jan-2026'!$A:$K,10,FALSE)</f>
        <v>2745</v>
      </c>
      <c r="N133" s="55" t="str">
        <f>VLOOKUP($I133,'Old Pricing - end 26-Jan-2026'!$A:$R,13,FALSE)&amp;" "&amp;VLOOKUP($I133,'Old Pricing - end 26-Jan-2026'!$A:$R,12,FALSE)</f>
        <v>ASC 0096 GLOSSY BLACK</v>
      </c>
      <c r="O133" s="149">
        <f>((VLOOKUP($I133,'Old Pricing - end 26-Jan-2026'!$A:$R,7,FALSE)/12)*(VLOOKUP($I133,'Old Pricing - end 26-Jan-2026'!$A:$R,9,FALSE)/12)*Q133)/1000</f>
        <v>14.7</v>
      </c>
      <c r="P133" s="55">
        <f>(VLOOKUP($I133,'Old Pricing - end 26-Jan-2026'!$A:$R,8,FALSE)/1000)*(VLOOKUP($I133,'Old Pricing - end 26-Jan-2026'!$A:$R,10,FALSE)/1000)*Q133</f>
        <v>1367.0100000000002</v>
      </c>
      <c r="Q133" s="55">
        <v>400</v>
      </c>
      <c r="R133" s="71">
        <f>$Q133/IFERROR(VLOOKUP($F133&amp;RIGHT($K133,8),'Master Data'!$O$5:$P$10,2,FALSE),'Master Data'!$P$4)</f>
        <v>2</v>
      </c>
      <c r="S133" s="57">
        <f>VLOOKUP($I133,'Old Pricing - end 26-Jan-2026'!$A:$Q,16,FALSE)</f>
        <v>700</v>
      </c>
      <c r="T133" s="57">
        <f>VLOOKUP(I133,'Old Pricing - end 26-Jan-2026'!$A:$O,15,FALSE)</f>
        <v>7.53</v>
      </c>
      <c r="U133" s="57">
        <v>10300</v>
      </c>
      <c r="V133" s="111">
        <f t="shared" ref="V133:V195" si="10">P133*T133</f>
        <v>10293.585300000002</v>
      </c>
      <c r="W133" s="55">
        <f>VLOOKUP($I133,'Old Pricing - end 26-Jan-2026'!$A:$R,18,FALSE)</f>
        <v>45</v>
      </c>
    </row>
    <row r="134" spans="1:23" ht="15" hidden="1" thickTop="1" x14ac:dyDescent="0.3">
      <c r="A134" s="55">
        <v>23971953</v>
      </c>
      <c r="B134" s="55">
        <v>0</v>
      </c>
      <c r="C134" s="55" t="str">
        <f>VLOOKUP(A134&amp;"-"&amp;B134,'Order Summary'!$D:$E,2,FALSE)</f>
        <v>Telex / Seaway Released</v>
      </c>
      <c r="D134" s="216">
        <f>IF($A134="","",VLOOKUP($A134&amp;"-"&amp;$B134,'Order Summary'!$D:$U,3,FALSE))</f>
        <v>45792</v>
      </c>
      <c r="E134" s="55" t="str">
        <f>VLOOKUP(A134&amp;"-"&amp;B134,'Order Summary'!$D:$G,4,FALSE)</f>
        <v>Yes</v>
      </c>
      <c r="F134" s="55" t="str">
        <f>VLOOKUP($A134,'Order Summary'!$B:$I,8,FALSE)</f>
        <v>Granger, IN</v>
      </c>
      <c r="G134" s="216">
        <f>IF($A134="","",VLOOKUP($A134&amp;"-"&amp;$B134,'Order Summary'!$D:$U,18,FALSE))</f>
        <v>45959</v>
      </c>
      <c r="H134" s="55">
        <v>3</v>
      </c>
      <c r="I134" s="55">
        <v>694436</v>
      </c>
      <c r="J134" s="55" t="str">
        <f>VLOOKUP($I134,'Old Pricing - end 26-Jan-2026'!$A:$R,2,FALSE)</f>
        <v>G1S 694436</v>
      </c>
      <c r="K134" s="55" t="str">
        <f>VLOOKUP($I134,'Old Pricing - end 26-Jan-2026'!$A:$R,6,FALSE)&amp;" "&amp;VLOOKUP($I134,'Old Pricing - end 26-Jan-2026'!$A:$R,7,FALSE)&amp;""" x "&amp;VLOOKUP($I134,'Old Pricing - end 26-Jan-2026'!$A:$R,9,FALSE)&amp;""" "&amp;VLOOKUP($I134,'Old Pricing - end 26-Jan-2026'!$A:$R,5,FALSE)</f>
        <v>2MM 49" x 96" ACP</v>
      </c>
      <c r="L134" s="55">
        <f>VLOOKUP($I134,'Old Pricing - end 26-Jan-2026'!$A:$K,8,FALSE)</f>
        <v>1245</v>
      </c>
      <c r="M134" s="55">
        <f>VLOOKUP($I134,'Old Pricing - end 26-Jan-2026'!$A:$K,10,FALSE)</f>
        <v>2440</v>
      </c>
      <c r="N134" s="55" t="str">
        <f>VLOOKUP($I134,'Old Pricing - end 26-Jan-2026'!$A:$R,13,FALSE)&amp;" "&amp;VLOOKUP($I134,'Old Pricing - end 26-Jan-2026'!$A:$R,12,FALSE)</f>
        <v>ASC 0069 GLOSSY WHITE</v>
      </c>
      <c r="O134" s="149">
        <f>((VLOOKUP($I134,'Old Pricing - end 26-Jan-2026'!$A:$R,7,FALSE)/12)*(VLOOKUP($I134,'Old Pricing - end 26-Jan-2026'!$A:$R,9,FALSE)/12)*Q134)/1000</f>
        <v>26.133333333333333</v>
      </c>
      <c r="P134" s="55">
        <f>(VLOOKUP($I134,'Old Pricing - end 26-Jan-2026'!$A:$R,8,FALSE)/1000)*(VLOOKUP($I134,'Old Pricing - end 26-Jan-2026'!$A:$R,10,FALSE)/1000)*Q134</f>
        <v>2430.2400000000002</v>
      </c>
      <c r="Q134" s="55">
        <v>800</v>
      </c>
      <c r="R134" s="71">
        <f>$Q134/IFERROR(VLOOKUP($F134&amp;RIGHT($K134,8),'Master Data'!$O$5:$P$10,2,FALSE),'Master Data'!$P$4)</f>
        <v>4</v>
      </c>
      <c r="S134" s="57">
        <f>VLOOKUP($I134,'Old Pricing - end 26-Jan-2026'!$A:$Q,16,FALSE)</f>
        <v>700</v>
      </c>
      <c r="T134" s="57">
        <f>VLOOKUP(I134,'Old Pricing - end 26-Jan-2026'!$A:$O,15,FALSE)</f>
        <v>7.53</v>
      </c>
      <c r="U134" s="57">
        <v>18295.77</v>
      </c>
      <c r="V134" s="111">
        <f t="shared" si="10"/>
        <v>18299.707200000001</v>
      </c>
      <c r="W134" s="55">
        <f>VLOOKUP($I134,'Old Pricing - end 26-Jan-2026'!$A:$R,18,FALSE)</f>
        <v>45</v>
      </c>
    </row>
    <row r="135" spans="1:23" ht="15" hidden="1" thickTop="1" x14ac:dyDescent="0.3">
      <c r="A135" s="55">
        <v>23971953</v>
      </c>
      <c r="B135" s="55">
        <v>0</v>
      </c>
      <c r="C135" s="55" t="str">
        <f>VLOOKUP(A135&amp;"-"&amp;B135,'Order Summary'!$D:$E,2,FALSE)</f>
        <v>Telex / Seaway Released</v>
      </c>
      <c r="D135" s="216">
        <f>IF($A135="","",VLOOKUP($A135&amp;"-"&amp;$B135,'Order Summary'!$D:$U,3,FALSE))</f>
        <v>45792</v>
      </c>
      <c r="E135" s="55" t="str">
        <f>VLOOKUP(A135&amp;"-"&amp;B135,'Order Summary'!$D:$G,4,FALSE)</f>
        <v>Yes</v>
      </c>
      <c r="F135" s="55" t="str">
        <f>VLOOKUP($A135,'Order Summary'!$B:$I,8,FALSE)</f>
        <v>Granger, IN</v>
      </c>
      <c r="G135" s="216">
        <f>IF($A135="","",VLOOKUP($A135&amp;"-"&amp;$B135,'Order Summary'!$D:$U,18,FALSE))</f>
        <v>45959</v>
      </c>
      <c r="H135" s="55">
        <v>4</v>
      </c>
      <c r="I135" s="55">
        <v>694437</v>
      </c>
      <c r="J135" s="55" t="str">
        <f>VLOOKUP($I135,'Old Pricing - end 26-Jan-2026'!$A:$R,2,FALSE)</f>
        <v>G1S 694437</v>
      </c>
      <c r="K135" s="55" t="str">
        <f>VLOOKUP($I135,'Old Pricing - end 26-Jan-2026'!$A:$R,6,FALSE)&amp;" "&amp;VLOOKUP($I135,'Old Pricing - end 26-Jan-2026'!$A:$R,7,FALSE)&amp;""" x "&amp;VLOOKUP($I135,'Old Pricing - end 26-Jan-2026'!$A:$R,9,FALSE)&amp;""" "&amp;VLOOKUP($I135,'Old Pricing - end 26-Jan-2026'!$A:$R,5,FALSE)</f>
        <v>2MM 49" x 108" ACP</v>
      </c>
      <c r="L135" s="55">
        <f>VLOOKUP($I135,'Old Pricing - end 26-Jan-2026'!$A:$K,8,FALSE)</f>
        <v>1245</v>
      </c>
      <c r="M135" s="55">
        <f>VLOOKUP($I135,'Old Pricing - end 26-Jan-2026'!$A:$K,10,FALSE)</f>
        <v>2745</v>
      </c>
      <c r="N135" s="55" t="str">
        <f>VLOOKUP($I135,'Old Pricing - end 26-Jan-2026'!$A:$R,13,FALSE)&amp;" "&amp;VLOOKUP($I135,'Old Pricing - end 26-Jan-2026'!$A:$R,12,FALSE)</f>
        <v>ASC 0069 GLOSSY WHITE</v>
      </c>
      <c r="O135" s="149">
        <f>((VLOOKUP($I135,'Old Pricing - end 26-Jan-2026'!$A:$R,7,FALSE)/12)*(VLOOKUP($I135,'Old Pricing - end 26-Jan-2026'!$A:$R,9,FALSE)/12)*Q135)/1000</f>
        <v>14.7</v>
      </c>
      <c r="P135" s="55">
        <f>(VLOOKUP($I135,'Old Pricing - end 26-Jan-2026'!$A:$R,8,FALSE)/1000)*(VLOOKUP($I135,'Old Pricing - end 26-Jan-2026'!$A:$R,10,FALSE)/1000)*Q135</f>
        <v>1367.0100000000002</v>
      </c>
      <c r="Q135" s="55">
        <v>400</v>
      </c>
      <c r="R135" s="71">
        <f>$Q135/IFERROR(VLOOKUP($F135&amp;RIGHT($K135,8),'Master Data'!$O$5:$P$10,2,FALSE),'Master Data'!$P$4)</f>
        <v>2</v>
      </c>
      <c r="S135" s="57">
        <f>VLOOKUP($I135,'Old Pricing - end 26-Jan-2026'!$A:$Q,16,FALSE)</f>
        <v>700</v>
      </c>
      <c r="T135" s="57">
        <f>VLOOKUP(I135,'Old Pricing - end 26-Jan-2026'!$A:$O,15,FALSE)</f>
        <v>7.53</v>
      </c>
      <c r="U135" s="57">
        <v>10292</v>
      </c>
      <c r="V135" s="111">
        <f t="shared" si="10"/>
        <v>10293.585300000002</v>
      </c>
      <c r="W135" s="55">
        <f>VLOOKUP($I135,'Old Pricing - end 26-Jan-2026'!$A:$R,18,FALSE)</f>
        <v>45</v>
      </c>
    </row>
    <row r="136" spans="1:23" ht="15" hidden="1" thickTop="1" x14ac:dyDescent="0.3">
      <c r="A136" s="55">
        <v>23971953</v>
      </c>
      <c r="B136" s="55">
        <v>0</v>
      </c>
      <c r="C136" s="55" t="str">
        <f>VLOOKUP(A136&amp;"-"&amp;B136,'Order Summary'!$D:$E,2,FALSE)</f>
        <v>Telex / Seaway Released</v>
      </c>
      <c r="D136" s="216">
        <f>IF($A136="","",VLOOKUP($A136&amp;"-"&amp;$B136,'Order Summary'!$D:$U,3,FALSE))</f>
        <v>45792</v>
      </c>
      <c r="E136" s="55" t="str">
        <f>VLOOKUP(A136&amp;"-"&amp;B136,'Order Summary'!$D:$G,4,FALSE)</f>
        <v>Yes</v>
      </c>
      <c r="F136" s="55" t="str">
        <f>VLOOKUP($A136,'Order Summary'!$B:$I,8,FALSE)</f>
        <v>Granger, IN</v>
      </c>
      <c r="G136" s="216">
        <f>IF($A136="","",VLOOKUP($A136&amp;"-"&amp;$B136,'Order Summary'!$D:$U,18,FALSE))</f>
        <v>45959</v>
      </c>
      <c r="H136" s="55">
        <v>5</v>
      </c>
      <c r="I136" s="55">
        <v>694440</v>
      </c>
      <c r="J136" s="55" t="str">
        <f>VLOOKUP($I136,'Old Pricing - end 26-Jan-2026'!$A:$R,2,FALSE)</f>
        <v>G1S 694440</v>
      </c>
      <c r="K136" s="55" t="str">
        <f>VLOOKUP($I136,'Old Pricing - end 26-Jan-2026'!$A:$R,6,FALSE)&amp;" "&amp;VLOOKUP($I136,'Old Pricing - end 26-Jan-2026'!$A:$R,7,FALSE)&amp;""" x "&amp;VLOOKUP($I136,'Old Pricing - end 26-Jan-2026'!$A:$R,9,FALSE)&amp;""" "&amp;VLOOKUP($I136,'Old Pricing - end 26-Jan-2026'!$A:$R,5,FALSE)</f>
        <v>2MM 49" x 96" ACP</v>
      </c>
      <c r="L136" s="55">
        <f>VLOOKUP($I136,'Old Pricing - end 26-Jan-2026'!$A:$K,8,FALSE)</f>
        <v>1245</v>
      </c>
      <c r="M136" s="55">
        <f>VLOOKUP($I136,'Old Pricing - end 26-Jan-2026'!$A:$K,10,FALSE)</f>
        <v>2440</v>
      </c>
      <c r="N136" s="55" t="str">
        <f>VLOOKUP($I136,'Old Pricing - end 26-Jan-2026'!$A:$R,13,FALSE)&amp;" "&amp;VLOOKUP($I136,'Old Pricing - end 26-Jan-2026'!$A:$R,12,FALSE)</f>
        <v>AMC 0103 SILVER FROST</v>
      </c>
      <c r="O136" s="149">
        <f>((VLOOKUP($I136,'Old Pricing - end 26-Jan-2026'!$A:$R,7,FALSE)/12)*(VLOOKUP($I136,'Old Pricing - end 26-Jan-2026'!$A:$R,9,FALSE)/12)*Q136)/1000</f>
        <v>6.5333333333333332</v>
      </c>
      <c r="P136" s="55">
        <f>(VLOOKUP($I136,'Old Pricing - end 26-Jan-2026'!$A:$R,8,FALSE)/1000)*(VLOOKUP($I136,'Old Pricing - end 26-Jan-2026'!$A:$R,10,FALSE)/1000)*Q136</f>
        <v>607.56000000000006</v>
      </c>
      <c r="Q136" s="55">
        <v>200</v>
      </c>
      <c r="R136" s="71">
        <f>$Q136/IFERROR(VLOOKUP($F136&amp;RIGHT($K136,8),'Master Data'!$O$5:$P$10,2,FALSE),'Master Data'!$P$4)</f>
        <v>1</v>
      </c>
      <c r="S136" s="57">
        <f>VLOOKUP($I136,'Old Pricing - end 26-Jan-2026'!$A:$Q,16,FALSE)</f>
        <v>700</v>
      </c>
      <c r="T136" s="57">
        <f>VLOOKUP(I136,'Old Pricing - end 26-Jan-2026'!$A:$O,15,FALSE)</f>
        <v>7.53</v>
      </c>
      <c r="U136" s="57">
        <v>4573.7700000000004</v>
      </c>
      <c r="V136" s="111">
        <f t="shared" si="10"/>
        <v>4574.9268000000002</v>
      </c>
      <c r="W136" s="55">
        <f>VLOOKUP($I136,'Old Pricing - end 26-Jan-2026'!$A:$R,18,FALSE)</f>
        <v>90</v>
      </c>
    </row>
    <row r="137" spans="1:23" ht="15" hidden="1" thickTop="1" x14ac:dyDescent="0.3">
      <c r="A137" s="55">
        <v>23971953</v>
      </c>
      <c r="B137" s="55">
        <v>0</v>
      </c>
      <c r="C137" s="55" t="str">
        <f>VLOOKUP(A137&amp;"-"&amp;B137,'Order Summary'!$D:$E,2,FALSE)</f>
        <v>Telex / Seaway Released</v>
      </c>
      <c r="D137" s="216">
        <f>IF($A137="","",VLOOKUP($A137&amp;"-"&amp;$B137,'Order Summary'!$D:$U,3,FALSE))</f>
        <v>45792</v>
      </c>
      <c r="E137" s="55" t="str">
        <f>VLOOKUP(A137&amp;"-"&amp;B137,'Order Summary'!$D:$G,4,FALSE)</f>
        <v>Yes</v>
      </c>
      <c r="F137" s="55" t="str">
        <f>VLOOKUP($A137,'Order Summary'!$B:$I,8,FALSE)</f>
        <v>Granger, IN</v>
      </c>
      <c r="G137" s="216">
        <f>IF($A137="","",VLOOKUP($A137&amp;"-"&amp;$B137,'Order Summary'!$D:$U,18,FALSE))</f>
        <v>45959</v>
      </c>
      <c r="H137" s="55">
        <v>6</v>
      </c>
      <c r="I137" s="55">
        <v>694441</v>
      </c>
      <c r="J137" s="55" t="str">
        <f>VLOOKUP($I137,'Old Pricing - end 26-Jan-2026'!$A:$R,2,FALSE)</f>
        <v>G1S 694441</v>
      </c>
      <c r="K137" s="55" t="str">
        <f>VLOOKUP($I137,'Old Pricing - end 26-Jan-2026'!$A:$R,6,FALSE)&amp;" "&amp;VLOOKUP($I137,'Old Pricing - end 26-Jan-2026'!$A:$R,7,FALSE)&amp;""" x "&amp;VLOOKUP($I137,'Old Pricing - end 26-Jan-2026'!$A:$R,9,FALSE)&amp;""" "&amp;VLOOKUP($I137,'Old Pricing - end 26-Jan-2026'!$A:$R,5,FALSE)</f>
        <v>2MM 49" x 108" ACP</v>
      </c>
      <c r="L137" s="55">
        <f>VLOOKUP($I137,'Old Pricing - end 26-Jan-2026'!$A:$K,8,FALSE)</f>
        <v>1245</v>
      </c>
      <c r="M137" s="55">
        <f>VLOOKUP($I137,'Old Pricing - end 26-Jan-2026'!$A:$K,10,FALSE)</f>
        <v>2745</v>
      </c>
      <c r="N137" s="55" t="str">
        <f>VLOOKUP($I137,'Old Pricing - end 26-Jan-2026'!$A:$R,13,FALSE)&amp;" "&amp;VLOOKUP($I137,'Old Pricing - end 26-Jan-2026'!$A:$R,12,FALSE)</f>
        <v>AMC 0103 SILVER FROST</v>
      </c>
      <c r="O137" s="149">
        <f>((VLOOKUP($I137,'Old Pricing - end 26-Jan-2026'!$A:$R,7,FALSE)/12)*(VLOOKUP($I137,'Old Pricing - end 26-Jan-2026'!$A:$R,9,FALSE)/12)*Q137)/1000</f>
        <v>7.35</v>
      </c>
      <c r="P137" s="55">
        <f>(VLOOKUP($I137,'Old Pricing - end 26-Jan-2026'!$A:$R,8,FALSE)/1000)*(VLOOKUP($I137,'Old Pricing - end 26-Jan-2026'!$A:$R,10,FALSE)/1000)*Q137</f>
        <v>683.50500000000011</v>
      </c>
      <c r="Q137" s="55">
        <v>200</v>
      </c>
      <c r="R137" s="71">
        <f>$Q137/IFERROR(VLOOKUP($F137&amp;RIGHT($K137,8),'Master Data'!$O$5:$P$10,2,FALSE),'Master Data'!$P$4)</f>
        <v>1</v>
      </c>
      <c r="S137" s="57">
        <f>VLOOKUP($I137,'Old Pricing - end 26-Jan-2026'!$A:$Q,16,FALSE)</f>
        <v>700</v>
      </c>
      <c r="T137" s="57">
        <f>VLOOKUP(I137,'Old Pricing - end 26-Jan-2026'!$A:$O,15,FALSE)</f>
        <v>7.53</v>
      </c>
      <c r="U137" s="57">
        <v>5146</v>
      </c>
      <c r="V137" s="111">
        <f t="shared" si="10"/>
        <v>5146.7926500000012</v>
      </c>
      <c r="W137" s="55">
        <f>VLOOKUP($I137,'Old Pricing - end 26-Jan-2026'!$A:$R,18,FALSE)</f>
        <v>90</v>
      </c>
    </row>
    <row r="138" spans="1:23" ht="15" hidden="1" thickTop="1" x14ac:dyDescent="0.3">
      <c r="A138" s="55">
        <v>23971953</v>
      </c>
      <c r="B138" s="55">
        <v>0</v>
      </c>
      <c r="C138" s="55" t="str">
        <f>VLOOKUP(A138&amp;"-"&amp;B138,'Order Summary'!$D:$E,2,FALSE)</f>
        <v>Telex / Seaway Released</v>
      </c>
      <c r="D138" s="216">
        <f>IF($A138="","",VLOOKUP($A138&amp;"-"&amp;$B138,'Order Summary'!$D:$U,3,FALSE))</f>
        <v>45792</v>
      </c>
      <c r="E138" s="55" t="str">
        <f>VLOOKUP(A138&amp;"-"&amp;B138,'Order Summary'!$D:$G,4,FALSE)</f>
        <v>Yes</v>
      </c>
      <c r="F138" s="55" t="str">
        <f>VLOOKUP($A138,'Order Summary'!$B:$I,8,FALSE)</f>
        <v>Granger, IN</v>
      </c>
      <c r="G138" s="216">
        <f>IF($A138="","",VLOOKUP($A138&amp;"-"&amp;$B138,'Order Summary'!$D:$U,18,FALSE))</f>
        <v>45959</v>
      </c>
      <c r="H138" s="55">
        <v>7</v>
      </c>
      <c r="I138" s="55">
        <v>694444</v>
      </c>
      <c r="J138" s="55" t="str">
        <f>VLOOKUP($I138,'Old Pricing - end 26-Jan-2026'!$A:$R,2,FALSE)</f>
        <v>G1S 694444</v>
      </c>
      <c r="K138" s="55" t="str">
        <f>VLOOKUP($I138,'Old Pricing - end 26-Jan-2026'!$A:$R,6,FALSE)&amp;" "&amp;VLOOKUP($I138,'Old Pricing - end 26-Jan-2026'!$A:$R,7,FALSE)&amp;""" x "&amp;VLOOKUP($I138,'Old Pricing - end 26-Jan-2026'!$A:$R,9,FALSE)&amp;""" "&amp;VLOOKUP($I138,'Old Pricing - end 26-Jan-2026'!$A:$R,5,FALSE)</f>
        <v>2MM 49" x 96" ACP</v>
      </c>
      <c r="L138" s="55">
        <f>VLOOKUP($I138,'Old Pricing - end 26-Jan-2026'!$A:$K,8,FALSE)</f>
        <v>1245</v>
      </c>
      <c r="M138" s="55">
        <f>VLOOKUP($I138,'Old Pricing - end 26-Jan-2026'!$A:$K,10,FALSE)</f>
        <v>2440</v>
      </c>
      <c r="N138" s="55" t="str">
        <f>VLOOKUP($I138,'Old Pricing - end 26-Jan-2026'!$A:$R,13,FALSE)&amp;" "&amp;VLOOKUP($I138,'Old Pricing - end 26-Jan-2026'!$A:$R,12,FALSE)</f>
        <v>AMC 0086 CHARCOAL METALLIC</v>
      </c>
      <c r="O138" s="149">
        <f>((VLOOKUP($I138,'Old Pricing - end 26-Jan-2026'!$A:$R,7,FALSE)/12)*(VLOOKUP($I138,'Old Pricing - end 26-Jan-2026'!$A:$R,9,FALSE)/12)*Q138)/1000</f>
        <v>6.5333333333333332</v>
      </c>
      <c r="P138" s="55">
        <f>(VLOOKUP($I138,'Old Pricing - end 26-Jan-2026'!$A:$R,8,FALSE)/1000)*(VLOOKUP($I138,'Old Pricing - end 26-Jan-2026'!$A:$R,10,FALSE)/1000)*Q138</f>
        <v>607.56000000000006</v>
      </c>
      <c r="Q138" s="55">
        <v>200</v>
      </c>
      <c r="R138" s="71">
        <f>$Q138/IFERROR(VLOOKUP($F138&amp;RIGHT($K138,8),'Master Data'!$O$5:$P$10,2,FALSE),'Master Data'!$P$4)</f>
        <v>1</v>
      </c>
      <c r="S138" s="57">
        <f>VLOOKUP($I138,'Old Pricing - end 26-Jan-2026'!$A:$Q,16,FALSE)</f>
        <v>750</v>
      </c>
      <c r="T138" s="57">
        <f>VLOOKUP(I138,'Old Pricing - end 26-Jan-2026'!$A:$O,15,FALSE)</f>
        <v>8.07</v>
      </c>
      <c r="U138" s="57">
        <v>4573.7700000000004</v>
      </c>
      <c r="V138" s="111">
        <f t="shared" si="10"/>
        <v>4903.0092000000004</v>
      </c>
      <c r="W138" s="55">
        <f>VLOOKUP($I138,'Old Pricing - end 26-Jan-2026'!$A:$R,18,FALSE)</f>
        <v>45</v>
      </c>
    </row>
    <row r="139" spans="1:23" ht="15" hidden="1" thickTop="1" x14ac:dyDescent="0.3">
      <c r="A139" s="55">
        <v>23971953</v>
      </c>
      <c r="B139" s="55">
        <v>0</v>
      </c>
      <c r="C139" s="55" t="str">
        <f>VLOOKUP(A139&amp;"-"&amp;B139,'Order Summary'!$D:$E,2,FALSE)</f>
        <v>Telex / Seaway Released</v>
      </c>
      <c r="D139" s="216">
        <f>IF($A139="","",VLOOKUP($A139&amp;"-"&amp;$B139,'Order Summary'!$D:$U,3,FALSE))</f>
        <v>45792</v>
      </c>
      <c r="E139" s="55" t="str">
        <f>VLOOKUP(A139&amp;"-"&amp;B139,'Order Summary'!$D:$G,4,FALSE)</f>
        <v>Yes</v>
      </c>
      <c r="F139" s="55" t="str">
        <f>VLOOKUP($A139,'Order Summary'!$B:$I,8,FALSE)</f>
        <v>Granger, IN</v>
      </c>
      <c r="G139" s="216">
        <f>IF($A139="","",VLOOKUP($A139&amp;"-"&amp;$B139,'Order Summary'!$D:$U,18,FALSE))</f>
        <v>45959</v>
      </c>
      <c r="H139" s="55">
        <v>8</v>
      </c>
      <c r="I139" s="55">
        <v>694445</v>
      </c>
      <c r="J139" s="55" t="str">
        <f>VLOOKUP($I139,'Old Pricing - end 26-Jan-2026'!$A:$R,2,FALSE)</f>
        <v>G1S 694445</v>
      </c>
      <c r="K139" s="55" t="str">
        <f>VLOOKUP($I139,'Old Pricing - end 26-Jan-2026'!$A:$R,6,FALSE)&amp;" "&amp;VLOOKUP($I139,'Old Pricing - end 26-Jan-2026'!$A:$R,7,FALSE)&amp;""" x "&amp;VLOOKUP($I139,'Old Pricing - end 26-Jan-2026'!$A:$R,9,FALSE)&amp;""" "&amp;VLOOKUP($I139,'Old Pricing - end 26-Jan-2026'!$A:$R,5,FALSE)</f>
        <v>2MM 49" x 108" ACP</v>
      </c>
      <c r="L139" s="55">
        <f>VLOOKUP($I139,'Old Pricing - end 26-Jan-2026'!$A:$K,8,FALSE)</f>
        <v>1245</v>
      </c>
      <c r="M139" s="55">
        <f>VLOOKUP($I139,'Old Pricing - end 26-Jan-2026'!$A:$K,10,FALSE)</f>
        <v>2745</v>
      </c>
      <c r="N139" s="55" t="str">
        <f>VLOOKUP($I139,'Old Pricing - end 26-Jan-2026'!$A:$R,13,FALSE)&amp;" "&amp;VLOOKUP($I139,'Old Pricing - end 26-Jan-2026'!$A:$R,12,FALSE)</f>
        <v>AMC 0086 CHARCOAL METALLIC</v>
      </c>
      <c r="O139" s="149">
        <f>((VLOOKUP($I139,'Old Pricing - end 26-Jan-2026'!$A:$R,7,FALSE)/12)*(VLOOKUP($I139,'Old Pricing - end 26-Jan-2026'!$A:$R,9,FALSE)/12)*Q139)/1000</f>
        <v>7.35</v>
      </c>
      <c r="P139" s="55">
        <f>(VLOOKUP($I139,'Old Pricing - end 26-Jan-2026'!$A:$R,8,FALSE)/1000)*(VLOOKUP($I139,'Old Pricing - end 26-Jan-2026'!$A:$R,10,FALSE)/1000)*Q139</f>
        <v>683.50500000000011</v>
      </c>
      <c r="Q139" s="55">
        <v>200</v>
      </c>
      <c r="R139" s="71">
        <f>$Q139/IFERROR(VLOOKUP($F139&amp;RIGHT($K139,8),'Master Data'!$O$5:$P$10,2,FALSE),'Master Data'!$P$4)</f>
        <v>1</v>
      </c>
      <c r="S139" s="57">
        <f>VLOOKUP($I139,'Old Pricing - end 26-Jan-2026'!$A:$Q,16,FALSE)</f>
        <v>750</v>
      </c>
      <c r="T139" s="57">
        <f>VLOOKUP(I139,'Old Pricing - end 26-Jan-2026'!$A:$O,15,FALSE)</f>
        <v>8.07</v>
      </c>
      <c r="U139" s="57">
        <v>5146</v>
      </c>
      <c r="V139" s="111">
        <f t="shared" si="10"/>
        <v>5515.8853500000014</v>
      </c>
      <c r="W139" s="55">
        <f>VLOOKUP($I139,'Old Pricing - end 26-Jan-2026'!$A:$R,18,FALSE)</f>
        <v>45</v>
      </c>
    </row>
    <row r="140" spans="1:23" ht="15" hidden="1" thickTop="1" x14ac:dyDescent="0.3">
      <c r="A140" s="55">
        <v>23971983</v>
      </c>
      <c r="B140" s="55">
        <v>0</v>
      </c>
      <c r="C140" s="55" t="str">
        <f>VLOOKUP(A140&amp;"-"&amp;B140,'Order Summary'!$D:$E,2,FALSE)</f>
        <v>Telex / Seaway Released</v>
      </c>
      <c r="D140" s="216">
        <f>IF($A140="","",VLOOKUP($A140&amp;"-"&amp;$B140,'Order Summary'!$D:$U,3,FALSE))</f>
        <v>45792</v>
      </c>
      <c r="E140" s="55" t="str">
        <f>VLOOKUP(A140&amp;"-"&amp;B140,'Order Summary'!$D:$G,4,FALSE)</f>
        <v>Yes</v>
      </c>
      <c r="F140" s="55" t="str">
        <f>VLOOKUP($A140,'Order Summary'!$B:$I,8,FALSE)</f>
        <v>Granger, IN</v>
      </c>
      <c r="G140" s="216">
        <f>IF($A140="","",VLOOKUP($A140&amp;"-"&amp;$B140,'Order Summary'!$D:$U,18,FALSE))</f>
        <v>45959</v>
      </c>
      <c r="H140" s="55">
        <v>1</v>
      </c>
      <c r="I140" s="55">
        <v>694440</v>
      </c>
      <c r="J140" s="55" t="str">
        <f>VLOOKUP($I140,'Old Pricing - end 26-Jan-2026'!$A:$R,2,FALSE)</f>
        <v>G1S 694440</v>
      </c>
      <c r="K140" s="55" t="str">
        <f>VLOOKUP($I140,'Old Pricing - end 26-Jan-2026'!$A:$R,6,FALSE)&amp;" "&amp;VLOOKUP($I140,'Old Pricing - end 26-Jan-2026'!$A:$R,7,FALSE)&amp;""" x "&amp;VLOOKUP($I140,'Old Pricing - end 26-Jan-2026'!$A:$R,9,FALSE)&amp;""" "&amp;VLOOKUP($I140,'Old Pricing - end 26-Jan-2026'!$A:$R,5,FALSE)</f>
        <v>2MM 49" x 96" ACP</v>
      </c>
      <c r="L140" s="55">
        <f>VLOOKUP($I140,'Old Pricing - end 26-Jan-2026'!$A:$K,8,FALSE)</f>
        <v>1245</v>
      </c>
      <c r="M140" s="55">
        <f>VLOOKUP($I140,'Old Pricing - end 26-Jan-2026'!$A:$K,10,FALSE)</f>
        <v>2440</v>
      </c>
      <c r="N140" s="55" t="str">
        <f>VLOOKUP($I140,'Old Pricing - end 26-Jan-2026'!$A:$R,13,FALSE)&amp;" "&amp;VLOOKUP($I140,'Old Pricing - end 26-Jan-2026'!$A:$R,12,FALSE)</f>
        <v>AMC 0103 SILVER FROST</v>
      </c>
      <c r="O140" s="149">
        <f>((VLOOKUP($I140,'Old Pricing - end 26-Jan-2026'!$A:$R,7,FALSE)/12)*(VLOOKUP($I140,'Old Pricing - end 26-Jan-2026'!$A:$R,9,FALSE)/12)*Q140)/1000</f>
        <v>45.733333333333327</v>
      </c>
      <c r="P140" s="55">
        <f>(VLOOKUP($I140,'Old Pricing - end 26-Jan-2026'!$A:$R,8,FALSE)/1000)*(VLOOKUP($I140,'Old Pricing - end 26-Jan-2026'!$A:$R,10,FALSE)/1000)*Q140</f>
        <v>4252.92</v>
      </c>
      <c r="Q140" s="55">
        <v>1400</v>
      </c>
      <c r="R140" s="71">
        <f>$Q140/IFERROR(VLOOKUP($F140&amp;RIGHT($K140,8),'Master Data'!$O$5:$P$10,2,FALSE),'Master Data'!$P$4)</f>
        <v>7</v>
      </c>
      <c r="S140" s="57">
        <f>VLOOKUP($I140,'Old Pricing - end 26-Jan-2026'!$A:$Q,16,FALSE)</f>
        <v>700</v>
      </c>
      <c r="T140" s="57">
        <f>VLOOKUP(I140,'Old Pricing - end 26-Jan-2026'!$A:$O,15,FALSE)</f>
        <v>7.53</v>
      </c>
      <c r="U140" s="57">
        <v>32017.77</v>
      </c>
      <c r="V140" s="111">
        <f>P140*T140</f>
        <v>32024.4876</v>
      </c>
      <c r="W140" s="55">
        <f>VLOOKUP($I140,'Old Pricing - end 26-Jan-2026'!$A:$R,18,FALSE)</f>
        <v>90</v>
      </c>
    </row>
    <row r="141" spans="1:23" ht="15" hidden="1" thickTop="1" x14ac:dyDescent="0.3">
      <c r="A141" s="55">
        <v>23971983</v>
      </c>
      <c r="B141" s="55">
        <v>0</v>
      </c>
      <c r="C141" s="55" t="str">
        <f>VLOOKUP(A141&amp;"-"&amp;B141,'Order Summary'!$D:$E,2,FALSE)</f>
        <v>Telex / Seaway Released</v>
      </c>
      <c r="D141" s="216">
        <f>IF($A141="","",VLOOKUP($A141&amp;"-"&amp;$B141,'Order Summary'!$D:$U,3,FALSE))</f>
        <v>45792</v>
      </c>
      <c r="E141" s="55" t="str">
        <f>VLOOKUP(A141&amp;"-"&amp;B141,'Order Summary'!$D:$G,4,FALSE)</f>
        <v>Yes</v>
      </c>
      <c r="F141" s="55" t="str">
        <f>VLOOKUP($A141,'Order Summary'!$B:$I,8,FALSE)</f>
        <v>Granger, IN</v>
      </c>
      <c r="G141" s="216">
        <f>IF($A141="","",VLOOKUP($A141&amp;"-"&amp;$B141,'Order Summary'!$D:$U,18,FALSE))</f>
        <v>45959</v>
      </c>
      <c r="H141" s="55">
        <v>2</v>
      </c>
      <c r="I141" s="55">
        <v>694444</v>
      </c>
      <c r="J141" s="55" t="str">
        <f>VLOOKUP($I141,'Old Pricing - end 26-Jan-2026'!$A:$R,2,FALSE)</f>
        <v>G1S 694444</v>
      </c>
      <c r="K141" s="55" t="str">
        <f>VLOOKUP($I141,'Old Pricing - end 26-Jan-2026'!$A:$R,6,FALSE)&amp;" "&amp;VLOOKUP($I141,'Old Pricing - end 26-Jan-2026'!$A:$R,7,FALSE)&amp;""" x "&amp;VLOOKUP($I141,'Old Pricing - end 26-Jan-2026'!$A:$R,9,FALSE)&amp;""" "&amp;VLOOKUP($I141,'Old Pricing - end 26-Jan-2026'!$A:$R,5,FALSE)</f>
        <v>2MM 49" x 96" ACP</v>
      </c>
      <c r="L141" s="55">
        <f>VLOOKUP($I141,'Old Pricing - end 26-Jan-2026'!$A:$K,8,FALSE)</f>
        <v>1245</v>
      </c>
      <c r="M141" s="55">
        <f>VLOOKUP($I141,'Old Pricing - end 26-Jan-2026'!$A:$K,10,FALSE)</f>
        <v>2440</v>
      </c>
      <c r="N141" s="55" t="str">
        <f>VLOOKUP($I141,'Old Pricing - end 26-Jan-2026'!$A:$R,13,FALSE)&amp;" "&amp;VLOOKUP($I141,'Old Pricing - end 26-Jan-2026'!$A:$R,12,FALSE)</f>
        <v>AMC 0086 CHARCOAL METALLIC</v>
      </c>
      <c r="O141" s="149">
        <f>((VLOOKUP($I141,'Old Pricing - end 26-Jan-2026'!$A:$R,7,FALSE)/12)*(VLOOKUP($I141,'Old Pricing - end 26-Jan-2026'!$A:$R,9,FALSE)/12)*Q141)/1000</f>
        <v>45.733333333333327</v>
      </c>
      <c r="P141" s="55">
        <f>(VLOOKUP($I141,'Old Pricing - end 26-Jan-2026'!$A:$R,8,FALSE)/1000)*(VLOOKUP($I141,'Old Pricing - end 26-Jan-2026'!$A:$R,10,FALSE)/1000)*Q141</f>
        <v>4252.92</v>
      </c>
      <c r="Q141" s="55">
        <v>1400</v>
      </c>
      <c r="R141" s="71">
        <f>$Q141/IFERROR(VLOOKUP($F141&amp;RIGHT($K141,8),'Master Data'!$O$5:$P$10,2,FALSE),'Master Data'!$P$4)</f>
        <v>7</v>
      </c>
      <c r="S141" s="57">
        <f>VLOOKUP($I141,'Old Pricing - end 26-Jan-2026'!$A:$Q,16,FALSE)</f>
        <v>750</v>
      </c>
      <c r="T141" s="57">
        <f>VLOOKUP(I141,'Old Pricing - end 26-Jan-2026'!$A:$O,15,FALSE)</f>
        <v>8.07</v>
      </c>
      <c r="U141" s="57">
        <v>32017.77</v>
      </c>
      <c r="V141" s="111">
        <f t="shared" si="10"/>
        <v>34321.064400000003</v>
      </c>
      <c r="W141" s="55">
        <f>VLOOKUP($I141,'Old Pricing - end 26-Jan-2026'!$A:$R,18,FALSE)</f>
        <v>45</v>
      </c>
    </row>
    <row r="142" spans="1:23" ht="15" hidden="1" thickTop="1" x14ac:dyDescent="0.3">
      <c r="A142" s="55">
        <v>24011436</v>
      </c>
      <c r="B142" s="55">
        <v>0</v>
      </c>
      <c r="C142" s="55" t="str">
        <f>VLOOKUP(A142&amp;"-"&amp;B142,'Order Summary'!$D:$E,2,FALSE)</f>
        <v>Telex / Seaway Released</v>
      </c>
      <c r="D142" s="216">
        <f>IF($A142="","",VLOOKUP($A142&amp;"-"&amp;$B142,'Order Summary'!$D:$U,3,FALSE))</f>
        <v>45792</v>
      </c>
      <c r="E142" s="55" t="str">
        <f>VLOOKUP(A142&amp;"-"&amp;B142,'Order Summary'!$D:$G,4,FALSE)</f>
        <v>Yes</v>
      </c>
      <c r="F142" s="55" t="str">
        <f>VLOOKUP($A142,'Order Summary'!$B:$I,8,FALSE)</f>
        <v>Gordon, PA</v>
      </c>
      <c r="G142" s="216">
        <f>IF($A142="","",VLOOKUP($A142&amp;"-"&amp;$B142,'Order Summary'!$D:$U,18,FALSE))</f>
        <v>45987</v>
      </c>
      <c r="H142" s="55">
        <v>1</v>
      </c>
      <c r="I142" s="55">
        <v>694432</v>
      </c>
      <c r="J142" s="55" t="str">
        <f>VLOOKUP($I142,'Old Pricing - end 26-Jan-2026'!$A:$R,2,FALSE)</f>
        <v>G1S 694432</v>
      </c>
      <c r="K142" s="55" t="str">
        <f>VLOOKUP($I142,'Old Pricing - end 26-Jan-2026'!$A:$R,6,FALSE)&amp;" "&amp;VLOOKUP($I142,'Old Pricing - end 26-Jan-2026'!$A:$R,7,FALSE)&amp;""" x "&amp;VLOOKUP($I142,'Old Pricing - end 26-Jan-2026'!$A:$R,9,FALSE)&amp;""" "&amp;VLOOKUP($I142,'Old Pricing - end 26-Jan-2026'!$A:$R,5,FALSE)</f>
        <v>2MM 49" x 96" ACP</v>
      </c>
      <c r="L142" s="55">
        <f>VLOOKUP($I142,'Old Pricing - end 26-Jan-2026'!$A:$K,8,FALSE)</f>
        <v>1245</v>
      </c>
      <c r="M142" s="55">
        <f>VLOOKUP($I142,'Old Pricing - end 26-Jan-2026'!$A:$K,10,FALSE)</f>
        <v>2440</v>
      </c>
      <c r="N142" s="55" t="str">
        <f>VLOOKUP($I142,'Old Pricing - end 26-Jan-2026'!$A:$R,13,FALSE)&amp;" "&amp;VLOOKUP($I142,'Old Pricing - end 26-Jan-2026'!$A:$R,12,FALSE)</f>
        <v>ASC 0096 GLOSSY BLACK</v>
      </c>
      <c r="O142" s="56">
        <v>26.132999999999999</v>
      </c>
      <c r="P142" s="55">
        <f>(VLOOKUP($I142,'Old Pricing - end 26-Jan-2026'!$A:$R,8,FALSE)/1000)*(VLOOKUP($I142,'Old Pricing - end 26-Jan-2026'!$A:$R,10,FALSE)/1000)*Q142</f>
        <v>2430.2400000000002</v>
      </c>
      <c r="Q142" s="55">
        <f>ROUND(('Order Details'!$O142*1000)/((VLOOKUP($I142,'Old Pricing - end 26-Jan-2026'!$A:$Q,7,FALSE)/12)*(VLOOKUP($I142,'Old Pricing - end 26-Jan-2026'!$A:$Q,9,FALSE)/12))/5,0)*5</f>
        <v>800</v>
      </c>
      <c r="R142" s="71">
        <f>$Q142/IFERROR(VLOOKUP($F142&amp;RIGHT($K142,8),'Master Data'!$O$5:$P$10,2,FALSE),'Master Data'!$P$4)</f>
        <v>4</v>
      </c>
      <c r="S142" s="57">
        <f>VLOOKUP($I142,'Old Pricing - end 26-Jan-2026'!$A:$Q,16,FALSE)</f>
        <v>700</v>
      </c>
      <c r="T142" s="57">
        <f>VLOOKUP(I142,'Old Pricing - end 26-Jan-2026'!$A:$O,15,FALSE)</f>
        <v>7.53</v>
      </c>
      <c r="U142" s="57">
        <f t="shared" si="9"/>
        <v>18293.099999999999</v>
      </c>
      <c r="V142" s="111">
        <f t="shared" si="10"/>
        <v>18299.707200000001</v>
      </c>
      <c r="W142" s="55">
        <f>VLOOKUP($I142,'Old Pricing - end 26-Jan-2026'!$A:$R,18,FALSE)</f>
        <v>45</v>
      </c>
    </row>
    <row r="143" spans="1:23" ht="15" hidden="1" thickTop="1" x14ac:dyDescent="0.3">
      <c r="A143" s="55">
        <v>24011436</v>
      </c>
      <c r="B143" s="55">
        <v>0</v>
      </c>
      <c r="C143" s="55" t="str">
        <f>VLOOKUP(A143&amp;"-"&amp;B143,'Order Summary'!$D:$E,2,FALSE)</f>
        <v>Telex / Seaway Released</v>
      </c>
      <c r="D143" s="216">
        <f>IF($A143="","",VLOOKUP($A143&amp;"-"&amp;$B143,'Order Summary'!$D:$U,3,FALSE))</f>
        <v>45792</v>
      </c>
      <c r="E143" s="55" t="str">
        <f>VLOOKUP(A143&amp;"-"&amp;B143,'Order Summary'!$D:$G,4,FALSE)</f>
        <v>Yes</v>
      </c>
      <c r="F143" s="55" t="str">
        <f>VLOOKUP($A143,'Order Summary'!$B:$I,8,FALSE)</f>
        <v>Gordon, PA</v>
      </c>
      <c r="G143" s="216">
        <f>IF($A143="","",VLOOKUP($A143&amp;"-"&amp;$B143,'Order Summary'!$D:$U,18,FALSE))</f>
        <v>45987</v>
      </c>
      <c r="H143" s="55">
        <v>2</v>
      </c>
      <c r="I143" s="55">
        <v>694432</v>
      </c>
      <c r="J143" s="55" t="str">
        <f>VLOOKUP($I143,'Old Pricing - end 26-Jan-2026'!$A:$R,2,FALSE)</f>
        <v>G1S 694432</v>
      </c>
      <c r="K143" s="55" t="str">
        <f>VLOOKUP($I143,'Old Pricing - end 26-Jan-2026'!$A:$R,6,FALSE)&amp;" "&amp;VLOOKUP($I143,'Old Pricing - end 26-Jan-2026'!$A:$R,7,FALSE)&amp;""" x "&amp;VLOOKUP($I143,'Old Pricing - end 26-Jan-2026'!$A:$R,9,FALSE)&amp;""" "&amp;VLOOKUP($I143,'Old Pricing - end 26-Jan-2026'!$A:$R,5,FALSE)</f>
        <v>2MM 49" x 96" ACP</v>
      </c>
      <c r="L143" s="55">
        <f>VLOOKUP($I143,'Old Pricing - end 26-Jan-2026'!$A:$K,8,FALSE)</f>
        <v>1245</v>
      </c>
      <c r="M143" s="55">
        <f>VLOOKUP($I143,'Old Pricing - end 26-Jan-2026'!$A:$K,10,FALSE)</f>
        <v>2440</v>
      </c>
      <c r="N143" s="55" t="str">
        <f>VLOOKUP($I143,'Old Pricing - end 26-Jan-2026'!$A:$R,13,FALSE)&amp;" "&amp;VLOOKUP($I143,'Old Pricing - end 26-Jan-2026'!$A:$R,12,FALSE)</f>
        <v>ASC 0096 GLOSSY BLACK</v>
      </c>
      <c r="O143" s="56">
        <v>26.132999999999999</v>
      </c>
      <c r="P143" s="55">
        <f>(VLOOKUP($I143,'Old Pricing - end 26-Jan-2026'!$A:$R,8,FALSE)/1000)*(VLOOKUP($I143,'Old Pricing - end 26-Jan-2026'!$A:$R,10,FALSE)/1000)*Q143</f>
        <v>2430.2400000000002</v>
      </c>
      <c r="Q143" s="55">
        <f>ROUND(('Order Details'!$O143*1000)/((VLOOKUP($I143,'Old Pricing - end 26-Jan-2026'!$A:$Q,7,FALSE)/12)*(VLOOKUP($I143,'Old Pricing - end 26-Jan-2026'!$A:$Q,9,FALSE)/12))/5,0)*5</f>
        <v>800</v>
      </c>
      <c r="R143" s="71">
        <f>$Q143/IFERROR(VLOOKUP($F143&amp;RIGHT($K143,8),'Master Data'!$O$5:$P$10,2,FALSE),'Master Data'!$P$4)</f>
        <v>4</v>
      </c>
      <c r="S143" s="57">
        <f>VLOOKUP($I143,'Old Pricing - end 26-Jan-2026'!$A:$Q,16,FALSE)</f>
        <v>700</v>
      </c>
      <c r="T143" s="57">
        <f>VLOOKUP(I143,'Old Pricing - end 26-Jan-2026'!$A:$O,15,FALSE)</f>
        <v>7.53</v>
      </c>
      <c r="U143" s="57">
        <f t="shared" si="9"/>
        <v>18293.099999999999</v>
      </c>
      <c r="V143" s="111">
        <f t="shared" si="10"/>
        <v>18299.707200000001</v>
      </c>
      <c r="W143" s="55">
        <f>VLOOKUP($I143,'Old Pricing - end 26-Jan-2026'!$A:$R,18,FALSE)</f>
        <v>45</v>
      </c>
    </row>
    <row r="144" spans="1:23" ht="15" hidden="1" thickTop="1" x14ac:dyDescent="0.3">
      <c r="A144" s="55">
        <v>24011436</v>
      </c>
      <c r="B144" s="55">
        <v>0</v>
      </c>
      <c r="C144" s="55" t="str">
        <f>VLOOKUP(A144&amp;"-"&amp;B144,'Order Summary'!$D:$E,2,FALSE)</f>
        <v>Telex / Seaway Released</v>
      </c>
      <c r="D144" s="216">
        <f>IF($A144="","",VLOOKUP($A144&amp;"-"&amp;$B144,'Order Summary'!$D:$U,3,FALSE))</f>
        <v>45792</v>
      </c>
      <c r="E144" s="55" t="str">
        <f>VLOOKUP(A144&amp;"-"&amp;B144,'Order Summary'!$D:$G,4,FALSE)</f>
        <v>Yes</v>
      </c>
      <c r="F144" s="55" t="str">
        <f>VLOOKUP($A144,'Order Summary'!$B:$I,8,FALSE)</f>
        <v>Gordon, PA</v>
      </c>
      <c r="G144" s="216">
        <f>IF($A144="","",VLOOKUP($A144&amp;"-"&amp;$B144,'Order Summary'!$D:$U,18,FALSE))</f>
        <v>45987</v>
      </c>
      <c r="H144" s="55">
        <v>3</v>
      </c>
      <c r="I144" s="55">
        <v>694440</v>
      </c>
      <c r="J144" s="55" t="str">
        <f>VLOOKUP($I144,'Old Pricing - end 26-Jan-2026'!$A:$R,2,FALSE)</f>
        <v>G1S 694440</v>
      </c>
      <c r="K144" s="55" t="str">
        <f>VLOOKUP($I144,'Old Pricing - end 26-Jan-2026'!$A:$R,6,FALSE)&amp;" "&amp;VLOOKUP($I144,'Old Pricing - end 26-Jan-2026'!$A:$R,7,FALSE)&amp;""" x "&amp;VLOOKUP($I144,'Old Pricing - end 26-Jan-2026'!$A:$R,9,FALSE)&amp;""" "&amp;VLOOKUP($I144,'Old Pricing - end 26-Jan-2026'!$A:$R,5,FALSE)</f>
        <v>2MM 49" x 96" ACP</v>
      </c>
      <c r="L144" s="55">
        <f>VLOOKUP($I144,'Old Pricing - end 26-Jan-2026'!$A:$K,8,FALSE)</f>
        <v>1245</v>
      </c>
      <c r="M144" s="55">
        <f>VLOOKUP($I144,'Old Pricing - end 26-Jan-2026'!$A:$K,10,FALSE)</f>
        <v>2440</v>
      </c>
      <c r="N144" s="55" t="str">
        <f>VLOOKUP($I144,'Old Pricing - end 26-Jan-2026'!$A:$R,13,FALSE)&amp;" "&amp;VLOOKUP($I144,'Old Pricing - end 26-Jan-2026'!$A:$R,12,FALSE)</f>
        <v>AMC 0103 SILVER FROST</v>
      </c>
      <c r="O144" s="56">
        <v>19.600000000000001</v>
      </c>
      <c r="P144" s="55">
        <f>(VLOOKUP($I144,'Old Pricing - end 26-Jan-2026'!$A:$R,8,FALSE)/1000)*(VLOOKUP($I144,'Old Pricing - end 26-Jan-2026'!$A:$R,10,FALSE)/1000)*Q144</f>
        <v>1822.68</v>
      </c>
      <c r="Q144" s="55">
        <f>ROUND(('Order Details'!$O144*1000)/((VLOOKUP($I144,'Old Pricing - end 26-Jan-2026'!$A:$Q,7,FALSE)/12)*(VLOOKUP($I144,'Old Pricing - end 26-Jan-2026'!$A:$Q,9,FALSE)/12))/5,0)*5</f>
        <v>600</v>
      </c>
      <c r="R144" s="71">
        <f>$Q144/IFERROR(VLOOKUP($F144&amp;RIGHT($K144,8),'Master Data'!$O$5:$P$10,2,FALSE),'Master Data'!$P$4)</f>
        <v>3</v>
      </c>
      <c r="S144" s="57">
        <f>VLOOKUP($I144,'Old Pricing - end 26-Jan-2026'!$A:$Q,16,FALSE)</f>
        <v>700</v>
      </c>
      <c r="T144" s="57">
        <f>VLOOKUP(I144,'Old Pricing - end 26-Jan-2026'!$A:$O,15,FALSE)</f>
        <v>7.53</v>
      </c>
      <c r="U144" s="57">
        <f t="shared" si="9"/>
        <v>13720.000000000002</v>
      </c>
      <c r="V144" s="111">
        <f t="shared" si="10"/>
        <v>13724.780400000001</v>
      </c>
      <c r="W144" s="55">
        <f>VLOOKUP($I144,'Old Pricing - end 26-Jan-2026'!$A:$R,18,FALSE)</f>
        <v>90</v>
      </c>
    </row>
    <row r="145" spans="1:23" ht="15" hidden="1" thickTop="1" x14ac:dyDescent="0.3">
      <c r="A145" s="55">
        <v>24011436</v>
      </c>
      <c r="B145" s="55">
        <v>0</v>
      </c>
      <c r="C145" s="55" t="str">
        <f>VLOOKUP(A145&amp;"-"&amp;B145,'Order Summary'!$D:$E,2,FALSE)</f>
        <v>Telex / Seaway Released</v>
      </c>
      <c r="D145" s="216">
        <f>IF($A145="","",VLOOKUP($A145&amp;"-"&amp;$B145,'Order Summary'!$D:$U,3,FALSE))</f>
        <v>45792</v>
      </c>
      <c r="E145" s="55" t="str">
        <f>VLOOKUP(A145&amp;"-"&amp;B145,'Order Summary'!$D:$G,4,FALSE)</f>
        <v>Yes</v>
      </c>
      <c r="F145" s="55" t="str">
        <f>VLOOKUP($A145,'Order Summary'!$B:$I,8,FALSE)</f>
        <v>Gordon, PA</v>
      </c>
      <c r="G145" s="216">
        <f>IF($A145="","",VLOOKUP($A145&amp;"-"&amp;$B145,'Order Summary'!$D:$U,18,FALSE))</f>
        <v>45987</v>
      </c>
      <c r="H145" s="55">
        <v>4</v>
      </c>
      <c r="I145" s="55">
        <v>694444</v>
      </c>
      <c r="J145" s="55" t="str">
        <f>VLOOKUP($I145,'Old Pricing - end 26-Jan-2026'!$A:$R,2,FALSE)</f>
        <v>G1S 694444</v>
      </c>
      <c r="K145" s="55" t="str">
        <f>VLOOKUP($I145,'Old Pricing - end 26-Jan-2026'!$A:$R,6,FALSE)&amp;" "&amp;VLOOKUP($I145,'Old Pricing - end 26-Jan-2026'!$A:$R,7,FALSE)&amp;""" x "&amp;VLOOKUP($I145,'Old Pricing - end 26-Jan-2026'!$A:$R,9,FALSE)&amp;""" "&amp;VLOOKUP($I145,'Old Pricing - end 26-Jan-2026'!$A:$R,5,FALSE)</f>
        <v>2MM 49" x 96" ACP</v>
      </c>
      <c r="L145" s="55">
        <f>VLOOKUP($I145,'Old Pricing - end 26-Jan-2026'!$A:$K,8,FALSE)</f>
        <v>1245</v>
      </c>
      <c r="M145" s="55">
        <f>VLOOKUP($I145,'Old Pricing - end 26-Jan-2026'!$A:$K,10,FALSE)</f>
        <v>2440</v>
      </c>
      <c r="N145" s="55" t="str">
        <f>VLOOKUP($I145,'Old Pricing - end 26-Jan-2026'!$A:$R,13,FALSE)&amp;" "&amp;VLOOKUP($I145,'Old Pricing - end 26-Jan-2026'!$A:$R,12,FALSE)</f>
        <v>AMC 0086 CHARCOAL METALLIC</v>
      </c>
      <c r="O145" s="56">
        <v>19.600000000000001</v>
      </c>
      <c r="P145" s="55">
        <f>(VLOOKUP($I145,'Old Pricing - end 26-Jan-2026'!$A:$R,8,FALSE)/1000)*(VLOOKUP($I145,'Old Pricing - end 26-Jan-2026'!$A:$R,10,FALSE)/1000)*Q145</f>
        <v>1822.68</v>
      </c>
      <c r="Q145" s="55">
        <f>ROUND(('Order Details'!$O145*1000)/((VLOOKUP($I145,'Old Pricing - end 26-Jan-2026'!$A:$Q,7,FALSE)/12)*(VLOOKUP($I145,'Old Pricing - end 26-Jan-2026'!$A:$Q,9,FALSE)/12))/5,0)*5</f>
        <v>600</v>
      </c>
      <c r="R145" s="71">
        <f>$Q145/IFERROR(VLOOKUP($F145&amp;RIGHT($K145,8),'Master Data'!$O$5:$P$10,2,FALSE),'Master Data'!$P$4)</f>
        <v>3</v>
      </c>
      <c r="S145" s="57">
        <f>VLOOKUP($I145,'Old Pricing - end 26-Jan-2026'!$A:$Q,16,FALSE)</f>
        <v>750</v>
      </c>
      <c r="T145" s="57">
        <f>VLOOKUP(I145,'Old Pricing - end 26-Jan-2026'!$A:$O,15,FALSE)</f>
        <v>8.07</v>
      </c>
      <c r="U145" s="57">
        <f t="shared" si="9"/>
        <v>14700.000000000002</v>
      </c>
      <c r="V145" s="111">
        <f t="shared" si="10"/>
        <v>14709.027600000001</v>
      </c>
      <c r="W145" s="55">
        <f>VLOOKUP($I145,'Old Pricing - end 26-Jan-2026'!$A:$R,18,FALSE)</f>
        <v>45</v>
      </c>
    </row>
    <row r="146" spans="1:23" ht="15" hidden="1" thickTop="1" x14ac:dyDescent="0.3">
      <c r="A146" s="55">
        <v>52895556</v>
      </c>
      <c r="B146" s="55">
        <v>0</v>
      </c>
      <c r="C146" s="55" t="str">
        <f>VLOOKUP(A146&amp;"-"&amp;B146,'Order Summary'!$D:$E,2,FALSE)</f>
        <v>Telex / Seaway Released</v>
      </c>
      <c r="D146" s="216">
        <f>IF($A146="","",VLOOKUP($A146&amp;"-"&amp;$B146,'Order Summary'!$D:$U,3,FALSE))</f>
        <v>45792</v>
      </c>
      <c r="E146" s="55" t="str">
        <f>VLOOKUP(A146&amp;"-"&amp;B146,'Order Summary'!$D:$G,4,FALSE)</f>
        <v>Yes</v>
      </c>
      <c r="F146" s="55" t="str">
        <f>VLOOKUP($A146,'Order Summary'!$B:$I,8,FALSE)</f>
        <v>Nampa, ID</v>
      </c>
      <c r="G146" s="216">
        <f>IF($A146="","",VLOOKUP($A146&amp;"-"&amp;$B146,'Order Summary'!$D:$U,18,FALSE))</f>
        <v>45981</v>
      </c>
      <c r="H146" s="55">
        <v>1</v>
      </c>
      <c r="I146" s="55">
        <v>694447</v>
      </c>
      <c r="J146" s="55" t="str">
        <f>VLOOKUP($I146,'Old Pricing - end 26-Jan-2026'!$A:$R,2,FALSE)</f>
        <v>G1S 694447</v>
      </c>
      <c r="K146" s="55" t="str">
        <f>VLOOKUP($I146,'Old Pricing - end 26-Jan-2026'!$A:$R,6,FALSE)&amp;" "&amp;VLOOKUP($I146,'Old Pricing - end 26-Jan-2026'!$A:$R,7,FALSE)&amp;""" x "&amp;VLOOKUP($I146,'Old Pricing - end 26-Jan-2026'!$A:$R,9,FALSE)&amp;""" "&amp;VLOOKUP($I146,'Old Pricing - end 26-Jan-2026'!$A:$R,5,FALSE)</f>
        <v>2MM 49" x 90" ACP</v>
      </c>
      <c r="L146" s="55">
        <f>VLOOKUP($I146,'Old Pricing - end 26-Jan-2026'!$A:$K,8,FALSE)</f>
        <v>1245</v>
      </c>
      <c r="M146" s="55">
        <f>VLOOKUP($I146,'Old Pricing - end 26-Jan-2026'!$A:$K,10,FALSE)</f>
        <v>2286</v>
      </c>
      <c r="N146" s="55" t="str">
        <f>VLOOKUP($I146,'Old Pricing - end 26-Jan-2026'!$A:$R,13,FALSE)&amp;" "&amp;VLOOKUP($I146,'Old Pricing - end 26-Jan-2026'!$A:$R,12,FALSE)</f>
        <v>ASC 0099 MATTE BLACK</v>
      </c>
      <c r="O146" s="149">
        <f>((VLOOKUP($I146,'Old Pricing - end 26-Jan-2026'!$A:$R,7,FALSE)/12)*(VLOOKUP($I146,'Old Pricing - end 26-Jan-2026'!$A:$R,9,FALSE)/12)*Q146)/1000</f>
        <v>12.249999999999998</v>
      </c>
      <c r="P146" s="55">
        <f>(VLOOKUP($I146,'Old Pricing - end 26-Jan-2026'!$A:$R,8,FALSE)/1000)*(VLOOKUP($I146,'Old Pricing - end 26-Jan-2026'!$A:$R,10,FALSE)/1000)*Q146</f>
        <v>1138.4280000000001</v>
      </c>
      <c r="Q146" s="55">
        <v>400</v>
      </c>
      <c r="R146" s="71">
        <f>$Q146/IFERROR(VLOOKUP($F146&amp;RIGHT($K146,8),'Master Data'!$O$5:$P$10,2,FALSE),'Master Data'!$P$4)</f>
        <v>2</v>
      </c>
      <c r="S146" s="57">
        <f>VLOOKUP($I146,'Old Pricing - end 26-Jan-2026'!$A:$Q,16,FALSE)</f>
        <v>750</v>
      </c>
      <c r="T146" s="57">
        <f>VLOOKUP(I146,'Old Pricing - end 26-Jan-2026'!$A:$O,15,FALSE)</f>
        <v>8.07</v>
      </c>
      <c r="U146" s="57">
        <v>8576</v>
      </c>
      <c r="V146" s="111">
        <f t="shared" si="10"/>
        <v>9187.1139600000006</v>
      </c>
      <c r="W146" s="55">
        <f>VLOOKUP($I146,'Old Pricing - end 26-Jan-2026'!$A:$R,18,FALSE)</f>
        <v>90</v>
      </c>
    </row>
    <row r="147" spans="1:23" ht="15" hidden="1" thickTop="1" x14ac:dyDescent="0.3">
      <c r="A147" s="55">
        <v>52895556</v>
      </c>
      <c r="B147" s="55">
        <v>0</v>
      </c>
      <c r="C147" s="55" t="str">
        <f>VLOOKUP(A147&amp;"-"&amp;B147,'Order Summary'!$D:$E,2,FALSE)</f>
        <v>Telex / Seaway Released</v>
      </c>
      <c r="D147" s="216">
        <f>IF($A147="","",VLOOKUP($A147&amp;"-"&amp;$B147,'Order Summary'!$D:$U,3,FALSE))</f>
        <v>45792</v>
      </c>
      <c r="E147" s="55" t="str">
        <f>VLOOKUP(A147&amp;"-"&amp;B147,'Order Summary'!$D:$G,4,FALSE)</f>
        <v>Yes</v>
      </c>
      <c r="F147" s="55" t="str">
        <f>VLOOKUP($A147,'Order Summary'!$B:$I,8,FALSE)</f>
        <v>Nampa, ID</v>
      </c>
      <c r="G147" s="216">
        <f>IF($A147="","",VLOOKUP($A147&amp;"-"&amp;$B147,'Order Summary'!$D:$U,18,FALSE))</f>
        <v>45981</v>
      </c>
      <c r="H147" s="55">
        <v>2</v>
      </c>
      <c r="I147" s="55">
        <v>694448</v>
      </c>
      <c r="J147" s="55" t="str">
        <f>VLOOKUP($I147,'Old Pricing - end 26-Jan-2026'!$A:$R,2,FALSE)</f>
        <v>G1S 694448</v>
      </c>
      <c r="K147" s="55" t="str">
        <f>VLOOKUP($I147,'Old Pricing - end 26-Jan-2026'!$A:$R,6,FALSE)&amp;" "&amp;VLOOKUP($I147,'Old Pricing - end 26-Jan-2026'!$A:$R,7,FALSE)&amp;""" x "&amp;VLOOKUP($I147,'Old Pricing - end 26-Jan-2026'!$A:$R,9,FALSE)&amp;""" "&amp;VLOOKUP($I147,'Old Pricing - end 26-Jan-2026'!$A:$R,5,FALSE)</f>
        <v>2MM 49" x 96" ACP</v>
      </c>
      <c r="L147" s="55">
        <f>VLOOKUP($I147,'Old Pricing - end 26-Jan-2026'!$A:$K,8,FALSE)</f>
        <v>1245</v>
      </c>
      <c r="M147" s="55">
        <f>VLOOKUP($I147,'Old Pricing - end 26-Jan-2026'!$A:$K,10,FALSE)</f>
        <v>2440</v>
      </c>
      <c r="N147" s="55" t="str">
        <f>VLOOKUP($I147,'Old Pricing - end 26-Jan-2026'!$A:$R,13,FALSE)&amp;" "&amp;VLOOKUP($I147,'Old Pricing - end 26-Jan-2026'!$A:$R,12,FALSE)</f>
        <v>ASC 0099 MATTE BLACK</v>
      </c>
      <c r="O147" s="149">
        <f>((VLOOKUP($I147,'Old Pricing - end 26-Jan-2026'!$A:$R,7,FALSE)/12)*(VLOOKUP($I147,'Old Pricing - end 26-Jan-2026'!$A:$R,9,FALSE)/12)*Q147)/1000</f>
        <v>52.266666666666666</v>
      </c>
      <c r="P147" s="55">
        <f>(VLOOKUP($I147,'Old Pricing - end 26-Jan-2026'!$A:$R,8,FALSE)/1000)*(VLOOKUP($I147,'Old Pricing - end 26-Jan-2026'!$A:$R,10,FALSE)/1000)*Q147</f>
        <v>4860.4800000000005</v>
      </c>
      <c r="Q147" s="55">
        <v>1600</v>
      </c>
      <c r="R147" s="71">
        <f>$Q147/IFERROR(VLOOKUP($F147&amp;RIGHT($K147,8),'Master Data'!$O$5:$P$10,2,FALSE),'Master Data'!$P$4)</f>
        <v>8</v>
      </c>
      <c r="S147" s="57">
        <f>VLOOKUP($I147,'Old Pricing - end 26-Jan-2026'!$A:$Q,16,FALSE)</f>
        <v>750</v>
      </c>
      <c r="T147" s="57">
        <f>VLOOKUP(I147,'Old Pricing - end 26-Jan-2026'!$A:$O,15,FALSE)</f>
        <v>8.07</v>
      </c>
      <c r="U147" s="57">
        <v>36592.230000000003</v>
      </c>
      <c r="V147" s="111">
        <f t="shared" si="10"/>
        <v>39224.073600000003</v>
      </c>
      <c r="W147" s="55">
        <f>VLOOKUP($I147,'Old Pricing - end 26-Jan-2026'!$A:$R,18,FALSE)</f>
        <v>90</v>
      </c>
    </row>
    <row r="148" spans="1:23" ht="15" hidden="1" thickTop="1" x14ac:dyDescent="0.3">
      <c r="A148" s="55">
        <v>52895556</v>
      </c>
      <c r="B148" s="55">
        <v>0</v>
      </c>
      <c r="C148" s="55" t="str">
        <f>VLOOKUP(A148&amp;"-"&amp;B148,'Order Summary'!$D:$E,2,FALSE)</f>
        <v>Telex / Seaway Released</v>
      </c>
      <c r="D148" s="216">
        <f>IF($A148="","",VLOOKUP($A148&amp;"-"&amp;$B148,'Order Summary'!$D:$U,3,FALSE))</f>
        <v>45792</v>
      </c>
      <c r="E148" s="55" t="str">
        <f>VLOOKUP(A148&amp;"-"&amp;B148,'Order Summary'!$D:$G,4,FALSE)</f>
        <v>Yes</v>
      </c>
      <c r="F148" s="55" t="str">
        <f>VLOOKUP($A148,'Order Summary'!$B:$I,8,FALSE)</f>
        <v>Nampa, ID</v>
      </c>
      <c r="G148" s="216">
        <f>IF($A148="","",VLOOKUP($A148&amp;"-"&amp;$B148,'Order Summary'!$D:$U,18,FALSE))</f>
        <v>45981</v>
      </c>
      <c r="H148" s="55">
        <v>3</v>
      </c>
      <c r="I148" s="55">
        <v>694449</v>
      </c>
      <c r="J148" s="55" t="str">
        <f>VLOOKUP($I148,'Old Pricing - end 26-Jan-2026'!$A:$R,2,FALSE)</f>
        <v>G1S 694449</v>
      </c>
      <c r="K148" s="55" t="str">
        <f>VLOOKUP($I148,'Old Pricing - end 26-Jan-2026'!$A:$R,6,FALSE)&amp;" "&amp;VLOOKUP($I148,'Old Pricing - end 26-Jan-2026'!$A:$R,7,FALSE)&amp;""" x "&amp;VLOOKUP($I148,'Old Pricing - end 26-Jan-2026'!$A:$R,9,FALSE)&amp;""" "&amp;VLOOKUP($I148,'Old Pricing - end 26-Jan-2026'!$A:$R,5,FALSE)</f>
        <v>2MM 49" x 108" ACP</v>
      </c>
      <c r="L148" s="55">
        <f>VLOOKUP($I148,'Old Pricing - end 26-Jan-2026'!$A:$K,8,FALSE)</f>
        <v>1245</v>
      </c>
      <c r="M148" s="55">
        <f>VLOOKUP($I148,'Old Pricing - end 26-Jan-2026'!$A:$K,10,FALSE)</f>
        <v>2745</v>
      </c>
      <c r="N148" s="55" t="str">
        <f>VLOOKUP($I148,'Old Pricing - end 26-Jan-2026'!$A:$R,13,FALSE)&amp;" "&amp;VLOOKUP($I148,'Old Pricing - end 26-Jan-2026'!$A:$R,12,FALSE)</f>
        <v>ASC 0099 MATTE BLACK</v>
      </c>
      <c r="O148" s="149">
        <f>((VLOOKUP($I148,'Old Pricing - end 26-Jan-2026'!$A:$R,7,FALSE)/12)*(VLOOKUP($I148,'Old Pricing - end 26-Jan-2026'!$A:$R,9,FALSE)/12)*Q148)/1000</f>
        <v>22.05</v>
      </c>
      <c r="P148" s="55">
        <f>(VLOOKUP($I148,'Old Pricing - end 26-Jan-2026'!$A:$R,8,FALSE)/1000)*(VLOOKUP($I148,'Old Pricing - end 26-Jan-2026'!$A:$R,10,FALSE)/1000)*Q148</f>
        <v>2050.5150000000003</v>
      </c>
      <c r="Q148" s="55">
        <v>600</v>
      </c>
      <c r="R148" s="71">
        <f>$Q148/IFERROR(VLOOKUP($F148&amp;RIGHT($K148,8),'Master Data'!$O$5:$P$10,2,FALSE),'Master Data'!$P$4)</f>
        <v>3</v>
      </c>
      <c r="S148" s="57">
        <f>VLOOKUP($I148,'Old Pricing - end 26-Jan-2026'!$A:$Q,16,FALSE)</f>
        <v>750</v>
      </c>
      <c r="T148" s="57">
        <f>VLOOKUP(I148,'Old Pricing - end 26-Jan-2026'!$A:$O,15,FALSE)</f>
        <v>8.07</v>
      </c>
      <c r="U148" s="57">
        <v>15438</v>
      </c>
      <c r="V148" s="111">
        <f t="shared" si="10"/>
        <v>16547.656050000001</v>
      </c>
      <c r="W148" s="55">
        <f>VLOOKUP($I148,'Old Pricing - end 26-Jan-2026'!$A:$R,18,FALSE)</f>
        <v>90</v>
      </c>
    </row>
    <row r="149" spans="1:23" ht="15" hidden="1" thickTop="1" x14ac:dyDescent="0.3">
      <c r="A149" s="55">
        <v>52896147</v>
      </c>
      <c r="B149" s="55">
        <v>0</v>
      </c>
      <c r="C149" s="55" t="str">
        <f>VLOOKUP(A149&amp;"-"&amp;B149,'Order Summary'!$D:$E,2,FALSE)</f>
        <v>Telex / Seaway Released</v>
      </c>
      <c r="D149" s="216">
        <f>IF($A149="","",VLOOKUP($A149&amp;"-"&amp;$B149,'Order Summary'!$D:$U,3,FALSE))</f>
        <v>45792</v>
      </c>
      <c r="E149" s="55" t="str">
        <f>VLOOKUP(A149&amp;"-"&amp;B149,'Order Summary'!$D:$G,4,FALSE)</f>
        <v>Yes</v>
      </c>
      <c r="F149" s="55" t="str">
        <f>VLOOKUP($A149,'Order Summary'!$B:$I,8,FALSE)</f>
        <v>Hillsboro, TX</v>
      </c>
      <c r="G149" s="216">
        <f>IF($A149="","",VLOOKUP($A149&amp;"-"&amp;$B149,'Order Summary'!$D:$U,18,FALSE))</f>
        <v>45904</v>
      </c>
      <c r="H149" s="55">
        <v>1</v>
      </c>
      <c r="I149" s="55">
        <v>694432</v>
      </c>
      <c r="J149" s="55" t="str">
        <f>VLOOKUP($I149,'Old Pricing - end 26-Jan-2026'!$A:$R,2,FALSE)</f>
        <v>G1S 694432</v>
      </c>
      <c r="K149" s="55" t="str">
        <f>VLOOKUP($I149,'Old Pricing - end 26-Jan-2026'!$A:$R,6,FALSE)&amp;" "&amp;VLOOKUP($I149,'Old Pricing - end 26-Jan-2026'!$A:$R,7,FALSE)&amp;""" x "&amp;VLOOKUP($I149,'Old Pricing - end 26-Jan-2026'!$A:$R,9,FALSE)&amp;""" "&amp;VLOOKUP($I149,'Old Pricing - end 26-Jan-2026'!$A:$R,5,FALSE)</f>
        <v>2MM 49" x 96" ACP</v>
      </c>
      <c r="L149" s="55">
        <f>VLOOKUP($I149,'Old Pricing - end 26-Jan-2026'!$A:$K,8,FALSE)</f>
        <v>1245</v>
      </c>
      <c r="M149" s="55">
        <f>VLOOKUP($I149,'Old Pricing - end 26-Jan-2026'!$A:$K,10,FALSE)</f>
        <v>2440</v>
      </c>
      <c r="N149" s="55" t="str">
        <f>VLOOKUP($I149,'Old Pricing - end 26-Jan-2026'!$A:$R,13,FALSE)&amp;" "&amp;VLOOKUP($I149,'Old Pricing - end 26-Jan-2026'!$A:$R,12,FALSE)</f>
        <v>ASC 0096 GLOSSY BLACK</v>
      </c>
      <c r="O149" s="149">
        <v>22.87</v>
      </c>
      <c r="P149" s="55">
        <f>(VLOOKUP($I149,'Old Pricing - end 26-Jan-2026'!$A:$R,8,FALSE)/1000)*(VLOOKUP($I149,'Old Pricing - end 26-Jan-2026'!$A:$R,10,FALSE)/1000)*Q149</f>
        <v>1822.68</v>
      </c>
      <c r="Q149" s="55">
        <v>600</v>
      </c>
      <c r="R149" s="71">
        <f>$Q149/IFERROR(VLOOKUP($F149&amp;RIGHT($K149,8),'Master Data'!$O$5:$P$10,2,FALSE),'Master Data'!$P$4)</f>
        <v>3</v>
      </c>
      <c r="S149" s="57">
        <f>VLOOKUP($I149,'Old Pricing - end 26-Jan-2026'!$A:$Q,16,FALSE)</f>
        <v>700</v>
      </c>
      <c r="T149" s="57">
        <f>VLOOKUP(I149,'Old Pricing - end 26-Jan-2026'!$A:$O,15,FALSE)</f>
        <v>7.53</v>
      </c>
      <c r="U149" s="57">
        <v>13722</v>
      </c>
      <c r="V149" s="111">
        <v>13722</v>
      </c>
      <c r="W149" s="55">
        <f>VLOOKUP($I149,'Old Pricing - end 26-Jan-2026'!$A:$R,18,FALSE)</f>
        <v>45</v>
      </c>
    </row>
    <row r="150" spans="1:23" ht="15" hidden="1" thickTop="1" x14ac:dyDescent="0.3">
      <c r="A150" s="55">
        <v>52896147</v>
      </c>
      <c r="B150" s="55">
        <v>0</v>
      </c>
      <c r="C150" s="55" t="str">
        <f>VLOOKUP(A150&amp;"-"&amp;B150,'Order Summary'!$D:$E,2,FALSE)</f>
        <v>Telex / Seaway Released</v>
      </c>
      <c r="D150" s="216">
        <f>IF($A150="","",VLOOKUP($A150&amp;"-"&amp;$B150,'Order Summary'!$D:$U,3,FALSE))</f>
        <v>45792</v>
      </c>
      <c r="E150" s="55" t="str">
        <f>VLOOKUP(A150&amp;"-"&amp;B150,'Order Summary'!$D:$G,4,FALSE)</f>
        <v>Yes</v>
      </c>
      <c r="F150" s="55" t="str">
        <f>VLOOKUP($A150,'Order Summary'!$B:$I,8,FALSE)</f>
        <v>Hillsboro, TX</v>
      </c>
      <c r="G150" s="216">
        <f>IF($A150="","",VLOOKUP($A150&amp;"-"&amp;$B150,'Order Summary'!$D:$U,18,FALSE))</f>
        <v>45904</v>
      </c>
      <c r="H150" s="55">
        <v>2</v>
      </c>
      <c r="I150" s="55">
        <v>694434</v>
      </c>
      <c r="J150" s="55" t="str">
        <f>VLOOKUP($I150,'Old Pricing - end 26-Jan-2026'!$A:$R,2,FALSE)</f>
        <v>G1S 694434</v>
      </c>
      <c r="K150" s="55" t="str">
        <f>VLOOKUP($I150,'Old Pricing - end 26-Jan-2026'!$A:$R,6,FALSE)&amp;" "&amp;VLOOKUP($I150,'Old Pricing - end 26-Jan-2026'!$A:$R,7,FALSE)&amp;""" x "&amp;VLOOKUP($I150,'Old Pricing - end 26-Jan-2026'!$A:$R,9,FALSE)&amp;""" "&amp;VLOOKUP($I150,'Old Pricing - end 26-Jan-2026'!$A:$R,5,FALSE)</f>
        <v>2MM 49" x 144" ACP</v>
      </c>
      <c r="L150" s="55">
        <f>VLOOKUP($I150,'Old Pricing - end 26-Jan-2026'!$A:$K,8,FALSE)</f>
        <v>1245</v>
      </c>
      <c r="M150" s="55">
        <f>VLOOKUP($I150,'Old Pricing - end 26-Jan-2026'!$A:$K,10,FALSE)</f>
        <v>3658</v>
      </c>
      <c r="N150" s="55" t="str">
        <f>VLOOKUP($I150,'Old Pricing - end 26-Jan-2026'!$A:$R,13,FALSE)&amp;" "&amp;VLOOKUP($I150,'Old Pricing - end 26-Jan-2026'!$A:$R,12,FALSE)</f>
        <v>ASC 0096 GLOSSY BLACK</v>
      </c>
      <c r="O150" s="149">
        <v>34.299999999999997</v>
      </c>
      <c r="P150" s="55">
        <f>(VLOOKUP($I150,'Old Pricing - end 26-Jan-2026'!$A:$R,8,FALSE)/1000)*(VLOOKUP($I150,'Old Pricing - end 26-Jan-2026'!$A:$R,10,FALSE)/1000)*Q150</f>
        <v>910.8420000000001</v>
      </c>
      <c r="Q150" s="55">
        <v>200</v>
      </c>
      <c r="R150" s="71">
        <f>$Q150/IFERROR(VLOOKUP($F150&amp;RIGHT($K150,8),'Master Data'!$O$5:$P$10,2,FALSE),'Master Data'!$P$4)</f>
        <v>1</v>
      </c>
      <c r="S150" s="57">
        <f>VLOOKUP($I150,'Old Pricing - end 26-Jan-2026'!$A:$Q,16,FALSE)</f>
        <v>700</v>
      </c>
      <c r="T150" s="57">
        <f>VLOOKUP(I150,'Old Pricing - end 26-Jan-2026'!$A:$O,15,FALSE)</f>
        <v>7.53</v>
      </c>
      <c r="U150" s="57">
        <v>6860</v>
      </c>
      <c r="V150" s="111">
        <v>6860</v>
      </c>
      <c r="W150" s="55">
        <f>VLOOKUP($I150,'Old Pricing - end 26-Jan-2026'!$A:$R,18,FALSE)</f>
        <v>45</v>
      </c>
    </row>
    <row r="151" spans="1:23" ht="15" hidden="1" thickTop="1" x14ac:dyDescent="0.3">
      <c r="A151" s="55">
        <v>52896147</v>
      </c>
      <c r="B151" s="55">
        <v>0</v>
      </c>
      <c r="C151" s="55" t="str">
        <f>VLOOKUP(A151&amp;"-"&amp;B151,'Order Summary'!$D:$E,2,FALSE)</f>
        <v>Telex / Seaway Released</v>
      </c>
      <c r="D151" s="216">
        <f>IF($A151="","",VLOOKUP($A151&amp;"-"&amp;$B151,'Order Summary'!$D:$U,3,FALSE))</f>
        <v>45792</v>
      </c>
      <c r="E151" s="55" t="str">
        <f>VLOOKUP(A151&amp;"-"&amp;B151,'Order Summary'!$D:$G,4,FALSE)</f>
        <v>Yes</v>
      </c>
      <c r="F151" s="55" t="str">
        <f>VLOOKUP($A151,'Order Summary'!$B:$I,8,FALSE)</f>
        <v>Hillsboro, TX</v>
      </c>
      <c r="G151" s="216">
        <f>IF($A151="","",VLOOKUP($A151&amp;"-"&amp;$B151,'Order Summary'!$D:$U,18,FALSE))</f>
        <v>45904</v>
      </c>
      <c r="H151" s="55">
        <v>3</v>
      </c>
      <c r="I151" s="55">
        <v>694436</v>
      </c>
      <c r="J151" s="55" t="str">
        <f>VLOOKUP($I151,'Old Pricing - end 26-Jan-2026'!$A:$R,2,FALSE)</f>
        <v>G1S 694436</v>
      </c>
      <c r="K151" s="55" t="str">
        <f>VLOOKUP($I151,'Old Pricing - end 26-Jan-2026'!$A:$R,6,FALSE)&amp;" "&amp;VLOOKUP($I151,'Old Pricing - end 26-Jan-2026'!$A:$R,7,FALSE)&amp;""" x "&amp;VLOOKUP($I151,'Old Pricing - end 26-Jan-2026'!$A:$R,9,FALSE)&amp;""" "&amp;VLOOKUP($I151,'Old Pricing - end 26-Jan-2026'!$A:$R,5,FALSE)</f>
        <v>2MM 49" x 96" ACP</v>
      </c>
      <c r="L151" s="55">
        <f>VLOOKUP($I151,'Old Pricing - end 26-Jan-2026'!$A:$K,8,FALSE)</f>
        <v>1245</v>
      </c>
      <c r="M151" s="55">
        <f>VLOOKUP($I151,'Old Pricing - end 26-Jan-2026'!$A:$K,10,FALSE)</f>
        <v>2440</v>
      </c>
      <c r="N151" s="55" t="str">
        <f>VLOOKUP($I151,'Old Pricing - end 26-Jan-2026'!$A:$R,13,FALSE)&amp;" "&amp;VLOOKUP($I151,'Old Pricing - end 26-Jan-2026'!$A:$R,12,FALSE)</f>
        <v>ASC 0069 GLOSSY WHITE</v>
      </c>
      <c r="O151" s="149">
        <v>22.87</v>
      </c>
      <c r="P151" s="55">
        <f>(VLOOKUP($I151,'Old Pricing - end 26-Jan-2026'!$A:$R,8,FALSE)/1000)*(VLOOKUP($I151,'Old Pricing - end 26-Jan-2026'!$A:$R,10,FALSE)/1000)*Q151</f>
        <v>1822.68</v>
      </c>
      <c r="Q151" s="55">
        <v>600</v>
      </c>
      <c r="R151" s="71">
        <f>$Q151/IFERROR(VLOOKUP($F151&amp;RIGHT($K151,8),'Master Data'!$O$5:$P$10,2,FALSE),'Master Data'!$P$4)</f>
        <v>3</v>
      </c>
      <c r="S151" s="57">
        <f>VLOOKUP($I151,'Old Pricing - end 26-Jan-2026'!$A:$Q,16,FALSE)</f>
        <v>700</v>
      </c>
      <c r="T151" s="57">
        <f>VLOOKUP(I151,'Old Pricing - end 26-Jan-2026'!$A:$O,15,FALSE)</f>
        <v>7.53</v>
      </c>
      <c r="U151" s="57">
        <v>13722</v>
      </c>
      <c r="V151" s="111">
        <v>13722</v>
      </c>
      <c r="W151" s="55">
        <f>VLOOKUP($I151,'Old Pricing - end 26-Jan-2026'!$A:$R,18,FALSE)</f>
        <v>45</v>
      </c>
    </row>
    <row r="152" spans="1:23" ht="15" hidden="1" thickTop="1" x14ac:dyDescent="0.3">
      <c r="A152" s="55">
        <v>52896147</v>
      </c>
      <c r="B152" s="55">
        <v>0</v>
      </c>
      <c r="C152" s="55" t="str">
        <f>VLOOKUP(A152&amp;"-"&amp;B152,'Order Summary'!$D:$E,2,FALSE)</f>
        <v>Telex / Seaway Released</v>
      </c>
      <c r="D152" s="216">
        <f>IF($A152="","",VLOOKUP($A152&amp;"-"&amp;$B152,'Order Summary'!$D:$U,3,FALSE))</f>
        <v>45792</v>
      </c>
      <c r="E152" s="55" t="str">
        <f>VLOOKUP(A152&amp;"-"&amp;B152,'Order Summary'!$D:$G,4,FALSE)</f>
        <v>Yes</v>
      </c>
      <c r="F152" s="55" t="str">
        <f>VLOOKUP($A152,'Order Summary'!$B:$I,8,FALSE)</f>
        <v>Hillsboro, TX</v>
      </c>
      <c r="G152" s="216">
        <f>IF($A152="","",VLOOKUP($A152&amp;"-"&amp;$B152,'Order Summary'!$D:$U,18,FALSE))</f>
        <v>45904</v>
      </c>
      <c r="H152" s="55">
        <v>4</v>
      </c>
      <c r="I152" s="55">
        <v>694440</v>
      </c>
      <c r="J152" s="55" t="str">
        <f>VLOOKUP($I152,'Old Pricing - end 26-Jan-2026'!$A:$R,2,FALSE)</f>
        <v>G1S 694440</v>
      </c>
      <c r="K152" s="55" t="str">
        <f>VLOOKUP($I152,'Old Pricing - end 26-Jan-2026'!$A:$R,6,FALSE)&amp;" "&amp;VLOOKUP($I152,'Old Pricing - end 26-Jan-2026'!$A:$R,7,FALSE)&amp;""" x "&amp;VLOOKUP($I152,'Old Pricing - end 26-Jan-2026'!$A:$R,9,FALSE)&amp;""" "&amp;VLOOKUP($I152,'Old Pricing - end 26-Jan-2026'!$A:$R,5,FALSE)</f>
        <v>2MM 49" x 96" ACP</v>
      </c>
      <c r="L152" s="55">
        <f>VLOOKUP($I152,'Old Pricing - end 26-Jan-2026'!$A:$K,8,FALSE)</f>
        <v>1245</v>
      </c>
      <c r="M152" s="55">
        <f>VLOOKUP($I152,'Old Pricing - end 26-Jan-2026'!$A:$K,10,FALSE)</f>
        <v>2440</v>
      </c>
      <c r="N152" s="55" t="str">
        <f>VLOOKUP($I152,'Old Pricing - end 26-Jan-2026'!$A:$R,13,FALSE)&amp;" "&amp;VLOOKUP($I152,'Old Pricing - end 26-Jan-2026'!$A:$R,12,FALSE)</f>
        <v>AMC 0103 SILVER FROST</v>
      </c>
      <c r="O152" s="149">
        <v>22.87</v>
      </c>
      <c r="P152" s="55">
        <f>(VLOOKUP($I152,'Old Pricing - end 26-Jan-2026'!$A:$R,8,FALSE)/1000)*(VLOOKUP($I152,'Old Pricing - end 26-Jan-2026'!$A:$R,10,FALSE)/1000)*Q152</f>
        <v>1822.68</v>
      </c>
      <c r="Q152" s="55">
        <v>600</v>
      </c>
      <c r="R152" s="71">
        <f>$Q152/IFERROR(VLOOKUP($F152&amp;RIGHT($K152,8),'Master Data'!$O$5:$P$10,2,FALSE),'Master Data'!$P$4)</f>
        <v>3</v>
      </c>
      <c r="S152" s="57">
        <f>VLOOKUP($I152,'Old Pricing - end 26-Jan-2026'!$A:$Q,16,FALSE)</f>
        <v>700</v>
      </c>
      <c r="T152" s="57">
        <f>VLOOKUP(I152,'Old Pricing - end 26-Jan-2026'!$A:$O,15,FALSE)</f>
        <v>7.53</v>
      </c>
      <c r="U152" s="57">
        <v>13722</v>
      </c>
      <c r="V152" s="111">
        <v>13722</v>
      </c>
      <c r="W152" s="55">
        <f>VLOOKUP($I152,'Old Pricing - end 26-Jan-2026'!$A:$R,18,FALSE)</f>
        <v>90</v>
      </c>
    </row>
    <row r="153" spans="1:23" ht="15" hidden="1" thickTop="1" x14ac:dyDescent="0.3">
      <c r="A153" s="55">
        <v>52896147</v>
      </c>
      <c r="B153" s="55">
        <v>0</v>
      </c>
      <c r="C153" s="55" t="str">
        <f>VLOOKUP(A153&amp;"-"&amp;B153,'Order Summary'!$D:$E,2,FALSE)</f>
        <v>Telex / Seaway Released</v>
      </c>
      <c r="D153" s="216">
        <f>IF($A153="","",VLOOKUP($A153&amp;"-"&amp;$B153,'Order Summary'!$D:$U,3,FALSE))</f>
        <v>45792</v>
      </c>
      <c r="E153" s="55" t="str">
        <f>VLOOKUP(A153&amp;"-"&amp;B153,'Order Summary'!$D:$G,4,FALSE)</f>
        <v>Yes</v>
      </c>
      <c r="F153" s="55" t="str">
        <f>VLOOKUP($A153,'Order Summary'!$B:$I,8,FALSE)</f>
        <v>Hillsboro, TX</v>
      </c>
      <c r="G153" s="216">
        <f>IF($A153="","",VLOOKUP($A153&amp;"-"&amp;$B153,'Order Summary'!$D:$U,18,FALSE))</f>
        <v>45904</v>
      </c>
      <c r="H153" s="55">
        <v>5</v>
      </c>
      <c r="I153" s="55">
        <v>694444</v>
      </c>
      <c r="J153" s="55" t="str">
        <f>VLOOKUP($I153,'Old Pricing - end 26-Jan-2026'!$A:$R,2,FALSE)</f>
        <v>G1S 694444</v>
      </c>
      <c r="K153" s="55" t="str">
        <f>VLOOKUP($I153,'Old Pricing - end 26-Jan-2026'!$A:$R,6,FALSE)&amp;" "&amp;VLOOKUP($I153,'Old Pricing - end 26-Jan-2026'!$A:$R,7,FALSE)&amp;""" x "&amp;VLOOKUP($I153,'Old Pricing - end 26-Jan-2026'!$A:$R,9,FALSE)&amp;""" "&amp;VLOOKUP($I153,'Old Pricing - end 26-Jan-2026'!$A:$R,5,FALSE)</f>
        <v>2MM 49" x 96" ACP</v>
      </c>
      <c r="L153" s="55">
        <f>VLOOKUP($I153,'Old Pricing - end 26-Jan-2026'!$A:$K,8,FALSE)</f>
        <v>1245</v>
      </c>
      <c r="M153" s="55">
        <f>VLOOKUP($I153,'Old Pricing - end 26-Jan-2026'!$A:$K,10,FALSE)</f>
        <v>2440</v>
      </c>
      <c r="N153" s="55" t="str">
        <f>VLOOKUP($I153,'Old Pricing - end 26-Jan-2026'!$A:$R,13,FALSE)&amp;" "&amp;VLOOKUP($I153,'Old Pricing - end 26-Jan-2026'!$A:$R,12,FALSE)</f>
        <v>AMC 0086 CHARCOAL METALLIC</v>
      </c>
      <c r="O153" s="149">
        <v>22.87</v>
      </c>
      <c r="P153" s="55">
        <f>(VLOOKUP($I153,'Old Pricing - end 26-Jan-2026'!$A:$R,8,FALSE)/1000)*(VLOOKUP($I153,'Old Pricing - end 26-Jan-2026'!$A:$R,10,FALSE)/1000)*Q153</f>
        <v>1822.68</v>
      </c>
      <c r="Q153" s="55">
        <v>600</v>
      </c>
      <c r="R153" s="71">
        <f>$Q153/IFERROR(VLOOKUP($F153&amp;RIGHT($K153,8),'Master Data'!$O$5:$P$10,2,FALSE),'Master Data'!$P$4)</f>
        <v>3</v>
      </c>
      <c r="S153" s="57">
        <v>700</v>
      </c>
      <c r="T153" s="57">
        <v>7.53</v>
      </c>
      <c r="U153" s="57">
        <v>13722</v>
      </c>
      <c r="V153" s="111">
        <v>13722</v>
      </c>
      <c r="W153" s="55">
        <f>VLOOKUP($I153,'Old Pricing - end 26-Jan-2026'!$A:$R,18,FALSE)</f>
        <v>45</v>
      </c>
    </row>
    <row r="154" spans="1:23" ht="15" hidden="1" thickTop="1" x14ac:dyDescent="0.3">
      <c r="A154" s="55">
        <v>52896149</v>
      </c>
      <c r="B154" s="55">
        <v>0</v>
      </c>
      <c r="C154" s="55" t="str">
        <f>VLOOKUP(A154&amp;"-"&amp;B154,'Order Summary'!$D:$E,2,FALSE)</f>
        <v>Telex / Seaway Released</v>
      </c>
      <c r="D154" s="216">
        <f>IF($A154="","",VLOOKUP($A154&amp;"-"&amp;$B154,'Order Summary'!$D:$U,3,FALSE))</f>
        <v>45792</v>
      </c>
      <c r="E154" s="55" t="str">
        <f>VLOOKUP(A154&amp;"-"&amp;B154,'Order Summary'!$D:$G,4,FALSE)</f>
        <v>Yes</v>
      </c>
      <c r="F154" s="55" t="str">
        <f>VLOOKUP($A154,'Order Summary'!$B:$I,8,FALSE)</f>
        <v>Hillsboro, TX</v>
      </c>
      <c r="G154" s="216">
        <f>IF($A154="","",VLOOKUP($A154&amp;"-"&amp;$B154,'Order Summary'!$D:$U,18,FALSE))</f>
        <v>45904</v>
      </c>
      <c r="H154" s="55">
        <v>1</v>
      </c>
      <c r="I154" s="55">
        <v>694433</v>
      </c>
      <c r="J154" s="55" t="str">
        <f>VLOOKUP($I154,'Old Pricing - end 26-Jan-2026'!$A:$R,2,FALSE)</f>
        <v>G1S 694433</v>
      </c>
      <c r="K154" s="55" t="str">
        <f>VLOOKUP($I154,'Old Pricing - end 26-Jan-2026'!$A:$R,6,FALSE)&amp;" "&amp;VLOOKUP($I154,'Old Pricing - end 26-Jan-2026'!$A:$R,7,FALSE)&amp;""" x "&amp;VLOOKUP($I154,'Old Pricing - end 26-Jan-2026'!$A:$R,9,FALSE)&amp;""" "&amp;VLOOKUP($I154,'Old Pricing - end 26-Jan-2026'!$A:$R,5,FALSE)</f>
        <v>2MM 49" x 108" ACP</v>
      </c>
      <c r="L154" s="55">
        <f>VLOOKUP($I154,'Old Pricing - end 26-Jan-2026'!$A:$K,8,FALSE)</f>
        <v>1245</v>
      </c>
      <c r="M154" s="55">
        <f>VLOOKUP($I154,'Old Pricing - end 26-Jan-2026'!$A:$K,10,FALSE)</f>
        <v>2745</v>
      </c>
      <c r="N154" s="55" t="str">
        <f>VLOOKUP($I154,'Old Pricing - end 26-Jan-2026'!$A:$R,13,FALSE)&amp;" "&amp;VLOOKUP($I154,'Old Pricing - end 26-Jan-2026'!$A:$R,12,FALSE)</f>
        <v>ASC 0096 GLOSSY BLACK</v>
      </c>
      <c r="O154" s="149">
        <f>((VLOOKUP($I154,'Old Pricing - end 26-Jan-2026'!$A:$R,7,FALSE)/12)*(VLOOKUP($I154,'Old Pricing - end 26-Jan-2026'!$A:$R,9,FALSE)/12)*Q154)/1000</f>
        <v>22.05</v>
      </c>
      <c r="P154" s="55">
        <f>(VLOOKUP($I154,'Old Pricing - end 26-Jan-2026'!$A:$R,8,FALSE)/1000)*(VLOOKUP($I154,'Old Pricing - end 26-Jan-2026'!$A:$R,10,FALSE)/1000)*Q154</f>
        <v>2050.5150000000003</v>
      </c>
      <c r="Q154" s="55">
        <v>600</v>
      </c>
      <c r="R154" s="72">
        <v>3</v>
      </c>
      <c r="S154" s="57">
        <f>VLOOKUP($I154,'Old Pricing - end 26-Jan-2026'!$A:$Q,16,FALSE)</f>
        <v>700</v>
      </c>
      <c r="T154" s="57">
        <f>VLOOKUP(I154,'Old Pricing - end 26-Jan-2026'!$A:$O,15,FALSE)</f>
        <v>7.53</v>
      </c>
      <c r="U154" s="57">
        <v>15438</v>
      </c>
      <c r="V154" s="111">
        <f t="shared" si="10"/>
        <v>15440.377950000004</v>
      </c>
      <c r="W154" s="55">
        <f>VLOOKUP($I154,'Old Pricing - end 26-Jan-2026'!$A:$R,18,FALSE)</f>
        <v>45</v>
      </c>
    </row>
    <row r="155" spans="1:23" ht="15" hidden="1" thickTop="1" x14ac:dyDescent="0.3">
      <c r="A155" s="55">
        <v>52896149</v>
      </c>
      <c r="B155" s="55">
        <v>0</v>
      </c>
      <c r="C155" s="55" t="str">
        <f>VLOOKUP(A155&amp;"-"&amp;B155,'Order Summary'!$D:$E,2,FALSE)</f>
        <v>Telex / Seaway Released</v>
      </c>
      <c r="D155" s="216">
        <f>IF($A155="","",VLOOKUP($A155&amp;"-"&amp;$B155,'Order Summary'!$D:$U,3,FALSE))</f>
        <v>45792</v>
      </c>
      <c r="E155" s="55" t="str">
        <f>VLOOKUP(A155&amp;"-"&amp;B155,'Order Summary'!$D:$G,4,FALSE)</f>
        <v>Yes</v>
      </c>
      <c r="F155" s="55" t="str">
        <f>VLOOKUP($A155,'Order Summary'!$B:$I,8,FALSE)</f>
        <v>Hillsboro, TX</v>
      </c>
      <c r="G155" s="216">
        <f>IF($A155="","",VLOOKUP($A155&amp;"-"&amp;$B155,'Order Summary'!$D:$U,18,FALSE))</f>
        <v>45904</v>
      </c>
      <c r="H155" s="55">
        <v>2</v>
      </c>
      <c r="I155" s="55">
        <v>694437</v>
      </c>
      <c r="J155" s="55" t="str">
        <f>VLOOKUP($I155,'Old Pricing - end 26-Jan-2026'!$A:$R,2,FALSE)</f>
        <v>G1S 694437</v>
      </c>
      <c r="K155" s="55" t="str">
        <f>VLOOKUP($I155,'Old Pricing - end 26-Jan-2026'!$A:$R,6,FALSE)&amp;" "&amp;VLOOKUP($I155,'Old Pricing - end 26-Jan-2026'!$A:$R,7,FALSE)&amp;""" x "&amp;VLOOKUP($I155,'Old Pricing - end 26-Jan-2026'!$A:$R,9,FALSE)&amp;""" "&amp;VLOOKUP($I155,'Old Pricing - end 26-Jan-2026'!$A:$R,5,FALSE)</f>
        <v>2MM 49" x 108" ACP</v>
      </c>
      <c r="L155" s="55">
        <f>VLOOKUP($I155,'Old Pricing - end 26-Jan-2026'!$A:$K,8,FALSE)</f>
        <v>1245</v>
      </c>
      <c r="M155" s="55">
        <f>VLOOKUP($I155,'Old Pricing - end 26-Jan-2026'!$A:$K,10,FALSE)</f>
        <v>2745</v>
      </c>
      <c r="N155" s="55" t="str">
        <f>VLOOKUP($I155,'Old Pricing - end 26-Jan-2026'!$A:$R,13,FALSE)&amp;" "&amp;VLOOKUP($I155,'Old Pricing - end 26-Jan-2026'!$A:$R,12,FALSE)</f>
        <v>ASC 0069 GLOSSY WHITE</v>
      </c>
      <c r="O155" s="149">
        <f>((VLOOKUP($I155,'Old Pricing - end 26-Jan-2026'!$A:$R,7,FALSE)/12)*(VLOOKUP($I155,'Old Pricing - end 26-Jan-2026'!$A:$R,9,FALSE)/12)*Q155)/1000</f>
        <v>22.05</v>
      </c>
      <c r="P155" s="55">
        <f>(VLOOKUP($I155,'Old Pricing - end 26-Jan-2026'!$A:$R,8,FALSE)/1000)*(VLOOKUP($I155,'Old Pricing - end 26-Jan-2026'!$A:$R,10,FALSE)/1000)*Q155</f>
        <v>2050.5150000000003</v>
      </c>
      <c r="Q155" s="55">
        <v>600</v>
      </c>
      <c r="R155" s="72">
        <v>3</v>
      </c>
      <c r="S155" s="57">
        <f>VLOOKUP($I155,'Old Pricing - end 26-Jan-2026'!$A:$Q,16,FALSE)</f>
        <v>700</v>
      </c>
      <c r="T155" s="57">
        <f>VLOOKUP(I155,'Old Pricing - end 26-Jan-2026'!$A:$O,15,FALSE)</f>
        <v>7.53</v>
      </c>
      <c r="U155" s="57">
        <v>15438</v>
      </c>
      <c r="V155" s="111">
        <f t="shared" si="10"/>
        <v>15440.377950000004</v>
      </c>
      <c r="W155" s="55">
        <f>VLOOKUP($I155,'Old Pricing - end 26-Jan-2026'!$A:$R,18,FALSE)</f>
        <v>45</v>
      </c>
    </row>
    <row r="156" spans="1:23" ht="15" hidden="1" thickTop="1" x14ac:dyDescent="0.3">
      <c r="A156" s="55">
        <v>52896149</v>
      </c>
      <c r="B156" s="55">
        <v>0</v>
      </c>
      <c r="C156" s="55" t="str">
        <f>VLOOKUP(A156&amp;"-"&amp;B156,'Order Summary'!$D:$E,2,FALSE)</f>
        <v>Telex / Seaway Released</v>
      </c>
      <c r="D156" s="216">
        <f>IF($A156="","",VLOOKUP($A156&amp;"-"&amp;$B156,'Order Summary'!$D:$U,3,FALSE))</f>
        <v>45792</v>
      </c>
      <c r="E156" s="55" t="str">
        <f>VLOOKUP(A156&amp;"-"&amp;B156,'Order Summary'!$D:$G,4,FALSE)</f>
        <v>Yes</v>
      </c>
      <c r="F156" s="55" t="str">
        <f>VLOOKUP($A156,'Order Summary'!$B:$I,8,FALSE)</f>
        <v>Hillsboro, TX</v>
      </c>
      <c r="G156" s="216">
        <f>IF($A156="","",VLOOKUP($A156&amp;"-"&amp;$B156,'Order Summary'!$D:$U,18,FALSE))</f>
        <v>45904</v>
      </c>
      <c r="H156" s="55">
        <v>3</v>
      </c>
      <c r="I156" s="55">
        <v>694438</v>
      </c>
      <c r="J156" s="55" t="str">
        <f>VLOOKUP($I156,'Old Pricing - end 26-Jan-2026'!$A:$R,2,FALSE)</f>
        <v>G1S 694438</v>
      </c>
      <c r="K156" s="55" t="str">
        <f>VLOOKUP($I156,'Old Pricing - end 26-Jan-2026'!$A:$R,6,FALSE)&amp;" "&amp;VLOOKUP($I156,'Old Pricing - end 26-Jan-2026'!$A:$R,7,FALSE)&amp;""" x "&amp;VLOOKUP($I156,'Old Pricing - end 26-Jan-2026'!$A:$R,9,FALSE)&amp;""" "&amp;VLOOKUP($I156,'Old Pricing - end 26-Jan-2026'!$A:$R,5,FALSE)</f>
        <v>2MM 49" x 144" ACP</v>
      </c>
      <c r="L156" s="55">
        <f>VLOOKUP($I156,'Old Pricing - end 26-Jan-2026'!$A:$K,8,FALSE)</f>
        <v>1245</v>
      </c>
      <c r="M156" s="55">
        <f>VLOOKUP($I156,'Old Pricing - end 26-Jan-2026'!$A:$K,10,FALSE)</f>
        <v>3658</v>
      </c>
      <c r="N156" s="55" t="str">
        <f>VLOOKUP($I156,'Old Pricing - end 26-Jan-2026'!$A:$R,13,FALSE)&amp;" "&amp;VLOOKUP($I156,'Old Pricing - end 26-Jan-2026'!$A:$R,12,FALSE)</f>
        <v>ASC 0069 GLOSSY WHITE</v>
      </c>
      <c r="O156" s="149">
        <f>((VLOOKUP($I156,'Old Pricing - end 26-Jan-2026'!$A:$R,7,FALSE)/12)*(VLOOKUP($I156,'Old Pricing - end 26-Jan-2026'!$A:$R,9,FALSE)/12)*Q156)/1000</f>
        <v>9.8000000000000007</v>
      </c>
      <c r="P156" s="55">
        <f>(VLOOKUP($I156,'Old Pricing - end 26-Jan-2026'!$A:$R,8,FALSE)/1000)*(VLOOKUP($I156,'Old Pricing - end 26-Jan-2026'!$A:$R,10,FALSE)/1000)*Q156</f>
        <v>910.8420000000001</v>
      </c>
      <c r="Q156" s="55">
        <v>200</v>
      </c>
      <c r="R156" s="71">
        <f>$Q156/IFERROR(VLOOKUP($F156&amp;RIGHT($K156,8),'Master Data'!$O$5:$P$10,2,FALSE),'Master Data'!$P$4)</f>
        <v>1</v>
      </c>
      <c r="S156" s="57">
        <f>VLOOKUP($I156,'Old Pricing - end 26-Jan-2026'!$A:$Q,16,FALSE)</f>
        <v>700</v>
      </c>
      <c r="T156" s="57">
        <f>VLOOKUP(I156,'Old Pricing - end 26-Jan-2026'!$A:$O,15,FALSE)</f>
        <v>7.53</v>
      </c>
      <c r="U156" s="57">
        <v>6860</v>
      </c>
      <c r="V156" s="111">
        <f t="shared" si="10"/>
        <v>6858.640260000001</v>
      </c>
      <c r="W156" s="55">
        <f>VLOOKUP($I156,'Old Pricing - end 26-Jan-2026'!$A:$R,18,FALSE)</f>
        <v>45</v>
      </c>
    </row>
    <row r="157" spans="1:23" ht="15" hidden="1" thickTop="1" x14ac:dyDescent="0.3">
      <c r="A157" s="55">
        <v>52896149</v>
      </c>
      <c r="B157" s="55">
        <v>0</v>
      </c>
      <c r="C157" s="55" t="str">
        <f>VLOOKUP(A157&amp;"-"&amp;B157,'Order Summary'!$D:$E,2,FALSE)</f>
        <v>Telex / Seaway Released</v>
      </c>
      <c r="D157" s="216">
        <f>IF($A157="","",VLOOKUP($A157&amp;"-"&amp;$B157,'Order Summary'!$D:$U,3,FALSE))</f>
        <v>45792</v>
      </c>
      <c r="E157" s="55" t="str">
        <f>VLOOKUP(A157&amp;"-"&amp;B157,'Order Summary'!$D:$G,4,FALSE)</f>
        <v>Yes</v>
      </c>
      <c r="F157" s="55" t="str">
        <f>VLOOKUP($A157,'Order Summary'!$B:$I,8,FALSE)</f>
        <v>Hillsboro, TX</v>
      </c>
      <c r="G157" s="216">
        <f>IF($A157="","",VLOOKUP($A157&amp;"-"&amp;$B157,'Order Summary'!$D:$U,18,FALSE))</f>
        <v>45904</v>
      </c>
      <c r="H157" s="55">
        <v>4</v>
      </c>
      <c r="I157" s="55">
        <v>694441</v>
      </c>
      <c r="J157" s="55" t="str">
        <f>VLOOKUP($I157,'Old Pricing - end 26-Jan-2026'!$A:$R,2,FALSE)</f>
        <v>G1S 694441</v>
      </c>
      <c r="K157" s="55" t="str">
        <f>VLOOKUP($I157,'Old Pricing - end 26-Jan-2026'!$A:$R,6,FALSE)&amp;" "&amp;VLOOKUP($I157,'Old Pricing - end 26-Jan-2026'!$A:$R,7,FALSE)&amp;""" x "&amp;VLOOKUP($I157,'Old Pricing - end 26-Jan-2026'!$A:$R,9,FALSE)&amp;""" "&amp;VLOOKUP($I157,'Old Pricing - end 26-Jan-2026'!$A:$R,5,FALSE)</f>
        <v>2MM 49" x 108" ACP</v>
      </c>
      <c r="L157" s="55">
        <f>VLOOKUP($I157,'Old Pricing - end 26-Jan-2026'!$A:$K,8,FALSE)</f>
        <v>1245</v>
      </c>
      <c r="M157" s="55">
        <f>VLOOKUP($I157,'Old Pricing - end 26-Jan-2026'!$A:$K,10,FALSE)</f>
        <v>2745</v>
      </c>
      <c r="N157" s="55" t="str">
        <f>VLOOKUP($I157,'Old Pricing - end 26-Jan-2026'!$A:$R,13,FALSE)&amp;" "&amp;VLOOKUP($I157,'Old Pricing - end 26-Jan-2026'!$A:$R,12,FALSE)</f>
        <v>AMC 0103 SILVER FROST</v>
      </c>
      <c r="O157" s="149">
        <f>((VLOOKUP($I157,'Old Pricing - end 26-Jan-2026'!$A:$R,7,FALSE)/12)*(VLOOKUP($I157,'Old Pricing - end 26-Jan-2026'!$A:$R,9,FALSE)/12)*Q157)/1000</f>
        <v>14.7</v>
      </c>
      <c r="P157" s="55">
        <f>(VLOOKUP($I157,'Old Pricing - end 26-Jan-2026'!$A:$R,8,FALSE)/1000)*(VLOOKUP($I157,'Old Pricing - end 26-Jan-2026'!$A:$R,10,FALSE)/1000)*Q157</f>
        <v>1367.0100000000002</v>
      </c>
      <c r="Q157" s="55">
        <v>400</v>
      </c>
      <c r="R157" s="72">
        <v>2</v>
      </c>
      <c r="S157" s="57">
        <f>VLOOKUP($I157,'Old Pricing - end 26-Jan-2026'!$A:$Q,16,FALSE)</f>
        <v>700</v>
      </c>
      <c r="T157" s="57">
        <f>VLOOKUP(I157,'Old Pricing - end 26-Jan-2026'!$A:$O,15,FALSE)</f>
        <v>7.53</v>
      </c>
      <c r="U157" s="57">
        <v>10292</v>
      </c>
      <c r="V157" s="111">
        <f t="shared" si="10"/>
        <v>10293.585300000002</v>
      </c>
      <c r="W157" s="55">
        <f>VLOOKUP($I157,'Old Pricing - end 26-Jan-2026'!$A:$R,18,FALSE)</f>
        <v>90</v>
      </c>
    </row>
    <row r="158" spans="1:23" ht="15" hidden="1" thickTop="1" x14ac:dyDescent="0.3">
      <c r="A158" s="55">
        <v>52896149</v>
      </c>
      <c r="B158" s="55">
        <v>0</v>
      </c>
      <c r="C158" s="55" t="str">
        <f>VLOOKUP(A158&amp;"-"&amp;B158,'Order Summary'!$D:$E,2,FALSE)</f>
        <v>Telex / Seaway Released</v>
      </c>
      <c r="D158" s="216">
        <f>IF($A158="","",VLOOKUP($A158&amp;"-"&amp;$B158,'Order Summary'!$D:$U,3,FALSE))</f>
        <v>45792</v>
      </c>
      <c r="E158" s="55" t="str">
        <f>VLOOKUP(A158&amp;"-"&amp;B158,'Order Summary'!$D:$G,4,FALSE)</f>
        <v>Yes</v>
      </c>
      <c r="F158" s="55" t="str">
        <f>VLOOKUP($A158,'Order Summary'!$B:$I,8,FALSE)</f>
        <v>Hillsboro, TX</v>
      </c>
      <c r="G158" s="216">
        <f>IF($A158="","",VLOOKUP($A158&amp;"-"&amp;$B158,'Order Summary'!$D:$U,18,FALSE))</f>
        <v>45904</v>
      </c>
      <c r="H158" s="55">
        <v>5</v>
      </c>
      <c r="I158" s="55">
        <v>694445</v>
      </c>
      <c r="J158" s="55" t="str">
        <f>VLOOKUP($I158,'Old Pricing - end 26-Jan-2026'!$A:$R,2,FALSE)</f>
        <v>G1S 694445</v>
      </c>
      <c r="K158" s="55" t="str">
        <f>VLOOKUP($I158,'Old Pricing - end 26-Jan-2026'!$A:$R,6,FALSE)&amp;" "&amp;VLOOKUP($I158,'Old Pricing - end 26-Jan-2026'!$A:$R,7,FALSE)&amp;""" x "&amp;VLOOKUP($I158,'Old Pricing - end 26-Jan-2026'!$A:$R,9,FALSE)&amp;""" "&amp;VLOOKUP($I158,'Old Pricing - end 26-Jan-2026'!$A:$R,5,FALSE)</f>
        <v>2MM 49" x 108" ACP</v>
      </c>
      <c r="L158" s="55">
        <f>VLOOKUP($I158,'Old Pricing - end 26-Jan-2026'!$A:$K,8,FALSE)</f>
        <v>1245</v>
      </c>
      <c r="M158" s="55">
        <f>VLOOKUP($I158,'Old Pricing - end 26-Jan-2026'!$A:$K,10,FALSE)</f>
        <v>2745</v>
      </c>
      <c r="N158" s="55" t="str">
        <f>VLOOKUP($I158,'Old Pricing - end 26-Jan-2026'!$A:$R,13,FALSE)&amp;" "&amp;VLOOKUP($I158,'Old Pricing - end 26-Jan-2026'!$A:$R,12,FALSE)</f>
        <v>AMC 0086 CHARCOAL METALLIC</v>
      </c>
      <c r="O158" s="149">
        <f>((VLOOKUP($I158,'Old Pricing - end 26-Jan-2026'!$A:$R,7,FALSE)/12)*(VLOOKUP($I158,'Old Pricing - end 26-Jan-2026'!$A:$R,9,FALSE)/12)*Q158)/1000</f>
        <v>22.05</v>
      </c>
      <c r="P158" s="55">
        <f>(VLOOKUP($I158,'Old Pricing - end 26-Jan-2026'!$A:$R,8,FALSE)/1000)*(VLOOKUP($I158,'Old Pricing - end 26-Jan-2026'!$A:$R,10,FALSE)/1000)*Q158</f>
        <v>2050.5150000000003</v>
      </c>
      <c r="Q158" s="55">
        <v>600</v>
      </c>
      <c r="R158" s="72">
        <v>3</v>
      </c>
      <c r="S158" s="57">
        <f>VLOOKUP($I158,'Old Pricing - end 26-Jan-2026'!$A:$Q,16,FALSE)</f>
        <v>750</v>
      </c>
      <c r="T158" s="57">
        <f>VLOOKUP(I158,'Old Pricing - end 26-Jan-2026'!$A:$O,15,FALSE)</f>
        <v>8.07</v>
      </c>
      <c r="U158" s="57">
        <v>15438</v>
      </c>
      <c r="V158" s="111">
        <f t="shared" si="10"/>
        <v>16547.656050000001</v>
      </c>
      <c r="W158" s="55">
        <f>VLOOKUP($I158,'Old Pricing - end 26-Jan-2026'!$A:$R,18,FALSE)</f>
        <v>45</v>
      </c>
    </row>
    <row r="159" spans="1:23" ht="15" hidden="1" thickTop="1" x14ac:dyDescent="0.3">
      <c r="A159" s="55">
        <v>52896525</v>
      </c>
      <c r="B159" s="55">
        <v>0</v>
      </c>
      <c r="C159" s="55" t="str">
        <f>VLOOKUP(A159&amp;"-"&amp;B159,'Order Summary'!$D:$E,2,FALSE)</f>
        <v>Telex / Seaway Released</v>
      </c>
      <c r="D159" s="216">
        <f>IF($A159="","",VLOOKUP($A159&amp;"-"&amp;$B159,'Order Summary'!$D:$U,3,FALSE))</f>
        <v>45792</v>
      </c>
      <c r="E159" s="55" t="str">
        <f>VLOOKUP(A159&amp;"-"&amp;B159,'Order Summary'!$D:$G,4,FALSE)</f>
        <v>Yes</v>
      </c>
      <c r="F159" s="55" t="str">
        <f>VLOOKUP($A159,'Order Summary'!$B:$I,8,FALSE)</f>
        <v>Nampa, ID</v>
      </c>
      <c r="G159" s="216">
        <f>IF($A159="","",VLOOKUP($A159&amp;"-"&amp;$B159,'Order Summary'!$D:$U,18,FALSE))</f>
        <v>45974</v>
      </c>
      <c r="H159" s="55">
        <v>1</v>
      </c>
      <c r="I159" s="55">
        <v>694435</v>
      </c>
      <c r="J159" s="55" t="str">
        <f>VLOOKUP($I159,'Old Pricing - end 26-Jan-2026'!$A:$R,2,FALSE)</f>
        <v>G1S 694435</v>
      </c>
      <c r="K159" s="55" t="str">
        <f>VLOOKUP($I159,'Old Pricing - end 26-Jan-2026'!$A:$R,6,FALSE)&amp;" "&amp;VLOOKUP($I159,'Old Pricing - end 26-Jan-2026'!$A:$R,7,FALSE)&amp;""" x "&amp;VLOOKUP($I159,'Old Pricing - end 26-Jan-2026'!$A:$R,9,FALSE)&amp;""" "&amp;VLOOKUP($I159,'Old Pricing - end 26-Jan-2026'!$A:$R,5,FALSE)</f>
        <v>2MM 49" x 90" ACP</v>
      </c>
      <c r="L159" s="55">
        <f>VLOOKUP($I159,'Old Pricing - end 26-Jan-2026'!$A:$K,8,FALSE)</f>
        <v>1245</v>
      </c>
      <c r="M159" s="55">
        <f>VLOOKUP($I159,'Old Pricing - end 26-Jan-2026'!$A:$K,10,FALSE)</f>
        <v>2286</v>
      </c>
      <c r="N159" s="55" t="str">
        <f>VLOOKUP($I159,'Old Pricing - end 26-Jan-2026'!$A:$R,13,FALSE)&amp;" "&amp;VLOOKUP($I159,'Old Pricing - end 26-Jan-2026'!$A:$R,12,FALSE)</f>
        <v>ASC 0069 GLOSSY WHITE</v>
      </c>
      <c r="O159" s="149">
        <f>((VLOOKUP($I159,'Old Pricing - end 26-Jan-2026'!$A:$R,7,FALSE)/12)*(VLOOKUP($I159,'Old Pricing - end 26-Jan-2026'!$A:$R,9,FALSE)/12)*Q159)/1000</f>
        <v>12.249999999999998</v>
      </c>
      <c r="P159" s="55">
        <f>(VLOOKUP($I159,'Old Pricing - end 26-Jan-2026'!$A:$R,8,FALSE)/1000)*(VLOOKUP($I159,'Old Pricing - end 26-Jan-2026'!$A:$R,10,FALSE)/1000)*Q159</f>
        <v>1138.4280000000001</v>
      </c>
      <c r="Q159" s="55">
        <v>400</v>
      </c>
      <c r="R159" s="71">
        <f>$Q159/IFERROR(VLOOKUP($F159&amp;RIGHT($K159,8),'Master Data'!$O$5:$P$10,2,FALSE),'Master Data'!$P$4)</f>
        <v>2</v>
      </c>
      <c r="S159" s="57">
        <f>VLOOKUP($I159,'Old Pricing - end 26-Jan-2026'!$A:$Q,16,FALSE)</f>
        <v>700</v>
      </c>
      <c r="T159" s="57">
        <f>VLOOKUP(I159,'Old Pricing - end 26-Jan-2026'!$A:$O,15,FALSE)</f>
        <v>7.53</v>
      </c>
      <c r="U159" s="57">
        <v>8576</v>
      </c>
      <c r="V159" s="111">
        <f t="shared" si="10"/>
        <v>8572.3628400000016</v>
      </c>
      <c r="W159" s="55">
        <f>VLOOKUP($I159,'Old Pricing - end 26-Jan-2026'!$A:$R,18,FALSE)</f>
        <v>45</v>
      </c>
    </row>
    <row r="160" spans="1:23" ht="15" hidden="1" thickTop="1" x14ac:dyDescent="0.3">
      <c r="A160" s="55">
        <v>52896525</v>
      </c>
      <c r="B160" s="55">
        <v>0</v>
      </c>
      <c r="C160" s="55" t="str">
        <f>VLOOKUP(A160&amp;"-"&amp;B160,'Order Summary'!$D:$E,2,FALSE)</f>
        <v>Telex / Seaway Released</v>
      </c>
      <c r="D160" s="216">
        <f>IF($A160="","",VLOOKUP($A160&amp;"-"&amp;$B160,'Order Summary'!$D:$U,3,FALSE))</f>
        <v>45792</v>
      </c>
      <c r="E160" s="55" t="str">
        <f>VLOOKUP(A160&amp;"-"&amp;B160,'Order Summary'!$D:$G,4,FALSE)</f>
        <v>Yes</v>
      </c>
      <c r="F160" s="55" t="str">
        <f>VLOOKUP($A160,'Order Summary'!$B:$I,8,FALSE)</f>
        <v>Nampa, ID</v>
      </c>
      <c r="G160" s="216">
        <f>IF($A160="","",VLOOKUP($A160&amp;"-"&amp;$B160,'Order Summary'!$D:$U,18,FALSE))</f>
        <v>45974</v>
      </c>
      <c r="H160" s="55">
        <v>2</v>
      </c>
      <c r="I160" s="55">
        <v>694436</v>
      </c>
      <c r="J160" s="55" t="str">
        <f>VLOOKUP($I160,'Old Pricing - end 26-Jan-2026'!$A:$R,2,FALSE)</f>
        <v>G1S 694436</v>
      </c>
      <c r="K160" s="55" t="str">
        <f>VLOOKUP($I160,'Old Pricing - end 26-Jan-2026'!$A:$R,6,FALSE)&amp;" "&amp;VLOOKUP($I160,'Old Pricing - end 26-Jan-2026'!$A:$R,7,FALSE)&amp;""" x "&amp;VLOOKUP($I160,'Old Pricing - end 26-Jan-2026'!$A:$R,9,FALSE)&amp;""" "&amp;VLOOKUP($I160,'Old Pricing - end 26-Jan-2026'!$A:$R,5,FALSE)</f>
        <v>2MM 49" x 96" ACP</v>
      </c>
      <c r="L160" s="55">
        <f>VLOOKUP($I160,'Old Pricing - end 26-Jan-2026'!$A:$K,8,FALSE)</f>
        <v>1245</v>
      </c>
      <c r="M160" s="55">
        <f>VLOOKUP($I160,'Old Pricing - end 26-Jan-2026'!$A:$K,10,FALSE)</f>
        <v>2440</v>
      </c>
      <c r="N160" s="55" t="str">
        <f>VLOOKUP($I160,'Old Pricing - end 26-Jan-2026'!$A:$R,13,FALSE)&amp;" "&amp;VLOOKUP($I160,'Old Pricing - end 26-Jan-2026'!$A:$R,12,FALSE)</f>
        <v>ASC 0069 GLOSSY WHITE</v>
      </c>
      <c r="O160" s="149">
        <f>((VLOOKUP($I160,'Old Pricing - end 26-Jan-2026'!$A:$R,7,FALSE)/12)*(VLOOKUP($I160,'Old Pricing - end 26-Jan-2026'!$A:$R,9,FALSE)/12)*Q160)/1000</f>
        <v>45.733333333333327</v>
      </c>
      <c r="P160" s="55">
        <f>(VLOOKUP($I160,'Old Pricing - end 26-Jan-2026'!$A:$R,8,FALSE)/1000)*(VLOOKUP($I160,'Old Pricing - end 26-Jan-2026'!$A:$R,10,FALSE)/1000)*Q160</f>
        <v>4252.92</v>
      </c>
      <c r="Q160" s="55">
        <v>1400</v>
      </c>
      <c r="R160" s="71">
        <f>$Q160/IFERROR(VLOOKUP($F160&amp;RIGHT($K160,8),'Master Data'!$O$5:$P$10,2,FALSE),'Master Data'!$P$4)</f>
        <v>7</v>
      </c>
      <c r="S160" s="57">
        <f>VLOOKUP($I160,'Old Pricing - end 26-Jan-2026'!$A:$Q,16,FALSE)</f>
        <v>700</v>
      </c>
      <c r="T160" s="57">
        <f>VLOOKUP(I160,'Old Pricing - end 26-Jan-2026'!$A:$O,15,FALSE)</f>
        <v>7.53</v>
      </c>
      <c r="U160" s="57">
        <v>32017.77</v>
      </c>
      <c r="V160" s="111">
        <f t="shared" si="10"/>
        <v>32024.4876</v>
      </c>
      <c r="W160" s="55">
        <f>VLOOKUP($I160,'Old Pricing - end 26-Jan-2026'!$A:$R,18,FALSE)</f>
        <v>45</v>
      </c>
    </row>
    <row r="161" spans="1:23" ht="15" hidden="1" thickTop="1" x14ac:dyDescent="0.3">
      <c r="A161" s="55">
        <v>52896525</v>
      </c>
      <c r="B161" s="55">
        <v>0</v>
      </c>
      <c r="C161" s="55" t="str">
        <f>VLOOKUP(A161&amp;"-"&amp;B161,'Order Summary'!$D:$E,2,FALSE)</f>
        <v>Telex / Seaway Released</v>
      </c>
      <c r="D161" s="216">
        <f>IF($A161="","",VLOOKUP($A161&amp;"-"&amp;$B161,'Order Summary'!$D:$U,3,FALSE))</f>
        <v>45792</v>
      </c>
      <c r="E161" s="55" t="str">
        <f>VLOOKUP(A161&amp;"-"&amp;B161,'Order Summary'!$D:$G,4,FALSE)</f>
        <v>Yes</v>
      </c>
      <c r="F161" s="55" t="str">
        <f>VLOOKUP($A161,'Order Summary'!$B:$I,8,FALSE)</f>
        <v>Nampa, ID</v>
      </c>
      <c r="G161" s="216">
        <f>IF($A161="","",VLOOKUP($A161&amp;"-"&amp;$B161,'Order Summary'!$D:$U,18,FALSE))</f>
        <v>45974</v>
      </c>
      <c r="H161" s="55">
        <v>3</v>
      </c>
      <c r="I161" s="55">
        <v>694437</v>
      </c>
      <c r="J161" s="55" t="str">
        <f>VLOOKUP($I161,'Old Pricing - end 26-Jan-2026'!$A:$R,2,FALSE)</f>
        <v>G1S 694437</v>
      </c>
      <c r="K161" s="55" t="str">
        <f>VLOOKUP($I161,'Old Pricing - end 26-Jan-2026'!$A:$R,6,FALSE)&amp;" "&amp;VLOOKUP($I161,'Old Pricing - end 26-Jan-2026'!$A:$R,7,FALSE)&amp;""" x "&amp;VLOOKUP($I161,'Old Pricing - end 26-Jan-2026'!$A:$R,9,FALSE)&amp;""" "&amp;VLOOKUP($I161,'Old Pricing - end 26-Jan-2026'!$A:$R,5,FALSE)</f>
        <v>2MM 49" x 108" ACP</v>
      </c>
      <c r="L161" s="55">
        <f>VLOOKUP($I161,'Old Pricing - end 26-Jan-2026'!$A:$K,8,FALSE)</f>
        <v>1245</v>
      </c>
      <c r="M161" s="55">
        <f>VLOOKUP($I161,'Old Pricing - end 26-Jan-2026'!$A:$K,10,FALSE)</f>
        <v>2745</v>
      </c>
      <c r="N161" s="55" t="str">
        <f>VLOOKUP($I161,'Old Pricing - end 26-Jan-2026'!$A:$R,13,FALSE)&amp;" "&amp;VLOOKUP($I161,'Old Pricing - end 26-Jan-2026'!$A:$R,12,FALSE)</f>
        <v>ASC 0069 GLOSSY WHITE</v>
      </c>
      <c r="O161" s="149">
        <f>((VLOOKUP($I161,'Old Pricing - end 26-Jan-2026'!$A:$R,7,FALSE)/12)*(VLOOKUP($I161,'Old Pricing - end 26-Jan-2026'!$A:$R,9,FALSE)/12)*Q161)/1000</f>
        <v>22.05</v>
      </c>
      <c r="P161" s="55">
        <f>(VLOOKUP($I161,'Old Pricing - end 26-Jan-2026'!$A:$R,8,FALSE)/1000)*(VLOOKUP($I161,'Old Pricing - end 26-Jan-2026'!$A:$R,10,FALSE)/1000)*Q161</f>
        <v>2050.5150000000003</v>
      </c>
      <c r="Q161" s="55">
        <v>600</v>
      </c>
      <c r="R161" s="71">
        <f>$Q161/IFERROR(VLOOKUP($F161&amp;RIGHT($K161,8),'Master Data'!$O$5:$P$10,2,FALSE),'Master Data'!$P$4)</f>
        <v>3</v>
      </c>
      <c r="S161" s="57">
        <f>VLOOKUP($I161,'Old Pricing - end 26-Jan-2026'!$A:$Q,16,FALSE)</f>
        <v>700</v>
      </c>
      <c r="T161" s="57">
        <f>VLOOKUP(I161,'Old Pricing - end 26-Jan-2026'!$A:$O,15,FALSE)</f>
        <v>7.53</v>
      </c>
      <c r="U161" s="57">
        <v>15438</v>
      </c>
      <c r="V161" s="111">
        <f t="shared" si="10"/>
        <v>15440.377950000004</v>
      </c>
      <c r="W161" s="55">
        <f>VLOOKUP($I161,'Old Pricing - end 26-Jan-2026'!$A:$R,18,FALSE)</f>
        <v>45</v>
      </c>
    </row>
    <row r="162" spans="1:23" ht="15" hidden="1" thickTop="1" x14ac:dyDescent="0.3">
      <c r="A162" s="55">
        <v>52896525</v>
      </c>
      <c r="B162" s="55">
        <v>0</v>
      </c>
      <c r="C162" s="55" t="str">
        <f>VLOOKUP(A162&amp;"-"&amp;B162,'Order Summary'!$D:$E,2,FALSE)</f>
        <v>Telex / Seaway Released</v>
      </c>
      <c r="D162" s="216">
        <f>IF($A162="","",VLOOKUP($A162&amp;"-"&amp;$B162,'Order Summary'!$D:$U,3,FALSE))</f>
        <v>45792</v>
      </c>
      <c r="E162" s="55" t="str">
        <f>VLOOKUP(A162&amp;"-"&amp;B162,'Order Summary'!$D:$G,4,FALSE)</f>
        <v>Yes</v>
      </c>
      <c r="F162" s="55" t="str">
        <f>VLOOKUP($A162,'Order Summary'!$B:$I,8,FALSE)</f>
        <v>Nampa, ID</v>
      </c>
      <c r="G162" s="216">
        <f>IF($A162="","",VLOOKUP($A162&amp;"-"&amp;$B162,'Order Summary'!$D:$U,18,FALSE))</f>
        <v>45974</v>
      </c>
      <c r="H162" s="55">
        <v>4</v>
      </c>
      <c r="I162" s="55">
        <v>694672</v>
      </c>
      <c r="J162" s="55" t="str">
        <f>VLOOKUP($I162,'Old Pricing - end 26-Jan-2026'!$A:$R,2,FALSE)</f>
        <v>G1S 694672</v>
      </c>
      <c r="K162" s="55" t="str">
        <f>VLOOKUP($I162,'Old Pricing - end 26-Jan-2026'!$A:$R,6,FALSE)&amp;" "&amp;VLOOKUP($I162,'Old Pricing - end 26-Jan-2026'!$A:$R,7,FALSE)&amp;""" x "&amp;VLOOKUP($I162,'Old Pricing - end 26-Jan-2026'!$A:$R,9,FALSE)&amp;""" "&amp;VLOOKUP($I162,'Old Pricing - end 26-Jan-2026'!$A:$R,5,FALSE)</f>
        <v>2MM 49" x 96" ACP</v>
      </c>
      <c r="L162" s="55">
        <f>VLOOKUP($I162,'Old Pricing - end 26-Jan-2026'!$A:$K,8,FALSE)</f>
        <v>1245</v>
      </c>
      <c r="M162" s="55">
        <f>VLOOKUP($I162,'Old Pricing - end 26-Jan-2026'!$A:$K,10,FALSE)</f>
        <v>2440</v>
      </c>
      <c r="N162" s="55" t="str">
        <f>VLOOKUP($I162,'Old Pricing - end 26-Jan-2026'!$A:$R,13,FALSE)&amp;" "&amp;VLOOKUP($I162,'Old Pricing - end 26-Jan-2026'!$A:$R,12,FALSE)</f>
        <v>ASC 0089 VICTORY RED</v>
      </c>
      <c r="O162" s="149">
        <f>((VLOOKUP($I162,'Old Pricing - end 26-Jan-2026'!$A:$R,7,FALSE)/12)*(VLOOKUP($I162,'Old Pricing - end 26-Jan-2026'!$A:$R,9,FALSE)/12)*Q162)/1000</f>
        <v>6.5333333333333332</v>
      </c>
      <c r="P162" s="55">
        <f>(VLOOKUP($I162,'Old Pricing - end 26-Jan-2026'!$A:$R,8,FALSE)/1000)*(VLOOKUP($I162,'Old Pricing - end 26-Jan-2026'!$A:$R,10,FALSE)/1000)*Q162</f>
        <v>607.56000000000006</v>
      </c>
      <c r="Q162" s="55">
        <v>200</v>
      </c>
      <c r="R162" s="71">
        <f>$Q162/IFERROR(VLOOKUP($F162&amp;RIGHT($K162,8),'Master Data'!$O$5:$P$10,2,FALSE),'Master Data'!$P$4)</f>
        <v>1</v>
      </c>
      <c r="S162" s="57">
        <f>VLOOKUP($I162,'Old Pricing - end 26-Jan-2026'!$A:$Q,16,FALSE)</f>
        <v>700</v>
      </c>
      <c r="T162" s="57">
        <f>VLOOKUP(I162,'Old Pricing - end 26-Jan-2026'!$A:$O,15,FALSE)</f>
        <v>7.53</v>
      </c>
      <c r="U162" s="57">
        <v>4573.7700000000004</v>
      </c>
      <c r="V162" s="111">
        <f t="shared" si="10"/>
        <v>4574.9268000000002</v>
      </c>
      <c r="W162" s="55">
        <f>VLOOKUP($I162,'Old Pricing - end 26-Jan-2026'!$A:$R,18,FALSE)</f>
        <v>45</v>
      </c>
    </row>
    <row r="163" spans="1:23" ht="15" hidden="1" thickTop="1" x14ac:dyDescent="0.3">
      <c r="A163" s="55">
        <v>52896537</v>
      </c>
      <c r="B163" s="55">
        <v>0</v>
      </c>
      <c r="C163" s="55" t="str">
        <f>VLOOKUP(A163&amp;"-"&amp;B163,'Order Summary'!$D:$E,2,FALSE)</f>
        <v>Telex / Seaway Released</v>
      </c>
      <c r="D163" s="216">
        <f>IF($A163="","",VLOOKUP($A163&amp;"-"&amp;$B163,'Order Summary'!$D:$U,3,FALSE))</f>
        <v>45792</v>
      </c>
      <c r="E163" s="55" t="str">
        <f>VLOOKUP(A163&amp;"-"&amp;B163,'Order Summary'!$D:$G,4,FALSE)</f>
        <v>Yes</v>
      </c>
      <c r="F163" s="55" t="str">
        <f>VLOOKUP($A163,'Order Summary'!$B:$I,8,FALSE)</f>
        <v>Nampa, ID</v>
      </c>
      <c r="G163" s="216">
        <f>IF($A163="","",VLOOKUP($A163&amp;"-"&amp;$B163,'Order Summary'!$D:$U,18,FALSE))</f>
        <v>45981</v>
      </c>
      <c r="H163" s="55">
        <v>1</v>
      </c>
      <c r="I163" s="55">
        <v>694435</v>
      </c>
      <c r="J163" s="55" t="str">
        <f>VLOOKUP($I163,'Old Pricing - end 26-Jan-2026'!$A:$R,2,FALSE)</f>
        <v>G1S 694435</v>
      </c>
      <c r="K163" s="55" t="str">
        <f>VLOOKUP($I163,'Old Pricing - end 26-Jan-2026'!$A:$R,6,FALSE)&amp;" "&amp;VLOOKUP($I163,'Old Pricing - end 26-Jan-2026'!$A:$R,7,FALSE)&amp;""" x "&amp;VLOOKUP($I163,'Old Pricing - end 26-Jan-2026'!$A:$R,9,FALSE)&amp;""" "&amp;VLOOKUP($I163,'Old Pricing - end 26-Jan-2026'!$A:$R,5,FALSE)</f>
        <v>2MM 49" x 90" ACP</v>
      </c>
      <c r="L163" s="55">
        <f>VLOOKUP($I163,'Old Pricing - end 26-Jan-2026'!$A:$K,8,FALSE)</f>
        <v>1245</v>
      </c>
      <c r="M163" s="55">
        <f>VLOOKUP($I163,'Old Pricing - end 26-Jan-2026'!$A:$K,10,FALSE)</f>
        <v>2286</v>
      </c>
      <c r="N163" s="55" t="str">
        <f>VLOOKUP($I163,'Old Pricing - end 26-Jan-2026'!$A:$R,13,FALSE)&amp;" "&amp;VLOOKUP($I163,'Old Pricing - end 26-Jan-2026'!$A:$R,12,FALSE)</f>
        <v>ASC 0069 GLOSSY WHITE</v>
      </c>
      <c r="O163" s="149">
        <f>((VLOOKUP($I163,'Old Pricing - end 26-Jan-2026'!$A:$R,7,FALSE)/12)*(VLOOKUP($I163,'Old Pricing - end 26-Jan-2026'!$A:$R,9,FALSE)/12)*Q163)/1000</f>
        <v>6.1249999999999991</v>
      </c>
      <c r="P163" s="55">
        <f>(VLOOKUP($I163,'Old Pricing - end 26-Jan-2026'!$A:$R,8,FALSE)/1000)*(VLOOKUP($I163,'Old Pricing - end 26-Jan-2026'!$A:$R,10,FALSE)/1000)*Q163</f>
        <v>569.21400000000006</v>
      </c>
      <c r="Q163" s="55">
        <v>200</v>
      </c>
      <c r="R163" s="71">
        <f>$Q163/IFERROR(VLOOKUP($F163&amp;RIGHT($K163,8),'Master Data'!$O$5:$P$10,2,FALSE),'Master Data'!$P$4)</f>
        <v>1</v>
      </c>
      <c r="S163" s="57">
        <f>VLOOKUP($I163,'Old Pricing - end 26-Jan-2026'!$A:$Q,16,FALSE)</f>
        <v>700</v>
      </c>
      <c r="T163" s="57">
        <f>VLOOKUP(I163,'Old Pricing - end 26-Jan-2026'!$A:$O,15,FALSE)</f>
        <v>7.53</v>
      </c>
      <c r="U163" s="57">
        <v>4288</v>
      </c>
      <c r="V163" s="111">
        <f t="shared" si="10"/>
        <v>4286.1814200000008</v>
      </c>
      <c r="W163" s="55">
        <f>VLOOKUP($I163,'Old Pricing - end 26-Jan-2026'!$A:$R,18,FALSE)</f>
        <v>45</v>
      </c>
    </row>
    <row r="164" spans="1:23" ht="15" hidden="1" thickTop="1" x14ac:dyDescent="0.3">
      <c r="A164" s="55">
        <v>52896537</v>
      </c>
      <c r="B164" s="55">
        <v>0</v>
      </c>
      <c r="C164" s="55" t="str">
        <f>VLOOKUP(A164&amp;"-"&amp;B164,'Order Summary'!$D:$E,2,FALSE)</f>
        <v>Telex / Seaway Released</v>
      </c>
      <c r="D164" s="216">
        <f>IF($A164="","",VLOOKUP($A164&amp;"-"&amp;$B164,'Order Summary'!$D:$U,3,FALSE))</f>
        <v>45792</v>
      </c>
      <c r="E164" s="55" t="str">
        <f>VLOOKUP(A164&amp;"-"&amp;B164,'Order Summary'!$D:$G,4,FALSE)</f>
        <v>Yes</v>
      </c>
      <c r="F164" s="55" t="str">
        <f>VLOOKUP($A164,'Order Summary'!$B:$I,8,FALSE)</f>
        <v>Nampa, ID</v>
      </c>
      <c r="G164" s="216">
        <f>IF($A164="","",VLOOKUP($A164&amp;"-"&amp;$B164,'Order Summary'!$D:$U,18,FALSE))</f>
        <v>45981</v>
      </c>
      <c r="H164" s="55">
        <v>2</v>
      </c>
      <c r="I164" s="55">
        <v>694436</v>
      </c>
      <c r="J164" s="55" t="str">
        <f>VLOOKUP($I164,'Old Pricing - end 26-Jan-2026'!$A:$R,2,FALSE)</f>
        <v>G1S 694436</v>
      </c>
      <c r="K164" s="55" t="str">
        <f>VLOOKUP($I164,'Old Pricing - end 26-Jan-2026'!$A:$R,6,FALSE)&amp;" "&amp;VLOOKUP($I164,'Old Pricing - end 26-Jan-2026'!$A:$R,7,FALSE)&amp;""" x "&amp;VLOOKUP($I164,'Old Pricing - end 26-Jan-2026'!$A:$R,9,FALSE)&amp;""" "&amp;VLOOKUP($I164,'Old Pricing - end 26-Jan-2026'!$A:$R,5,FALSE)</f>
        <v>2MM 49" x 96" ACP</v>
      </c>
      <c r="L164" s="55">
        <f>VLOOKUP($I164,'Old Pricing - end 26-Jan-2026'!$A:$K,8,FALSE)</f>
        <v>1245</v>
      </c>
      <c r="M164" s="55">
        <f>VLOOKUP($I164,'Old Pricing - end 26-Jan-2026'!$A:$K,10,FALSE)</f>
        <v>2440</v>
      </c>
      <c r="N164" s="55" t="str">
        <f>VLOOKUP($I164,'Old Pricing - end 26-Jan-2026'!$A:$R,13,FALSE)&amp;" "&amp;VLOOKUP($I164,'Old Pricing - end 26-Jan-2026'!$A:$R,12,FALSE)</f>
        <v>ASC 0069 GLOSSY WHITE</v>
      </c>
      <c r="O164" s="149">
        <f>((VLOOKUP($I164,'Old Pricing - end 26-Jan-2026'!$A:$R,7,FALSE)/12)*(VLOOKUP($I164,'Old Pricing - end 26-Jan-2026'!$A:$R,9,FALSE)/12)*Q164)/1000</f>
        <v>32.666666666666664</v>
      </c>
      <c r="P164" s="55">
        <f>(VLOOKUP($I164,'Old Pricing - end 26-Jan-2026'!$A:$R,8,FALSE)/1000)*(VLOOKUP($I164,'Old Pricing - end 26-Jan-2026'!$A:$R,10,FALSE)/1000)*Q164</f>
        <v>3037.8</v>
      </c>
      <c r="Q164" s="55">
        <v>1000</v>
      </c>
      <c r="R164" s="71">
        <f>$Q164/IFERROR(VLOOKUP($F164&amp;RIGHT($K164,8),'Master Data'!$O$5:$P$10,2,FALSE),'Master Data'!$P$4)</f>
        <v>5</v>
      </c>
      <c r="S164" s="57">
        <f>VLOOKUP($I164,'Old Pricing - end 26-Jan-2026'!$A:$Q,16,FALSE)</f>
        <v>700</v>
      </c>
      <c r="T164" s="57">
        <f>VLOOKUP(I164,'Old Pricing - end 26-Jan-2026'!$A:$O,15,FALSE)</f>
        <v>7.53</v>
      </c>
      <c r="U164" s="57">
        <v>22870.23</v>
      </c>
      <c r="V164" s="111">
        <f t="shared" si="10"/>
        <v>22874.634000000002</v>
      </c>
      <c r="W164" s="55">
        <f>VLOOKUP($I164,'Old Pricing - end 26-Jan-2026'!$A:$R,18,FALSE)</f>
        <v>45</v>
      </c>
    </row>
    <row r="165" spans="1:23" ht="15" hidden="1" thickTop="1" x14ac:dyDescent="0.3">
      <c r="A165" s="55">
        <v>52896537</v>
      </c>
      <c r="B165" s="55">
        <v>0</v>
      </c>
      <c r="C165" s="55" t="str">
        <f>VLOOKUP(A165&amp;"-"&amp;B165,'Order Summary'!$D:$E,2,FALSE)</f>
        <v>Telex / Seaway Released</v>
      </c>
      <c r="D165" s="216">
        <f>IF($A165="","",VLOOKUP($A165&amp;"-"&amp;$B165,'Order Summary'!$D:$U,3,FALSE))</f>
        <v>45792</v>
      </c>
      <c r="E165" s="55" t="str">
        <f>VLOOKUP(A165&amp;"-"&amp;B165,'Order Summary'!$D:$G,4,FALSE)</f>
        <v>Yes</v>
      </c>
      <c r="F165" s="55" t="str">
        <f>VLOOKUP($A165,'Order Summary'!$B:$I,8,FALSE)</f>
        <v>Nampa, ID</v>
      </c>
      <c r="G165" s="216">
        <f>IF($A165="","",VLOOKUP($A165&amp;"-"&amp;$B165,'Order Summary'!$D:$U,18,FALSE))</f>
        <v>45981</v>
      </c>
      <c r="H165" s="55">
        <v>3</v>
      </c>
      <c r="I165" s="55">
        <v>694437</v>
      </c>
      <c r="J165" s="55" t="str">
        <f>VLOOKUP($I165,'Old Pricing - end 26-Jan-2026'!$A:$R,2,FALSE)</f>
        <v>G1S 694437</v>
      </c>
      <c r="K165" s="55" t="str">
        <f>VLOOKUP($I165,'Old Pricing - end 26-Jan-2026'!$A:$R,6,FALSE)&amp;" "&amp;VLOOKUP($I165,'Old Pricing - end 26-Jan-2026'!$A:$R,7,FALSE)&amp;""" x "&amp;VLOOKUP($I165,'Old Pricing - end 26-Jan-2026'!$A:$R,9,FALSE)&amp;""" "&amp;VLOOKUP($I165,'Old Pricing - end 26-Jan-2026'!$A:$R,5,FALSE)</f>
        <v>2MM 49" x 108" ACP</v>
      </c>
      <c r="L165" s="55">
        <f>VLOOKUP($I165,'Old Pricing - end 26-Jan-2026'!$A:$K,8,FALSE)</f>
        <v>1245</v>
      </c>
      <c r="M165" s="55">
        <f>VLOOKUP($I165,'Old Pricing - end 26-Jan-2026'!$A:$K,10,FALSE)</f>
        <v>2745</v>
      </c>
      <c r="N165" s="55" t="str">
        <f>VLOOKUP($I165,'Old Pricing - end 26-Jan-2026'!$A:$R,13,FALSE)&amp;" "&amp;VLOOKUP($I165,'Old Pricing - end 26-Jan-2026'!$A:$R,12,FALSE)</f>
        <v>ASC 0069 GLOSSY WHITE</v>
      </c>
      <c r="O165" s="149">
        <f>((VLOOKUP($I165,'Old Pricing - end 26-Jan-2026'!$A:$R,7,FALSE)/12)*(VLOOKUP($I165,'Old Pricing - end 26-Jan-2026'!$A:$R,9,FALSE)/12)*Q165)/1000</f>
        <v>7.35</v>
      </c>
      <c r="P165" s="55">
        <f>(VLOOKUP($I165,'Old Pricing - end 26-Jan-2026'!$A:$R,8,FALSE)/1000)*(VLOOKUP($I165,'Old Pricing - end 26-Jan-2026'!$A:$R,10,FALSE)/1000)*Q165</f>
        <v>683.50500000000011</v>
      </c>
      <c r="Q165" s="55">
        <v>200</v>
      </c>
      <c r="R165" s="71">
        <f>$Q165/IFERROR(VLOOKUP($F165&amp;RIGHT($K165,8),'Master Data'!$O$5:$P$10,2,FALSE),'Master Data'!$P$4)</f>
        <v>1</v>
      </c>
      <c r="S165" s="57">
        <f>VLOOKUP($I165,'Old Pricing - end 26-Jan-2026'!$A:$Q,16,FALSE)</f>
        <v>700</v>
      </c>
      <c r="T165" s="57">
        <f>VLOOKUP(I165,'Old Pricing - end 26-Jan-2026'!$A:$O,15,FALSE)</f>
        <v>7.53</v>
      </c>
      <c r="U165" s="57">
        <v>5146</v>
      </c>
      <c r="V165" s="111">
        <f t="shared" si="10"/>
        <v>5146.7926500000012</v>
      </c>
      <c r="W165" s="55">
        <f>VLOOKUP($I165,'Old Pricing - end 26-Jan-2026'!$A:$R,18,FALSE)</f>
        <v>45</v>
      </c>
    </row>
    <row r="166" spans="1:23" ht="15" hidden="1" thickTop="1" x14ac:dyDescent="0.3">
      <c r="A166" s="55">
        <v>52896537</v>
      </c>
      <c r="B166" s="55">
        <v>0</v>
      </c>
      <c r="C166" s="55" t="str">
        <f>VLOOKUP(A166&amp;"-"&amp;B166,'Order Summary'!$D:$E,2,FALSE)</f>
        <v>Telex / Seaway Released</v>
      </c>
      <c r="D166" s="216">
        <f>IF($A166="","",VLOOKUP($A166&amp;"-"&amp;$B166,'Order Summary'!$D:$U,3,FALSE))</f>
        <v>45792</v>
      </c>
      <c r="E166" s="55" t="str">
        <f>VLOOKUP(A166&amp;"-"&amp;B166,'Order Summary'!$D:$G,4,FALSE)</f>
        <v>Yes</v>
      </c>
      <c r="F166" s="55" t="str">
        <f>VLOOKUP($A166,'Order Summary'!$B:$I,8,FALSE)</f>
        <v>Nampa, ID</v>
      </c>
      <c r="G166" s="216">
        <f>IF($A166="","",VLOOKUP($A166&amp;"-"&amp;$B166,'Order Summary'!$D:$U,18,FALSE))</f>
        <v>45981</v>
      </c>
      <c r="H166" s="55">
        <v>4</v>
      </c>
      <c r="I166" s="55">
        <v>694439</v>
      </c>
      <c r="J166" s="55" t="str">
        <f>VLOOKUP($I166,'Old Pricing - end 26-Jan-2026'!$A:$R,2,FALSE)</f>
        <v>G1S 694439</v>
      </c>
      <c r="K166" s="55" t="str">
        <f>VLOOKUP($I166,'Old Pricing - end 26-Jan-2026'!$A:$R,6,FALSE)&amp;" "&amp;VLOOKUP($I166,'Old Pricing - end 26-Jan-2026'!$A:$R,7,FALSE)&amp;""" x "&amp;VLOOKUP($I166,'Old Pricing - end 26-Jan-2026'!$A:$R,9,FALSE)&amp;""" "&amp;VLOOKUP($I166,'Old Pricing - end 26-Jan-2026'!$A:$R,5,FALSE)</f>
        <v>2MM 49" x 90" ACP</v>
      </c>
      <c r="L166" s="55">
        <f>VLOOKUP($I166,'Old Pricing - end 26-Jan-2026'!$A:$K,8,FALSE)</f>
        <v>1245</v>
      </c>
      <c r="M166" s="55">
        <f>VLOOKUP($I166,'Old Pricing - end 26-Jan-2026'!$A:$K,10,FALSE)</f>
        <v>2286</v>
      </c>
      <c r="N166" s="55" t="str">
        <f>VLOOKUP($I166,'Old Pricing - end 26-Jan-2026'!$A:$R,13,FALSE)&amp;" "&amp;VLOOKUP($I166,'Old Pricing - end 26-Jan-2026'!$A:$R,12,FALSE)</f>
        <v>AMC 0103 SILVER FROST</v>
      </c>
      <c r="O166" s="149">
        <f>((VLOOKUP($I166,'Old Pricing - end 26-Jan-2026'!$A:$R,7,FALSE)/12)*(VLOOKUP($I166,'Old Pricing - end 26-Jan-2026'!$A:$R,9,FALSE)/12)*Q166)/1000</f>
        <v>18.374999999999996</v>
      </c>
      <c r="P166" s="55">
        <f>(VLOOKUP($I166,'Old Pricing - end 26-Jan-2026'!$A:$R,8,FALSE)/1000)*(VLOOKUP($I166,'Old Pricing - end 26-Jan-2026'!$A:$R,10,FALSE)/1000)*Q166</f>
        <v>1707.6420000000001</v>
      </c>
      <c r="Q166" s="55">
        <v>600</v>
      </c>
      <c r="R166" s="71">
        <f>$Q166/IFERROR(VLOOKUP($F166&amp;RIGHT($K166,8),'Master Data'!$O$5:$P$10,2,FALSE),'Master Data'!$P$4)</f>
        <v>3</v>
      </c>
      <c r="S166" s="57">
        <f>VLOOKUP($I166,'Old Pricing - end 26-Jan-2026'!$A:$Q,16,FALSE)</f>
        <v>700</v>
      </c>
      <c r="T166" s="57">
        <f>VLOOKUP(I166,'Old Pricing - end 26-Jan-2026'!$A:$O,15,FALSE)</f>
        <v>7.53</v>
      </c>
      <c r="U166" s="57">
        <v>12864</v>
      </c>
      <c r="V166" s="111">
        <f t="shared" si="10"/>
        <v>12858.544260000001</v>
      </c>
      <c r="W166" s="55">
        <f>VLOOKUP($I166,'Old Pricing - end 26-Jan-2026'!$A:$R,18,FALSE)</f>
        <v>90</v>
      </c>
    </row>
    <row r="167" spans="1:23" ht="15" hidden="1" thickTop="1" x14ac:dyDescent="0.3">
      <c r="A167" s="55">
        <v>52896537</v>
      </c>
      <c r="B167" s="55">
        <v>0</v>
      </c>
      <c r="C167" s="55" t="str">
        <f>VLOOKUP(A167&amp;"-"&amp;B167,'Order Summary'!$D:$E,2,FALSE)</f>
        <v>Telex / Seaway Released</v>
      </c>
      <c r="D167" s="216">
        <f>IF($A167="","",VLOOKUP($A167&amp;"-"&amp;$B167,'Order Summary'!$D:$U,3,FALSE))</f>
        <v>45792</v>
      </c>
      <c r="E167" s="55" t="str">
        <f>VLOOKUP(A167&amp;"-"&amp;B167,'Order Summary'!$D:$G,4,FALSE)</f>
        <v>Yes</v>
      </c>
      <c r="F167" s="55" t="str">
        <f>VLOOKUP($A167,'Order Summary'!$B:$I,8,FALSE)</f>
        <v>Nampa, ID</v>
      </c>
      <c r="G167" s="216">
        <f>IF($A167="","",VLOOKUP($A167&amp;"-"&amp;$B167,'Order Summary'!$D:$U,18,FALSE))</f>
        <v>45981</v>
      </c>
      <c r="H167" s="55">
        <v>5</v>
      </c>
      <c r="I167" s="55">
        <v>694440</v>
      </c>
      <c r="J167" s="55" t="str">
        <f>VLOOKUP($I167,'Old Pricing - end 26-Jan-2026'!$A:$R,2,FALSE)</f>
        <v>G1S 694440</v>
      </c>
      <c r="K167" s="55" t="str">
        <f>VLOOKUP($I167,'Old Pricing - end 26-Jan-2026'!$A:$R,6,FALSE)&amp;" "&amp;VLOOKUP($I167,'Old Pricing - end 26-Jan-2026'!$A:$R,7,FALSE)&amp;""" x "&amp;VLOOKUP($I167,'Old Pricing - end 26-Jan-2026'!$A:$R,9,FALSE)&amp;""" "&amp;VLOOKUP($I167,'Old Pricing - end 26-Jan-2026'!$A:$R,5,FALSE)</f>
        <v>2MM 49" x 96" ACP</v>
      </c>
      <c r="L167" s="55">
        <f>VLOOKUP($I167,'Old Pricing - end 26-Jan-2026'!$A:$K,8,FALSE)</f>
        <v>1245</v>
      </c>
      <c r="M167" s="55">
        <f>VLOOKUP($I167,'Old Pricing - end 26-Jan-2026'!$A:$K,10,FALSE)</f>
        <v>2440</v>
      </c>
      <c r="N167" s="55" t="str">
        <f>VLOOKUP($I167,'Old Pricing - end 26-Jan-2026'!$A:$R,13,FALSE)&amp;" "&amp;VLOOKUP($I167,'Old Pricing - end 26-Jan-2026'!$A:$R,12,FALSE)</f>
        <v>AMC 0103 SILVER FROST</v>
      </c>
      <c r="O167" s="149">
        <f>((VLOOKUP($I167,'Old Pricing - end 26-Jan-2026'!$A:$R,7,FALSE)/12)*(VLOOKUP($I167,'Old Pricing - end 26-Jan-2026'!$A:$R,9,FALSE)/12)*Q167)/1000</f>
        <v>19.600000000000001</v>
      </c>
      <c r="P167" s="55">
        <f>(VLOOKUP($I167,'Old Pricing - end 26-Jan-2026'!$A:$R,8,FALSE)/1000)*(VLOOKUP($I167,'Old Pricing - end 26-Jan-2026'!$A:$R,10,FALSE)/1000)*Q167</f>
        <v>1822.68</v>
      </c>
      <c r="Q167" s="55">
        <v>600</v>
      </c>
      <c r="R167" s="71">
        <f>$Q167/IFERROR(VLOOKUP($F167&amp;RIGHT($K167,8),'Master Data'!$O$5:$P$10,2,FALSE),'Master Data'!$P$4)</f>
        <v>3</v>
      </c>
      <c r="S167" s="57">
        <f>VLOOKUP($I167,'Old Pricing - end 26-Jan-2026'!$A:$Q,16,FALSE)</f>
        <v>700</v>
      </c>
      <c r="T167" s="57">
        <f>VLOOKUP(I167,'Old Pricing - end 26-Jan-2026'!$A:$O,15,FALSE)</f>
        <v>7.53</v>
      </c>
      <c r="U167" s="57">
        <v>13722</v>
      </c>
      <c r="V167" s="111">
        <f t="shared" si="10"/>
        <v>13724.780400000001</v>
      </c>
      <c r="W167" s="55">
        <f>VLOOKUP($I167,'Old Pricing - end 26-Jan-2026'!$A:$R,18,FALSE)</f>
        <v>90</v>
      </c>
    </row>
    <row r="168" spans="1:23" ht="15" hidden="1" thickTop="1" x14ac:dyDescent="0.3">
      <c r="A168" s="55">
        <v>52896537</v>
      </c>
      <c r="B168" s="55">
        <v>0</v>
      </c>
      <c r="C168" s="55" t="str">
        <f>VLOOKUP(A168&amp;"-"&amp;B168,'Order Summary'!$D:$E,2,FALSE)</f>
        <v>Telex / Seaway Released</v>
      </c>
      <c r="D168" s="216">
        <f>IF($A168="","",VLOOKUP($A168&amp;"-"&amp;$B168,'Order Summary'!$D:$U,3,FALSE))</f>
        <v>45792</v>
      </c>
      <c r="E168" s="55" t="str">
        <f>VLOOKUP(A168&amp;"-"&amp;B168,'Order Summary'!$D:$G,4,FALSE)</f>
        <v>Yes</v>
      </c>
      <c r="F168" s="55" t="str">
        <f>VLOOKUP($A168,'Order Summary'!$B:$I,8,FALSE)</f>
        <v>Nampa, ID</v>
      </c>
      <c r="G168" s="216">
        <f>IF($A168="","",VLOOKUP($A168&amp;"-"&amp;$B168,'Order Summary'!$D:$U,18,FALSE))</f>
        <v>45981</v>
      </c>
      <c r="H168" s="55">
        <v>6</v>
      </c>
      <c r="I168" s="55">
        <v>694441</v>
      </c>
      <c r="J168" s="55" t="str">
        <f>VLOOKUP($I168,'Old Pricing - end 26-Jan-2026'!$A:$R,2,FALSE)</f>
        <v>G1S 694441</v>
      </c>
      <c r="K168" s="55" t="str">
        <f>VLOOKUP($I168,'Old Pricing - end 26-Jan-2026'!$A:$R,6,FALSE)&amp;" "&amp;VLOOKUP($I168,'Old Pricing - end 26-Jan-2026'!$A:$R,7,FALSE)&amp;""" x "&amp;VLOOKUP($I168,'Old Pricing - end 26-Jan-2026'!$A:$R,9,FALSE)&amp;""" "&amp;VLOOKUP($I168,'Old Pricing - end 26-Jan-2026'!$A:$R,5,FALSE)</f>
        <v>2MM 49" x 108" ACP</v>
      </c>
      <c r="L168" s="55">
        <f>VLOOKUP($I168,'Old Pricing - end 26-Jan-2026'!$A:$K,8,FALSE)</f>
        <v>1245</v>
      </c>
      <c r="M168" s="55">
        <f>VLOOKUP($I168,'Old Pricing - end 26-Jan-2026'!$A:$K,10,FALSE)</f>
        <v>2745</v>
      </c>
      <c r="N168" s="55" t="str">
        <f>VLOOKUP($I168,'Old Pricing - end 26-Jan-2026'!$A:$R,13,FALSE)&amp;" "&amp;VLOOKUP($I168,'Old Pricing - end 26-Jan-2026'!$A:$R,12,FALSE)</f>
        <v>AMC 0103 SILVER FROST</v>
      </c>
      <c r="O168" s="149">
        <f>((VLOOKUP($I168,'Old Pricing - end 26-Jan-2026'!$A:$R,7,FALSE)/12)*(VLOOKUP($I168,'Old Pricing - end 26-Jan-2026'!$A:$R,9,FALSE)/12)*Q168)/1000</f>
        <v>7.35</v>
      </c>
      <c r="P168" s="55">
        <f>(VLOOKUP($I168,'Old Pricing - end 26-Jan-2026'!$A:$R,8,FALSE)/1000)*(VLOOKUP($I168,'Old Pricing - end 26-Jan-2026'!$A:$R,10,FALSE)/1000)*Q168</f>
        <v>683.50500000000011</v>
      </c>
      <c r="Q168" s="55">
        <v>200</v>
      </c>
      <c r="R168" s="71">
        <f>$Q168/IFERROR(VLOOKUP($F168&amp;RIGHT($K168,8),'Master Data'!$O$5:$P$10,2,FALSE),'Master Data'!$P$4)</f>
        <v>1</v>
      </c>
      <c r="S168" s="57">
        <f>VLOOKUP($I168,'Old Pricing - end 26-Jan-2026'!$A:$Q,16,FALSE)</f>
        <v>700</v>
      </c>
      <c r="T168" s="57">
        <f>VLOOKUP(I168,'Old Pricing - end 26-Jan-2026'!$A:$O,15,FALSE)</f>
        <v>7.53</v>
      </c>
      <c r="U168" s="57">
        <v>5146</v>
      </c>
      <c r="V168" s="111">
        <f t="shared" si="10"/>
        <v>5146.7926500000012</v>
      </c>
      <c r="W168" s="55">
        <f>VLOOKUP($I168,'Old Pricing - end 26-Jan-2026'!$A:$R,18,FALSE)</f>
        <v>90</v>
      </c>
    </row>
    <row r="169" spans="1:23" ht="15" hidden="1" thickTop="1" x14ac:dyDescent="0.3">
      <c r="A169" s="55">
        <v>52899499</v>
      </c>
      <c r="B169" s="55">
        <v>0</v>
      </c>
      <c r="C169" s="55" t="str">
        <f>VLOOKUP(A169&amp;"-"&amp;B169,'Order Summary'!$D:$E,2,FALSE)</f>
        <v>Telex / Seaway Released</v>
      </c>
      <c r="D169" s="216">
        <f>IF($A169="","",VLOOKUP($A169&amp;"-"&amp;$B169,'Order Summary'!$D:$U,3,FALSE))</f>
        <v>45792</v>
      </c>
      <c r="E169" s="55" t="str">
        <f>VLOOKUP(A169&amp;"-"&amp;B169,'Order Summary'!$D:$G,4,FALSE)</f>
        <v>Yes</v>
      </c>
      <c r="F169" s="55" t="str">
        <f>VLOOKUP($A169,'Order Summary'!$B:$I,8,FALSE)</f>
        <v>Nampa, ID</v>
      </c>
      <c r="G169" s="216">
        <f>IF($A169="","",VLOOKUP($A169&amp;"-"&amp;$B169,'Order Summary'!$D:$U,18,FALSE))</f>
        <v>45974</v>
      </c>
      <c r="H169" s="55">
        <v>1</v>
      </c>
      <c r="I169" s="55">
        <v>694431</v>
      </c>
      <c r="J169" s="55" t="str">
        <f>VLOOKUP($I169,'Old Pricing - end 26-Jan-2026'!$A:$R,2,FALSE)</f>
        <v>G1S 694431</v>
      </c>
      <c r="K169" s="55" t="str">
        <f>VLOOKUP($I169,'Old Pricing - end 26-Jan-2026'!$A:$R,6,FALSE)&amp;" "&amp;VLOOKUP($I169,'Old Pricing - end 26-Jan-2026'!$A:$R,7,FALSE)&amp;""" x "&amp;VLOOKUP($I169,'Old Pricing - end 26-Jan-2026'!$A:$R,9,FALSE)&amp;""" "&amp;VLOOKUP($I169,'Old Pricing - end 26-Jan-2026'!$A:$R,5,FALSE)</f>
        <v>2MM 49" x 90" ACP</v>
      </c>
      <c r="L169" s="55">
        <f>VLOOKUP($I169,'Old Pricing - end 26-Jan-2026'!$A:$K,8,FALSE)</f>
        <v>1245</v>
      </c>
      <c r="M169" s="55">
        <f>VLOOKUP($I169,'Old Pricing - end 26-Jan-2026'!$A:$K,10,FALSE)</f>
        <v>2286</v>
      </c>
      <c r="N169" s="55" t="str">
        <f>VLOOKUP($I169,'Old Pricing - end 26-Jan-2026'!$A:$R,13,FALSE)&amp;" "&amp;VLOOKUP($I169,'Old Pricing - end 26-Jan-2026'!$A:$R,12,FALSE)</f>
        <v>ASC 0096 GLOSSY BLACK</v>
      </c>
      <c r="O169" s="149">
        <f>((VLOOKUP($I169,'Old Pricing - end 26-Jan-2026'!$A:$R,7,FALSE)/12)*(VLOOKUP($I169,'Old Pricing - end 26-Jan-2026'!$A:$R,9,FALSE)/12)*Q169)/1000</f>
        <v>6.1249999999999991</v>
      </c>
      <c r="P169" s="55">
        <f>(VLOOKUP($I169,'Old Pricing - end 26-Jan-2026'!$A:$R,8,FALSE)/1000)*(VLOOKUP($I169,'Old Pricing - end 26-Jan-2026'!$A:$R,10,FALSE)/1000)*Q169</f>
        <v>569.21400000000006</v>
      </c>
      <c r="Q169" s="55">
        <v>200</v>
      </c>
      <c r="R169" s="71">
        <f>$Q169/IFERROR(VLOOKUP($F169&amp;RIGHT($K169,8),'Master Data'!$O$5:$P$10,2,FALSE),'Master Data'!$P$4)</f>
        <v>1</v>
      </c>
      <c r="S169" s="57">
        <f>VLOOKUP($I169,'Old Pricing - end 26-Jan-2026'!$A:$Q,16,FALSE)</f>
        <v>700</v>
      </c>
      <c r="T169" s="57">
        <f>VLOOKUP(I169,'Old Pricing - end 26-Jan-2026'!$A:$O,15,FALSE)</f>
        <v>7.53</v>
      </c>
      <c r="U169" s="57">
        <v>4288</v>
      </c>
      <c r="V169" s="111">
        <f t="shared" si="10"/>
        <v>4286.1814200000008</v>
      </c>
      <c r="W169" s="55">
        <f>VLOOKUP($I169,'Old Pricing - end 26-Jan-2026'!$A:$R,18,FALSE)</f>
        <v>45</v>
      </c>
    </row>
    <row r="170" spans="1:23" ht="15" hidden="1" thickTop="1" x14ac:dyDescent="0.3">
      <c r="A170" s="55">
        <v>52899499</v>
      </c>
      <c r="B170" s="55">
        <v>0</v>
      </c>
      <c r="C170" s="55" t="str">
        <f>VLOOKUP(A170&amp;"-"&amp;B170,'Order Summary'!$D:$E,2,FALSE)</f>
        <v>Telex / Seaway Released</v>
      </c>
      <c r="D170" s="216">
        <f>IF($A170="","",VLOOKUP($A170&amp;"-"&amp;$B170,'Order Summary'!$D:$U,3,FALSE))</f>
        <v>45792</v>
      </c>
      <c r="E170" s="55" t="str">
        <f>VLOOKUP(A170&amp;"-"&amp;B170,'Order Summary'!$D:$G,4,FALSE)</f>
        <v>Yes</v>
      </c>
      <c r="F170" s="55" t="str">
        <f>VLOOKUP($A170,'Order Summary'!$B:$I,8,FALSE)</f>
        <v>Nampa, ID</v>
      </c>
      <c r="G170" s="216">
        <f>IF($A170="","",VLOOKUP($A170&amp;"-"&amp;$B170,'Order Summary'!$D:$U,18,FALSE))</f>
        <v>45974</v>
      </c>
      <c r="H170" s="55">
        <v>2</v>
      </c>
      <c r="I170" s="55">
        <v>694432</v>
      </c>
      <c r="J170" s="55" t="str">
        <f>VLOOKUP($I170,'Old Pricing - end 26-Jan-2026'!$A:$R,2,FALSE)</f>
        <v>G1S 694432</v>
      </c>
      <c r="K170" s="55" t="str">
        <f>VLOOKUP($I170,'Old Pricing - end 26-Jan-2026'!$A:$R,6,FALSE)&amp;" "&amp;VLOOKUP($I170,'Old Pricing - end 26-Jan-2026'!$A:$R,7,FALSE)&amp;""" x "&amp;VLOOKUP($I170,'Old Pricing - end 26-Jan-2026'!$A:$R,9,FALSE)&amp;""" "&amp;VLOOKUP($I170,'Old Pricing - end 26-Jan-2026'!$A:$R,5,FALSE)</f>
        <v>2MM 49" x 96" ACP</v>
      </c>
      <c r="L170" s="55">
        <f>VLOOKUP($I170,'Old Pricing - end 26-Jan-2026'!$A:$K,8,FALSE)</f>
        <v>1245</v>
      </c>
      <c r="M170" s="55">
        <f>VLOOKUP($I170,'Old Pricing - end 26-Jan-2026'!$A:$K,10,FALSE)</f>
        <v>2440</v>
      </c>
      <c r="N170" s="55" t="str">
        <f>VLOOKUP($I170,'Old Pricing - end 26-Jan-2026'!$A:$R,13,FALSE)&amp;" "&amp;VLOOKUP($I170,'Old Pricing - end 26-Jan-2026'!$A:$R,12,FALSE)</f>
        <v>ASC 0096 GLOSSY BLACK</v>
      </c>
      <c r="O170" s="149">
        <f>((VLOOKUP($I170,'Old Pricing - end 26-Jan-2026'!$A:$R,7,FALSE)/12)*(VLOOKUP($I170,'Old Pricing - end 26-Jan-2026'!$A:$R,9,FALSE)/12)*Q170)/1000</f>
        <v>13.066666666666666</v>
      </c>
      <c r="P170" s="55">
        <f>(VLOOKUP($I170,'Old Pricing - end 26-Jan-2026'!$A:$R,8,FALSE)/1000)*(VLOOKUP($I170,'Old Pricing - end 26-Jan-2026'!$A:$R,10,FALSE)/1000)*Q170</f>
        <v>1215.1200000000001</v>
      </c>
      <c r="Q170" s="55">
        <v>400</v>
      </c>
      <c r="R170" s="71">
        <f>$Q170/IFERROR(VLOOKUP($F170&amp;RIGHT($K170,8),'Master Data'!$O$5:$P$10,2,FALSE),'Master Data'!$P$4)</f>
        <v>2</v>
      </c>
      <c r="S170" s="57">
        <f>VLOOKUP($I170,'Old Pricing - end 26-Jan-2026'!$A:$Q,16,FALSE)</f>
        <v>700</v>
      </c>
      <c r="T170" s="57">
        <f>VLOOKUP(I170,'Old Pricing - end 26-Jan-2026'!$A:$O,15,FALSE)</f>
        <v>7.53</v>
      </c>
      <c r="U170" s="57">
        <v>9148.23</v>
      </c>
      <c r="V170" s="111">
        <f t="shared" si="10"/>
        <v>9149.8536000000004</v>
      </c>
      <c r="W170" s="55">
        <f>VLOOKUP($I170,'Old Pricing - end 26-Jan-2026'!$A:$R,18,FALSE)</f>
        <v>45</v>
      </c>
    </row>
    <row r="171" spans="1:23" ht="15" hidden="1" thickTop="1" x14ac:dyDescent="0.3">
      <c r="A171" s="55">
        <v>52899499</v>
      </c>
      <c r="B171" s="55">
        <v>0</v>
      </c>
      <c r="C171" s="55" t="str">
        <f>VLOOKUP(A171&amp;"-"&amp;B171,'Order Summary'!$D:$E,2,FALSE)</f>
        <v>Telex / Seaway Released</v>
      </c>
      <c r="D171" s="216">
        <f>IF($A171="","",VLOOKUP($A171&amp;"-"&amp;$B171,'Order Summary'!$D:$U,3,FALSE))</f>
        <v>45792</v>
      </c>
      <c r="E171" s="55" t="str">
        <f>VLOOKUP(A171&amp;"-"&amp;B171,'Order Summary'!$D:$G,4,FALSE)</f>
        <v>Yes</v>
      </c>
      <c r="F171" s="55" t="str">
        <f>VLOOKUP($A171,'Order Summary'!$B:$I,8,FALSE)</f>
        <v>Nampa, ID</v>
      </c>
      <c r="G171" s="216">
        <f>IF($A171="","",VLOOKUP($A171&amp;"-"&amp;$B171,'Order Summary'!$D:$U,18,FALSE))</f>
        <v>45974</v>
      </c>
      <c r="H171" s="55">
        <v>3</v>
      </c>
      <c r="I171" s="55">
        <v>694433</v>
      </c>
      <c r="J171" s="55" t="str">
        <f>VLOOKUP($I171,'Old Pricing - end 26-Jan-2026'!$A:$R,2,FALSE)</f>
        <v>G1S 694433</v>
      </c>
      <c r="K171" s="55" t="str">
        <f>VLOOKUP($I171,'Old Pricing - end 26-Jan-2026'!$A:$R,6,FALSE)&amp;" "&amp;VLOOKUP($I171,'Old Pricing - end 26-Jan-2026'!$A:$R,7,FALSE)&amp;""" x "&amp;VLOOKUP($I171,'Old Pricing - end 26-Jan-2026'!$A:$R,9,FALSE)&amp;""" "&amp;VLOOKUP($I171,'Old Pricing - end 26-Jan-2026'!$A:$R,5,FALSE)</f>
        <v>2MM 49" x 108" ACP</v>
      </c>
      <c r="L171" s="55">
        <f>VLOOKUP($I171,'Old Pricing - end 26-Jan-2026'!$A:$K,8,FALSE)</f>
        <v>1245</v>
      </c>
      <c r="M171" s="55">
        <f>VLOOKUP($I171,'Old Pricing - end 26-Jan-2026'!$A:$K,10,FALSE)</f>
        <v>2745</v>
      </c>
      <c r="N171" s="55" t="str">
        <f>VLOOKUP($I171,'Old Pricing - end 26-Jan-2026'!$A:$R,13,FALSE)&amp;" "&amp;VLOOKUP($I171,'Old Pricing - end 26-Jan-2026'!$A:$R,12,FALSE)</f>
        <v>ASC 0096 GLOSSY BLACK</v>
      </c>
      <c r="O171" s="149">
        <f>((VLOOKUP($I171,'Old Pricing - end 26-Jan-2026'!$A:$R,7,FALSE)/12)*(VLOOKUP($I171,'Old Pricing - end 26-Jan-2026'!$A:$R,9,FALSE)/12)*Q171)/1000</f>
        <v>14.7</v>
      </c>
      <c r="P171" s="55">
        <f>(VLOOKUP($I171,'Old Pricing - end 26-Jan-2026'!$A:$R,8,FALSE)/1000)*(VLOOKUP($I171,'Old Pricing - end 26-Jan-2026'!$A:$R,10,FALSE)/1000)*Q171</f>
        <v>1367.0100000000002</v>
      </c>
      <c r="Q171" s="55">
        <v>400</v>
      </c>
      <c r="R171" s="71">
        <f>$Q171/IFERROR(VLOOKUP($F171&amp;RIGHT($K171,8),'Master Data'!$O$5:$P$10,2,FALSE),'Master Data'!$P$4)</f>
        <v>2</v>
      </c>
      <c r="S171" s="57">
        <f>VLOOKUP($I171,'Old Pricing - end 26-Jan-2026'!$A:$Q,16,FALSE)</f>
        <v>700</v>
      </c>
      <c r="T171" s="57">
        <f>VLOOKUP(I171,'Old Pricing - end 26-Jan-2026'!$A:$O,15,FALSE)</f>
        <v>7.53</v>
      </c>
      <c r="U171" s="57">
        <v>10292</v>
      </c>
      <c r="V171" s="111">
        <f t="shared" si="10"/>
        <v>10293.585300000002</v>
      </c>
      <c r="W171" s="55">
        <f>VLOOKUP($I171,'Old Pricing - end 26-Jan-2026'!$A:$R,18,FALSE)</f>
        <v>45</v>
      </c>
    </row>
    <row r="172" spans="1:23" ht="15" hidden="1" thickTop="1" x14ac:dyDescent="0.3">
      <c r="A172" s="55">
        <v>52899499</v>
      </c>
      <c r="B172" s="55">
        <v>0</v>
      </c>
      <c r="C172" s="55" t="str">
        <f>VLOOKUP(A172&amp;"-"&amp;B172,'Order Summary'!$D:$E,2,FALSE)</f>
        <v>Telex / Seaway Released</v>
      </c>
      <c r="D172" s="216">
        <f>IF($A172="","",VLOOKUP($A172&amp;"-"&amp;$B172,'Order Summary'!$D:$U,3,FALSE))</f>
        <v>45792</v>
      </c>
      <c r="E172" s="55" t="str">
        <f>VLOOKUP(A172&amp;"-"&amp;B172,'Order Summary'!$D:$G,4,FALSE)</f>
        <v>Yes</v>
      </c>
      <c r="F172" s="55" t="str">
        <f>VLOOKUP($A172,'Order Summary'!$B:$I,8,FALSE)</f>
        <v>Nampa, ID</v>
      </c>
      <c r="G172" s="216">
        <f>IF($A172="","",VLOOKUP($A172&amp;"-"&amp;$B172,'Order Summary'!$D:$U,18,FALSE))</f>
        <v>45974</v>
      </c>
      <c r="H172" s="55">
        <v>4</v>
      </c>
      <c r="I172" s="55">
        <v>694443</v>
      </c>
      <c r="J172" s="55" t="str">
        <f>VLOOKUP($I172,'Old Pricing - end 26-Jan-2026'!$A:$R,2,FALSE)</f>
        <v>G1S 694443</v>
      </c>
      <c r="K172" s="55" t="str">
        <f>VLOOKUP($I172,'Old Pricing - end 26-Jan-2026'!$A:$R,6,FALSE)&amp;" "&amp;VLOOKUP($I172,'Old Pricing - end 26-Jan-2026'!$A:$R,7,FALSE)&amp;""" x "&amp;VLOOKUP($I172,'Old Pricing - end 26-Jan-2026'!$A:$R,9,FALSE)&amp;""" "&amp;VLOOKUP($I172,'Old Pricing - end 26-Jan-2026'!$A:$R,5,FALSE)</f>
        <v>2MM 49" x 90" ACP</v>
      </c>
      <c r="L172" s="55">
        <f>VLOOKUP($I172,'Old Pricing - end 26-Jan-2026'!$A:$K,8,FALSE)</f>
        <v>1245</v>
      </c>
      <c r="M172" s="55">
        <f>VLOOKUP($I172,'Old Pricing - end 26-Jan-2026'!$A:$K,10,FALSE)</f>
        <v>2286</v>
      </c>
      <c r="N172" s="55" t="str">
        <f>VLOOKUP($I172,'Old Pricing - end 26-Jan-2026'!$A:$R,13,FALSE)&amp;" "&amp;VLOOKUP($I172,'Old Pricing - end 26-Jan-2026'!$A:$R,12,FALSE)</f>
        <v>AMC 0086 CHARCOAL METALLIC</v>
      </c>
      <c r="O172" s="149">
        <f>((VLOOKUP($I172,'Old Pricing - end 26-Jan-2026'!$A:$R,7,FALSE)/12)*(VLOOKUP($I172,'Old Pricing - end 26-Jan-2026'!$A:$R,9,FALSE)/12)*Q172)/1000</f>
        <v>12.249999999999998</v>
      </c>
      <c r="P172" s="55">
        <f>(VLOOKUP($I172,'Old Pricing - end 26-Jan-2026'!$A:$R,8,FALSE)/1000)*(VLOOKUP($I172,'Old Pricing - end 26-Jan-2026'!$A:$R,10,FALSE)/1000)*Q172</f>
        <v>1138.4280000000001</v>
      </c>
      <c r="Q172" s="55">
        <v>400</v>
      </c>
      <c r="R172" s="71">
        <f>$Q172/IFERROR(VLOOKUP($F172&amp;RIGHT($K172,8),'Master Data'!$O$5:$P$10,2,FALSE),'Master Data'!$P$4)</f>
        <v>2</v>
      </c>
      <c r="S172" s="57">
        <f>VLOOKUP($I172,'Old Pricing - end 26-Jan-2026'!$A:$Q,16,FALSE)</f>
        <v>750</v>
      </c>
      <c r="T172" s="57">
        <f>VLOOKUP(I172,'Old Pricing - end 26-Jan-2026'!$A:$O,15,FALSE)</f>
        <v>8.07</v>
      </c>
      <c r="U172" s="57">
        <v>8576</v>
      </c>
      <c r="V172" s="111">
        <f t="shared" si="10"/>
        <v>9187.1139600000006</v>
      </c>
      <c r="W172" s="55">
        <f>VLOOKUP($I172,'Old Pricing - end 26-Jan-2026'!$A:$R,18,FALSE)</f>
        <v>45</v>
      </c>
    </row>
    <row r="173" spans="1:23" ht="15" hidden="1" thickTop="1" x14ac:dyDescent="0.3">
      <c r="A173" s="55">
        <v>52899499</v>
      </c>
      <c r="B173" s="55">
        <v>0</v>
      </c>
      <c r="C173" s="55" t="str">
        <f>VLOOKUP(A173&amp;"-"&amp;B173,'Order Summary'!$D:$E,2,FALSE)</f>
        <v>Telex / Seaway Released</v>
      </c>
      <c r="D173" s="216">
        <f>IF($A173="","",VLOOKUP($A173&amp;"-"&amp;$B173,'Order Summary'!$D:$U,3,FALSE))</f>
        <v>45792</v>
      </c>
      <c r="E173" s="55" t="str">
        <f>VLOOKUP(A173&amp;"-"&amp;B173,'Order Summary'!$D:$G,4,FALSE)</f>
        <v>Yes</v>
      </c>
      <c r="F173" s="55" t="str">
        <f>VLOOKUP($A173,'Order Summary'!$B:$I,8,FALSE)</f>
        <v>Nampa, ID</v>
      </c>
      <c r="G173" s="216">
        <f>IF($A173="","",VLOOKUP($A173&amp;"-"&amp;$B173,'Order Summary'!$D:$U,18,FALSE))</f>
        <v>45974</v>
      </c>
      <c r="H173" s="55">
        <v>5</v>
      </c>
      <c r="I173" s="55">
        <v>694444</v>
      </c>
      <c r="J173" s="55" t="str">
        <f>VLOOKUP($I173,'Old Pricing - end 26-Jan-2026'!$A:$R,2,FALSE)</f>
        <v>G1S 694444</v>
      </c>
      <c r="K173" s="55" t="str">
        <f>VLOOKUP($I173,'Old Pricing - end 26-Jan-2026'!$A:$R,6,FALSE)&amp;" "&amp;VLOOKUP($I173,'Old Pricing - end 26-Jan-2026'!$A:$R,7,FALSE)&amp;""" x "&amp;VLOOKUP($I173,'Old Pricing - end 26-Jan-2026'!$A:$R,9,FALSE)&amp;""" "&amp;VLOOKUP($I173,'Old Pricing - end 26-Jan-2026'!$A:$R,5,FALSE)</f>
        <v>2MM 49" x 96" ACP</v>
      </c>
      <c r="L173" s="55">
        <f>VLOOKUP($I173,'Old Pricing - end 26-Jan-2026'!$A:$K,8,FALSE)</f>
        <v>1245</v>
      </c>
      <c r="M173" s="55">
        <f>VLOOKUP($I173,'Old Pricing - end 26-Jan-2026'!$A:$K,10,FALSE)</f>
        <v>2440</v>
      </c>
      <c r="N173" s="55" t="str">
        <f>VLOOKUP($I173,'Old Pricing - end 26-Jan-2026'!$A:$R,13,FALSE)&amp;" "&amp;VLOOKUP($I173,'Old Pricing - end 26-Jan-2026'!$A:$R,12,FALSE)</f>
        <v>AMC 0086 CHARCOAL METALLIC</v>
      </c>
      <c r="O173" s="149">
        <f>((VLOOKUP($I173,'Old Pricing - end 26-Jan-2026'!$A:$R,7,FALSE)/12)*(VLOOKUP($I173,'Old Pricing - end 26-Jan-2026'!$A:$R,9,FALSE)/12)*Q173)/1000</f>
        <v>19.600000000000001</v>
      </c>
      <c r="P173" s="55">
        <f>(VLOOKUP($I173,'Old Pricing - end 26-Jan-2026'!$A:$R,8,FALSE)/1000)*(VLOOKUP($I173,'Old Pricing - end 26-Jan-2026'!$A:$R,10,FALSE)/1000)*Q173</f>
        <v>1822.68</v>
      </c>
      <c r="Q173" s="55">
        <v>600</v>
      </c>
      <c r="R173" s="71">
        <f>$Q173/IFERROR(VLOOKUP($F173&amp;RIGHT($K173,8),'Master Data'!$O$5:$P$10,2,FALSE),'Master Data'!$P$4)</f>
        <v>3</v>
      </c>
      <c r="S173" s="57">
        <f>VLOOKUP($I173,'Old Pricing - end 26-Jan-2026'!$A:$Q,16,FALSE)</f>
        <v>750</v>
      </c>
      <c r="T173" s="57">
        <f>VLOOKUP(I173,'Old Pricing - end 26-Jan-2026'!$A:$O,15,FALSE)</f>
        <v>8.07</v>
      </c>
      <c r="U173" s="57">
        <v>13722</v>
      </c>
      <c r="V173" s="111">
        <f t="shared" si="10"/>
        <v>14709.027600000001</v>
      </c>
      <c r="W173" s="55">
        <f>VLOOKUP($I173,'Old Pricing - end 26-Jan-2026'!$A:$R,18,FALSE)</f>
        <v>45</v>
      </c>
    </row>
    <row r="174" spans="1:23" ht="15" hidden="1" thickTop="1" x14ac:dyDescent="0.3">
      <c r="A174" s="55">
        <v>52899499</v>
      </c>
      <c r="B174" s="55">
        <v>0</v>
      </c>
      <c r="C174" s="55" t="str">
        <f>VLOOKUP(A174&amp;"-"&amp;B174,'Order Summary'!$D:$E,2,FALSE)</f>
        <v>Telex / Seaway Released</v>
      </c>
      <c r="D174" s="216">
        <f>IF($A174="","",VLOOKUP($A174&amp;"-"&amp;$B174,'Order Summary'!$D:$U,3,FALSE))</f>
        <v>45792</v>
      </c>
      <c r="E174" s="55" t="str">
        <f>VLOOKUP(A174&amp;"-"&amp;B174,'Order Summary'!$D:$G,4,FALSE)</f>
        <v>Yes</v>
      </c>
      <c r="F174" s="55" t="str">
        <f>VLOOKUP($A174,'Order Summary'!$B:$I,8,FALSE)</f>
        <v>Nampa, ID</v>
      </c>
      <c r="G174" s="216">
        <f>IF($A174="","",VLOOKUP($A174&amp;"-"&amp;$B174,'Order Summary'!$D:$U,18,FALSE))</f>
        <v>45974</v>
      </c>
      <c r="H174" s="55">
        <v>6</v>
      </c>
      <c r="I174" s="55">
        <v>694445</v>
      </c>
      <c r="J174" s="55" t="str">
        <f>VLOOKUP($I174,'Old Pricing - end 26-Jan-2026'!$A:$R,2,FALSE)</f>
        <v>G1S 694445</v>
      </c>
      <c r="K174" s="55" t="str">
        <f>VLOOKUP($I174,'Old Pricing - end 26-Jan-2026'!$A:$R,6,FALSE)&amp;" "&amp;VLOOKUP($I174,'Old Pricing - end 26-Jan-2026'!$A:$R,7,FALSE)&amp;""" x "&amp;VLOOKUP($I174,'Old Pricing - end 26-Jan-2026'!$A:$R,9,FALSE)&amp;""" "&amp;VLOOKUP($I174,'Old Pricing - end 26-Jan-2026'!$A:$R,5,FALSE)</f>
        <v>2MM 49" x 108" ACP</v>
      </c>
      <c r="L174" s="55">
        <f>VLOOKUP($I174,'Old Pricing - end 26-Jan-2026'!$A:$K,8,FALSE)</f>
        <v>1245</v>
      </c>
      <c r="M174" s="55">
        <f>VLOOKUP($I174,'Old Pricing - end 26-Jan-2026'!$A:$K,10,FALSE)</f>
        <v>2745</v>
      </c>
      <c r="N174" s="55" t="str">
        <f>VLOOKUP($I174,'Old Pricing - end 26-Jan-2026'!$A:$R,13,FALSE)&amp;" "&amp;VLOOKUP($I174,'Old Pricing - end 26-Jan-2026'!$A:$R,12,FALSE)</f>
        <v>AMC 0086 CHARCOAL METALLIC</v>
      </c>
      <c r="O174" s="149">
        <f>((VLOOKUP($I174,'Old Pricing - end 26-Jan-2026'!$A:$R,7,FALSE)/12)*(VLOOKUP($I174,'Old Pricing - end 26-Jan-2026'!$A:$R,9,FALSE)/12)*Q174)/1000</f>
        <v>14.7</v>
      </c>
      <c r="P174" s="55">
        <f>(VLOOKUP($I174,'Old Pricing - end 26-Jan-2026'!$A:$R,8,FALSE)/1000)*(VLOOKUP($I174,'Old Pricing - end 26-Jan-2026'!$A:$R,10,FALSE)/1000)*Q174</f>
        <v>1367.0100000000002</v>
      </c>
      <c r="Q174" s="55">
        <v>400</v>
      </c>
      <c r="R174" s="71">
        <f>$Q174/IFERROR(VLOOKUP($F174&amp;RIGHT($K174,8),'Master Data'!$O$5:$P$10,2,FALSE),'Master Data'!$P$4)</f>
        <v>2</v>
      </c>
      <c r="S174" s="57">
        <f>VLOOKUP($I174,'Old Pricing - end 26-Jan-2026'!$A:$Q,16,FALSE)</f>
        <v>750</v>
      </c>
      <c r="T174" s="57">
        <f>VLOOKUP(I174,'Old Pricing - end 26-Jan-2026'!$A:$O,15,FALSE)</f>
        <v>8.07</v>
      </c>
      <c r="U174" s="57">
        <v>10292</v>
      </c>
      <c r="V174" s="111">
        <f t="shared" si="10"/>
        <v>11031.770700000003</v>
      </c>
      <c r="W174" s="55">
        <f>VLOOKUP($I174,'Old Pricing - end 26-Jan-2026'!$A:$R,18,FALSE)</f>
        <v>45</v>
      </c>
    </row>
    <row r="175" spans="1:23" ht="15" hidden="1" thickTop="1" x14ac:dyDescent="0.3">
      <c r="A175" s="55">
        <v>52899499</v>
      </c>
      <c r="B175" s="55">
        <v>0</v>
      </c>
      <c r="C175" s="55" t="str">
        <f>VLOOKUP(A175&amp;"-"&amp;B175,'Order Summary'!$D:$E,2,FALSE)</f>
        <v>Telex / Seaway Released</v>
      </c>
      <c r="D175" s="216">
        <f>IF($A175="","",VLOOKUP($A175&amp;"-"&amp;$B175,'Order Summary'!$D:$U,3,FALSE))</f>
        <v>45792</v>
      </c>
      <c r="E175" s="55" t="str">
        <f>VLOOKUP(A175&amp;"-"&amp;B175,'Order Summary'!$D:$G,4,FALSE)</f>
        <v>Yes</v>
      </c>
      <c r="F175" s="55" t="str">
        <f>VLOOKUP($A175,'Order Summary'!$B:$I,8,FALSE)</f>
        <v>Nampa, ID</v>
      </c>
      <c r="G175" s="216">
        <f>IF($A175="","",VLOOKUP($A175&amp;"-"&amp;$B175,'Order Summary'!$D:$U,18,FALSE))</f>
        <v>45974</v>
      </c>
      <c r="H175" s="55">
        <v>7</v>
      </c>
      <c r="I175" s="55">
        <v>695620</v>
      </c>
      <c r="J175" s="55" t="str">
        <f>VLOOKUP($I175,'Old Pricing - end 26-Jan-2026'!$A:$R,2,FALSE)</f>
        <v>G1S 695620</v>
      </c>
      <c r="K175" s="55" t="str">
        <f>VLOOKUP($I175,'Old Pricing - end 26-Jan-2026'!$A:$R,6,FALSE)&amp;" "&amp;VLOOKUP($I175,'Old Pricing - end 26-Jan-2026'!$A:$R,7,FALSE)&amp;""" x "&amp;VLOOKUP($I175,'Old Pricing - end 26-Jan-2026'!$A:$R,9,FALSE)&amp;""" "&amp;VLOOKUP($I175,'Old Pricing - end 26-Jan-2026'!$A:$R,5,FALSE)</f>
        <v>2MM 49" x 96" ACP</v>
      </c>
      <c r="L175" s="55">
        <f>VLOOKUP($I175,'Old Pricing - end 26-Jan-2026'!$A:$K,8,FALSE)</f>
        <v>1245</v>
      </c>
      <c r="M175" s="55">
        <f>VLOOKUP($I175,'Old Pricing - end 26-Jan-2026'!$A:$K,10,FALSE)</f>
        <v>2440</v>
      </c>
      <c r="N175" s="55" t="str">
        <f>VLOOKUP($I175,'Old Pricing - end 26-Jan-2026'!$A:$R,13,FALSE)&amp;" "&amp;VLOOKUP($I175,'Old Pricing - end 26-Jan-2026'!$A:$R,12,FALSE)</f>
        <v>ASC 0105 INDIGO BLUE</v>
      </c>
      <c r="O175" s="149">
        <f>((VLOOKUP($I175,'Old Pricing - end 26-Jan-2026'!$A:$R,7,FALSE)/12)*(VLOOKUP($I175,'Old Pricing - end 26-Jan-2026'!$A:$R,9,FALSE)/12)*Q175)/1000</f>
        <v>6.5333333333333332</v>
      </c>
      <c r="P175" s="55">
        <f>(VLOOKUP($I175,'Old Pricing - end 26-Jan-2026'!$A:$R,8,FALSE)/1000)*(VLOOKUP($I175,'Old Pricing - end 26-Jan-2026'!$A:$R,10,FALSE)/1000)*Q175</f>
        <v>607.56000000000006</v>
      </c>
      <c r="Q175" s="55">
        <v>200</v>
      </c>
      <c r="R175" s="71">
        <f>$Q175/IFERROR(VLOOKUP($F175&amp;RIGHT($K175,8),'Master Data'!$O$5:$P$10,2,FALSE),'Master Data'!$P$4)</f>
        <v>1</v>
      </c>
      <c r="S175" s="57">
        <f>VLOOKUP($I175,'Old Pricing - end 26-Jan-2026'!$A:$Q,16,FALSE)</f>
        <v>750</v>
      </c>
      <c r="T175" s="57">
        <f>VLOOKUP(I175,'Old Pricing - end 26-Jan-2026'!$A:$O,15,FALSE)</f>
        <v>8.07</v>
      </c>
      <c r="U175" s="57">
        <v>4573.7700000000004</v>
      </c>
      <c r="V175" s="111">
        <f t="shared" si="10"/>
        <v>4903.0092000000004</v>
      </c>
      <c r="W175" s="55">
        <f>VLOOKUP($I175,'Old Pricing - end 26-Jan-2026'!$A:$R,18,FALSE)</f>
        <v>45</v>
      </c>
    </row>
    <row r="176" spans="1:23" ht="15" hidden="1" thickTop="1" x14ac:dyDescent="0.3">
      <c r="A176" s="55">
        <v>52906591</v>
      </c>
      <c r="B176" s="55">
        <v>0</v>
      </c>
      <c r="C176" s="55" t="str">
        <f>VLOOKUP(A176&amp;"-"&amp;B176,'Order Summary'!$D:$E,2,FALSE)</f>
        <v>Telex / Seaway Released</v>
      </c>
      <c r="D176" s="216">
        <f>IF($A176="","",VLOOKUP($A176&amp;"-"&amp;$B176,'Order Summary'!$D:$U,3,FALSE))</f>
        <v>45792</v>
      </c>
      <c r="E176" s="55" t="str">
        <f>VLOOKUP(A176&amp;"-"&amp;B176,'Order Summary'!$D:$G,4,FALSE)</f>
        <v>Yes</v>
      </c>
      <c r="F176" s="55" t="str">
        <f>VLOOKUP($A176,'Order Summary'!$B:$I,8,FALSE)</f>
        <v>Nampa, ID</v>
      </c>
      <c r="G176" s="216">
        <f>IF($A176="","",VLOOKUP($A176&amp;"-"&amp;$B176,'Order Summary'!$D:$U,18,FALSE))</f>
        <v>46023</v>
      </c>
      <c r="H176" s="55">
        <v>1</v>
      </c>
      <c r="I176" s="55">
        <v>697407</v>
      </c>
      <c r="J176" s="55" t="str">
        <f>VLOOKUP($I176,'Old Pricing - end 26-Jan-2026'!$A:$R,2,FALSE)</f>
        <v>G1S 697407</v>
      </c>
      <c r="K176" s="55" t="str">
        <f>VLOOKUP($I176,'Old Pricing - end 26-Jan-2026'!$A:$R,6,FALSE)&amp;" "&amp;VLOOKUP($I176,'Old Pricing - end 26-Jan-2026'!$A:$R,7,FALSE)&amp;""" x "&amp;VLOOKUP($I176,'Old Pricing - end 26-Jan-2026'!$A:$R,9,FALSE)&amp;""" "&amp;VLOOKUP($I176,'Old Pricing - end 26-Jan-2026'!$A:$R,5,FALSE)</f>
        <v>2MM 49" x 90" ACP</v>
      </c>
      <c r="L176" s="55">
        <f>VLOOKUP($I176,'Old Pricing - end 26-Jan-2026'!$A:$K,8,FALSE)</f>
        <v>1245</v>
      </c>
      <c r="M176" s="55">
        <f>VLOOKUP($I176,'Old Pricing - end 26-Jan-2026'!$A:$K,10,FALSE)</f>
        <v>2286</v>
      </c>
      <c r="N176" s="55" t="str">
        <f>VLOOKUP($I176,'Old Pricing - end 26-Jan-2026'!$A:$R,13,FALSE)&amp;" "&amp;VLOOKUP($I176,'Old Pricing - end 26-Jan-2026'!$A:$R,12,FALSE)</f>
        <v>ASC 0164 ARMY GREEN</v>
      </c>
      <c r="O176" s="56">
        <v>12.25</v>
      </c>
      <c r="P176" s="55">
        <f>(VLOOKUP($I176,'Old Pricing - end 26-Jan-2026'!$A:$R,8,FALSE)/1000)*(VLOOKUP($I176,'Old Pricing - end 26-Jan-2026'!$A:$R,10,FALSE)/1000)*Q176</f>
        <v>1138.4280000000001</v>
      </c>
      <c r="Q176" s="55">
        <f>ROUND(('Order Details'!$O176*1000)/((VLOOKUP($I176,'Old Pricing - end 26-Jan-2026'!$A:$Q,7,FALSE)/12)*(VLOOKUP($I176,'Old Pricing - end 26-Jan-2026'!$A:$Q,9,FALSE)/12))/5,0)*5</f>
        <v>400</v>
      </c>
      <c r="R176" s="71">
        <f>$Q176/IFERROR(VLOOKUP($F176&amp;RIGHT($K176,8),'Master Data'!$O$5:$P$10,2,FALSE),'Master Data'!$P$4)</f>
        <v>2</v>
      </c>
      <c r="S176" s="57">
        <f>VLOOKUP($I176,'Old Pricing - end 26-Jan-2026'!$A:$Q,16,FALSE)</f>
        <v>750</v>
      </c>
      <c r="T176" s="57">
        <f>VLOOKUP(I176,'Old Pricing - end 26-Jan-2026'!$A:$O,15,FALSE)</f>
        <v>8.07</v>
      </c>
      <c r="U176" s="57">
        <f t="shared" ref="U176:U228" si="11">O176*S176</f>
        <v>9187.5</v>
      </c>
      <c r="V176" s="111">
        <f t="shared" si="10"/>
        <v>9187.1139600000006</v>
      </c>
      <c r="W176" s="55">
        <f>VLOOKUP($I176,'Old Pricing - end 26-Jan-2026'!$A:$R,18,FALSE)</f>
        <v>90</v>
      </c>
    </row>
    <row r="177" spans="1:23" ht="15" hidden="1" thickTop="1" x14ac:dyDescent="0.3">
      <c r="A177" s="55">
        <v>52906591</v>
      </c>
      <c r="B177" s="55">
        <v>0</v>
      </c>
      <c r="C177" s="55" t="str">
        <f>VLOOKUP(A177&amp;"-"&amp;B177,'Order Summary'!$D:$E,2,FALSE)</f>
        <v>Telex / Seaway Released</v>
      </c>
      <c r="D177" s="216">
        <f>IF($A177="","",VLOOKUP($A177&amp;"-"&amp;$B177,'Order Summary'!$D:$U,3,FALSE))</f>
        <v>45792</v>
      </c>
      <c r="E177" s="55" t="str">
        <f>VLOOKUP(A177&amp;"-"&amp;B177,'Order Summary'!$D:$G,4,FALSE)</f>
        <v>Yes</v>
      </c>
      <c r="F177" s="55" t="str">
        <f>VLOOKUP($A177,'Order Summary'!$B:$I,8,FALSE)</f>
        <v>Nampa, ID</v>
      </c>
      <c r="G177" s="216">
        <f>IF($A177="","",VLOOKUP($A177&amp;"-"&amp;$B177,'Order Summary'!$D:$U,18,FALSE))</f>
        <v>46023</v>
      </c>
      <c r="H177" s="55">
        <v>2</v>
      </c>
      <c r="I177" s="55">
        <v>697408</v>
      </c>
      <c r="J177" s="55" t="str">
        <f>VLOOKUP($I177,'Old Pricing - end 26-Jan-2026'!$A:$R,2,FALSE)</f>
        <v>G1S 697408</v>
      </c>
      <c r="K177" s="55" t="str">
        <f>VLOOKUP($I177,'Old Pricing - end 26-Jan-2026'!$A:$R,6,FALSE)&amp;" "&amp;VLOOKUP($I177,'Old Pricing - end 26-Jan-2026'!$A:$R,7,FALSE)&amp;""" x "&amp;VLOOKUP($I177,'Old Pricing - end 26-Jan-2026'!$A:$R,9,FALSE)&amp;""" "&amp;VLOOKUP($I177,'Old Pricing - end 26-Jan-2026'!$A:$R,5,FALSE)</f>
        <v>2MM 49" x 96" ACP</v>
      </c>
      <c r="L177" s="55">
        <f>VLOOKUP($I177,'Old Pricing - end 26-Jan-2026'!$A:$K,8,FALSE)</f>
        <v>1245</v>
      </c>
      <c r="M177" s="55">
        <f>VLOOKUP($I177,'Old Pricing - end 26-Jan-2026'!$A:$K,10,FALSE)</f>
        <v>2440</v>
      </c>
      <c r="N177" s="55" t="str">
        <f>VLOOKUP($I177,'Old Pricing - end 26-Jan-2026'!$A:$R,13,FALSE)&amp;" "&amp;VLOOKUP($I177,'Old Pricing - end 26-Jan-2026'!$A:$R,12,FALSE)</f>
        <v>ASC 0164 ARMY GREEN</v>
      </c>
      <c r="O177" s="56">
        <v>26.132999999999999</v>
      </c>
      <c r="P177" s="55">
        <f>(VLOOKUP($I177,'Old Pricing - end 26-Jan-2026'!$A:$R,8,FALSE)/1000)*(VLOOKUP($I177,'Old Pricing - end 26-Jan-2026'!$A:$R,10,FALSE)/1000)*Q177</f>
        <v>2430.2400000000002</v>
      </c>
      <c r="Q177" s="55">
        <f>ROUND(('Order Details'!$O177*1000)/((VLOOKUP($I177,'Old Pricing - end 26-Jan-2026'!$A:$Q,7,FALSE)/12)*(VLOOKUP($I177,'Old Pricing - end 26-Jan-2026'!$A:$Q,9,FALSE)/12))/5,0)*5</f>
        <v>800</v>
      </c>
      <c r="R177" s="71">
        <f>$Q177/IFERROR(VLOOKUP($F177&amp;RIGHT($K177,8),'Master Data'!$O$5:$P$10,2,FALSE),'Master Data'!$P$4)</f>
        <v>4</v>
      </c>
      <c r="S177" s="57">
        <f>VLOOKUP($I177,'Old Pricing - end 26-Jan-2026'!$A:$Q,16,FALSE)</f>
        <v>750</v>
      </c>
      <c r="T177" s="57">
        <f>VLOOKUP(I177,'Old Pricing - end 26-Jan-2026'!$A:$O,15,FALSE)</f>
        <v>8.07</v>
      </c>
      <c r="U177" s="57">
        <f t="shared" si="11"/>
        <v>19599.75</v>
      </c>
      <c r="V177" s="111">
        <f t="shared" si="10"/>
        <v>19612.036800000002</v>
      </c>
      <c r="W177" s="55">
        <f>VLOOKUP($I177,'Old Pricing - end 26-Jan-2026'!$A:$R,18,FALSE)</f>
        <v>90</v>
      </c>
    </row>
    <row r="178" spans="1:23" ht="15" hidden="1" thickTop="1" x14ac:dyDescent="0.3">
      <c r="A178" s="55">
        <v>52906591</v>
      </c>
      <c r="B178" s="55">
        <v>0</v>
      </c>
      <c r="C178" s="55" t="str">
        <f>VLOOKUP(A178&amp;"-"&amp;B178,'Order Summary'!$D:$E,2,FALSE)</f>
        <v>Telex / Seaway Released</v>
      </c>
      <c r="D178" s="216">
        <f>IF($A178="","",VLOOKUP($A178&amp;"-"&amp;$B178,'Order Summary'!$D:$U,3,FALSE))</f>
        <v>45792</v>
      </c>
      <c r="E178" s="55" t="str">
        <f>VLOOKUP(A178&amp;"-"&amp;B178,'Order Summary'!$D:$G,4,FALSE)</f>
        <v>Yes</v>
      </c>
      <c r="F178" s="55" t="str">
        <f>VLOOKUP($A178,'Order Summary'!$B:$I,8,FALSE)</f>
        <v>Nampa, ID</v>
      </c>
      <c r="G178" s="216">
        <f>IF($A178="","",VLOOKUP($A178&amp;"-"&amp;$B178,'Order Summary'!$D:$U,18,FALSE))</f>
        <v>46023</v>
      </c>
      <c r="H178" s="55">
        <v>3</v>
      </c>
      <c r="I178" s="55">
        <v>697411</v>
      </c>
      <c r="J178" s="55" t="str">
        <f>VLOOKUP($I178,'Old Pricing - end 26-Jan-2026'!$A:$R,2,FALSE)</f>
        <v>G1S 697411</v>
      </c>
      <c r="K178" s="55" t="str">
        <f>VLOOKUP($I178,'Old Pricing - end 26-Jan-2026'!$A:$R,6,FALSE)&amp;" "&amp;VLOOKUP($I178,'Old Pricing - end 26-Jan-2026'!$A:$R,7,FALSE)&amp;""" x "&amp;VLOOKUP($I178,'Old Pricing - end 26-Jan-2026'!$A:$R,9,FALSE)&amp;""" "&amp;VLOOKUP($I178,'Old Pricing - end 26-Jan-2026'!$A:$R,5,FALSE)</f>
        <v>2MM 49" x 90" ACP</v>
      </c>
      <c r="L178" s="55">
        <f>VLOOKUP($I178,'Old Pricing - end 26-Jan-2026'!$A:$K,8,FALSE)</f>
        <v>1245</v>
      </c>
      <c r="M178" s="55">
        <f>VLOOKUP($I178,'Old Pricing - end 26-Jan-2026'!$A:$K,10,FALSE)</f>
        <v>2286</v>
      </c>
      <c r="N178" s="55" t="str">
        <f>VLOOKUP($I178,'Old Pricing - end 26-Jan-2026'!$A:$R,13,FALSE)&amp;" "&amp;VLOOKUP($I178,'Old Pricing - end 26-Jan-2026'!$A:$R,12,FALSE)</f>
        <v>ASC 0127 SAND SAHARA</v>
      </c>
      <c r="O178" s="56">
        <v>12.25</v>
      </c>
      <c r="P178" s="55">
        <f>(VLOOKUP($I178,'Old Pricing - end 26-Jan-2026'!$A:$R,8,FALSE)/1000)*(VLOOKUP($I178,'Old Pricing - end 26-Jan-2026'!$A:$R,10,FALSE)/1000)*Q178</f>
        <v>1138.4280000000001</v>
      </c>
      <c r="Q178" s="55">
        <f>ROUND(('Order Details'!$O178*1000)/((VLOOKUP($I178,'Old Pricing - end 26-Jan-2026'!$A:$Q,7,FALSE)/12)*(VLOOKUP($I178,'Old Pricing - end 26-Jan-2026'!$A:$Q,9,FALSE)/12))/5,0)*5</f>
        <v>400</v>
      </c>
      <c r="R178" s="71">
        <f>$Q178/IFERROR(VLOOKUP($F178&amp;RIGHT($K178,8),'Master Data'!$O$5:$P$10,2,FALSE),'Master Data'!$P$4)</f>
        <v>2</v>
      </c>
      <c r="S178" s="57">
        <f>VLOOKUP($I178,'Old Pricing - end 26-Jan-2026'!$A:$Q,16,FALSE)</f>
        <v>750</v>
      </c>
      <c r="T178" s="57">
        <f>VLOOKUP(I178,'Old Pricing - end 26-Jan-2026'!$A:$O,15,FALSE)</f>
        <v>8.07</v>
      </c>
      <c r="U178" s="57">
        <f t="shared" si="11"/>
        <v>9187.5</v>
      </c>
      <c r="V178" s="111">
        <f t="shared" si="10"/>
        <v>9187.1139600000006</v>
      </c>
      <c r="W178" s="55">
        <f>VLOOKUP($I178,'Old Pricing - end 26-Jan-2026'!$A:$R,18,FALSE)</f>
        <v>90</v>
      </c>
    </row>
    <row r="179" spans="1:23" ht="15" hidden="1" thickTop="1" x14ac:dyDescent="0.3">
      <c r="A179" s="55">
        <v>52906591</v>
      </c>
      <c r="B179" s="55">
        <v>0</v>
      </c>
      <c r="C179" s="55" t="str">
        <f>VLOOKUP(A179&amp;"-"&amp;B179,'Order Summary'!$D:$E,2,FALSE)</f>
        <v>Telex / Seaway Released</v>
      </c>
      <c r="D179" s="216">
        <f>IF($A179="","",VLOOKUP($A179&amp;"-"&amp;$B179,'Order Summary'!$D:$U,3,FALSE))</f>
        <v>45792</v>
      </c>
      <c r="E179" s="55" t="str">
        <f>VLOOKUP(A179&amp;"-"&amp;B179,'Order Summary'!$D:$G,4,FALSE)</f>
        <v>Yes</v>
      </c>
      <c r="F179" s="55" t="str">
        <f>VLOOKUP($A179,'Order Summary'!$B:$I,8,FALSE)</f>
        <v>Nampa, ID</v>
      </c>
      <c r="G179" s="216">
        <f>IF($A179="","",VLOOKUP($A179&amp;"-"&amp;$B179,'Order Summary'!$D:$U,18,FALSE))</f>
        <v>46023</v>
      </c>
      <c r="H179" s="55">
        <v>4</v>
      </c>
      <c r="I179" s="55">
        <v>697412</v>
      </c>
      <c r="J179" s="55" t="str">
        <f>VLOOKUP($I179,'Old Pricing - end 26-Jan-2026'!$A:$R,2,FALSE)</f>
        <v>G1S 697412</v>
      </c>
      <c r="K179" s="55" t="str">
        <f>VLOOKUP($I179,'Old Pricing - end 26-Jan-2026'!$A:$R,6,FALSE)&amp;" "&amp;VLOOKUP($I179,'Old Pricing - end 26-Jan-2026'!$A:$R,7,FALSE)&amp;""" x "&amp;VLOOKUP($I179,'Old Pricing - end 26-Jan-2026'!$A:$R,9,FALSE)&amp;""" "&amp;VLOOKUP($I179,'Old Pricing - end 26-Jan-2026'!$A:$R,5,FALSE)</f>
        <v>2MM 49" x 96" ACP</v>
      </c>
      <c r="L179" s="55">
        <f>VLOOKUP($I179,'Old Pricing - end 26-Jan-2026'!$A:$K,8,FALSE)</f>
        <v>1245</v>
      </c>
      <c r="M179" s="55">
        <f>VLOOKUP($I179,'Old Pricing - end 26-Jan-2026'!$A:$K,10,FALSE)</f>
        <v>2440</v>
      </c>
      <c r="N179" s="55" t="str">
        <f>VLOOKUP($I179,'Old Pricing - end 26-Jan-2026'!$A:$R,13,FALSE)&amp;" "&amp;VLOOKUP($I179,'Old Pricing - end 26-Jan-2026'!$A:$R,12,FALSE)</f>
        <v>ASC 0127 SAND SAHARA</v>
      </c>
      <c r="O179" s="56">
        <v>26.132999999999999</v>
      </c>
      <c r="P179" s="55">
        <f>(VLOOKUP($I179,'Old Pricing - end 26-Jan-2026'!$A:$R,8,FALSE)/1000)*(VLOOKUP($I179,'Old Pricing - end 26-Jan-2026'!$A:$R,10,FALSE)/1000)*Q179</f>
        <v>2430.2400000000002</v>
      </c>
      <c r="Q179" s="55">
        <f>ROUND(('Order Details'!$O179*1000)/((VLOOKUP($I179,'Old Pricing - end 26-Jan-2026'!$A:$Q,7,FALSE)/12)*(VLOOKUP($I179,'Old Pricing - end 26-Jan-2026'!$A:$Q,9,FALSE)/12))/5,0)*5</f>
        <v>800</v>
      </c>
      <c r="R179" s="71">
        <f>$Q179/IFERROR(VLOOKUP($F179&amp;RIGHT($K179,8),'Master Data'!$O$5:$P$10,2,FALSE),'Master Data'!$P$4)</f>
        <v>4</v>
      </c>
      <c r="S179" s="57">
        <f>VLOOKUP($I179,'Old Pricing - end 26-Jan-2026'!$A:$Q,16,FALSE)</f>
        <v>750</v>
      </c>
      <c r="T179" s="57">
        <f>VLOOKUP(I179,'Old Pricing - end 26-Jan-2026'!$A:$O,15,FALSE)</f>
        <v>8.07</v>
      </c>
      <c r="U179" s="57">
        <f t="shared" si="11"/>
        <v>19599.75</v>
      </c>
      <c r="V179" s="111">
        <f t="shared" si="10"/>
        <v>19612.036800000002</v>
      </c>
      <c r="W179" s="55">
        <f>VLOOKUP($I179,'Old Pricing - end 26-Jan-2026'!$A:$R,18,FALSE)</f>
        <v>90</v>
      </c>
    </row>
    <row r="180" spans="1:23" ht="15" hidden="1" thickTop="1" x14ac:dyDescent="0.3">
      <c r="A180" s="55">
        <v>52906591</v>
      </c>
      <c r="B180" s="55">
        <v>0</v>
      </c>
      <c r="C180" s="55" t="str">
        <f>VLOOKUP(A180&amp;"-"&amp;B180,'Order Summary'!$D:$E,2,FALSE)</f>
        <v>Telex / Seaway Released</v>
      </c>
      <c r="D180" s="216">
        <f>IF($A180="","",VLOOKUP($A180&amp;"-"&amp;$B180,'Order Summary'!$D:$U,3,FALSE))</f>
        <v>45792</v>
      </c>
      <c r="E180" s="55" t="str">
        <f>VLOOKUP(A180&amp;"-"&amp;B180,'Order Summary'!$D:$G,4,FALSE)</f>
        <v>Yes</v>
      </c>
      <c r="F180" s="55" t="str">
        <f>VLOOKUP($A180,'Order Summary'!$B:$I,8,FALSE)</f>
        <v>Nampa, ID</v>
      </c>
      <c r="G180" s="216">
        <f>IF($A180="","",VLOOKUP($A180&amp;"-"&amp;$B180,'Order Summary'!$D:$U,18,FALSE))</f>
        <v>46023</v>
      </c>
      <c r="H180" s="55">
        <v>5</v>
      </c>
      <c r="I180" s="55">
        <v>697409</v>
      </c>
      <c r="J180" s="55" t="str">
        <f>VLOOKUP($I180,'Old Pricing - end 26-Jan-2026'!$A:$R,2,FALSE)</f>
        <v>G1S 697409</v>
      </c>
      <c r="K180" s="55" t="str">
        <f>VLOOKUP($I180,'Old Pricing - end 26-Jan-2026'!$A:$R,6,FALSE)&amp;" "&amp;VLOOKUP($I180,'Old Pricing - end 26-Jan-2026'!$A:$R,7,FALSE)&amp;""" x "&amp;VLOOKUP($I180,'Old Pricing - end 26-Jan-2026'!$A:$R,9,FALSE)&amp;""" "&amp;VLOOKUP($I180,'Old Pricing - end 26-Jan-2026'!$A:$R,5,FALSE)</f>
        <v>2MM 49" x 108" ACP</v>
      </c>
      <c r="L180" s="55">
        <f>VLOOKUP($I180,'Old Pricing - end 26-Jan-2026'!$A:$K,8,FALSE)</f>
        <v>1245</v>
      </c>
      <c r="M180" s="55">
        <f>VLOOKUP($I180,'Old Pricing - end 26-Jan-2026'!$A:$K,10,FALSE)</f>
        <v>2745</v>
      </c>
      <c r="N180" s="55" t="str">
        <f>VLOOKUP($I180,'Old Pricing - end 26-Jan-2026'!$A:$R,13,FALSE)&amp;" "&amp;VLOOKUP($I180,'Old Pricing - end 26-Jan-2026'!$A:$R,12,FALSE)</f>
        <v>ASC 0127 SAND SAHARA</v>
      </c>
      <c r="O180" s="56">
        <v>7.35</v>
      </c>
      <c r="P180" s="55">
        <f>(VLOOKUP($I180,'Old Pricing - end 26-Jan-2026'!$A:$R,8,FALSE)/1000)*(VLOOKUP($I180,'Old Pricing - end 26-Jan-2026'!$A:$R,10,FALSE)/1000)*Q180</f>
        <v>683.50500000000011</v>
      </c>
      <c r="Q180" s="55">
        <f>ROUND(('Order Details'!$O180*1000)/((VLOOKUP($I180,'Old Pricing - end 26-Jan-2026'!$A:$Q,7,FALSE)/12)*(VLOOKUP($I180,'Old Pricing - end 26-Jan-2026'!$A:$Q,9,FALSE)/12))/5,0)*5</f>
        <v>200</v>
      </c>
      <c r="R180" s="71">
        <f>$Q180/IFERROR(VLOOKUP($F180&amp;RIGHT($K180,8),'Master Data'!$O$5:$P$10,2,FALSE),'Master Data'!$P$4)</f>
        <v>1</v>
      </c>
      <c r="S180" s="57">
        <f>VLOOKUP($I180,'Old Pricing - end 26-Jan-2026'!$A:$Q,16,FALSE)</f>
        <v>750</v>
      </c>
      <c r="T180" s="57">
        <f>VLOOKUP(I180,'Old Pricing - end 26-Jan-2026'!$A:$O,15,FALSE)</f>
        <v>8.07</v>
      </c>
      <c r="U180" s="57">
        <f t="shared" si="11"/>
        <v>5512.5</v>
      </c>
      <c r="V180" s="111">
        <f t="shared" si="10"/>
        <v>5515.8853500000014</v>
      </c>
      <c r="W180" s="55">
        <f>VLOOKUP($I180,'Old Pricing - end 26-Jan-2026'!$A:$R,18,FALSE)</f>
        <v>90</v>
      </c>
    </row>
    <row r="181" spans="1:23" ht="15" hidden="1" thickTop="1" x14ac:dyDescent="0.3">
      <c r="A181" s="55">
        <v>52906591</v>
      </c>
      <c r="B181" s="55">
        <v>0</v>
      </c>
      <c r="C181" s="55" t="str">
        <f>VLOOKUP(A181&amp;"-"&amp;B181,'Order Summary'!$D:$E,2,FALSE)</f>
        <v>Telex / Seaway Released</v>
      </c>
      <c r="D181" s="216">
        <f>IF($A181="","",VLOOKUP($A181&amp;"-"&amp;$B181,'Order Summary'!$D:$U,3,FALSE))</f>
        <v>45792</v>
      </c>
      <c r="E181" s="55" t="str">
        <f>VLOOKUP(A181&amp;"-"&amp;B181,'Order Summary'!$D:$G,4,FALSE)</f>
        <v>Yes</v>
      </c>
      <c r="F181" s="55" t="str">
        <f>VLOOKUP($A181,'Order Summary'!$B:$I,8,FALSE)</f>
        <v>Nampa, ID</v>
      </c>
      <c r="G181" s="216">
        <f>IF($A181="","",VLOOKUP($A181&amp;"-"&amp;$B181,'Order Summary'!$D:$U,18,FALSE))</f>
        <v>46023</v>
      </c>
      <c r="H181" s="55">
        <v>6</v>
      </c>
      <c r="I181" s="55">
        <v>697405</v>
      </c>
      <c r="J181" s="55" t="str">
        <f>VLOOKUP($I181,'Old Pricing - end 26-Jan-2026'!$A:$R,2,FALSE)</f>
        <v>G1S 697405</v>
      </c>
      <c r="K181" s="55" t="str">
        <f>VLOOKUP($I181,'Old Pricing - end 26-Jan-2026'!$A:$R,6,FALSE)&amp;" "&amp;VLOOKUP($I181,'Old Pricing - end 26-Jan-2026'!$A:$R,7,FALSE)&amp;""" x "&amp;VLOOKUP($I181,'Old Pricing - end 26-Jan-2026'!$A:$R,9,FALSE)&amp;""" "&amp;VLOOKUP($I181,'Old Pricing - end 26-Jan-2026'!$A:$R,5,FALSE)</f>
        <v>2MM 49" x 108" ACP</v>
      </c>
      <c r="L181" s="55">
        <f>VLOOKUP($I181,'Old Pricing - end 26-Jan-2026'!$A:$K,8,FALSE)</f>
        <v>1245</v>
      </c>
      <c r="M181" s="55">
        <f>VLOOKUP($I181,'Old Pricing - end 26-Jan-2026'!$A:$K,10,FALSE)</f>
        <v>2745</v>
      </c>
      <c r="N181" s="55" t="str">
        <f>VLOOKUP($I181,'Old Pricing - end 26-Jan-2026'!$A:$R,13,FALSE)&amp;" "&amp;VLOOKUP($I181,'Old Pricing - end 26-Jan-2026'!$A:$R,12,FALSE)</f>
        <v>ASC 0164 ARMY GREEN</v>
      </c>
      <c r="O181" s="56">
        <v>7.35</v>
      </c>
      <c r="P181" s="55">
        <f>(VLOOKUP($I181,'Old Pricing - end 26-Jan-2026'!$A:$R,8,FALSE)/1000)*(VLOOKUP($I181,'Old Pricing - end 26-Jan-2026'!$A:$R,10,FALSE)/1000)*Q181</f>
        <v>683.50500000000011</v>
      </c>
      <c r="Q181" s="55">
        <f>ROUND(('Order Details'!$O181*1000)/((VLOOKUP($I181,'Old Pricing - end 26-Jan-2026'!$A:$Q,7,FALSE)/12)*(VLOOKUP($I181,'Old Pricing - end 26-Jan-2026'!$A:$Q,9,FALSE)/12))/5,0)*5</f>
        <v>200</v>
      </c>
      <c r="R181" s="71">
        <f>$Q181/IFERROR(VLOOKUP($F181&amp;RIGHT($K181,8),'Master Data'!$O$5:$P$10,2,FALSE),'Master Data'!$P$4)</f>
        <v>1</v>
      </c>
      <c r="S181" s="57">
        <f>VLOOKUP($I181,'Old Pricing - end 26-Jan-2026'!$A:$Q,16,FALSE)</f>
        <v>750</v>
      </c>
      <c r="T181" s="57">
        <f>VLOOKUP(I181,'Old Pricing - end 26-Jan-2026'!$A:$O,15,FALSE)</f>
        <v>8.07</v>
      </c>
      <c r="U181" s="57">
        <f t="shared" si="11"/>
        <v>5512.5</v>
      </c>
      <c r="V181" s="111">
        <f t="shared" si="10"/>
        <v>5515.8853500000014</v>
      </c>
      <c r="W181" s="55">
        <f>VLOOKUP($I181,'Old Pricing - end 26-Jan-2026'!$A:$R,18,FALSE)</f>
        <v>90</v>
      </c>
    </row>
    <row r="182" spans="1:23" ht="15" hidden="1" thickTop="1" x14ac:dyDescent="0.3">
      <c r="A182" s="55">
        <v>52923476</v>
      </c>
      <c r="B182" s="55">
        <v>0</v>
      </c>
      <c r="C182" s="55" t="str">
        <f>VLOOKUP(A182&amp;"-"&amp;B182,'Order Summary'!$D:$E,2,FALSE)</f>
        <v>Telex / Seaway Released</v>
      </c>
      <c r="D182" s="216">
        <f>IF($A182="","",VLOOKUP($A182&amp;"-"&amp;$B182,'Order Summary'!$D:$U,3,FALSE))</f>
        <v>45792</v>
      </c>
      <c r="E182" s="55" t="str">
        <f>VLOOKUP(A182&amp;"-"&amp;B182,'Order Summary'!$D:$G,4,FALSE)</f>
        <v>Yes</v>
      </c>
      <c r="F182" s="55" t="str">
        <f>VLOOKUP($A182,'Order Summary'!$B:$I,8,FALSE)</f>
        <v>Hillsboro, TX</v>
      </c>
      <c r="G182" s="216">
        <f>IF($A182="","",VLOOKUP($A182&amp;"-"&amp;$B182,'Order Summary'!$D:$U,18,FALSE))</f>
        <v>45974</v>
      </c>
      <c r="H182" s="55">
        <v>1</v>
      </c>
      <c r="I182" s="55">
        <v>694433</v>
      </c>
      <c r="J182" s="55" t="str">
        <f>VLOOKUP($I182,'Old Pricing - end 26-Jan-2026'!$A:$R,2,FALSE)</f>
        <v>G1S 694433</v>
      </c>
      <c r="K182" s="55" t="str">
        <f>VLOOKUP($I182,'Old Pricing - end 26-Jan-2026'!$A:$R,6,FALSE)&amp;" "&amp;VLOOKUP($I182,'Old Pricing - end 26-Jan-2026'!$A:$R,7,FALSE)&amp;""" x "&amp;VLOOKUP($I182,'Old Pricing - end 26-Jan-2026'!$A:$R,9,FALSE)&amp;""" "&amp;VLOOKUP($I182,'Old Pricing - end 26-Jan-2026'!$A:$R,5,FALSE)</f>
        <v>2MM 49" x 108" ACP</v>
      </c>
      <c r="L182" s="55">
        <f>VLOOKUP($I182,'Old Pricing - end 26-Jan-2026'!$A:$K,8,FALSE)</f>
        <v>1245</v>
      </c>
      <c r="M182" s="55">
        <f>VLOOKUP($I182,'Old Pricing - end 26-Jan-2026'!$A:$K,10,FALSE)</f>
        <v>2745</v>
      </c>
      <c r="N182" s="55" t="str">
        <f>VLOOKUP($I182,'Old Pricing - end 26-Jan-2026'!$A:$R,13,FALSE)&amp;" "&amp;VLOOKUP($I182,'Old Pricing - end 26-Jan-2026'!$A:$R,12,FALSE)</f>
        <v>ASC 0096 GLOSSY BLACK</v>
      </c>
      <c r="O182" s="56">
        <v>22.05</v>
      </c>
      <c r="P182" s="55">
        <f>(VLOOKUP($I182,'Old Pricing - end 26-Jan-2026'!$A:$R,8,FALSE)/1000)*(VLOOKUP($I182,'Old Pricing - end 26-Jan-2026'!$A:$R,10,FALSE)/1000)*Q182</f>
        <v>2050.5150000000003</v>
      </c>
      <c r="Q182" s="55">
        <f>ROUND(('Order Details'!$O182*1000)/((VLOOKUP($I182,'Old Pricing - end 26-Jan-2026'!$A:$Q,7,FALSE)/12)*(VLOOKUP($I182,'Old Pricing - end 26-Jan-2026'!$A:$Q,9,FALSE)/12))/5,0)*5</f>
        <v>600</v>
      </c>
      <c r="R182" s="72">
        <v>3</v>
      </c>
      <c r="S182" s="57">
        <f>VLOOKUP($I182,'Old Pricing - end 26-Jan-2026'!$A:$Q,16,FALSE)</f>
        <v>700</v>
      </c>
      <c r="T182" s="57">
        <f>VLOOKUP(I182,'Old Pricing - end 26-Jan-2026'!$A:$O,15,FALSE)</f>
        <v>7.53</v>
      </c>
      <c r="U182" s="57">
        <f t="shared" si="11"/>
        <v>15435</v>
      </c>
      <c r="V182" s="111">
        <f t="shared" si="10"/>
        <v>15440.377950000004</v>
      </c>
      <c r="W182" s="55">
        <f>VLOOKUP($I182,'Old Pricing - end 26-Jan-2026'!$A:$R,18,FALSE)</f>
        <v>45</v>
      </c>
    </row>
    <row r="183" spans="1:23" ht="15" hidden="1" thickTop="1" x14ac:dyDescent="0.3">
      <c r="A183" s="55">
        <v>52923476</v>
      </c>
      <c r="B183" s="55">
        <v>0</v>
      </c>
      <c r="C183" s="55" t="str">
        <f>VLOOKUP(A183&amp;"-"&amp;B183,'Order Summary'!$D:$E,2,FALSE)</f>
        <v>Telex / Seaway Released</v>
      </c>
      <c r="D183" s="216">
        <f>IF($A183="","",VLOOKUP($A183&amp;"-"&amp;$B183,'Order Summary'!$D:$U,3,FALSE))</f>
        <v>45792</v>
      </c>
      <c r="E183" s="55" t="str">
        <f>VLOOKUP(A183&amp;"-"&amp;B183,'Order Summary'!$D:$G,4,FALSE)</f>
        <v>Yes</v>
      </c>
      <c r="F183" s="55" t="str">
        <f>VLOOKUP($A183,'Order Summary'!$B:$I,8,FALSE)</f>
        <v>Hillsboro, TX</v>
      </c>
      <c r="G183" s="216">
        <f>IF($A183="","",VLOOKUP($A183&amp;"-"&amp;$B183,'Order Summary'!$D:$U,18,FALSE))</f>
        <v>45974</v>
      </c>
      <c r="H183" s="55">
        <v>2</v>
      </c>
      <c r="I183" s="55">
        <v>694434</v>
      </c>
      <c r="J183" s="55" t="str">
        <f>VLOOKUP($I183,'Old Pricing - end 26-Jan-2026'!$A:$R,2,FALSE)</f>
        <v>G1S 694434</v>
      </c>
      <c r="K183" s="55" t="str">
        <f>VLOOKUP($I183,'Old Pricing - end 26-Jan-2026'!$A:$R,6,FALSE)&amp;" "&amp;VLOOKUP($I183,'Old Pricing - end 26-Jan-2026'!$A:$R,7,FALSE)&amp;""" x "&amp;VLOOKUP($I183,'Old Pricing - end 26-Jan-2026'!$A:$R,9,FALSE)&amp;""" "&amp;VLOOKUP($I183,'Old Pricing - end 26-Jan-2026'!$A:$R,5,FALSE)</f>
        <v>2MM 49" x 144" ACP</v>
      </c>
      <c r="L183" s="55">
        <f>VLOOKUP($I183,'Old Pricing - end 26-Jan-2026'!$A:$K,8,FALSE)</f>
        <v>1245</v>
      </c>
      <c r="M183" s="55">
        <f>VLOOKUP($I183,'Old Pricing - end 26-Jan-2026'!$A:$K,10,FALSE)</f>
        <v>3658</v>
      </c>
      <c r="N183" s="55" t="str">
        <f>VLOOKUP($I183,'Old Pricing - end 26-Jan-2026'!$A:$R,13,FALSE)&amp;" "&amp;VLOOKUP($I183,'Old Pricing - end 26-Jan-2026'!$A:$R,12,FALSE)</f>
        <v>ASC 0096 GLOSSY BLACK</v>
      </c>
      <c r="O183" s="56">
        <v>9.8000000000000007</v>
      </c>
      <c r="P183" s="55">
        <f>(VLOOKUP($I183,'Old Pricing - end 26-Jan-2026'!$A:$R,8,FALSE)/1000)*(VLOOKUP($I183,'Old Pricing - end 26-Jan-2026'!$A:$R,10,FALSE)/1000)*Q183</f>
        <v>910.8420000000001</v>
      </c>
      <c r="Q183" s="55">
        <f>ROUND(('Order Details'!$O183*1000)/((VLOOKUP($I183,'Old Pricing - end 26-Jan-2026'!$A:$Q,7,FALSE)/12)*(VLOOKUP($I183,'Old Pricing - end 26-Jan-2026'!$A:$Q,9,FALSE)/12))/5,0)*5</f>
        <v>200</v>
      </c>
      <c r="R183" s="71">
        <f>$Q183/IFERROR(VLOOKUP($F183&amp;RIGHT($K183,8),'Master Data'!$O$5:$P$10,2,FALSE),'Master Data'!$P$4)</f>
        <v>1</v>
      </c>
      <c r="S183" s="57">
        <f>VLOOKUP($I183,'Old Pricing - end 26-Jan-2026'!$A:$Q,16,FALSE)</f>
        <v>700</v>
      </c>
      <c r="T183" s="57">
        <f>VLOOKUP(I183,'Old Pricing - end 26-Jan-2026'!$A:$O,15,FALSE)</f>
        <v>7.53</v>
      </c>
      <c r="U183" s="57">
        <f t="shared" si="11"/>
        <v>6860.0000000000009</v>
      </c>
      <c r="V183" s="111">
        <f t="shared" si="10"/>
        <v>6858.640260000001</v>
      </c>
      <c r="W183" s="55">
        <f>VLOOKUP($I183,'Old Pricing - end 26-Jan-2026'!$A:$R,18,FALSE)</f>
        <v>45</v>
      </c>
    </row>
    <row r="184" spans="1:23" ht="15" hidden="1" thickTop="1" x14ac:dyDescent="0.3">
      <c r="A184" s="55">
        <v>52923476</v>
      </c>
      <c r="B184" s="55">
        <v>0</v>
      </c>
      <c r="C184" s="55" t="str">
        <f>VLOOKUP(A184&amp;"-"&amp;B184,'Order Summary'!$D:$E,2,FALSE)</f>
        <v>Telex / Seaway Released</v>
      </c>
      <c r="D184" s="216">
        <f>IF($A184="","",VLOOKUP($A184&amp;"-"&amp;$B184,'Order Summary'!$D:$U,3,FALSE))</f>
        <v>45792</v>
      </c>
      <c r="E184" s="55" t="str">
        <f>VLOOKUP(A184&amp;"-"&amp;B184,'Order Summary'!$D:$G,4,FALSE)</f>
        <v>Yes</v>
      </c>
      <c r="F184" s="55" t="str">
        <f>VLOOKUP($A184,'Order Summary'!$B:$I,8,FALSE)</f>
        <v>Hillsboro, TX</v>
      </c>
      <c r="G184" s="216">
        <f>IF($A184="","",VLOOKUP($A184&amp;"-"&amp;$B184,'Order Summary'!$D:$U,18,FALSE))</f>
        <v>45974</v>
      </c>
      <c r="H184" s="55">
        <v>3</v>
      </c>
      <c r="I184" s="55">
        <v>694437</v>
      </c>
      <c r="J184" s="55" t="str">
        <f>VLOOKUP($I184,'Old Pricing - end 26-Jan-2026'!$A:$R,2,FALSE)</f>
        <v>G1S 694437</v>
      </c>
      <c r="K184" s="55" t="str">
        <f>VLOOKUP($I184,'Old Pricing - end 26-Jan-2026'!$A:$R,6,FALSE)&amp;" "&amp;VLOOKUP($I184,'Old Pricing - end 26-Jan-2026'!$A:$R,7,FALSE)&amp;""" x "&amp;VLOOKUP($I184,'Old Pricing - end 26-Jan-2026'!$A:$R,9,FALSE)&amp;""" "&amp;VLOOKUP($I184,'Old Pricing - end 26-Jan-2026'!$A:$R,5,FALSE)</f>
        <v>2MM 49" x 108" ACP</v>
      </c>
      <c r="L184" s="55">
        <f>VLOOKUP($I184,'Old Pricing - end 26-Jan-2026'!$A:$K,8,FALSE)</f>
        <v>1245</v>
      </c>
      <c r="M184" s="55">
        <f>VLOOKUP($I184,'Old Pricing - end 26-Jan-2026'!$A:$K,10,FALSE)</f>
        <v>2745</v>
      </c>
      <c r="N184" s="55" t="str">
        <f>VLOOKUP($I184,'Old Pricing - end 26-Jan-2026'!$A:$R,13,FALSE)&amp;" "&amp;VLOOKUP($I184,'Old Pricing - end 26-Jan-2026'!$A:$R,12,FALSE)</f>
        <v>ASC 0069 GLOSSY WHITE</v>
      </c>
      <c r="O184" s="56">
        <v>14.7</v>
      </c>
      <c r="P184" s="55">
        <f>(VLOOKUP($I184,'Old Pricing - end 26-Jan-2026'!$A:$R,8,FALSE)/1000)*(VLOOKUP($I184,'Old Pricing - end 26-Jan-2026'!$A:$R,10,FALSE)/1000)*Q184</f>
        <v>1367.0100000000002</v>
      </c>
      <c r="Q184" s="55">
        <f>ROUND(('Order Details'!$O184*1000)/((VLOOKUP($I184,'Old Pricing - end 26-Jan-2026'!$A:$Q,7,FALSE)/12)*(VLOOKUP($I184,'Old Pricing - end 26-Jan-2026'!$A:$Q,9,FALSE)/12))/5,0)*5</f>
        <v>400</v>
      </c>
      <c r="R184" s="72">
        <v>2</v>
      </c>
      <c r="S184" s="57">
        <f>VLOOKUP($I184,'Old Pricing - end 26-Jan-2026'!$A:$Q,16,FALSE)</f>
        <v>700</v>
      </c>
      <c r="T184" s="57">
        <f>VLOOKUP(I184,'Old Pricing - end 26-Jan-2026'!$A:$O,15,FALSE)</f>
        <v>7.53</v>
      </c>
      <c r="U184" s="57">
        <f t="shared" si="11"/>
        <v>10290</v>
      </c>
      <c r="V184" s="111">
        <f t="shared" si="10"/>
        <v>10293.585300000002</v>
      </c>
      <c r="W184" s="55">
        <f>VLOOKUP($I184,'Old Pricing - end 26-Jan-2026'!$A:$R,18,FALSE)</f>
        <v>45</v>
      </c>
    </row>
    <row r="185" spans="1:23" ht="15" hidden="1" thickTop="1" x14ac:dyDescent="0.3">
      <c r="A185" s="55">
        <v>52923476</v>
      </c>
      <c r="B185" s="55">
        <v>0</v>
      </c>
      <c r="C185" s="55" t="str">
        <f>VLOOKUP(A185&amp;"-"&amp;B185,'Order Summary'!$D:$E,2,FALSE)</f>
        <v>Telex / Seaway Released</v>
      </c>
      <c r="D185" s="216">
        <f>IF($A185="","",VLOOKUP($A185&amp;"-"&amp;$B185,'Order Summary'!$D:$U,3,FALSE))</f>
        <v>45792</v>
      </c>
      <c r="E185" s="55" t="str">
        <f>VLOOKUP(A185&amp;"-"&amp;B185,'Order Summary'!$D:$G,4,FALSE)</f>
        <v>Yes</v>
      </c>
      <c r="F185" s="55" t="str">
        <f>VLOOKUP($A185,'Order Summary'!$B:$I,8,FALSE)</f>
        <v>Hillsboro, TX</v>
      </c>
      <c r="G185" s="216">
        <f>IF($A185="","",VLOOKUP($A185&amp;"-"&amp;$B185,'Order Summary'!$D:$U,18,FALSE))</f>
        <v>45974</v>
      </c>
      <c r="H185" s="55">
        <v>4</v>
      </c>
      <c r="I185" s="55">
        <v>694442</v>
      </c>
      <c r="J185" s="55" t="str">
        <f>VLOOKUP($I185,'Old Pricing - end 26-Jan-2026'!$A:$R,2,FALSE)</f>
        <v>G1S 694442</v>
      </c>
      <c r="K185" s="55" t="str">
        <f>VLOOKUP($I185,'Old Pricing - end 26-Jan-2026'!$A:$R,6,FALSE)&amp;" "&amp;VLOOKUP($I185,'Old Pricing - end 26-Jan-2026'!$A:$R,7,FALSE)&amp;""" x "&amp;VLOOKUP($I185,'Old Pricing - end 26-Jan-2026'!$A:$R,9,FALSE)&amp;""" "&amp;VLOOKUP($I185,'Old Pricing - end 26-Jan-2026'!$A:$R,5,FALSE)</f>
        <v>2MM 49" x 144" ACP</v>
      </c>
      <c r="L185" s="55">
        <f>VLOOKUP($I185,'Old Pricing - end 26-Jan-2026'!$A:$K,8,FALSE)</f>
        <v>1245</v>
      </c>
      <c r="M185" s="55">
        <f>VLOOKUP($I185,'Old Pricing - end 26-Jan-2026'!$A:$K,10,FALSE)</f>
        <v>3658</v>
      </c>
      <c r="N185" s="55" t="str">
        <f>VLOOKUP($I185,'Old Pricing - end 26-Jan-2026'!$A:$R,13,FALSE)&amp;" "&amp;VLOOKUP($I185,'Old Pricing - end 26-Jan-2026'!$A:$R,12,FALSE)</f>
        <v>AMC 0103 SILVER FROST</v>
      </c>
      <c r="O185" s="56">
        <v>29.4</v>
      </c>
      <c r="P185" s="55">
        <f>(VLOOKUP($I185,'Old Pricing - end 26-Jan-2026'!$A:$R,8,FALSE)/1000)*(VLOOKUP($I185,'Old Pricing - end 26-Jan-2026'!$A:$R,10,FALSE)/1000)*Q185</f>
        <v>2732.5260000000003</v>
      </c>
      <c r="Q185" s="55">
        <f>ROUND(('Order Details'!$O185*1000)/((VLOOKUP($I185,'Old Pricing - end 26-Jan-2026'!$A:$Q,7,FALSE)/12)*(VLOOKUP($I185,'Old Pricing - end 26-Jan-2026'!$A:$Q,9,FALSE)/12))/5,0)*5</f>
        <v>600</v>
      </c>
      <c r="R185" s="71">
        <f>$Q185/IFERROR(VLOOKUP($F185&amp;RIGHT($K185,8),'Master Data'!$O$5:$P$10,2,FALSE),'Master Data'!$P$4)</f>
        <v>3</v>
      </c>
      <c r="S185" s="57">
        <f>VLOOKUP($I185,'Old Pricing - end 26-Jan-2026'!$A:$Q,16,FALSE)</f>
        <v>700</v>
      </c>
      <c r="T185" s="57">
        <f>VLOOKUP(I185,'Old Pricing - end 26-Jan-2026'!$A:$O,15,FALSE)</f>
        <v>7.53</v>
      </c>
      <c r="U185" s="57">
        <f t="shared" si="11"/>
        <v>20580</v>
      </c>
      <c r="V185" s="111">
        <f t="shared" si="10"/>
        <v>20575.920780000004</v>
      </c>
      <c r="W185" s="55">
        <f>VLOOKUP($I185,'Old Pricing - end 26-Jan-2026'!$A:$R,18,FALSE)</f>
        <v>90</v>
      </c>
    </row>
    <row r="186" spans="1:23" ht="15" hidden="1" thickTop="1" x14ac:dyDescent="0.3">
      <c r="A186" s="55">
        <v>52923476</v>
      </c>
      <c r="B186" s="55">
        <v>0</v>
      </c>
      <c r="C186" s="55" t="str">
        <f>VLOOKUP(A186&amp;"-"&amp;B186,'Order Summary'!$D:$E,2,FALSE)</f>
        <v>Telex / Seaway Released</v>
      </c>
      <c r="D186" s="216">
        <f>IF($A186="","",VLOOKUP($A186&amp;"-"&amp;$B186,'Order Summary'!$D:$U,3,FALSE))</f>
        <v>45792</v>
      </c>
      <c r="E186" s="55" t="str">
        <f>VLOOKUP(A186&amp;"-"&amp;B186,'Order Summary'!$D:$G,4,FALSE)</f>
        <v>Yes</v>
      </c>
      <c r="F186" s="55" t="str">
        <f>VLOOKUP($A186,'Order Summary'!$B:$I,8,FALSE)</f>
        <v>Hillsboro, TX</v>
      </c>
      <c r="G186" s="216">
        <f>IF($A186="","",VLOOKUP($A186&amp;"-"&amp;$B186,'Order Summary'!$D:$U,18,FALSE))</f>
        <v>45974</v>
      </c>
      <c r="H186" s="55">
        <v>5</v>
      </c>
      <c r="I186" s="55">
        <v>694446</v>
      </c>
      <c r="J186" s="55" t="str">
        <f>VLOOKUP($I186,'Old Pricing - end 26-Jan-2026'!$A:$R,2,FALSE)</f>
        <v>G1S 694446</v>
      </c>
      <c r="K186" s="55" t="str">
        <f>VLOOKUP($I186,'Old Pricing - end 26-Jan-2026'!$A:$R,6,FALSE)&amp;" "&amp;VLOOKUP($I186,'Old Pricing - end 26-Jan-2026'!$A:$R,7,FALSE)&amp;""" x "&amp;VLOOKUP($I186,'Old Pricing - end 26-Jan-2026'!$A:$R,9,FALSE)&amp;""" "&amp;VLOOKUP($I186,'Old Pricing - end 26-Jan-2026'!$A:$R,5,FALSE)</f>
        <v>2MM 49" x 144" ACP</v>
      </c>
      <c r="L186" s="55">
        <f>VLOOKUP($I186,'Old Pricing - end 26-Jan-2026'!$A:$K,8,FALSE)</f>
        <v>1245</v>
      </c>
      <c r="M186" s="55">
        <f>VLOOKUP($I186,'Old Pricing - end 26-Jan-2026'!$A:$K,10,FALSE)</f>
        <v>3658</v>
      </c>
      <c r="N186" s="55" t="str">
        <f>VLOOKUP($I186,'Old Pricing - end 26-Jan-2026'!$A:$R,13,FALSE)&amp;" "&amp;VLOOKUP($I186,'Old Pricing - end 26-Jan-2026'!$A:$R,12,FALSE)</f>
        <v>AMC 0086 CHARCOAL METALLIC</v>
      </c>
      <c r="O186" s="56">
        <v>9.8000000000000007</v>
      </c>
      <c r="P186" s="55">
        <f>(VLOOKUP($I186,'Old Pricing - end 26-Jan-2026'!$A:$R,8,FALSE)/1000)*(VLOOKUP($I186,'Old Pricing - end 26-Jan-2026'!$A:$R,10,FALSE)/1000)*Q186</f>
        <v>910.8420000000001</v>
      </c>
      <c r="Q186" s="55">
        <f>ROUND(('Order Details'!$O186*1000)/((VLOOKUP($I186,'Old Pricing - end 26-Jan-2026'!$A:$Q,7,FALSE)/12)*(VLOOKUP($I186,'Old Pricing - end 26-Jan-2026'!$A:$Q,9,FALSE)/12))/5,0)*5</f>
        <v>200</v>
      </c>
      <c r="R186" s="71">
        <f>$Q186/IFERROR(VLOOKUP($F186&amp;RIGHT($K186,8),'Master Data'!$O$5:$P$10,2,FALSE),'Master Data'!$P$4)</f>
        <v>1</v>
      </c>
      <c r="S186" s="57">
        <f>VLOOKUP($I186,'Old Pricing - end 26-Jan-2026'!$A:$Q,16,FALSE)</f>
        <v>750</v>
      </c>
      <c r="T186" s="57">
        <f>VLOOKUP(I186,'Old Pricing - end 26-Jan-2026'!$A:$O,15,FALSE)</f>
        <v>8.07</v>
      </c>
      <c r="U186" s="57">
        <f t="shared" si="11"/>
        <v>7350.0000000000009</v>
      </c>
      <c r="V186" s="111">
        <f t="shared" si="10"/>
        <v>7350.4949400000014</v>
      </c>
      <c r="W186" s="55">
        <f>VLOOKUP($I186,'Old Pricing - end 26-Jan-2026'!$A:$R,18,FALSE)</f>
        <v>45</v>
      </c>
    </row>
    <row r="187" spans="1:23" ht="15" hidden="1" thickTop="1" x14ac:dyDescent="0.3">
      <c r="A187" s="55">
        <v>24034182</v>
      </c>
      <c r="B187" s="55">
        <v>0</v>
      </c>
      <c r="C187" s="55" t="str">
        <f>VLOOKUP(A187&amp;"-"&amp;B187,'Order Summary'!$D:$E,2,FALSE)</f>
        <v>Telex / Seaway Released</v>
      </c>
      <c r="D187" s="216">
        <f>IF($A187="","",VLOOKUP($A187&amp;"-"&amp;$B187,'Order Summary'!$D:$U,3,FALSE))</f>
        <v>45888</v>
      </c>
      <c r="E187" s="55" t="str">
        <f>VLOOKUP(A187&amp;"-"&amp;B187,'Order Summary'!$D:$G,4,FALSE)</f>
        <v>Yes</v>
      </c>
      <c r="F187" s="55" t="str">
        <f>VLOOKUP($A187,'Order Summary'!$B:$I,8,FALSE)</f>
        <v>Granger, IN</v>
      </c>
      <c r="G187" s="216">
        <f>IF($A187="","",VLOOKUP($A187&amp;"-"&amp;$B187,'Order Summary'!$D:$U,18,FALSE))</f>
        <v>46045</v>
      </c>
      <c r="H187" s="55">
        <v>1</v>
      </c>
      <c r="I187" s="55">
        <v>694432</v>
      </c>
      <c r="J187" s="55" t="str">
        <f>VLOOKUP($I187,'Old Pricing - end 26-Jan-2026'!$A:$R,2,FALSE)</f>
        <v>G1S 694432</v>
      </c>
      <c r="K187" s="55" t="str">
        <f>VLOOKUP($I187,'Old Pricing - end 26-Jan-2026'!$A:$R,6,FALSE)&amp;" "&amp;VLOOKUP($I187,'Old Pricing - end 26-Jan-2026'!$A:$R,7,FALSE)&amp;""" x "&amp;VLOOKUP($I187,'Old Pricing - end 26-Jan-2026'!$A:$R,9,FALSE)&amp;""" "&amp;VLOOKUP($I187,'Old Pricing - end 26-Jan-2026'!$A:$R,5,FALSE)</f>
        <v>2MM 49" x 96" ACP</v>
      </c>
      <c r="L187" s="55">
        <f>VLOOKUP($I187,'Old Pricing - end 26-Jan-2026'!$A:$K,8,FALSE)</f>
        <v>1245</v>
      </c>
      <c r="M187" s="55">
        <f>VLOOKUP($I187,'Old Pricing - end 26-Jan-2026'!$A:$K,10,FALSE)</f>
        <v>2440</v>
      </c>
      <c r="N187" s="55" t="str">
        <f>VLOOKUP($I187,'Old Pricing - end 26-Jan-2026'!$A:$R,13,FALSE)&amp;" "&amp;VLOOKUP($I187,'Old Pricing - end 26-Jan-2026'!$A:$R,12,FALSE)</f>
        <v>ASC 0096 GLOSSY BLACK</v>
      </c>
      <c r="O187" s="149">
        <f>((VLOOKUP($I187,'Old Pricing - end 26-Jan-2026'!$A:$R,7,FALSE)/12)*(VLOOKUP($I187,'Old Pricing - end 26-Jan-2026'!$A:$R,9,FALSE)/12)*Q187)/1000</f>
        <v>45.733333333333327</v>
      </c>
      <c r="P187" s="55">
        <f>(VLOOKUP($I187,'Old Pricing - end 26-Jan-2026'!$A:$R,8,FALSE)/1000)*(VLOOKUP($I187,'Old Pricing - end 26-Jan-2026'!$A:$R,10,FALSE)/1000)*Q187</f>
        <v>4252.92</v>
      </c>
      <c r="Q187" s="55">
        <v>1400</v>
      </c>
      <c r="R187" s="71">
        <f>$Q187/IFERROR(VLOOKUP($F187&amp;RIGHT($K187,8),'Master Data'!$O$5:$P$10,2,FALSE),'Master Data'!$P$4)</f>
        <v>7</v>
      </c>
      <c r="S187" s="57">
        <f>VLOOKUP($I187,'Old Pricing - end 26-Jan-2026'!$A:$Q,16,FALSE)</f>
        <v>700</v>
      </c>
      <c r="T187" s="57">
        <f>VLOOKUP(I187,'Old Pricing - end 26-Jan-2026'!$A:$O,15,FALSE)</f>
        <v>7.53</v>
      </c>
      <c r="U187" s="57">
        <v>32013.1</v>
      </c>
      <c r="V187" s="111">
        <f t="shared" si="10"/>
        <v>32024.4876</v>
      </c>
      <c r="W187" s="55">
        <f>VLOOKUP($I187,'Old Pricing - end 26-Jan-2026'!$A:$R,18,FALSE)</f>
        <v>45</v>
      </c>
    </row>
    <row r="188" spans="1:23" ht="15" hidden="1" thickTop="1" x14ac:dyDescent="0.3">
      <c r="A188" s="55">
        <v>24034182</v>
      </c>
      <c r="B188" s="55">
        <v>0</v>
      </c>
      <c r="C188" s="55" t="str">
        <f>VLOOKUP(A188&amp;"-"&amp;B188,'Order Summary'!$D:$E,2,FALSE)</f>
        <v>Telex / Seaway Released</v>
      </c>
      <c r="D188" s="216">
        <f>IF($A188="","",VLOOKUP($A188&amp;"-"&amp;$B188,'Order Summary'!$D:$U,3,FALSE))</f>
        <v>45888</v>
      </c>
      <c r="E188" s="55" t="str">
        <f>VLOOKUP(A188&amp;"-"&amp;B188,'Order Summary'!$D:$G,4,FALSE)</f>
        <v>Yes</v>
      </c>
      <c r="F188" s="55" t="str">
        <f>VLOOKUP($A188,'Order Summary'!$B:$I,8,FALSE)</f>
        <v>Granger, IN</v>
      </c>
      <c r="G188" s="216">
        <f>IF($A188="","",VLOOKUP($A188&amp;"-"&amp;$B188,'Order Summary'!$D:$U,18,FALSE))</f>
        <v>46045</v>
      </c>
      <c r="H188" s="55">
        <v>2</v>
      </c>
      <c r="I188" s="55">
        <v>694436</v>
      </c>
      <c r="J188" s="55" t="str">
        <f>VLOOKUP($I188,'Old Pricing - end 26-Jan-2026'!$A:$R,2,FALSE)</f>
        <v>G1S 694436</v>
      </c>
      <c r="K188" s="55" t="str">
        <f>VLOOKUP($I188,'Old Pricing - end 26-Jan-2026'!$A:$R,6,FALSE)&amp;" "&amp;VLOOKUP($I188,'Old Pricing - end 26-Jan-2026'!$A:$R,7,FALSE)&amp;""" x "&amp;VLOOKUP($I188,'Old Pricing - end 26-Jan-2026'!$A:$R,9,FALSE)&amp;""" "&amp;VLOOKUP($I188,'Old Pricing - end 26-Jan-2026'!$A:$R,5,FALSE)</f>
        <v>2MM 49" x 96" ACP</v>
      </c>
      <c r="L188" s="55">
        <f>VLOOKUP($I188,'Old Pricing - end 26-Jan-2026'!$A:$K,8,FALSE)</f>
        <v>1245</v>
      </c>
      <c r="M188" s="55">
        <f>VLOOKUP($I188,'Old Pricing - end 26-Jan-2026'!$A:$K,10,FALSE)</f>
        <v>2440</v>
      </c>
      <c r="N188" s="55" t="str">
        <f>VLOOKUP($I188,'Old Pricing - end 26-Jan-2026'!$A:$R,13,FALSE)&amp;" "&amp;VLOOKUP($I188,'Old Pricing - end 26-Jan-2026'!$A:$R,12,FALSE)</f>
        <v>ASC 0069 GLOSSY WHITE</v>
      </c>
      <c r="O188" s="149">
        <f>((VLOOKUP($I188,'Old Pricing - end 26-Jan-2026'!$A:$R,7,FALSE)/12)*(VLOOKUP($I188,'Old Pricing - end 26-Jan-2026'!$A:$R,9,FALSE)/12)*Q188)/1000</f>
        <v>45.733333333333327</v>
      </c>
      <c r="P188" s="55">
        <f>(VLOOKUP($I188,'Old Pricing - end 26-Jan-2026'!$A:$R,8,FALSE)/1000)*(VLOOKUP($I188,'Old Pricing - end 26-Jan-2026'!$A:$R,10,FALSE)/1000)*Q188</f>
        <v>4252.92</v>
      </c>
      <c r="Q188" s="55">
        <v>1400</v>
      </c>
      <c r="R188" s="71">
        <f>$Q188/IFERROR(VLOOKUP($F188&amp;RIGHT($K188,8),'Master Data'!$O$5:$P$10,2,FALSE),'Master Data'!$P$4)</f>
        <v>7</v>
      </c>
      <c r="S188" s="57">
        <f>VLOOKUP($I188,'Old Pricing - end 26-Jan-2026'!$A:$Q,16,FALSE)</f>
        <v>700</v>
      </c>
      <c r="T188" s="57">
        <f>VLOOKUP(I188,'Old Pricing - end 26-Jan-2026'!$A:$O,15,FALSE)</f>
        <v>7.53</v>
      </c>
      <c r="U188" s="57">
        <v>32013.1</v>
      </c>
      <c r="V188" s="111">
        <f t="shared" si="10"/>
        <v>32024.4876</v>
      </c>
      <c r="W188" s="55">
        <f>VLOOKUP($I188,'Old Pricing - end 26-Jan-2026'!$A:$R,18,FALSE)</f>
        <v>45</v>
      </c>
    </row>
    <row r="189" spans="1:23" ht="15" hidden="1" thickTop="1" x14ac:dyDescent="0.3">
      <c r="A189" s="55">
        <v>24034183</v>
      </c>
      <c r="B189" s="55">
        <v>0</v>
      </c>
      <c r="C189" s="55" t="str">
        <f>VLOOKUP(A189&amp;"-"&amp;B189,'Order Summary'!$D:$E,2,FALSE)</f>
        <v>Commercial Invoice Sent</v>
      </c>
      <c r="D189" s="216">
        <f>IF($A189="","",VLOOKUP($A189&amp;"-"&amp;$B189,'Order Summary'!$D:$U,3,FALSE))</f>
        <v>45888</v>
      </c>
      <c r="E189" s="55" t="str">
        <f>VLOOKUP(A189&amp;"-"&amp;B189,'Order Summary'!$D:$G,4,FALSE)</f>
        <v>Yes</v>
      </c>
      <c r="F189" s="55" t="str">
        <f>VLOOKUP($A189,'Order Summary'!$B:$I,8,FALSE)</f>
        <v>Granger, IN</v>
      </c>
      <c r="G189" s="216">
        <f>IF($A189="","",VLOOKUP($A189&amp;"-"&amp;$B189,'Order Summary'!$D:$U,18,FALSE))</f>
        <v>46022</v>
      </c>
      <c r="H189" s="55">
        <v>1</v>
      </c>
      <c r="I189" s="55">
        <v>694440</v>
      </c>
      <c r="J189" s="55" t="str">
        <f>VLOOKUP($I189,'Old Pricing - end 26-Jan-2026'!$A:$R,2,FALSE)</f>
        <v>G1S 694440</v>
      </c>
      <c r="K189" s="55" t="str">
        <f>VLOOKUP($I189,'Old Pricing - end 26-Jan-2026'!$A:$R,6,FALSE)&amp;" "&amp;VLOOKUP($I189,'Old Pricing - end 26-Jan-2026'!$A:$R,7,FALSE)&amp;""" x "&amp;VLOOKUP($I189,'Old Pricing - end 26-Jan-2026'!$A:$R,9,FALSE)&amp;""" "&amp;VLOOKUP($I189,'Old Pricing - end 26-Jan-2026'!$A:$R,5,FALSE)</f>
        <v>2MM 49" x 96" ACP</v>
      </c>
      <c r="L189" s="55">
        <f>VLOOKUP($I189,'Old Pricing - end 26-Jan-2026'!$A:$K,8,FALSE)</f>
        <v>1245</v>
      </c>
      <c r="M189" s="55">
        <f>VLOOKUP($I189,'Old Pricing - end 26-Jan-2026'!$A:$K,10,FALSE)</f>
        <v>2440</v>
      </c>
      <c r="N189" s="55" t="str">
        <f>VLOOKUP($I189,'Old Pricing - end 26-Jan-2026'!$A:$R,13,FALSE)&amp;" "&amp;VLOOKUP($I189,'Old Pricing - end 26-Jan-2026'!$A:$R,12,FALSE)</f>
        <v>AMC 0103 SILVER FROST</v>
      </c>
      <c r="O189" s="149">
        <f>((VLOOKUP($I189,'Old Pricing - end 26-Jan-2026'!$A:$R,7,FALSE)/12)*(VLOOKUP($I189,'Old Pricing - end 26-Jan-2026'!$A:$R,9,FALSE)/12)*Q189)/1000</f>
        <v>45.733333333333327</v>
      </c>
      <c r="P189" s="55">
        <f>(VLOOKUP($I189,'Old Pricing - end 26-Jan-2026'!$A:$R,8,FALSE)/1000)*(VLOOKUP($I189,'Old Pricing - end 26-Jan-2026'!$A:$R,10,FALSE)/1000)*Q189</f>
        <v>4252.92</v>
      </c>
      <c r="Q189" s="55">
        <v>1400</v>
      </c>
      <c r="R189" s="71">
        <f>$Q189/IFERROR(VLOOKUP($F189&amp;RIGHT($K189,8),'Master Data'!$O$5:$P$10,2,FALSE),'Master Data'!$P$4)</f>
        <v>7</v>
      </c>
      <c r="S189" s="57">
        <f>VLOOKUP($I189,'Old Pricing - end 26-Jan-2026'!$A:$Q,16,FALSE)</f>
        <v>700</v>
      </c>
      <c r="T189" s="57">
        <f>VLOOKUP(I189,'Old Pricing - end 26-Jan-2026'!$A:$O,15,FALSE)</f>
        <v>7.53</v>
      </c>
      <c r="U189" s="57">
        <v>32013.1</v>
      </c>
      <c r="V189" s="111">
        <f t="shared" si="10"/>
        <v>32024.4876</v>
      </c>
      <c r="W189" s="55">
        <f>VLOOKUP($I189,'Old Pricing - end 26-Jan-2026'!$A:$R,18,FALSE)</f>
        <v>90</v>
      </c>
    </row>
    <row r="190" spans="1:23" ht="15" hidden="1" thickTop="1" x14ac:dyDescent="0.3">
      <c r="A190" s="55">
        <v>24034183</v>
      </c>
      <c r="B190" s="55">
        <v>0</v>
      </c>
      <c r="C190" s="55" t="str">
        <f>VLOOKUP(A190&amp;"-"&amp;B190,'Order Summary'!$D:$E,2,FALSE)</f>
        <v>Commercial Invoice Sent</v>
      </c>
      <c r="D190" s="216">
        <f>IF($A190="","",VLOOKUP($A190&amp;"-"&amp;$B190,'Order Summary'!$D:$U,3,FALSE))</f>
        <v>45888</v>
      </c>
      <c r="E190" s="55" t="str">
        <f>VLOOKUP(A190&amp;"-"&amp;B190,'Order Summary'!$D:$G,4,FALSE)</f>
        <v>Yes</v>
      </c>
      <c r="F190" s="55" t="str">
        <f>VLOOKUP($A190,'Order Summary'!$B:$I,8,FALSE)</f>
        <v>Granger, IN</v>
      </c>
      <c r="G190" s="216">
        <f>IF($A190="","",VLOOKUP($A190&amp;"-"&amp;$B190,'Order Summary'!$D:$U,18,FALSE))</f>
        <v>46022</v>
      </c>
      <c r="H190" s="55">
        <v>2</v>
      </c>
      <c r="I190" s="55">
        <v>694444</v>
      </c>
      <c r="J190" s="55" t="str">
        <f>VLOOKUP($I190,'Old Pricing - end 26-Jan-2026'!$A:$R,2,FALSE)</f>
        <v>G1S 694444</v>
      </c>
      <c r="K190" s="55" t="str">
        <f>VLOOKUP($I190,'Old Pricing - end 26-Jan-2026'!$A:$R,6,FALSE)&amp;" "&amp;VLOOKUP($I190,'Old Pricing - end 26-Jan-2026'!$A:$R,7,FALSE)&amp;""" x "&amp;VLOOKUP($I190,'Old Pricing - end 26-Jan-2026'!$A:$R,9,FALSE)&amp;""" "&amp;VLOOKUP($I190,'Old Pricing - end 26-Jan-2026'!$A:$R,5,FALSE)</f>
        <v>2MM 49" x 96" ACP</v>
      </c>
      <c r="L190" s="55">
        <f>VLOOKUP($I190,'Old Pricing - end 26-Jan-2026'!$A:$K,8,FALSE)</f>
        <v>1245</v>
      </c>
      <c r="M190" s="55">
        <f>VLOOKUP($I190,'Old Pricing - end 26-Jan-2026'!$A:$K,10,FALSE)</f>
        <v>2440</v>
      </c>
      <c r="N190" s="55" t="str">
        <f>VLOOKUP($I190,'Old Pricing - end 26-Jan-2026'!$A:$R,13,FALSE)&amp;" "&amp;VLOOKUP($I190,'Old Pricing - end 26-Jan-2026'!$A:$R,12,FALSE)</f>
        <v>AMC 0086 CHARCOAL METALLIC</v>
      </c>
      <c r="O190" s="149">
        <f>((VLOOKUP($I190,'Old Pricing - end 26-Jan-2026'!$A:$R,7,FALSE)/12)*(VLOOKUP($I190,'Old Pricing - end 26-Jan-2026'!$A:$R,9,FALSE)/12)*Q190)/1000</f>
        <v>45.733333333333327</v>
      </c>
      <c r="P190" s="55">
        <f>(VLOOKUP($I190,'Old Pricing - end 26-Jan-2026'!$A:$R,8,FALSE)/1000)*(VLOOKUP($I190,'Old Pricing - end 26-Jan-2026'!$A:$R,10,FALSE)/1000)*Q190</f>
        <v>4252.92</v>
      </c>
      <c r="Q190" s="55">
        <v>1400</v>
      </c>
      <c r="R190" s="71">
        <f>$Q190/IFERROR(VLOOKUP($F190&amp;RIGHT($K190,8),'Master Data'!$O$5:$P$10,2,FALSE),'Master Data'!$P$4)</f>
        <v>7</v>
      </c>
      <c r="S190" s="57">
        <f>VLOOKUP($I190,'Old Pricing - end 26-Jan-2026'!$A:$Q,16,FALSE)</f>
        <v>750</v>
      </c>
      <c r="T190" s="57">
        <f>VLOOKUP(I190,'Old Pricing - end 26-Jan-2026'!$A:$O,15,FALSE)</f>
        <v>8.07</v>
      </c>
      <c r="U190" s="57">
        <v>34299.75</v>
      </c>
      <c r="V190" s="111">
        <f t="shared" si="10"/>
        <v>34321.064400000003</v>
      </c>
      <c r="W190" s="55">
        <f>VLOOKUP($I190,'Old Pricing - end 26-Jan-2026'!$A:$R,18,FALSE)</f>
        <v>45</v>
      </c>
    </row>
    <row r="191" spans="1:23" ht="15" hidden="1" thickTop="1" x14ac:dyDescent="0.3">
      <c r="A191" s="55">
        <v>24034224</v>
      </c>
      <c r="B191" s="55">
        <v>0</v>
      </c>
      <c r="C191" s="55" t="str">
        <f>VLOOKUP(A191&amp;"-"&amp;B191,'Order Summary'!$D:$E,2,FALSE)</f>
        <v>Telex / Seaway Released</v>
      </c>
      <c r="D191" s="216">
        <f>IF($A191="","",VLOOKUP($A191&amp;"-"&amp;$B191,'Order Summary'!$D:$U,3,FALSE))</f>
        <v>45888</v>
      </c>
      <c r="E191" s="55" t="str">
        <f>VLOOKUP(A191&amp;"-"&amp;B191,'Order Summary'!$D:$G,4,FALSE)</f>
        <v>Yes</v>
      </c>
      <c r="F191" s="55" t="str">
        <f>VLOOKUP($A191,'Order Summary'!$B:$I,8,FALSE)</f>
        <v>Granger, IN</v>
      </c>
      <c r="G191" s="216">
        <f>IF($A191="","",VLOOKUP($A191&amp;"-"&amp;$B191,'Order Summary'!$D:$U,18,FALSE))</f>
        <v>46015</v>
      </c>
      <c r="H191" s="55">
        <v>1</v>
      </c>
      <c r="I191" s="55">
        <v>694433</v>
      </c>
      <c r="J191" s="55" t="str">
        <f>VLOOKUP($I191,'Old Pricing - end 26-Jan-2026'!$A:$R,2,FALSE)</f>
        <v>G1S 694433</v>
      </c>
      <c r="K191" s="55" t="str">
        <f>VLOOKUP($I191,'Old Pricing - end 26-Jan-2026'!$A:$R,6,FALSE)&amp;" "&amp;VLOOKUP($I191,'Old Pricing - end 26-Jan-2026'!$A:$R,7,FALSE)&amp;""" x "&amp;VLOOKUP($I191,'Old Pricing - end 26-Jan-2026'!$A:$R,9,FALSE)&amp;""" "&amp;VLOOKUP($I191,'Old Pricing - end 26-Jan-2026'!$A:$R,5,FALSE)</f>
        <v>2MM 49" x 108" ACP</v>
      </c>
      <c r="L191" s="55">
        <f>VLOOKUP($I191,'Old Pricing - end 26-Jan-2026'!$A:$K,8,FALSE)</f>
        <v>1245</v>
      </c>
      <c r="M191" s="55">
        <f>VLOOKUP($I191,'Old Pricing - end 26-Jan-2026'!$A:$K,10,FALSE)</f>
        <v>2745</v>
      </c>
      <c r="N191" s="55" t="str">
        <f>VLOOKUP($I191,'Old Pricing - end 26-Jan-2026'!$A:$R,13,FALSE)&amp;" "&amp;VLOOKUP($I191,'Old Pricing - end 26-Jan-2026'!$A:$R,12,FALSE)</f>
        <v>ASC 0096 GLOSSY BLACK</v>
      </c>
      <c r="O191" s="56">
        <v>22.05</v>
      </c>
      <c r="P191" s="55">
        <f>(VLOOKUP($I191,'Old Pricing - end 26-Jan-2026'!$A:$R,8,FALSE)/1000)*(VLOOKUP($I191,'Old Pricing - end 26-Jan-2026'!$A:$R,10,FALSE)/1000)*Q191</f>
        <v>2050.5150000000003</v>
      </c>
      <c r="Q191" s="55">
        <f>ROUND(('Order Details'!$O191*1000)/((VLOOKUP($I191,'Old Pricing - end 26-Jan-2026'!$A:$Q,7,FALSE)/12)*(VLOOKUP($I191,'Old Pricing - end 26-Jan-2026'!$A:$Q,9,FALSE)/12))/5,0)*5</f>
        <v>600</v>
      </c>
      <c r="R191" s="71">
        <f>$Q191/IFERROR(VLOOKUP($F191&amp;RIGHT($K191,8),'Master Data'!$O$5:$P$10,2,FALSE),'Master Data'!$P$4)</f>
        <v>3</v>
      </c>
      <c r="S191" s="57">
        <f>VLOOKUP($I191,'Old Pricing - end 26-Jan-2026'!$A:$Q,16,FALSE)</f>
        <v>700</v>
      </c>
      <c r="T191" s="57">
        <f>VLOOKUP(I191,'Old Pricing - end 26-Jan-2026'!$A:$O,15,FALSE)</f>
        <v>7.53</v>
      </c>
      <c r="U191" s="57">
        <f t="shared" si="11"/>
        <v>15435</v>
      </c>
      <c r="V191" s="111">
        <f t="shared" si="10"/>
        <v>15440.377950000004</v>
      </c>
      <c r="W191" s="55">
        <f>VLOOKUP($I191,'Old Pricing - end 26-Jan-2026'!$A:$R,18,FALSE)</f>
        <v>45</v>
      </c>
    </row>
    <row r="192" spans="1:23" ht="15" hidden="1" thickTop="1" x14ac:dyDescent="0.3">
      <c r="A192" s="55">
        <v>24034224</v>
      </c>
      <c r="B192" s="55">
        <v>0</v>
      </c>
      <c r="C192" s="55" t="str">
        <f>VLOOKUP(A192&amp;"-"&amp;B192,'Order Summary'!$D:$E,2,FALSE)</f>
        <v>Telex / Seaway Released</v>
      </c>
      <c r="D192" s="216">
        <f>IF($A192="","",VLOOKUP($A192&amp;"-"&amp;$B192,'Order Summary'!$D:$U,3,FALSE))</f>
        <v>45888</v>
      </c>
      <c r="E192" s="55" t="str">
        <f>VLOOKUP(A192&amp;"-"&amp;B192,'Order Summary'!$D:$G,4,FALSE)</f>
        <v>Yes</v>
      </c>
      <c r="F192" s="55" t="str">
        <f>VLOOKUP($A192,'Order Summary'!$B:$I,8,FALSE)</f>
        <v>Granger, IN</v>
      </c>
      <c r="G192" s="216">
        <f>IF($A192="","",VLOOKUP($A192&amp;"-"&amp;$B192,'Order Summary'!$D:$U,18,FALSE))</f>
        <v>46015</v>
      </c>
      <c r="H192" s="55">
        <v>2</v>
      </c>
      <c r="I192" s="55">
        <v>694434</v>
      </c>
      <c r="J192" s="55" t="str">
        <f>VLOOKUP($I192,'Old Pricing - end 26-Jan-2026'!$A:$R,2,FALSE)</f>
        <v>G1S 694434</v>
      </c>
      <c r="K192" s="55" t="str">
        <f>VLOOKUP($I192,'Old Pricing - end 26-Jan-2026'!$A:$R,6,FALSE)&amp;" "&amp;VLOOKUP($I192,'Old Pricing - end 26-Jan-2026'!$A:$R,7,FALSE)&amp;""" x "&amp;VLOOKUP($I192,'Old Pricing - end 26-Jan-2026'!$A:$R,9,FALSE)&amp;""" "&amp;VLOOKUP($I192,'Old Pricing - end 26-Jan-2026'!$A:$R,5,FALSE)</f>
        <v>2MM 49" x 144" ACP</v>
      </c>
      <c r="L192" s="55">
        <f>VLOOKUP($I192,'Old Pricing - end 26-Jan-2026'!$A:$K,8,FALSE)</f>
        <v>1245</v>
      </c>
      <c r="M192" s="55">
        <f>VLOOKUP($I192,'Old Pricing - end 26-Jan-2026'!$A:$K,10,FALSE)</f>
        <v>3658</v>
      </c>
      <c r="N192" s="55" t="str">
        <f>VLOOKUP($I192,'Old Pricing - end 26-Jan-2026'!$A:$R,13,FALSE)&amp;" "&amp;VLOOKUP($I192,'Old Pricing - end 26-Jan-2026'!$A:$R,12,FALSE)</f>
        <v>ASC 0096 GLOSSY BLACK</v>
      </c>
      <c r="O192" s="56">
        <v>9.8000000000000007</v>
      </c>
      <c r="P192" s="55">
        <f>(VLOOKUP($I192,'Old Pricing - end 26-Jan-2026'!$A:$R,8,FALSE)/1000)*(VLOOKUP($I192,'Old Pricing - end 26-Jan-2026'!$A:$R,10,FALSE)/1000)*Q192</f>
        <v>910.8420000000001</v>
      </c>
      <c r="Q192" s="55">
        <f>ROUND(('Order Details'!$O192*1000)/((VLOOKUP($I192,'Old Pricing - end 26-Jan-2026'!$A:$Q,7,FALSE)/12)*(VLOOKUP($I192,'Old Pricing - end 26-Jan-2026'!$A:$Q,9,FALSE)/12))/5,0)*5</f>
        <v>200</v>
      </c>
      <c r="R192" s="71">
        <f>$Q192/IFERROR(VLOOKUP($F192&amp;RIGHT($K192,8),'Master Data'!$O$5:$P$10,2,FALSE),'Master Data'!$P$4)</f>
        <v>1</v>
      </c>
      <c r="S192" s="57">
        <f>VLOOKUP($I192,'Old Pricing - end 26-Jan-2026'!$A:$Q,16,FALSE)</f>
        <v>700</v>
      </c>
      <c r="T192" s="57">
        <f>VLOOKUP(I192,'Old Pricing - end 26-Jan-2026'!$A:$O,15,FALSE)</f>
        <v>7.53</v>
      </c>
      <c r="U192" s="57">
        <f t="shared" si="11"/>
        <v>6860.0000000000009</v>
      </c>
      <c r="V192" s="111">
        <f t="shared" si="10"/>
        <v>6858.640260000001</v>
      </c>
      <c r="W192" s="55">
        <f>VLOOKUP($I192,'Old Pricing - end 26-Jan-2026'!$A:$R,18,FALSE)</f>
        <v>45</v>
      </c>
    </row>
    <row r="193" spans="1:23" ht="15" hidden="1" thickTop="1" x14ac:dyDescent="0.3">
      <c r="A193" s="55">
        <v>24034224</v>
      </c>
      <c r="B193" s="55">
        <v>0</v>
      </c>
      <c r="C193" s="55" t="str">
        <f>VLOOKUP(A193&amp;"-"&amp;B193,'Order Summary'!$D:$E,2,FALSE)</f>
        <v>Telex / Seaway Released</v>
      </c>
      <c r="D193" s="216">
        <f>IF($A193="","",VLOOKUP($A193&amp;"-"&amp;$B193,'Order Summary'!$D:$U,3,FALSE))</f>
        <v>45888</v>
      </c>
      <c r="E193" s="55" t="str">
        <f>VLOOKUP(A193&amp;"-"&amp;B193,'Order Summary'!$D:$G,4,FALSE)</f>
        <v>Yes</v>
      </c>
      <c r="F193" s="55" t="str">
        <f>VLOOKUP($A193,'Order Summary'!$B:$I,8,FALSE)</f>
        <v>Granger, IN</v>
      </c>
      <c r="G193" s="216">
        <f>IF($A193="","",VLOOKUP($A193&amp;"-"&amp;$B193,'Order Summary'!$D:$U,18,FALSE))</f>
        <v>46015</v>
      </c>
      <c r="H193" s="55">
        <v>3</v>
      </c>
      <c r="I193" s="55">
        <v>694437</v>
      </c>
      <c r="J193" s="55" t="str">
        <f>VLOOKUP($I193,'Old Pricing - end 26-Jan-2026'!$A:$R,2,FALSE)</f>
        <v>G1S 694437</v>
      </c>
      <c r="K193" s="55" t="str">
        <f>VLOOKUP($I193,'Old Pricing - end 26-Jan-2026'!$A:$R,6,FALSE)&amp;" "&amp;VLOOKUP($I193,'Old Pricing - end 26-Jan-2026'!$A:$R,7,FALSE)&amp;""" x "&amp;VLOOKUP($I193,'Old Pricing - end 26-Jan-2026'!$A:$R,9,FALSE)&amp;""" "&amp;VLOOKUP($I193,'Old Pricing - end 26-Jan-2026'!$A:$R,5,FALSE)</f>
        <v>2MM 49" x 108" ACP</v>
      </c>
      <c r="L193" s="55">
        <f>VLOOKUP($I193,'Old Pricing - end 26-Jan-2026'!$A:$K,8,FALSE)</f>
        <v>1245</v>
      </c>
      <c r="M193" s="55">
        <f>VLOOKUP($I193,'Old Pricing - end 26-Jan-2026'!$A:$K,10,FALSE)</f>
        <v>2745</v>
      </c>
      <c r="N193" s="55" t="str">
        <f>VLOOKUP($I193,'Old Pricing - end 26-Jan-2026'!$A:$R,13,FALSE)&amp;" "&amp;VLOOKUP($I193,'Old Pricing - end 26-Jan-2026'!$A:$R,12,FALSE)</f>
        <v>ASC 0069 GLOSSY WHITE</v>
      </c>
      <c r="O193" s="56">
        <v>22.05</v>
      </c>
      <c r="P193" s="55">
        <f>(VLOOKUP($I193,'Old Pricing - end 26-Jan-2026'!$A:$R,8,FALSE)/1000)*(VLOOKUP($I193,'Old Pricing - end 26-Jan-2026'!$A:$R,10,FALSE)/1000)*Q193</f>
        <v>2050.5150000000003</v>
      </c>
      <c r="Q193" s="55">
        <f>ROUND(('Order Details'!$O193*1000)/((VLOOKUP($I193,'Old Pricing - end 26-Jan-2026'!$A:$Q,7,FALSE)/12)*(VLOOKUP($I193,'Old Pricing - end 26-Jan-2026'!$A:$Q,9,FALSE)/12))/5,0)*5</f>
        <v>600</v>
      </c>
      <c r="R193" s="71">
        <f>$Q193/IFERROR(VLOOKUP($F193&amp;RIGHT($K193,8),'Master Data'!$O$5:$P$10,2,FALSE),'Master Data'!$P$4)</f>
        <v>3</v>
      </c>
      <c r="S193" s="57">
        <f>VLOOKUP($I193,'Old Pricing - end 26-Jan-2026'!$A:$Q,16,FALSE)</f>
        <v>700</v>
      </c>
      <c r="T193" s="57">
        <f>VLOOKUP(I193,'Old Pricing - end 26-Jan-2026'!$A:$O,15,FALSE)</f>
        <v>7.53</v>
      </c>
      <c r="U193" s="57">
        <f t="shared" si="11"/>
        <v>15435</v>
      </c>
      <c r="V193" s="111">
        <f t="shared" si="10"/>
        <v>15440.377950000004</v>
      </c>
      <c r="W193" s="55">
        <f>VLOOKUP($I193,'Old Pricing - end 26-Jan-2026'!$A:$R,18,FALSE)</f>
        <v>45</v>
      </c>
    </row>
    <row r="194" spans="1:23" ht="15" hidden="1" thickTop="1" x14ac:dyDescent="0.3">
      <c r="A194" s="55">
        <v>24034224</v>
      </c>
      <c r="B194" s="55">
        <v>0</v>
      </c>
      <c r="C194" s="55" t="str">
        <f>VLOOKUP(A194&amp;"-"&amp;B194,'Order Summary'!$D:$E,2,FALSE)</f>
        <v>Telex / Seaway Released</v>
      </c>
      <c r="D194" s="216">
        <f>IF($A194="","",VLOOKUP($A194&amp;"-"&amp;$B194,'Order Summary'!$D:$U,3,FALSE))</f>
        <v>45888</v>
      </c>
      <c r="E194" s="55" t="str">
        <f>VLOOKUP(A194&amp;"-"&amp;B194,'Order Summary'!$D:$G,4,FALSE)</f>
        <v>Yes</v>
      </c>
      <c r="F194" s="55" t="str">
        <f>VLOOKUP($A194,'Order Summary'!$B:$I,8,FALSE)</f>
        <v>Granger, IN</v>
      </c>
      <c r="G194" s="216">
        <f>IF($A194="","",VLOOKUP($A194&amp;"-"&amp;$B194,'Order Summary'!$D:$U,18,FALSE))</f>
        <v>46015</v>
      </c>
      <c r="H194" s="55">
        <v>4</v>
      </c>
      <c r="I194" s="55">
        <v>694438</v>
      </c>
      <c r="J194" s="55" t="str">
        <f>VLOOKUP($I194,'Old Pricing - end 26-Jan-2026'!$A:$R,2,FALSE)</f>
        <v>G1S 694438</v>
      </c>
      <c r="K194" s="55" t="str">
        <f>VLOOKUP($I194,'Old Pricing - end 26-Jan-2026'!$A:$R,6,FALSE)&amp;" "&amp;VLOOKUP($I194,'Old Pricing - end 26-Jan-2026'!$A:$R,7,FALSE)&amp;""" x "&amp;VLOOKUP($I194,'Old Pricing - end 26-Jan-2026'!$A:$R,9,FALSE)&amp;""" "&amp;VLOOKUP($I194,'Old Pricing - end 26-Jan-2026'!$A:$R,5,FALSE)</f>
        <v>2MM 49" x 144" ACP</v>
      </c>
      <c r="L194" s="55">
        <f>VLOOKUP($I194,'Old Pricing - end 26-Jan-2026'!$A:$K,8,FALSE)</f>
        <v>1245</v>
      </c>
      <c r="M194" s="55">
        <f>VLOOKUP($I194,'Old Pricing - end 26-Jan-2026'!$A:$K,10,FALSE)</f>
        <v>3658</v>
      </c>
      <c r="N194" s="55" t="str">
        <f>VLOOKUP($I194,'Old Pricing - end 26-Jan-2026'!$A:$R,13,FALSE)&amp;" "&amp;VLOOKUP($I194,'Old Pricing - end 26-Jan-2026'!$A:$R,12,FALSE)</f>
        <v>ASC 0069 GLOSSY WHITE</v>
      </c>
      <c r="O194" s="56">
        <v>9.8000000000000007</v>
      </c>
      <c r="P194" s="55">
        <f>(VLOOKUP($I194,'Old Pricing - end 26-Jan-2026'!$A:$R,8,FALSE)/1000)*(VLOOKUP($I194,'Old Pricing - end 26-Jan-2026'!$A:$R,10,FALSE)/1000)*Q194</f>
        <v>910.8420000000001</v>
      </c>
      <c r="Q194" s="55">
        <f>ROUND(('Order Details'!$O194*1000)/((VLOOKUP($I194,'Old Pricing - end 26-Jan-2026'!$A:$Q,7,FALSE)/12)*(VLOOKUP($I194,'Old Pricing - end 26-Jan-2026'!$A:$Q,9,FALSE)/12))/5,0)*5</f>
        <v>200</v>
      </c>
      <c r="R194" s="71">
        <f>$Q194/IFERROR(VLOOKUP($F194&amp;RIGHT($K194,8),'Master Data'!$O$5:$P$10,2,FALSE),'Master Data'!$P$4)</f>
        <v>1</v>
      </c>
      <c r="S194" s="57">
        <f>VLOOKUP($I194,'Old Pricing - end 26-Jan-2026'!$A:$Q,16,FALSE)</f>
        <v>700</v>
      </c>
      <c r="T194" s="57">
        <f>VLOOKUP(I194,'Old Pricing - end 26-Jan-2026'!$A:$O,15,FALSE)</f>
        <v>7.53</v>
      </c>
      <c r="U194" s="57">
        <f t="shared" si="11"/>
        <v>6860.0000000000009</v>
      </c>
      <c r="V194" s="111">
        <f t="shared" si="10"/>
        <v>6858.640260000001</v>
      </c>
      <c r="W194" s="55">
        <f>VLOOKUP($I194,'Old Pricing - end 26-Jan-2026'!$A:$R,18,FALSE)</f>
        <v>45</v>
      </c>
    </row>
    <row r="195" spans="1:23" ht="15" hidden="1" thickTop="1" x14ac:dyDescent="0.3">
      <c r="A195" s="55">
        <v>24034224</v>
      </c>
      <c r="B195" s="55">
        <v>0</v>
      </c>
      <c r="C195" s="55" t="str">
        <f>VLOOKUP(A195&amp;"-"&amp;B195,'Order Summary'!$D:$E,2,FALSE)</f>
        <v>Telex / Seaway Released</v>
      </c>
      <c r="D195" s="216">
        <f>IF($A195="","",VLOOKUP($A195&amp;"-"&amp;$B195,'Order Summary'!$D:$U,3,FALSE))</f>
        <v>45888</v>
      </c>
      <c r="E195" s="55" t="str">
        <f>VLOOKUP(A195&amp;"-"&amp;B195,'Order Summary'!$D:$G,4,FALSE)</f>
        <v>Yes</v>
      </c>
      <c r="F195" s="55" t="str">
        <f>VLOOKUP($A195,'Order Summary'!$B:$I,8,FALSE)</f>
        <v>Granger, IN</v>
      </c>
      <c r="G195" s="216">
        <f>IF($A195="","",VLOOKUP($A195&amp;"-"&amp;$B195,'Order Summary'!$D:$U,18,FALSE))</f>
        <v>46015</v>
      </c>
      <c r="H195" s="55">
        <v>5</v>
      </c>
      <c r="I195" s="55">
        <v>694441</v>
      </c>
      <c r="J195" s="55" t="str">
        <f>VLOOKUP($I195,'Old Pricing - end 26-Jan-2026'!$A:$R,2,FALSE)</f>
        <v>G1S 694441</v>
      </c>
      <c r="K195" s="55" t="str">
        <f>VLOOKUP($I195,'Old Pricing - end 26-Jan-2026'!$A:$R,6,FALSE)&amp;" "&amp;VLOOKUP($I195,'Old Pricing - end 26-Jan-2026'!$A:$R,7,FALSE)&amp;""" x "&amp;VLOOKUP($I195,'Old Pricing - end 26-Jan-2026'!$A:$R,9,FALSE)&amp;""" "&amp;VLOOKUP($I195,'Old Pricing - end 26-Jan-2026'!$A:$R,5,FALSE)</f>
        <v>2MM 49" x 108" ACP</v>
      </c>
      <c r="L195" s="55">
        <f>VLOOKUP($I195,'Old Pricing - end 26-Jan-2026'!$A:$K,8,FALSE)</f>
        <v>1245</v>
      </c>
      <c r="M195" s="55">
        <f>VLOOKUP($I195,'Old Pricing - end 26-Jan-2026'!$A:$K,10,FALSE)</f>
        <v>2745</v>
      </c>
      <c r="N195" s="55" t="str">
        <f>VLOOKUP($I195,'Old Pricing - end 26-Jan-2026'!$A:$R,13,FALSE)&amp;" "&amp;VLOOKUP($I195,'Old Pricing - end 26-Jan-2026'!$A:$R,12,FALSE)</f>
        <v>AMC 0103 SILVER FROST</v>
      </c>
      <c r="O195" s="56">
        <v>7.35</v>
      </c>
      <c r="P195" s="55">
        <f>(VLOOKUP($I195,'Old Pricing - end 26-Jan-2026'!$A:$R,8,FALSE)/1000)*(VLOOKUP($I195,'Old Pricing - end 26-Jan-2026'!$A:$R,10,FALSE)/1000)*Q195</f>
        <v>683.50500000000011</v>
      </c>
      <c r="Q195" s="55">
        <f>ROUND(('Order Details'!$O195*1000)/((VLOOKUP($I195,'Old Pricing - end 26-Jan-2026'!$A:$Q,7,FALSE)/12)*(VLOOKUP($I195,'Old Pricing - end 26-Jan-2026'!$A:$Q,9,FALSE)/12))/5,0)*5</f>
        <v>200</v>
      </c>
      <c r="R195" s="71">
        <f>$Q195/IFERROR(VLOOKUP($F195&amp;RIGHT($K195,8),'Master Data'!$O$5:$P$10,2,FALSE),'Master Data'!$P$4)</f>
        <v>1</v>
      </c>
      <c r="S195" s="57">
        <f>VLOOKUP($I195,'Old Pricing - end 26-Jan-2026'!$A:$Q,16,FALSE)</f>
        <v>700</v>
      </c>
      <c r="T195" s="57">
        <f>VLOOKUP(I195,'Old Pricing - end 26-Jan-2026'!$A:$O,15,FALSE)</f>
        <v>7.53</v>
      </c>
      <c r="U195" s="57">
        <f t="shared" si="11"/>
        <v>5145</v>
      </c>
      <c r="V195" s="111">
        <f t="shared" si="10"/>
        <v>5146.7926500000012</v>
      </c>
      <c r="W195" s="55">
        <f>VLOOKUP($I195,'Old Pricing - end 26-Jan-2026'!$A:$R,18,FALSE)</f>
        <v>90</v>
      </c>
    </row>
    <row r="196" spans="1:23" ht="15" hidden="1" thickTop="1" x14ac:dyDescent="0.3">
      <c r="A196" s="55">
        <v>24034224</v>
      </c>
      <c r="B196" s="55">
        <v>0</v>
      </c>
      <c r="C196" s="55" t="str">
        <f>VLOOKUP(A196&amp;"-"&amp;B196,'Order Summary'!$D:$E,2,FALSE)</f>
        <v>Telex / Seaway Released</v>
      </c>
      <c r="D196" s="216">
        <f>IF($A196="","",VLOOKUP($A196&amp;"-"&amp;$B196,'Order Summary'!$D:$U,3,FALSE))</f>
        <v>45888</v>
      </c>
      <c r="E196" s="55" t="str">
        <f>VLOOKUP(A196&amp;"-"&amp;B196,'Order Summary'!$D:$G,4,FALSE)</f>
        <v>Yes</v>
      </c>
      <c r="F196" s="55" t="str">
        <f>VLOOKUP($A196,'Order Summary'!$B:$I,8,FALSE)</f>
        <v>Granger, IN</v>
      </c>
      <c r="G196" s="216">
        <f>IF($A196="","",VLOOKUP($A196&amp;"-"&amp;$B196,'Order Summary'!$D:$U,18,FALSE))</f>
        <v>46015</v>
      </c>
      <c r="H196" s="55">
        <v>6</v>
      </c>
      <c r="I196" s="55">
        <v>694442</v>
      </c>
      <c r="J196" s="55" t="str">
        <f>VLOOKUP($I196,'Old Pricing - end 26-Jan-2026'!$A:$R,2,FALSE)</f>
        <v>G1S 694442</v>
      </c>
      <c r="K196" s="55" t="str">
        <f>VLOOKUP($I196,'Old Pricing - end 26-Jan-2026'!$A:$R,6,FALSE)&amp;" "&amp;VLOOKUP($I196,'Old Pricing - end 26-Jan-2026'!$A:$R,7,FALSE)&amp;""" x "&amp;VLOOKUP($I196,'Old Pricing - end 26-Jan-2026'!$A:$R,9,FALSE)&amp;""" "&amp;VLOOKUP($I196,'Old Pricing - end 26-Jan-2026'!$A:$R,5,FALSE)</f>
        <v>2MM 49" x 144" ACP</v>
      </c>
      <c r="L196" s="55">
        <f>VLOOKUP($I196,'Old Pricing - end 26-Jan-2026'!$A:$K,8,FALSE)</f>
        <v>1245</v>
      </c>
      <c r="M196" s="55">
        <f>VLOOKUP($I196,'Old Pricing - end 26-Jan-2026'!$A:$K,10,FALSE)</f>
        <v>3658</v>
      </c>
      <c r="N196" s="55" t="str">
        <f>VLOOKUP($I196,'Old Pricing - end 26-Jan-2026'!$A:$R,13,FALSE)&amp;" "&amp;VLOOKUP($I196,'Old Pricing - end 26-Jan-2026'!$A:$R,12,FALSE)</f>
        <v>AMC 0103 SILVER FROST</v>
      </c>
      <c r="O196" s="56">
        <v>9.8000000000000007</v>
      </c>
      <c r="P196" s="55">
        <f>(VLOOKUP($I196,'Old Pricing - end 26-Jan-2026'!$A:$R,8,FALSE)/1000)*(VLOOKUP($I196,'Old Pricing - end 26-Jan-2026'!$A:$R,10,FALSE)/1000)*Q196</f>
        <v>910.8420000000001</v>
      </c>
      <c r="Q196" s="55">
        <f>ROUND(('Order Details'!$O196*1000)/((VLOOKUP($I196,'Old Pricing - end 26-Jan-2026'!$A:$Q,7,FALSE)/12)*(VLOOKUP($I196,'Old Pricing - end 26-Jan-2026'!$A:$Q,9,FALSE)/12))/5,0)*5</f>
        <v>200</v>
      </c>
      <c r="R196" s="71">
        <f>$Q196/IFERROR(VLOOKUP($F196&amp;RIGHT($K196,8),'Master Data'!$O$5:$P$10,2,FALSE),'Master Data'!$P$4)</f>
        <v>1</v>
      </c>
      <c r="S196" s="57">
        <f>VLOOKUP($I196,'Old Pricing - end 26-Jan-2026'!$A:$Q,16,FALSE)</f>
        <v>700</v>
      </c>
      <c r="T196" s="57">
        <f>VLOOKUP(I196,'Old Pricing - end 26-Jan-2026'!$A:$O,15,FALSE)</f>
        <v>7.53</v>
      </c>
      <c r="U196" s="57">
        <f t="shared" si="11"/>
        <v>6860.0000000000009</v>
      </c>
      <c r="V196" s="111">
        <f t="shared" ref="V196:V258" si="12">P196*T196</f>
        <v>6858.640260000001</v>
      </c>
      <c r="W196" s="55">
        <f>VLOOKUP($I196,'Old Pricing - end 26-Jan-2026'!$A:$R,18,FALSE)</f>
        <v>90</v>
      </c>
    </row>
    <row r="197" spans="1:23" ht="15" hidden="1" thickTop="1" x14ac:dyDescent="0.3">
      <c r="A197" s="55">
        <v>24034224</v>
      </c>
      <c r="B197" s="55">
        <v>0</v>
      </c>
      <c r="C197" s="55" t="str">
        <f>VLOOKUP(A197&amp;"-"&amp;B197,'Order Summary'!$D:$E,2,FALSE)</f>
        <v>Telex / Seaway Released</v>
      </c>
      <c r="D197" s="216">
        <f>IF($A197="","",VLOOKUP($A197&amp;"-"&amp;$B197,'Order Summary'!$D:$U,3,FALSE))</f>
        <v>45888</v>
      </c>
      <c r="E197" s="55" t="str">
        <f>VLOOKUP(A197&amp;"-"&amp;B197,'Order Summary'!$D:$G,4,FALSE)</f>
        <v>Yes</v>
      </c>
      <c r="F197" s="55" t="str">
        <f>VLOOKUP($A197,'Order Summary'!$B:$I,8,FALSE)</f>
        <v>Granger, IN</v>
      </c>
      <c r="G197" s="216">
        <f>IF($A197="","",VLOOKUP($A197&amp;"-"&amp;$B197,'Order Summary'!$D:$U,18,FALSE))</f>
        <v>46015</v>
      </c>
      <c r="H197" s="55">
        <v>7</v>
      </c>
      <c r="I197" s="55">
        <v>694445</v>
      </c>
      <c r="J197" s="55" t="str">
        <f>VLOOKUP($I197,'Old Pricing - end 26-Jan-2026'!$A:$R,2,FALSE)</f>
        <v>G1S 694445</v>
      </c>
      <c r="K197" s="55" t="str">
        <f>VLOOKUP($I197,'Old Pricing - end 26-Jan-2026'!$A:$R,6,FALSE)&amp;" "&amp;VLOOKUP($I197,'Old Pricing - end 26-Jan-2026'!$A:$R,7,FALSE)&amp;""" x "&amp;VLOOKUP($I197,'Old Pricing - end 26-Jan-2026'!$A:$R,9,FALSE)&amp;""" "&amp;VLOOKUP($I197,'Old Pricing - end 26-Jan-2026'!$A:$R,5,FALSE)</f>
        <v>2MM 49" x 108" ACP</v>
      </c>
      <c r="L197" s="55">
        <f>VLOOKUP($I197,'Old Pricing - end 26-Jan-2026'!$A:$K,8,FALSE)</f>
        <v>1245</v>
      </c>
      <c r="M197" s="55">
        <f>VLOOKUP($I197,'Old Pricing - end 26-Jan-2026'!$A:$K,10,FALSE)</f>
        <v>2745</v>
      </c>
      <c r="N197" s="55" t="str">
        <f>VLOOKUP($I197,'Old Pricing - end 26-Jan-2026'!$A:$R,13,FALSE)&amp;" "&amp;VLOOKUP($I197,'Old Pricing - end 26-Jan-2026'!$A:$R,12,FALSE)</f>
        <v>AMC 0086 CHARCOAL METALLIC</v>
      </c>
      <c r="O197" s="56">
        <v>7.35</v>
      </c>
      <c r="P197" s="55">
        <f>(VLOOKUP($I197,'Old Pricing - end 26-Jan-2026'!$A:$R,8,FALSE)/1000)*(VLOOKUP($I197,'Old Pricing - end 26-Jan-2026'!$A:$R,10,FALSE)/1000)*Q197</f>
        <v>683.50500000000011</v>
      </c>
      <c r="Q197" s="55">
        <f>ROUND(('Order Details'!$O197*1000)/((VLOOKUP($I197,'Old Pricing - end 26-Jan-2026'!$A:$Q,7,FALSE)/12)*(VLOOKUP($I197,'Old Pricing - end 26-Jan-2026'!$A:$Q,9,FALSE)/12))/5,0)*5</f>
        <v>200</v>
      </c>
      <c r="R197" s="71">
        <f>$Q197/IFERROR(VLOOKUP($F197&amp;RIGHT($K197,8),'Master Data'!$O$5:$P$10,2,FALSE),'Master Data'!$P$4)</f>
        <v>1</v>
      </c>
      <c r="S197" s="57">
        <f>VLOOKUP($I197,'Old Pricing - end 26-Jan-2026'!$A:$Q,16,FALSE)</f>
        <v>750</v>
      </c>
      <c r="T197" s="57">
        <f>VLOOKUP(I197,'Old Pricing - end 26-Jan-2026'!$A:$O,15,FALSE)</f>
        <v>8.07</v>
      </c>
      <c r="U197" s="57">
        <f t="shared" si="11"/>
        <v>5512.5</v>
      </c>
      <c r="V197" s="111">
        <f t="shared" si="12"/>
        <v>5515.8853500000014</v>
      </c>
      <c r="W197" s="55">
        <f>VLOOKUP($I197,'Old Pricing - end 26-Jan-2026'!$A:$R,18,FALSE)</f>
        <v>45</v>
      </c>
    </row>
    <row r="198" spans="1:23" ht="15" hidden="1" thickTop="1" x14ac:dyDescent="0.3">
      <c r="A198" s="55">
        <v>24034229</v>
      </c>
      <c r="B198" s="55">
        <v>0</v>
      </c>
      <c r="C198" s="55" t="str">
        <f>VLOOKUP(A198&amp;"-"&amp;B198,'Order Summary'!$D:$E,2,FALSE)</f>
        <v>Telex / Seaway Released</v>
      </c>
      <c r="D198" s="216">
        <f>IF($A198="","",VLOOKUP($A198&amp;"-"&amp;$B198,'Order Summary'!$D:$U,3,FALSE))</f>
        <v>45888</v>
      </c>
      <c r="E198" s="55" t="str">
        <f>VLOOKUP(A198&amp;"-"&amp;B198,'Order Summary'!$D:$G,4,FALSE)</f>
        <v>Yes</v>
      </c>
      <c r="F198" s="55" t="str">
        <f>VLOOKUP($A198,'Order Summary'!$B:$I,8,FALSE)</f>
        <v>Granger, IN</v>
      </c>
      <c r="G198" s="216">
        <f>IF($A198="","",VLOOKUP($A198&amp;"-"&amp;$B198,'Order Summary'!$D:$U,18,FALSE))</f>
        <v>46015</v>
      </c>
      <c r="H198" s="55">
        <v>1</v>
      </c>
      <c r="I198">
        <v>694433</v>
      </c>
      <c r="J198" s="55" t="str">
        <f>VLOOKUP($I198,'Old Pricing - end 26-Jan-2026'!$A:$R,2,FALSE)</f>
        <v>G1S 694433</v>
      </c>
      <c r="K198" s="55" t="str">
        <f>VLOOKUP($I198,'Old Pricing - end 26-Jan-2026'!$A:$R,6,FALSE)&amp;" "&amp;VLOOKUP($I198,'Old Pricing - end 26-Jan-2026'!$A:$R,7,FALSE)&amp;""" x "&amp;VLOOKUP($I198,'Old Pricing - end 26-Jan-2026'!$A:$R,9,FALSE)&amp;""" "&amp;VLOOKUP($I198,'Old Pricing - end 26-Jan-2026'!$A:$R,5,FALSE)</f>
        <v>2MM 49" x 108" ACP</v>
      </c>
      <c r="L198" s="55">
        <f>VLOOKUP($I198,'Old Pricing - end 26-Jan-2026'!$A:$K,8,FALSE)</f>
        <v>1245</v>
      </c>
      <c r="M198" s="55">
        <f>VLOOKUP($I198,'Old Pricing - end 26-Jan-2026'!$A:$K,10,FALSE)</f>
        <v>2745</v>
      </c>
      <c r="N198" s="55" t="str">
        <f>VLOOKUP($I198,'Old Pricing - end 26-Jan-2026'!$A:$R,13,FALSE)&amp;" "&amp;VLOOKUP($I198,'Old Pricing - end 26-Jan-2026'!$A:$R,12,FALSE)</f>
        <v>ASC 0096 GLOSSY BLACK</v>
      </c>
      <c r="O198" s="56">
        <v>14.7</v>
      </c>
      <c r="P198" s="55">
        <f>(VLOOKUP($I198,'Old Pricing - end 26-Jan-2026'!$A:$R,8,FALSE)/1000)*(VLOOKUP($I198,'Old Pricing - end 26-Jan-2026'!$A:$R,10,FALSE)/1000)*Q198</f>
        <v>1367.0100000000002</v>
      </c>
      <c r="Q198" s="55">
        <f>ROUND(('Order Details'!$O198*1000)/((VLOOKUP($I198,'Old Pricing - end 26-Jan-2026'!$A:$Q,7,FALSE)/12)*(VLOOKUP($I198,'Old Pricing - end 26-Jan-2026'!$A:$Q,9,FALSE)/12))/5,0)*5</f>
        <v>400</v>
      </c>
      <c r="R198" s="71">
        <f>$Q198/IFERROR(VLOOKUP($F198&amp;RIGHT($K198,8),'Master Data'!$O$5:$P$10,2,FALSE),'Master Data'!$P$4)</f>
        <v>2</v>
      </c>
      <c r="S198" s="57">
        <f>VLOOKUP($I198,'Old Pricing - end 26-Jan-2026'!$A:$Q,16,FALSE)</f>
        <v>700</v>
      </c>
      <c r="T198" s="57">
        <f>VLOOKUP(I198,'Old Pricing - end 26-Jan-2026'!$A:$O,15,FALSE)</f>
        <v>7.53</v>
      </c>
      <c r="U198" s="57">
        <f t="shared" si="11"/>
        <v>10290</v>
      </c>
      <c r="V198" s="111">
        <f t="shared" si="12"/>
        <v>10293.585300000002</v>
      </c>
      <c r="W198" s="55">
        <f>VLOOKUP($I198,'Old Pricing - end 26-Jan-2026'!$A:$R,18,FALSE)</f>
        <v>45</v>
      </c>
    </row>
    <row r="199" spans="1:23" ht="15" hidden="1" thickTop="1" x14ac:dyDescent="0.3">
      <c r="A199" s="55">
        <v>24034229</v>
      </c>
      <c r="B199" s="55">
        <v>0</v>
      </c>
      <c r="C199" s="55" t="str">
        <f>VLOOKUP(A199&amp;"-"&amp;B199,'Order Summary'!$D:$E,2,FALSE)</f>
        <v>Telex / Seaway Released</v>
      </c>
      <c r="D199" s="216">
        <f>IF($A199="","",VLOOKUP($A199&amp;"-"&amp;$B199,'Order Summary'!$D:$U,3,FALSE))</f>
        <v>45888</v>
      </c>
      <c r="E199" s="55" t="str">
        <f>VLOOKUP(A199&amp;"-"&amp;B199,'Order Summary'!$D:$G,4,FALSE)</f>
        <v>Yes</v>
      </c>
      <c r="F199" s="55" t="str">
        <f>VLOOKUP($A199,'Order Summary'!$B:$I,8,FALSE)</f>
        <v>Granger, IN</v>
      </c>
      <c r="G199" s="216">
        <f>IF($A199="","",VLOOKUP($A199&amp;"-"&amp;$B199,'Order Summary'!$D:$U,18,FALSE))</f>
        <v>46015</v>
      </c>
      <c r="H199" s="55">
        <v>2</v>
      </c>
      <c r="I199" s="55">
        <v>694434</v>
      </c>
      <c r="J199" s="55" t="str">
        <f>VLOOKUP($I199,'Old Pricing - end 26-Jan-2026'!$A:$R,2,FALSE)</f>
        <v>G1S 694434</v>
      </c>
      <c r="K199" s="55" t="str">
        <f>VLOOKUP($I199,'Old Pricing - end 26-Jan-2026'!$A:$R,6,FALSE)&amp;" "&amp;VLOOKUP($I199,'Old Pricing - end 26-Jan-2026'!$A:$R,7,FALSE)&amp;""" x "&amp;VLOOKUP($I199,'Old Pricing - end 26-Jan-2026'!$A:$R,9,FALSE)&amp;""" "&amp;VLOOKUP($I199,'Old Pricing - end 26-Jan-2026'!$A:$R,5,FALSE)</f>
        <v>2MM 49" x 144" ACP</v>
      </c>
      <c r="L199" s="55">
        <f>VLOOKUP($I199,'Old Pricing - end 26-Jan-2026'!$A:$K,8,FALSE)</f>
        <v>1245</v>
      </c>
      <c r="M199" s="55">
        <f>VLOOKUP($I199,'Old Pricing - end 26-Jan-2026'!$A:$K,10,FALSE)</f>
        <v>3658</v>
      </c>
      <c r="N199" s="55" t="str">
        <f>VLOOKUP($I199,'Old Pricing - end 26-Jan-2026'!$A:$R,13,FALSE)&amp;" "&amp;VLOOKUP($I199,'Old Pricing - end 26-Jan-2026'!$A:$R,12,FALSE)</f>
        <v>ASC 0096 GLOSSY BLACK</v>
      </c>
      <c r="O199" s="56">
        <v>9.8000000000000007</v>
      </c>
      <c r="P199" s="55">
        <f>(VLOOKUP($I199,'Old Pricing - end 26-Jan-2026'!$A:$R,8,FALSE)/1000)*(VLOOKUP($I199,'Old Pricing - end 26-Jan-2026'!$A:$R,10,FALSE)/1000)*Q199</f>
        <v>910.8420000000001</v>
      </c>
      <c r="Q199" s="55">
        <f>ROUND(('Order Details'!$O199*1000)/((VLOOKUP($I199,'Old Pricing - end 26-Jan-2026'!$A:$Q,7,FALSE)/12)*(VLOOKUP($I199,'Old Pricing - end 26-Jan-2026'!$A:$Q,9,FALSE)/12))/5,0)*5</f>
        <v>200</v>
      </c>
      <c r="R199" s="71">
        <f>$Q199/IFERROR(VLOOKUP($F199&amp;RIGHT($K199,8),'Master Data'!$O$5:$P$10,2,FALSE),'Master Data'!$P$4)</f>
        <v>1</v>
      </c>
      <c r="S199" s="57">
        <f>VLOOKUP($I199,'Old Pricing - end 26-Jan-2026'!$A:$Q,16,FALSE)</f>
        <v>700</v>
      </c>
      <c r="T199" s="57">
        <f>VLOOKUP(I199,'Old Pricing - end 26-Jan-2026'!$A:$O,15,FALSE)</f>
        <v>7.53</v>
      </c>
      <c r="U199" s="57">
        <f t="shared" si="11"/>
        <v>6860.0000000000009</v>
      </c>
      <c r="V199" s="111">
        <f t="shared" si="12"/>
        <v>6858.640260000001</v>
      </c>
      <c r="W199" s="55">
        <f>VLOOKUP($I199,'Old Pricing - end 26-Jan-2026'!$A:$R,18,FALSE)</f>
        <v>45</v>
      </c>
    </row>
    <row r="200" spans="1:23" ht="15" hidden="1" thickTop="1" x14ac:dyDescent="0.3">
      <c r="A200" s="55">
        <v>24034229</v>
      </c>
      <c r="B200" s="55">
        <v>0</v>
      </c>
      <c r="C200" s="55" t="str">
        <f>VLOOKUP(A200&amp;"-"&amp;B200,'Order Summary'!$D:$E,2,FALSE)</f>
        <v>Telex / Seaway Released</v>
      </c>
      <c r="D200" s="216">
        <f>IF($A200="","",VLOOKUP($A200&amp;"-"&amp;$B200,'Order Summary'!$D:$U,3,FALSE))</f>
        <v>45888</v>
      </c>
      <c r="E200" s="55" t="str">
        <f>VLOOKUP(A200&amp;"-"&amp;B200,'Order Summary'!$D:$G,4,FALSE)</f>
        <v>Yes</v>
      </c>
      <c r="F200" s="55" t="str">
        <f>VLOOKUP($A200,'Order Summary'!$B:$I,8,FALSE)</f>
        <v>Granger, IN</v>
      </c>
      <c r="G200" s="216">
        <f>IF($A200="","",VLOOKUP($A200&amp;"-"&amp;$B200,'Order Summary'!$D:$U,18,FALSE))</f>
        <v>46015</v>
      </c>
      <c r="H200" s="55">
        <v>3</v>
      </c>
      <c r="I200" s="55">
        <v>694437</v>
      </c>
      <c r="J200" s="55" t="str">
        <f>VLOOKUP($I200,'Old Pricing - end 26-Jan-2026'!$A:$R,2,FALSE)</f>
        <v>G1S 694437</v>
      </c>
      <c r="K200" s="55" t="str">
        <f>VLOOKUP($I200,'Old Pricing - end 26-Jan-2026'!$A:$R,6,FALSE)&amp;" "&amp;VLOOKUP($I200,'Old Pricing - end 26-Jan-2026'!$A:$R,7,FALSE)&amp;""" x "&amp;VLOOKUP($I200,'Old Pricing - end 26-Jan-2026'!$A:$R,9,FALSE)&amp;""" "&amp;VLOOKUP($I200,'Old Pricing - end 26-Jan-2026'!$A:$R,5,FALSE)</f>
        <v>2MM 49" x 108" ACP</v>
      </c>
      <c r="L200" s="55">
        <f>VLOOKUP($I200,'Old Pricing - end 26-Jan-2026'!$A:$K,8,FALSE)</f>
        <v>1245</v>
      </c>
      <c r="M200" s="55">
        <f>VLOOKUP($I200,'Old Pricing - end 26-Jan-2026'!$A:$K,10,FALSE)</f>
        <v>2745</v>
      </c>
      <c r="N200" s="55" t="str">
        <f>VLOOKUP($I200,'Old Pricing - end 26-Jan-2026'!$A:$R,13,FALSE)&amp;" "&amp;VLOOKUP($I200,'Old Pricing - end 26-Jan-2026'!$A:$R,12,FALSE)</f>
        <v>ASC 0069 GLOSSY WHITE</v>
      </c>
      <c r="O200" s="56">
        <v>29.4</v>
      </c>
      <c r="P200" s="55">
        <f>(VLOOKUP($I200,'Old Pricing - end 26-Jan-2026'!$A:$R,8,FALSE)/1000)*(VLOOKUP($I200,'Old Pricing - end 26-Jan-2026'!$A:$R,10,FALSE)/1000)*Q200</f>
        <v>2734.0200000000004</v>
      </c>
      <c r="Q200" s="55">
        <f>ROUND(('Order Details'!$O200*1000)/((VLOOKUP($I200,'Old Pricing - end 26-Jan-2026'!$A:$Q,7,FALSE)/12)*(VLOOKUP($I200,'Old Pricing - end 26-Jan-2026'!$A:$Q,9,FALSE)/12))/5,0)*5</f>
        <v>800</v>
      </c>
      <c r="R200" s="71">
        <f>$Q200/IFERROR(VLOOKUP($F200&amp;RIGHT($K200,8),'Master Data'!$O$5:$P$10,2,FALSE),'Master Data'!$P$4)</f>
        <v>4</v>
      </c>
      <c r="S200" s="57">
        <f>VLOOKUP($I200,'Old Pricing - end 26-Jan-2026'!$A:$Q,16,FALSE)</f>
        <v>700</v>
      </c>
      <c r="T200" s="57">
        <f>VLOOKUP(I200,'Old Pricing - end 26-Jan-2026'!$A:$O,15,FALSE)</f>
        <v>7.53</v>
      </c>
      <c r="U200" s="57">
        <f t="shared" si="11"/>
        <v>20580</v>
      </c>
      <c r="V200" s="111">
        <f t="shared" si="12"/>
        <v>20587.170600000005</v>
      </c>
      <c r="W200" s="55">
        <f>VLOOKUP($I200,'Old Pricing - end 26-Jan-2026'!$A:$R,18,FALSE)</f>
        <v>45</v>
      </c>
    </row>
    <row r="201" spans="1:23" ht="15" hidden="1" thickTop="1" x14ac:dyDescent="0.3">
      <c r="A201" s="55">
        <v>24034229</v>
      </c>
      <c r="B201" s="55">
        <v>0</v>
      </c>
      <c r="C201" s="55" t="str">
        <f>VLOOKUP(A201&amp;"-"&amp;B201,'Order Summary'!$D:$E,2,FALSE)</f>
        <v>Telex / Seaway Released</v>
      </c>
      <c r="D201" s="216">
        <f>IF($A201="","",VLOOKUP($A201&amp;"-"&amp;$B201,'Order Summary'!$D:$U,3,FALSE))</f>
        <v>45888</v>
      </c>
      <c r="E201" s="55" t="str">
        <f>VLOOKUP(A201&amp;"-"&amp;B201,'Order Summary'!$D:$G,4,FALSE)</f>
        <v>Yes</v>
      </c>
      <c r="F201" s="55" t="str">
        <f>VLOOKUP($A201,'Order Summary'!$B:$I,8,FALSE)</f>
        <v>Granger, IN</v>
      </c>
      <c r="G201" s="216">
        <f>IF($A201="","",VLOOKUP($A201&amp;"-"&amp;$B201,'Order Summary'!$D:$U,18,FALSE))</f>
        <v>46015</v>
      </c>
      <c r="H201" s="55">
        <v>4</v>
      </c>
      <c r="I201" s="55">
        <v>694441</v>
      </c>
      <c r="J201" s="55" t="str">
        <f>VLOOKUP($I201,'Old Pricing - end 26-Jan-2026'!$A:$R,2,FALSE)</f>
        <v>G1S 694441</v>
      </c>
      <c r="K201" s="55" t="str">
        <f>VLOOKUP($I201,'Old Pricing - end 26-Jan-2026'!$A:$R,6,FALSE)&amp;" "&amp;VLOOKUP($I201,'Old Pricing - end 26-Jan-2026'!$A:$R,7,FALSE)&amp;""" x "&amp;VLOOKUP($I201,'Old Pricing - end 26-Jan-2026'!$A:$R,9,FALSE)&amp;""" "&amp;VLOOKUP($I201,'Old Pricing - end 26-Jan-2026'!$A:$R,5,FALSE)</f>
        <v>2MM 49" x 108" ACP</v>
      </c>
      <c r="L201" s="55">
        <f>VLOOKUP($I201,'Old Pricing - end 26-Jan-2026'!$A:$K,8,FALSE)</f>
        <v>1245</v>
      </c>
      <c r="M201" s="55">
        <f>VLOOKUP($I201,'Old Pricing - end 26-Jan-2026'!$A:$K,10,FALSE)</f>
        <v>2745</v>
      </c>
      <c r="N201" s="55" t="str">
        <f>VLOOKUP($I201,'Old Pricing - end 26-Jan-2026'!$A:$R,13,FALSE)&amp;" "&amp;VLOOKUP($I201,'Old Pricing - end 26-Jan-2026'!$A:$R,12,FALSE)</f>
        <v>AMC 0103 SILVER FROST</v>
      </c>
      <c r="O201" s="56">
        <v>7.35</v>
      </c>
      <c r="P201" s="55">
        <f>(VLOOKUP($I201,'Old Pricing - end 26-Jan-2026'!$A:$R,8,FALSE)/1000)*(VLOOKUP($I201,'Old Pricing - end 26-Jan-2026'!$A:$R,10,FALSE)/1000)*Q201</f>
        <v>683.50500000000011</v>
      </c>
      <c r="Q201" s="55">
        <f>ROUND(('Order Details'!$O201*1000)/((VLOOKUP($I201,'Old Pricing - end 26-Jan-2026'!$A:$Q,7,FALSE)/12)*(VLOOKUP($I201,'Old Pricing - end 26-Jan-2026'!$A:$Q,9,FALSE)/12))/5,0)*5</f>
        <v>200</v>
      </c>
      <c r="R201" s="71">
        <f>$Q201/IFERROR(VLOOKUP($F201&amp;RIGHT($K201,8),'Master Data'!$O$5:$P$10,2,FALSE),'Master Data'!$P$4)</f>
        <v>1</v>
      </c>
      <c r="S201" s="57">
        <f>VLOOKUP($I201,'Old Pricing - end 26-Jan-2026'!$A:$Q,16,FALSE)</f>
        <v>700</v>
      </c>
      <c r="T201" s="57">
        <f>VLOOKUP(I201,'Old Pricing - end 26-Jan-2026'!$A:$O,15,FALSE)</f>
        <v>7.53</v>
      </c>
      <c r="U201" s="57">
        <f t="shared" si="11"/>
        <v>5145</v>
      </c>
      <c r="V201" s="111">
        <f t="shared" si="12"/>
        <v>5146.7926500000012</v>
      </c>
      <c r="W201" s="55">
        <f>VLOOKUP($I201,'Old Pricing - end 26-Jan-2026'!$A:$R,18,FALSE)</f>
        <v>90</v>
      </c>
    </row>
    <row r="202" spans="1:23" ht="15" hidden="1" thickTop="1" x14ac:dyDescent="0.3">
      <c r="A202" s="55">
        <v>24034229</v>
      </c>
      <c r="B202" s="55">
        <v>0</v>
      </c>
      <c r="C202" s="55" t="str">
        <f>VLOOKUP(A202&amp;"-"&amp;B202,'Order Summary'!$D:$E,2,FALSE)</f>
        <v>Telex / Seaway Released</v>
      </c>
      <c r="D202" s="216">
        <f>IF($A202="","",VLOOKUP($A202&amp;"-"&amp;$B202,'Order Summary'!$D:$U,3,FALSE))</f>
        <v>45888</v>
      </c>
      <c r="E202" s="55" t="str">
        <f>VLOOKUP(A202&amp;"-"&amp;B202,'Order Summary'!$D:$G,4,FALSE)</f>
        <v>Yes</v>
      </c>
      <c r="F202" s="55" t="str">
        <f>VLOOKUP($A202,'Order Summary'!$B:$I,8,FALSE)</f>
        <v>Granger, IN</v>
      </c>
      <c r="G202" s="216">
        <f>IF($A202="","",VLOOKUP($A202&amp;"-"&amp;$B202,'Order Summary'!$D:$U,18,FALSE))</f>
        <v>46015</v>
      </c>
      <c r="H202" s="55">
        <v>5</v>
      </c>
      <c r="I202" s="55">
        <v>694442</v>
      </c>
      <c r="J202" s="55" t="str">
        <f>VLOOKUP($I202,'Old Pricing - end 26-Jan-2026'!$A:$R,2,FALSE)</f>
        <v>G1S 694442</v>
      </c>
      <c r="K202" s="55" t="str">
        <f>VLOOKUP($I202,'Old Pricing - end 26-Jan-2026'!$A:$R,6,FALSE)&amp;" "&amp;VLOOKUP($I202,'Old Pricing - end 26-Jan-2026'!$A:$R,7,FALSE)&amp;""" x "&amp;VLOOKUP($I202,'Old Pricing - end 26-Jan-2026'!$A:$R,9,FALSE)&amp;""" "&amp;VLOOKUP($I202,'Old Pricing - end 26-Jan-2026'!$A:$R,5,FALSE)</f>
        <v>2MM 49" x 144" ACP</v>
      </c>
      <c r="L202" s="55">
        <f>VLOOKUP($I202,'Old Pricing - end 26-Jan-2026'!$A:$K,8,FALSE)</f>
        <v>1245</v>
      </c>
      <c r="M202" s="55">
        <f>VLOOKUP($I202,'Old Pricing - end 26-Jan-2026'!$A:$K,10,FALSE)</f>
        <v>3658</v>
      </c>
      <c r="N202" s="55" t="str">
        <f>VLOOKUP($I202,'Old Pricing - end 26-Jan-2026'!$A:$R,13,FALSE)&amp;" "&amp;VLOOKUP($I202,'Old Pricing - end 26-Jan-2026'!$A:$R,12,FALSE)</f>
        <v>AMC 0103 SILVER FROST</v>
      </c>
      <c r="O202" s="56">
        <v>9.8000000000000007</v>
      </c>
      <c r="P202" s="55">
        <f>(VLOOKUP($I202,'Old Pricing - end 26-Jan-2026'!$A:$R,8,FALSE)/1000)*(VLOOKUP($I202,'Old Pricing - end 26-Jan-2026'!$A:$R,10,FALSE)/1000)*Q202</f>
        <v>910.8420000000001</v>
      </c>
      <c r="Q202" s="55">
        <f>ROUND(('Order Details'!$O202*1000)/((VLOOKUP($I202,'Old Pricing - end 26-Jan-2026'!$A:$Q,7,FALSE)/12)*(VLOOKUP($I202,'Old Pricing - end 26-Jan-2026'!$A:$Q,9,FALSE)/12))/5,0)*5</f>
        <v>200</v>
      </c>
      <c r="R202" s="71">
        <f>$Q202/IFERROR(VLOOKUP($F202&amp;RIGHT($K202,8),'Master Data'!$O$5:$P$10,2,FALSE),'Master Data'!$P$4)</f>
        <v>1</v>
      </c>
      <c r="S202" s="57">
        <f>VLOOKUP($I202,'Old Pricing - end 26-Jan-2026'!$A:$Q,16,FALSE)</f>
        <v>700</v>
      </c>
      <c r="T202" s="57">
        <f>VLOOKUP(I202,'Old Pricing - end 26-Jan-2026'!$A:$O,15,FALSE)</f>
        <v>7.53</v>
      </c>
      <c r="U202" s="57">
        <f t="shared" si="11"/>
        <v>6860.0000000000009</v>
      </c>
      <c r="V202" s="111">
        <f t="shared" si="12"/>
        <v>6858.640260000001</v>
      </c>
      <c r="W202" s="55">
        <f>VLOOKUP($I202,'Old Pricing - end 26-Jan-2026'!$A:$R,18,FALSE)</f>
        <v>90</v>
      </c>
    </row>
    <row r="203" spans="1:23" ht="15" hidden="1" thickTop="1" x14ac:dyDescent="0.3">
      <c r="A203" s="55">
        <v>24034229</v>
      </c>
      <c r="B203" s="55">
        <v>0</v>
      </c>
      <c r="C203" s="55" t="str">
        <f>VLOOKUP(A203&amp;"-"&amp;B203,'Order Summary'!$D:$E,2,FALSE)</f>
        <v>Telex / Seaway Released</v>
      </c>
      <c r="D203" s="216">
        <f>IF($A203="","",VLOOKUP($A203&amp;"-"&amp;$B203,'Order Summary'!$D:$U,3,FALSE))</f>
        <v>45888</v>
      </c>
      <c r="E203" s="55" t="str">
        <f>VLOOKUP(A203&amp;"-"&amp;B203,'Order Summary'!$D:$G,4,FALSE)</f>
        <v>Yes</v>
      </c>
      <c r="F203" s="55" t="str">
        <f>VLOOKUP($A203,'Order Summary'!$B:$I,8,FALSE)</f>
        <v>Granger, IN</v>
      </c>
      <c r="G203" s="216">
        <f>IF($A203="","",VLOOKUP($A203&amp;"-"&amp;$B203,'Order Summary'!$D:$U,18,FALSE))</f>
        <v>46015</v>
      </c>
      <c r="H203" s="55">
        <v>6</v>
      </c>
      <c r="I203" s="55">
        <v>694445</v>
      </c>
      <c r="J203" s="55" t="str">
        <f>VLOOKUP($I203,'Old Pricing - end 26-Jan-2026'!$A:$R,2,FALSE)</f>
        <v>G1S 694445</v>
      </c>
      <c r="K203" s="55" t="str">
        <f>VLOOKUP($I203,'Old Pricing - end 26-Jan-2026'!$A:$R,6,FALSE)&amp;" "&amp;VLOOKUP($I203,'Old Pricing - end 26-Jan-2026'!$A:$R,7,FALSE)&amp;""" x "&amp;VLOOKUP($I203,'Old Pricing - end 26-Jan-2026'!$A:$R,9,FALSE)&amp;""" "&amp;VLOOKUP($I203,'Old Pricing - end 26-Jan-2026'!$A:$R,5,FALSE)</f>
        <v>2MM 49" x 108" ACP</v>
      </c>
      <c r="L203" s="55">
        <f>VLOOKUP($I203,'Old Pricing - end 26-Jan-2026'!$A:$K,8,FALSE)</f>
        <v>1245</v>
      </c>
      <c r="M203" s="55">
        <f>VLOOKUP($I203,'Old Pricing - end 26-Jan-2026'!$A:$K,10,FALSE)</f>
        <v>2745</v>
      </c>
      <c r="N203" s="55" t="str">
        <f>VLOOKUP($I203,'Old Pricing - end 26-Jan-2026'!$A:$R,13,FALSE)&amp;" "&amp;VLOOKUP($I203,'Old Pricing - end 26-Jan-2026'!$A:$R,12,FALSE)</f>
        <v>AMC 0086 CHARCOAL METALLIC</v>
      </c>
      <c r="O203" s="56">
        <v>7.35</v>
      </c>
      <c r="P203" s="55">
        <f>(VLOOKUP($I203,'Old Pricing - end 26-Jan-2026'!$A:$R,8,FALSE)/1000)*(VLOOKUP($I203,'Old Pricing - end 26-Jan-2026'!$A:$R,10,FALSE)/1000)*Q203</f>
        <v>683.50500000000011</v>
      </c>
      <c r="Q203" s="55">
        <f>ROUND(('Order Details'!$O203*1000)/((VLOOKUP($I203,'Old Pricing - end 26-Jan-2026'!$A:$Q,7,FALSE)/12)*(VLOOKUP($I203,'Old Pricing - end 26-Jan-2026'!$A:$Q,9,FALSE)/12))/5,0)*5</f>
        <v>200</v>
      </c>
      <c r="R203" s="71">
        <f>$Q203/IFERROR(VLOOKUP($F203&amp;RIGHT($K203,8),'Master Data'!$O$5:$P$10,2,FALSE),'Master Data'!$P$4)</f>
        <v>1</v>
      </c>
      <c r="S203" s="57">
        <f>VLOOKUP($I203,'Old Pricing - end 26-Jan-2026'!$A:$Q,16,FALSE)</f>
        <v>750</v>
      </c>
      <c r="T203" s="57">
        <f>VLOOKUP(I203,'Old Pricing - end 26-Jan-2026'!$A:$O,15,FALSE)</f>
        <v>8.07</v>
      </c>
      <c r="U203" s="57">
        <f t="shared" si="11"/>
        <v>5512.5</v>
      </c>
      <c r="V203" s="111">
        <f t="shared" si="12"/>
        <v>5515.8853500000014</v>
      </c>
      <c r="W203" s="55">
        <f>VLOOKUP($I203,'Old Pricing - end 26-Jan-2026'!$A:$R,18,FALSE)</f>
        <v>45</v>
      </c>
    </row>
    <row r="204" spans="1:23" ht="15" hidden="1" thickTop="1" x14ac:dyDescent="0.3">
      <c r="A204" s="55">
        <v>24034229</v>
      </c>
      <c r="B204" s="55">
        <v>0</v>
      </c>
      <c r="C204" s="55" t="str">
        <f>VLOOKUP(A204&amp;"-"&amp;B204,'Order Summary'!$D:$E,2,FALSE)</f>
        <v>Telex / Seaway Released</v>
      </c>
      <c r="D204" s="216">
        <f>IF($A204="","",VLOOKUP($A204&amp;"-"&amp;$B204,'Order Summary'!$D:$U,3,FALSE))</f>
        <v>45888</v>
      </c>
      <c r="E204" s="55" t="str">
        <f>VLOOKUP(A204&amp;"-"&amp;B204,'Order Summary'!$D:$G,4,FALSE)</f>
        <v>Yes</v>
      </c>
      <c r="F204" s="55" t="str">
        <f>VLOOKUP($A204,'Order Summary'!$B:$I,8,FALSE)</f>
        <v>Granger, IN</v>
      </c>
      <c r="G204" s="216">
        <f>IF($A204="","",VLOOKUP($A204&amp;"-"&amp;$B204,'Order Summary'!$D:$U,18,FALSE))</f>
        <v>46015</v>
      </c>
      <c r="H204" s="55">
        <v>7</v>
      </c>
      <c r="I204" s="55">
        <v>694446</v>
      </c>
      <c r="J204" s="55" t="str">
        <f>VLOOKUP($I204,'Old Pricing - end 26-Jan-2026'!$A:$R,2,FALSE)</f>
        <v>G1S 694446</v>
      </c>
      <c r="K204" s="55" t="str">
        <f>VLOOKUP($I204,'Old Pricing - end 26-Jan-2026'!$A:$R,6,FALSE)&amp;" "&amp;VLOOKUP($I204,'Old Pricing - end 26-Jan-2026'!$A:$R,7,FALSE)&amp;""" x "&amp;VLOOKUP($I204,'Old Pricing - end 26-Jan-2026'!$A:$R,9,FALSE)&amp;""" "&amp;VLOOKUP($I204,'Old Pricing - end 26-Jan-2026'!$A:$R,5,FALSE)</f>
        <v>2MM 49" x 144" ACP</v>
      </c>
      <c r="L204" s="55">
        <f>VLOOKUP($I204,'Old Pricing - end 26-Jan-2026'!$A:$K,8,FALSE)</f>
        <v>1245</v>
      </c>
      <c r="M204" s="55">
        <f>VLOOKUP($I204,'Old Pricing - end 26-Jan-2026'!$A:$K,10,FALSE)</f>
        <v>3658</v>
      </c>
      <c r="N204" s="55" t="str">
        <f>VLOOKUP($I204,'Old Pricing - end 26-Jan-2026'!$A:$R,13,FALSE)&amp;" "&amp;VLOOKUP($I204,'Old Pricing - end 26-Jan-2026'!$A:$R,12,FALSE)</f>
        <v>AMC 0086 CHARCOAL METALLIC</v>
      </c>
      <c r="O204" s="56">
        <v>9.8000000000000007</v>
      </c>
      <c r="P204" s="55">
        <f>(VLOOKUP($I204,'Old Pricing - end 26-Jan-2026'!$A:$R,8,FALSE)/1000)*(VLOOKUP($I204,'Old Pricing - end 26-Jan-2026'!$A:$R,10,FALSE)/1000)*Q204</f>
        <v>910.8420000000001</v>
      </c>
      <c r="Q204" s="55">
        <f>ROUND(('Order Details'!$O204*1000)/((VLOOKUP($I204,'Old Pricing - end 26-Jan-2026'!$A:$Q,7,FALSE)/12)*(VLOOKUP($I204,'Old Pricing - end 26-Jan-2026'!$A:$Q,9,FALSE)/12))/5,0)*5</f>
        <v>200</v>
      </c>
      <c r="R204" s="71">
        <f>$Q204/IFERROR(VLOOKUP($F204&amp;RIGHT($K204,8),'Master Data'!$O$5:$P$10,2,FALSE),'Master Data'!$P$4)</f>
        <v>1</v>
      </c>
      <c r="S204" s="57">
        <f>VLOOKUP($I204,'Old Pricing - end 26-Jan-2026'!$A:$Q,16,FALSE)</f>
        <v>750</v>
      </c>
      <c r="T204" s="57">
        <f>VLOOKUP(I204,'Old Pricing - end 26-Jan-2026'!$A:$O,15,FALSE)</f>
        <v>8.07</v>
      </c>
      <c r="U204" s="57">
        <f t="shared" si="11"/>
        <v>7350.0000000000009</v>
      </c>
      <c r="V204" s="111">
        <f t="shared" si="12"/>
        <v>7350.4949400000014</v>
      </c>
      <c r="W204" s="55">
        <f>VLOOKUP($I204,'Old Pricing - end 26-Jan-2026'!$A:$R,18,FALSE)</f>
        <v>45</v>
      </c>
    </row>
    <row r="205" spans="1:23" ht="15" hidden="1" thickTop="1" x14ac:dyDescent="0.3">
      <c r="A205" s="55">
        <v>24045976</v>
      </c>
      <c r="B205" s="55">
        <v>0</v>
      </c>
      <c r="C205" s="55" t="str">
        <f>VLOOKUP(A205&amp;"-"&amp;B205,'Order Summary'!$D:$E,2,FALSE)</f>
        <v>PO Revised</v>
      </c>
      <c r="D205" s="216">
        <f>IF($A205="","",VLOOKUP($A205&amp;"-"&amp;$B205,'Order Summary'!$D:$U,3,FALSE))</f>
        <v>45888</v>
      </c>
      <c r="E205" s="55" t="str">
        <f>VLOOKUP(A205&amp;"-"&amp;B205,'Order Summary'!$D:$G,4,FALSE)</f>
        <v>No</v>
      </c>
      <c r="F205" s="55" t="str">
        <f>VLOOKUP($A205,'Order Summary'!$B:$I,8,FALSE)</f>
        <v>Ashburn, GA</v>
      </c>
      <c r="G205" s="216">
        <f>IF($A205="","",VLOOKUP($A205&amp;"-"&amp;$B205,'Order Summary'!$D:$U,18,FALSE))</f>
        <v>0</v>
      </c>
      <c r="H205" s="55">
        <v>1</v>
      </c>
      <c r="I205" s="55">
        <v>694432</v>
      </c>
      <c r="J205" s="55" t="str">
        <f>VLOOKUP($I205,'Old Pricing - end 26-Jan-2026'!$A:$R,2,FALSE)</f>
        <v>G1S 694432</v>
      </c>
      <c r="K205" s="55" t="str">
        <f>VLOOKUP($I205,'Old Pricing - end 26-Jan-2026'!$A:$R,6,FALSE)&amp;" "&amp;VLOOKUP($I205,'Old Pricing - end 26-Jan-2026'!$A:$R,7,FALSE)&amp;""" x "&amp;VLOOKUP($I205,'Old Pricing - end 26-Jan-2026'!$A:$R,9,FALSE)&amp;""" "&amp;VLOOKUP($I205,'Old Pricing - end 26-Jan-2026'!$A:$R,5,FALSE)</f>
        <v>2MM 49" x 96" ACP</v>
      </c>
      <c r="L205" s="55">
        <f>VLOOKUP($I205,'Old Pricing - end 26-Jan-2026'!$A:$K,8,FALSE)</f>
        <v>1245</v>
      </c>
      <c r="M205" s="55">
        <f>VLOOKUP($I205,'Old Pricing - end 26-Jan-2026'!$A:$K,10,FALSE)</f>
        <v>2440</v>
      </c>
      <c r="N205" s="55" t="str">
        <f>VLOOKUP($I205,'Old Pricing - end 26-Jan-2026'!$A:$R,13,FALSE)&amp;" "&amp;VLOOKUP($I205,'Old Pricing - end 26-Jan-2026'!$A:$R,12,FALSE)</f>
        <v>ASC 0096 GLOSSY BLACK</v>
      </c>
      <c r="O205" s="56">
        <v>65.332999999999998</v>
      </c>
      <c r="P205" s="55">
        <f>(VLOOKUP($I205,'Old Pricing - end 26-Jan-2026'!$A:$R,8,FALSE)/1000)*(VLOOKUP($I205,'Old Pricing - end 26-Jan-2026'!$A:$R,10,FALSE)/1000)*Q205</f>
        <v>6075.6</v>
      </c>
      <c r="Q205" s="55">
        <f>ROUND(('Order Details'!$O205*1000)/((VLOOKUP($I205,'Old Pricing - end 26-Jan-2026'!$A:$Q,7,FALSE)/12)*(VLOOKUP($I205,'Old Pricing - end 26-Jan-2026'!$A:$Q,9,FALSE)/12))/5,0)*5</f>
        <v>2000</v>
      </c>
      <c r="R205" s="71">
        <f>$Q205/IFERROR(VLOOKUP($F205&amp;RIGHT($K205,8),'Master Data'!$O$5:$P$10,2,FALSE),'Master Data'!$P$4)</f>
        <v>10</v>
      </c>
      <c r="S205" s="57">
        <f>VLOOKUP($I205,'Old Pricing - end 26-Jan-2026'!$A:$Q,16,FALSE)</f>
        <v>700</v>
      </c>
      <c r="T205" s="57">
        <f>VLOOKUP(I205,'Old Pricing - end 26-Jan-2026'!$A:$O,15,FALSE)</f>
        <v>7.53</v>
      </c>
      <c r="U205" s="57">
        <f t="shared" si="11"/>
        <v>45733.1</v>
      </c>
      <c r="V205" s="111">
        <f t="shared" si="12"/>
        <v>45749.268000000004</v>
      </c>
      <c r="W205" s="55">
        <f>VLOOKUP($I205,'Old Pricing - end 26-Jan-2026'!$A:$R,18,FALSE)</f>
        <v>45</v>
      </c>
    </row>
    <row r="206" spans="1:23" ht="15" hidden="1" thickTop="1" x14ac:dyDescent="0.3">
      <c r="A206" s="55">
        <v>24045976</v>
      </c>
      <c r="B206" s="55">
        <v>0</v>
      </c>
      <c r="C206" s="55" t="str">
        <f>VLOOKUP(A206&amp;"-"&amp;B206,'Order Summary'!$D:$E,2,FALSE)</f>
        <v>PO Revised</v>
      </c>
      <c r="D206" s="216">
        <f>IF($A206="","",VLOOKUP($A206&amp;"-"&amp;$B206,'Order Summary'!$D:$U,3,FALSE))</f>
        <v>45888</v>
      </c>
      <c r="E206" s="55" t="str">
        <f>VLOOKUP(A206&amp;"-"&amp;B206,'Order Summary'!$D:$G,4,FALSE)</f>
        <v>No</v>
      </c>
      <c r="F206" s="55" t="str">
        <f>VLOOKUP($A206,'Order Summary'!$B:$I,8,FALSE)</f>
        <v>Ashburn, GA</v>
      </c>
      <c r="G206" s="216">
        <f>IF($A206="","",VLOOKUP($A206&amp;"-"&amp;$B206,'Order Summary'!$D:$U,18,FALSE))</f>
        <v>0</v>
      </c>
      <c r="H206" s="55">
        <v>2</v>
      </c>
      <c r="I206" s="55">
        <v>694433</v>
      </c>
      <c r="J206" s="55" t="str">
        <f>VLOOKUP($I206,'Old Pricing - end 26-Jan-2026'!$A:$R,2,FALSE)</f>
        <v>G1S 694433</v>
      </c>
      <c r="K206" s="55" t="str">
        <f>VLOOKUP($I206,'Old Pricing - end 26-Jan-2026'!$A:$R,6,FALSE)&amp;" "&amp;VLOOKUP($I206,'Old Pricing - end 26-Jan-2026'!$A:$R,7,FALSE)&amp;""" x "&amp;VLOOKUP($I206,'Old Pricing - end 26-Jan-2026'!$A:$R,9,FALSE)&amp;""" "&amp;VLOOKUP($I206,'Old Pricing - end 26-Jan-2026'!$A:$R,5,FALSE)</f>
        <v>2MM 49" x 108" ACP</v>
      </c>
      <c r="L206" s="55">
        <f>VLOOKUP($I206,'Old Pricing - end 26-Jan-2026'!$A:$K,8,FALSE)</f>
        <v>1245</v>
      </c>
      <c r="M206" s="55">
        <f>VLOOKUP($I206,'Old Pricing - end 26-Jan-2026'!$A:$K,10,FALSE)</f>
        <v>2745</v>
      </c>
      <c r="N206" s="55" t="str">
        <f>VLOOKUP($I206,'Old Pricing - end 26-Jan-2026'!$A:$R,13,FALSE)&amp;" "&amp;VLOOKUP($I206,'Old Pricing - end 26-Jan-2026'!$A:$R,12,FALSE)</f>
        <v>ASC 0096 GLOSSY BLACK</v>
      </c>
      <c r="O206" s="56">
        <v>22.05</v>
      </c>
      <c r="P206" s="55">
        <f>(VLOOKUP($I206,'Old Pricing - end 26-Jan-2026'!$A:$R,8,FALSE)/1000)*(VLOOKUP($I206,'Old Pricing - end 26-Jan-2026'!$A:$R,10,FALSE)/1000)*Q206</f>
        <v>2050.5150000000003</v>
      </c>
      <c r="Q206" s="55">
        <f>ROUND(('Order Details'!$O206*1000)/((VLOOKUP($I206,'Old Pricing - end 26-Jan-2026'!$A:$Q,7,FALSE)/12)*(VLOOKUP($I206,'Old Pricing - end 26-Jan-2026'!$A:$Q,9,FALSE)/12))/5,0)*5</f>
        <v>600</v>
      </c>
      <c r="R206" s="71">
        <f>$Q206/IFERROR(VLOOKUP($F206&amp;RIGHT($K206,8),'Master Data'!$O$5:$P$10,2,FALSE),'Master Data'!$P$4)</f>
        <v>3</v>
      </c>
      <c r="S206" s="57">
        <f>VLOOKUP($I206,'Old Pricing - end 26-Jan-2026'!$A:$Q,16,FALSE)</f>
        <v>700</v>
      </c>
      <c r="T206" s="57">
        <f>VLOOKUP(I206,'Old Pricing - end 26-Jan-2026'!$A:$O,15,FALSE)</f>
        <v>7.53</v>
      </c>
      <c r="U206" s="57">
        <f t="shared" si="11"/>
        <v>15435</v>
      </c>
      <c r="V206" s="111">
        <f t="shared" si="12"/>
        <v>15440.377950000004</v>
      </c>
      <c r="W206" s="55">
        <f>VLOOKUP($I206,'Old Pricing - end 26-Jan-2026'!$A:$R,18,FALSE)</f>
        <v>45</v>
      </c>
    </row>
    <row r="207" spans="1:23" ht="15" hidden="1" thickTop="1" x14ac:dyDescent="0.3">
      <c r="A207" s="55">
        <v>24045976</v>
      </c>
      <c r="B207" s="55">
        <v>1</v>
      </c>
      <c r="C207" s="55" t="str">
        <f>VLOOKUP(A207&amp;"-"&amp;B207,'Order Summary'!$D:$E,2,FALSE)</f>
        <v>Telex / Seaway Released</v>
      </c>
      <c r="D207" s="216">
        <f>IF($A207="","",VLOOKUP($A207&amp;"-"&amp;$B207,'Order Summary'!$D:$U,3,FALSE))</f>
        <v>45888</v>
      </c>
      <c r="E207" s="55" t="str">
        <f>VLOOKUP(A207&amp;"-"&amp;B207,'Order Summary'!$D:$G,4,FALSE)</f>
        <v>Yes</v>
      </c>
      <c r="F207" s="55" t="str">
        <f>VLOOKUP($A207,'Order Summary'!$B:$I,8,FALSE)</f>
        <v>Ashburn, GA</v>
      </c>
      <c r="G207" s="216">
        <f>IF($A207="","",VLOOKUP($A207&amp;"-"&amp;$B207,'Order Summary'!$D:$U,18,FALSE))</f>
        <v>46032</v>
      </c>
      <c r="H207" s="55">
        <v>1</v>
      </c>
      <c r="I207" s="55">
        <v>694432</v>
      </c>
      <c r="J207" s="55" t="str">
        <f>VLOOKUP($I207,'Old Pricing - end 26-Jan-2026'!$A:$R,2,FALSE)</f>
        <v>G1S 694432</v>
      </c>
      <c r="K207" s="55" t="str">
        <f>VLOOKUP($I207,'Old Pricing - end 26-Jan-2026'!$A:$R,6,FALSE)&amp;" "&amp;VLOOKUP($I207,'Old Pricing - end 26-Jan-2026'!$A:$R,7,FALSE)&amp;""" x "&amp;VLOOKUP($I207,'Old Pricing - end 26-Jan-2026'!$A:$R,9,FALSE)&amp;""" "&amp;VLOOKUP($I207,'Old Pricing - end 26-Jan-2026'!$A:$R,5,FALSE)</f>
        <v>2MM 49" x 96" ACP</v>
      </c>
      <c r="L207" s="55">
        <f>VLOOKUP($I207,'Old Pricing - end 26-Jan-2026'!$A:$K,8,FALSE)</f>
        <v>1245</v>
      </c>
      <c r="M207" s="55">
        <f>VLOOKUP($I207,'Old Pricing - end 26-Jan-2026'!$A:$K,10,FALSE)</f>
        <v>2440</v>
      </c>
      <c r="N207" s="55" t="str">
        <f>VLOOKUP($I207,'Old Pricing - end 26-Jan-2026'!$A:$R,13,FALSE)&amp;" "&amp;VLOOKUP($I207,'Old Pricing - end 26-Jan-2026'!$A:$R,12,FALSE)</f>
        <v>ASC 0096 GLOSSY BLACK</v>
      </c>
      <c r="O207" s="56">
        <v>52.267000000000003</v>
      </c>
      <c r="P207" s="55">
        <f>(VLOOKUP($I207,'Old Pricing - end 26-Jan-2026'!$A:$R,8,FALSE)/1000)*(VLOOKUP($I207,'Old Pricing - end 26-Jan-2026'!$A:$R,10,FALSE)/1000)*Q207</f>
        <v>4860.4800000000005</v>
      </c>
      <c r="Q207" s="55">
        <f>ROUND(('Order Details'!$O207*1000)/((VLOOKUP($I207,'Old Pricing - end 26-Jan-2026'!$A:$Q,7,FALSE)/12)*(VLOOKUP($I207,'Old Pricing - end 26-Jan-2026'!$A:$Q,9,FALSE)/12))/5,0)*5</f>
        <v>1600</v>
      </c>
      <c r="R207" s="71">
        <f>$Q207/IFERROR(VLOOKUP($F207&amp;RIGHT($K207,8),'Master Data'!$O$5:$P$10,2,FALSE),'Master Data'!$P$4)</f>
        <v>8</v>
      </c>
      <c r="S207" s="57">
        <f>VLOOKUP($I207,'Old Pricing - end 26-Jan-2026'!$A:$Q,16,FALSE)</f>
        <v>700</v>
      </c>
      <c r="T207" s="57">
        <f>VLOOKUP(I207,'Old Pricing - end 26-Jan-2026'!$A:$O,15,FALSE)</f>
        <v>7.53</v>
      </c>
      <c r="U207" s="57">
        <f t="shared" si="11"/>
        <v>36586.9</v>
      </c>
      <c r="V207" s="111">
        <f t="shared" si="12"/>
        <v>36599.414400000001</v>
      </c>
      <c r="W207" s="55">
        <f>VLOOKUP($I207,'Old Pricing - end 26-Jan-2026'!$A:$R,18,FALSE)</f>
        <v>45</v>
      </c>
    </row>
    <row r="208" spans="1:23" ht="15" hidden="1" thickTop="1" x14ac:dyDescent="0.3">
      <c r="A208" s="55">
        <v>24045976</v>
      </c>
      <c r="B208" s="55">
        <v>1</v>
      </c>
      <c r="C208" s="55" t="str">
        <f>VLOOKUP(A208&amp;"-"&amp;B208,'Order Summary'!$D:$E,2,FALSE)</f>
        <v>Telex / Seaway Released</v>
      </c>
      <c r="D208" s="216">
        <f>IF($A208="","",VLOOKUP($A208&amp;"-"&amp;$B208,'Order Summary'!$D:$U,3,FALSE))</f>
        <v>45888</v>
      </c>
      <c r="E208" s="55" t="str">
        <f>VLOOKUP(A208&amp;"-"&amp;B208,'Order Summary'!$D:$G,4,FALSE)</f>
        <v>Yes</v>
      </c>
      <c r="F208" s="55" t="str">
        <f>VLOOKUP($A208,'Order Summary'!$B:$I,8,FALSE)</f>
        <v>Ashburn, GA</v>
      </c>
      <c r="G208" s="216">
        <f>IF($A208="","",VLOOKUP($A208&amp;"-"&amp;$B208,'Order Summary'!$D:$U,18,FALSE))</f>
        <v>46032</v>
      </c>
      <c r="H208" s="55">
        <v>2</v>
      </c>
      <c r="I208" s="55">
        <v>694433</v>
      </c>
      <c r="J208" s="55" t="str">
        <f>VLOOKUP($I208,'Old Pricing - end 26-Jan-2026'!$A:$R,2,FALSE)</f>
        <v>G1S 694433</v>
      </c>
      <c r="K208" s="55" t="str">
        <f>VLOOKUP($I208,'Old Pricing - end 26-Jan-2026'!$A:$R,6,FALSE)&amp;" "&amp;VLOOKUP($I208,'Old Pricing - end 26-Jan-2026'!$A:$R,7,FALSE)&amp;""" x "&amp;VLOOKUP($I208,'Old Pricing - end 26-Jan-2026'!$A:$R,9,FALSE)&amp;""" "&amp;VLOOKUP($I208,'Old Pricing - end 26-Jan-2026'!$A:$R,5,FALSE)</f>
        <v>2MM 49" x 108" ACP</v>
      </c>
      <c r="L208" s="55">
        <f>VLOOKUP($I208,'Old Pricing - end 26-Jan-2026'!$A:$K,8,FALSE)</f>
        <v>1245</v>
      </c>
      <c r="M208" s="55">
        <f>VLOOKUP($I208,'Old Pricing - end 26-Jan-2026'!$A:$K,10,FALSE)</f>
        <v>2745</v>
      </c>
      <c r="N208" s="55" t="str">
        <f>VLOOKUP($I208,'Old Pricing - end 26-Jan-2026'!$A:$R,13,FALSE)&amp;" "&amp;VLOOKUP($I208,'Old Pricing - end 26-Jan-2026'!$A:$R,12,FALSE)</f>
        <v>ASC 0096 GLOSSY BLACK</v>
      </c>
      <c r="O208" s="56">
        <v>29.4</v>
      </c>
      <c r="P208" s="55">
        <f>(VLOOKUP($I208,'Old Pricing - end 26-Jan-2026'!$A:$R,8,FALSE)/1000)*(VLOOKUP($I208,'Old Pricing - end 26-Jan-2026'!$A:$R,10,FALSE)/1000)*Q208</f>
        <v>2734.0200000000004</v>
      </c>
      <c r="Q208" s="55">
        <f>ROUND(('Order Details'!$O208*1000)/((VLOOKUP($I208,'Old Pricing - end 26-Jan-2026'!$A:$Q,7,FALSE)/12)*(VLOOKUP($I208,'Old Pricing - end 26-Jan-2026'!$A:$Q,9,FALSE)/12))/5,0)*5</f>
        <v>800</v>
      </c>
      <c r="R208" s="71">
        <f>$Q208/IFERROR(VLOOKUP($F208&amp;RIGHT($K208,8),'Master Data'!$O$5:$P$10,2,FALSE),'Master Data'!$P$4)</f>
        <v>4</v>
      </c>
      <c r="S208" s="57">
        <f>VLOOKUP($I208,'Old Pricing - end 26-Jan-2026'!$A:$Q,16,FALSE)</f>
        <v>700</v>
      </c>
      <c r="T208" s="57">
        <f>VLOOKUP(I208,'Old Pricing - end 26-Jan-2026'!$A:$O,15,FALSE)</f>
        <v>7.53</v>
      </c>
      <c r="U208" s="57">
        <f t="shared" si="11"/>
        <v>20580</v>
      </c>
      <c r="V208" s="111">
        <f t="shared" si="12"/>
        <v>20587.170600000005</v>
      </c>
      <c r="W208" s="55">
        <f>VLOOKUP($I208,'Old Pricing - end 26-Jan-2026'!$A:$R,18,FALSE)</f>
        <v>45</v>
      </c>
    </row>
    <row r="209" spans="1:23" ht="15" hidden="1" thickTop="1" x14ac:dyDescent="0.3">
      <c r="A209" s="55">
        <v>24045976</v>
      </c>
      <c r="B209" s="55">
        <v>1</v>
      </c>
      <c r="C209" s="55" t="str">
        <f>VLOOKUP(A209&amp;"-"&amp;B209,'Order Summary'!$D:$E,2,FALSE)</f>
        <v>Telex / Seaway Released</v>
      </c>
      <c r="D209" s="216">
        <f>IF($A209="","",VLOOKUP($A209&amp;"-"&amp;$B209,'Order Summary'!$D:$U,3,FALSE))</f>
        <v>45888</v>
      </c>
      <c r="E209" s="55" t="str">
        <f>VLOOKUP(A209&amp;"-"&amp;B209,'Order Summary'!$D:$G,4,FALSE)</f>
        <v>Yes</v>
      </c>
      <c r="F209" s="55" t="str">
        <f>VLOOKUP($A209,'Order Summary'!$B:$I,8,FALSE)</f>
        <v>Ashburn, GA</v>
      </c>
      <c r="G209" s="216">
        <f>IF($A209="","",VLOOKUP($A209&amp;"-"&amp;$B209,'Order Summary'!$D:$U,18,FALSE))</f>
        <v>46032</v>
      </c>
      <c r="H209" s="55">
        <v>3</v>
      </c>
      <c r="I209" s="55">
        <v>694434</v>
      </c>
      <c r="J209" s="55" t="str">
        <f>VLOOKUP($I209,'Old Pricing - end 26-Jan-2026'!$A:$R,2,FALSE)</f>
        <v>G1S 694434</v>
      </c>
      <c r="K209" s="55" t="str">
        <f>VLOOKUP($I209,'Old Pricing - end 26-Jan-2026'!$A:$R,6,FALSE)&amp;" "&amp;VLOOKUP($I209,'Old Pricing - end 26-Jan-2026'!$A:$R,7,FALSE)&amp;""" x "&amp;VLOOKUP($I209,'Old Pricing - end 26-Jan-2026'!$A:$R,9,FALSE)&amp;""" "&amp;VLOOKUP($I209,'Old Pricing - end 26-Jan-2026'!$A:$R,5,FALSE)</f>
        <v>2MM 49" x 144" ACP</v>
      </c>
      <c r="L209" s="55">
        <f>VLOOKUP($I209,'Old Pricing - end 26-Jan-2026'!$A:$K,8,FALSE)</f>
        <v>1245</v>
      </c>
      <c r="M209" s="55">
        <f>VLOOKUP($I209,'Old Pricing - end 26-Jan-2026'!$A:$K,10,FALSE)</f>
        <v>3658</v>
      </c>
      <c r="N209" s="55" t="str">
        <f>VLOOKUP($I209,'Old Pricing - end 26-Jan-2026'!$A:$R,13,FALSE)&amp;" "&amp;VLOOKUP($I209,'Old Pricing - end 26-Jan-2026'!$A:$R,12,FALSE)</f>
        <v>ASC 0096 GLOSSY BLACK</v>
      </c>
      <c r="O209" s="56">
        <v>9.8000000000000007</v>
      </c>
      <c r="P209" s="55">
        <f>(VLOOKUP($I209,'Old Pricing - end 26-Jan-2026'!$A:$R,8,FALSE)/1000)*(VLOOKUP($I209,'Old Pricing - end 26-Jan-2026'!$A:$R,10,FALSE)/1000)*Q209</f>
        <v>910.8420000000001</v>
      </c>
      <c r="Q209" s="55">
        <f>ROUND(('Order Details'!$O209*1000)/((VLOOKUP($I209,'Old Pricing - end 26-Jan-2026'!$A:$Q,7,FALSE)/12)*(VLOOKUP($I209,'Old Pricing - end 26-Jan-2026'!$A:$Q,9,FALSE)/12))/5,0)*5</f>
        <v>200</v>
      </c>
      <c r="R209" s="71">
        <f>$Q209/IFERROR(VLOOKUP($F209&amp;RIGHT($K209,8),'Master Data'!$O$5:$P$10,2,FALSE),'Master Data'!$P$4)</f>
        <v>1</v>
      </c>
      <c r="S209" s="57">
        <f>VLOOKUP($I209,'Old Pricing - end 26-Jan-2026'!$A:$Q,16,FALSE)</f>
        <v>700</v>
      </c>
      <c r="T209" s="57">
        <f>VLOOKUP(I209,'Old Pricing - end 26-Jan-2026'!$A:$O,15,FALSE)</f>
        <v>7.53</v>
      </c>
      <c r="U209" s="57">
        <f t="shared" si="11"/>
        <v>6860.0000000000009</v>
      </c>
      <c r="V209" s="111">
        <f t="shared" si="12"/>
        <v>6858.640260000001</v>
      </c>
      <c r="W209" s="55">
        <f>VLOOKUP($I209,'Old Pricing - end 26-Jan-2026'!$A:$R,18,FALSE)</f>
        <v>45</v>
      </c>
    </row>
    <row r="210" spans="1:23" ht="15" hidden="1" thickTop="1" x14ac:dyDescent="0.3">
      <c r="A210" s="55">
        <v>24045978</v>
      </c>
      <c r="B210" s="55">
        <v>0</v>
      </c>
      <c r="C210" s="55" t="str">
        <f>VLOOKUP(A210&amp;"-"&amp;B210,'Order Summary'!$D:$E,2,FALSE)</f>
        <v>PO Revised</v>
      </c>
      <c r="D210" s="216">
        <f>IF($A210="","",VLOOKUP($A210&amp;"-"&amp;$B210,'Order Summary'!$D:$U,3,FALSE))</f>
        <v>45888</v>
      </c>
      <c r="E210" s="55" t="str">
        <f>VLOOKUP(A210&amp;"-"&amp;B210,'Order Summary'!$D:$G,4,FALSE)</f>
        <v>No</v>
      </c>
      <c r="F210" s="55" t="str">
        <f>VLOOKUP($A210,'Order Summary'!$B:$I,8,FALSE)</f>
        <v>Ashburn, GA</v>
      </c>
      <c r="G210" s="216" t="str">
        <f>IF($A210="","",VLOOKUP($A210&amp;"-"&amp;$B210,'Order Summary'!$D:$U,18,FALSE))</f>
        <v/>
      </c>
      <c r="H210" s="55">
        <v>1</v>
      </c>
      <c r="I210" s="55">
        <v>694436</v>
      </c>
      <c r="J210" s="55" t="str">
        <f>VLOOKUP($I210,'Old Pricing - end 26-Jan-2026'!$A:$R,2,FALSE)</f>
        <v>G1S 694436</v>
      </c>
      <c r="K210" s="55" t="str">
        <f>VLOOKUP($I210,'Old Pricing - end 26-Jan-2026'!$A:$R,6,FALSE)&amp;" "&amp;VLOOKUP($I210,'Old Pricing - end 26-Jan-2026'!$A:$R,7,FALSE)&amp;""" x "&amp;VLOOKUP($I210,'Old Pricing - end 26-Jan-2026'!$A:$R,9,FALSE)&amp;""" "&amp;VLOOKUP($I210,'Old Pricing - end 26-Jan-2026'!$A:$R,5,FALSE)</f>
        <v>2MM 49" x 96" ACP</v>
      </c>
      <c r="L210" s="55">
        <f>VLOOKUP($I210,'Old Pricing - end 26-Jan-2026'!$A:$K,8,FALSE)</f>
        <v>1245</v>
      </c>
      <c r="M210" s="55">
        <f>VLOOKUP($I210,'Old Pricing - end 26-Jan-2026'!$A:$K,10,FALSE)</f>
        <v>2440</v>
      </c>
      <c r="N210" s="55" t="str">
        <f>VLOOKUP($I210,'Old Pricing - end 26-Jan-2026'!$A:$R,13,FALSE)&amp;" "&amp;VLOOKUP($I210,'Old Pricing - end 26-Jan-2026'!$A:$R,12,FALSE)</f>
        <v>ASC 0069 GLOSSY WHITE</v>
      </c>
      <c r="O210" s="56">
        <v>65.332999999999998</v>
      </c>
      <c r="P210" s="55">
        <f>(VLOOKUP($I210,'Old Pricing - end 26-Jan-2026'!$A:$R,8,FALSE)/1000)*(VLOOKUP($I210,'Old Pricing - end 26-Jan-2026'!$A:$R,10,FALSE)/1000)*Q210</f>
        <v>6075.6</v>
      </c>
      <c r="Q210" s="55">
        <f>ROUND(('Order Details'!$O210*1000)/((VLOOKUP($I210,'Old Pricing - end 26-Jan-2026'!$A:$Q,7,FALSE)/12)*(VLOOKUP($I210,'Old Pricing - end 26-Jan-2026'!$A:$Q,9,FALSE)/12))/5,0)*5</f>
        <v>2000</v>
      </c>
      <c r="R210" s="71">
        <f>$Q210/IFERROR(VLOOKUP($F210&amp;RIGHT($K210,8),'Master Data'!$O$5:$P$10,2,FALSE),'Master Data'!$P$4)</f>
        <v>10</v>
      </c>
      <c r="S210" s="57">
        <f>VLOOKUP($I210,'Old Pricing - end 26-Jan-2026'!$A:$Q,16,FALSE)</f>
        <v>700</v>
      </c>
      <c r="T210" s="57">
        <f>VLOOKUP(I210,'Old Pricing - end 26-Jan-2026'!$A:$O,15,FALSE)</f>
        <v>7.53</v>
      </c>
      <c r="U210" s="57">
        <f t="shared" si="11"/>
        <v>45733.1</v>
      </c>
      <c r="V210" s="111">
        <f t="shared" si="12"/>
        <v>45749.268000000004</v>
      </c>
      <c r="W210" s="55">
        <f>VLOOKUP($I210,'Old Pricing - end 26-Jan-2026'!$A:$R,18,FALSE)</f>
        <v>45</v>
      </c>
    </row>
    <row r="211" spans="1:23" ht="15" hidden="1" thickTop="1" x14ac:dyDescent="0.3">
      <c r="A211" s="55">
        <v>24045978</v>
      </c>
      <c r="B211" s="55">
        <v>0</v>
      </c>
      <c r="C211" s="55" t="str">
        <f>VLOOKUP(A211&amp;"-"&amp;B211,'Order Summary'!$D:$E,2,FALSE)</f>
        <v>PO Revised</v>
      </c>
      <c r="D211" s="216">
        <f>IF($A211="","",VLOOKUP($A211&amp;"-"&amp;$B211,'Order Summary'!$D:$U,3,FALSE))</f>
        <v>45888</v>
      </c>
      <c r="E211" s="55" t="str">
        <f>VLOOKUP(A211&amp;"-"&amp;B211,'Order Summary'!$D:$G,4,FALSE)</f>
        <v>No</v>
      </c>
      <c r="F211" s="55" t="str">
        <f>VLOOKUP($A211,'Order Summary'!$B:$I,8,FALSE)</f>
        <v>Ashburn, GA</v>
      </c>
      <c r="G211" s="216" t="str">
        <f>IF($A211="","",VLOOKUP($A211&amp;"-"&amp;$B211,'Order Summary'!$D:$U,18,FALSE))</f>
        <v/>
      </c>
      <c r="H211" s="55">
        <v>2</v>
      </c>
      <c r="I211" s="124">
        <v>694437</v>
      </c>
      <c r="J211" s="55" t="str">
        <f>VLOOKUP($I211,'Old Pricing - end 26-Jan-2026'!$A:$R,2,FALSE)</f>
        <v>G1S 694437</v>
      </c>
      <c r="K211" s="55" t="str">
        <f>VLOOKUP($I211,'Old Pricing - end 26-Jan-2026'!$A:$R,6,FALSE)&amp;" "&amp;VLOOKUP($I211,'Old Pricing - end 26-Jan-2026'!$A:$R,7,FALSE)&amp;""" x "&amp;VLOOKUP($I211,'Old Pricing - end 26-Jan-2026'!$A:$R,9,FALSE)&amp;""" "&amp;VLOOKUP($I211,'Old Pricing - end 26-Jan-2026'!$A:$R,5,FALSE)</f>
        <v>2MM 49" x 108" ACP</v>
      </c>
      <c r="L211" s="55">
        <f>VLOOKUP($I211,'Old Pricing - end 26-Jan-2026'!$A:$K,8,FALSE)</f>
        <v>1245</v>
      </c>
      <c r="M211" s="55">
        <f>VLOOKUP($I211,'Old Pricing - end 26-Jan-2026'!$A:$K,10,FALSE)</f>
        <v>2745</v>
      </c>
      <c r="N211" s="55" t="str">
        <f>VLOOKUP($I211,'Old Pricing - end 26-Jan-2026'!$A:$R,13,FALSE)&amp;" "&amp;VLOOKUP($I211,'Old Pricing - end 26-Jan-2026'!$A:$R,12,FALSE)</f>
        <v>ASC 0069 GLOSSY WHITE</v>
      </c>
      <c r="O211" s="56">
        <v>22.05</v>
      </c>
      <c r="P211" s="55">
        <f>(VLOOKUP($I211,'Old Pricing - end 26-Jan-2026'!$A:$R,8,FALSE)/1000)*(VLOOKUP($I211,'Old Pricing - end 26-Jan-2026'!$A:$R,10,FALSE)/1000)*Q211</f>
        <v>2050.5150000000003</v>
      </c>
      <c r="Q211" s="55">
        <f>ROUND(('Order Details'!$O211*1000)/((VLOOKUP($I211,'Old Pricing - end 26-Jan-2026'!$A:$Q,7,FALSE)/12)*(VLOOKUP($I211,'Old Pricing - end 26-Jan-2026'!$A:$Q,9,FALSE)/12))/5,0)*5</f>
        <v>600</v>
      </c>
      <c r="R211" s="71">
        <f>$Q211/IFERROR(VLOOKUP($F211&amp;RIGHT($K211,8),'Master Data'!$O$5:$P$10,2,FALSE),'Master Data'!$P$4)</f>
        <v>3</v>
      </c>
      <c r="S211" s="57">
        <f>VLOOKUP($I211,'Old Pricing - end 26-Jan-2026'!$A:$Q,16,FALSE)</f>
        <v>700</v>
      </c>
      <c r="T211" s="57">
        <f>VLOOKUP(I211,'Old Pricing - end 26-Jan-2026'!$A:$O,15,FALSE)</f>
        <v>7.53</v>
      </c>
      <c r="U211" s="57">
        <f t="shared" si="11"/>
        <v>15435</v>
      </c>
      <c r="V211" s="111">
        <f t="shared" si="12"/>
        <v>15440.377950000004</v>
      </c>
      <c r="W211" s="55">
        <f>VLOOKUP($I211,'Old Pricing - end 26-Jan-2026'!$A:$R,18,FALSE)</f>
        <v>45</v>
      </c>
    </row>
    <row r="212" spans="1:23" ht="15" hidden="1" thickTop="1" x14ac:dyDescent="0.3">
      <c r="A212" s="55">
        <v>24045978</v>
      </c>
      <c r="B212" s="55">
        <v>1</v>
      </c>
      <c r="C212" s="55" t="str">
        <f>VLOOKUP(A212&amp;"-"&amp;B212,'Order Summary'!$D:$E,2,FALSE)</f>
        <v>Telex / Seaway Released</v>
      </c>
      <c r="D212" s="216">
        <f>IF($A212="","",VLOOKUP($A212&amp;"-"&amp;$B212,'Order Summary'!$D:$U,3,FALSE))</f>
        <v>45888</v>
      </c>
      <c r="E212" s="55" t="str">
        <f>VLOOKUP(A212&amp;"-"&amp;B212,'Order Summary'!$D:$G,4,FALSE)</f>
        <v>Yes</v>
      </c>
      <c r="F212" s="55" t="str">
        <f>VLOOKUP($A212,'Order Summary'!$B:$I,8,FALSE)</f>
        <v>Ashburn, GA</v>
      </c>
      <c r="G212" s="216">
        <f>IF($A212="","",VLOOKUP($A212&amp;"-"&amp;$B212,'Order Summary'!$D:$U,18,FALSE))</f>
        <v>45990</v>
      </c>
      <c r="H212" s="55">
        <v>1</v>
      </c>
      <c r="I212" s="55">
        <v>694436</v>
      </c>
      <c r="J212" s="55" t="str">
        <f>VLOOKUP($I212,'Old Pricing - end 26-Jan-2026'!$A:$R,2,FALSE)</f>
        <v>G1S 694436</v>
      </c>
      <c r="K212" s="55" t="str">
        <f>VLOOKUP($I212,'Old Pricing - end 26-Jan-2026'!$A:$R,6,FALSE)&amp;" "&amp;VLOOKUP($I212,'Old Pricing - end 26-Jan-2026'!$A:$R,7,FALSE)&amp;""" x "&amp;VLOOKUP($I212,'Old Pricing - end 26-Jan-2026'!$A:$R,9,FALSE)&amp;""" "&amp;VLOOKUP($I212,'Old Pricing - end 26-Jan-2026'!$A:$R,5,FALSE)</f>
        <v>2MM 49" x 96" ACP</v>
      </c>
      <c r="L212" s="55">
        <f>VLOOKUP($I212,'Old Pricing - end 26-Jan-2026'!$A:$K,8,FALSE)</f>
        <v>1245</v>
      </c>
      <c r="M212" s="55">
        <f>VLOOKUP($I212,'Old Pricing - end 26-Jan-2026'!$A:$K,10,FALSE)</f>
        <v>2440</v>
      </c>
      <c r="N212" s="55" t="str">
        <f>VLOOKUP($I212,'Old Pricing - end 26-Jan-2026'!$A:$R,13,FALSE)&amp;" "&amp;VLOOKUP($I212,'Old Pricing - end 26-Jan-2026'!$A:$R,12,FALSE)</f>
        <v>ASC 0069 GLOSSY WHITE</v>
      </c>
      <c r="O212" s="56">
        <v>52.267000000000003</v>
      </c>
      <c r="P212" s="55">
        <f>(VLOOKUP($I212,'Old Pricing - end 26-Jan-2026'!$A:$R,8,FALSE)/1000)*(VLOOKUP($I212,'Old Pricing - end 26-Jan-2026'!$A:$R,10,FALSE)/1000)*Q212</f>
        <v>4860.4800000000005</v>
      </c>
      <c r="Q212" s="55">
        <f>ROUND(('Order Details'!$O212*1000)/((VLOOKUP($I212,'Old Pricing - end 26-Jan-2026'!$A:$Q,7,FALSE)/12)*(VLOOKUP($I212,'Old Pricing - end 26-Jan-2026'!$A:$Q,9,FALSE)/12))/5,0)*5</f>
        <v>1600</v>
      </c>
      <c r="R212" s="71">
        <f>$Q212/IFERROR(VLOOKUP($F212&amp;RIGHT($K212,8),'Master Data'!$O$5:$P$10,2,FALSE),'Master Data'!$P$4)</f>
        <v>8</v>
      </c>
      <c r="S212" s="57">
        <f>VLOOKUP($I212,'Old Pricing - end 26-Jan-2026'!$A:$Q,16,FALSE)</f>
        <v>700</v>
      </c>
      <c r="T212" s="57">
        <f>VLOOKUP(I212,'Old Pricing - end 26-Jan-2026'!$A:$O,15,FALSE)</f>
        <v>7.53</v>
      </c>
      <c r="U212" s="57">
        <f t="shared" si="11"/>
        <v>36586.9</v>
      </c>
      <c r="V212" s="111">
        <f t="shared" si="12"/>
        <v>36599.414400000001</v>
      </c>
      <c r="W212" s="55">
        <f>VLOOKUP($I212,'Old Pricing - end 26-Jan-2026'!$A:$R,18,FALSE)</f>
        <v>45</v>
      </c>
    </row>
    <row r="213" spans="1:23" ht="15" hidden="1" thickTop="1" x14ac:dyDescent="0.3">
      <c r="A213" s="55">
        <v>24045978</v>
      </c>
      <c r="B213" s="55">
        <v>1</v>
      </c>
      <c r="C213" s="55" t="str">
        <f>VLOOKUP(A213&amp;"-"&amp;B213,'Order Summary'!$D:$E,2,FALSE)</f>
        <v>Telex / Seaway Released</v>
      </c>
      <c r="D213" s="216">
        <f>IF($A213="","",VLOOKUP($A213&amp;"-"&amp;$B213,'Order Summary'!$D:$U,3,FALSE))</f>
        <v>45888</v>
      </c>
      <c r="E213" s="55" t="str">
        <f>VLOOKUP(A213&amp;"-"&amp;B213,'Order Summary'!$D:$G,4,FALSE)</f>
        <v>Yes</v>
      </c>
      <c r="F213" s="55" t="str">
        <f>VLOOKUP($A213,'Order Summary'!$B:$I,8,FALSE)</f>
        <v>Ashburn, GA</v>
      </c>
      <c r="G213" s="216">
        <f>IF($A213="","",VLOOKUP($A213&amp;"-"&amp;$B213,'Order Summary'!$D:$U,18,FALSE))</f>
        <v>45990</v>
      </c>
      <c r="H213" s="55">
        <v>2</v>
      </c>
      <c r="I213" s="55">
        <v>694437</v>
      </c>
      <c r="J213" s="55" t="str">
        <f>VLOOKUP($I213,'Old Pricing - end 26-Jan-2026'!$A:$R,2,FALSE)</f>
        <v>G1S 694437</v>
      </c>
      <c r="K213" s="55" t="str">
        <f>VLOOKUP($I213,'Old Pricing - end 26-Jan-2026'!$A:$R,6,FALSE)&amp;" "&amp;VLOOKUP($I213,'Old Pricing - end 26-Jan-2026'!$A:$R,7,FALSE)&amp;""" x "&amp;VLOOKUP($I213,'Old Pricing - end 26-Jan-2026'!$A:$R,9,FALSE)&amp;""" "&amp;VLOOKUP($I213,'Old Pricing - end 26-Jan-2026'!$A:$R,5,FALSE)</f>
        <v>2MM 49" x 108" ACP</v>
      </c>
      <c r="L213" s="55">
        <f>VLOOKUP($I213,'Old Pricing - end 26-Jan-2026'!$A:$K,8,FALSE)</f>
        <v>1245</v>
      </c>
      <c r="M213" s="55">
        <f>VLOOKUP($I213,'Old Pricing - end 26-Jan-2026'!$A:$K,10,FALSE)</f>
        <v>2745</v>
      </c>
      <c r="N213" s="55" t="str">
        <f>VLOOKUP($I213,'Old Pricing - end 26-Jan-2026'!$A:$R,13,FALSE)&amp;" "&amp;VLOOKUP($I213,'Old Pricing - end 26-Jan-2026'!$A:$R,12,FALSE)</f>
        <v>ASC 0069 GLOSSY WHITE</v>
      </c>
      <c r="O213" s="56">
        <v>29.4</v>
      </c>
      <c r="P213" s="55">
        <f>(VLOOKUP($I213,'Old Pricing - end 26-Jan-2026'!$A:$R,8,FALSE)/1000)*(VLOOKUP($I213,'Old Pricing - end 26-Jan-2026'!$A:$R,10,FALSE)/1000)*Q213</f>
        <v>2734.0200000000004</v>
      </c>
      <c r="Q213" s="55">
        <f>ROUND(('Order Details'!$O213*1000)/((VLOOKUP($I213,'Old Pricing - end 26-Jan-2026'!$A:$Q,7,FALSE)/12)*(VLOOKUP($I213,'Old Pricing - end 26-Jan-2026'!$A:$Q,9,FALSE)/12))/5,0)*5</f>
        <v>800</v>
      </c>
      <c r="R213" s="71">
        <f>$Q213/IFERROR(VLOOKUP($F213&amp;RIGHT($K213,8),'Master Data'!$O$5:$P$10,2,FALSE),'Master Data'!$P$4)</f>
        <v>4</v>
      </c>
      <c r="S213" s="57">
        <f>VLOOKUP($I213,'Old Pricing - end 26-Jan-2026'!$A:$Q,16,FALSE)</f>
        <v>700</v>
      </c>
      <c r="T213" s="57">
        <f>VLOOKUP(I213,'Old Pricing - end 26-Jan-2026'!$A:$O,15,FALSE)</f>
        <v>7.53</v>
      </c>
      <c r="U213" s="57">
        <f t="shared" si="11"/>
        <v>20580</v>
      </c>
      <c r="V213" s="111">
        <f t="shared" si="12"/>
        <v>20587.170600000005</v>
      </c>
      <c r="W213" s="55">
        <f>VLOOKUP($I213,'Old Pricing - end 26-Jan-2026'!$A:$R,18,FALSE)</f>
        <v>45</v>
      </c>
    </row>
    <row r="214" spans="1:23" ht="15" hidden="1" thickTop="1" x14ac:dyDescent="0.3">
      <c r="A214" s="55">
        <v>24045978</v>
      </c>
      <c r="B214" s="55">
        <v>1</v>
      </c>
      <c r="C214" s="55" t="str">
        <f>VLOOKUP(A214&amp;"-"&amp;B214,'Order Summary'!$D:$E,2,FALSE)</f>
        <v>Telex / Seaway Released</v>
      </c>
      <c r="D214" s="216">
        <f>IF($A214="","",VLOOKUP($A214&amp;"-"&amp;$B214,'Order Summary'!$D:$U,3,FALSE))</f>
        <v>45888</v>
      </c>
      <c r="E214" s="55" t="str">
        <f>VLOOKUP(A214&amp;"-"&amp;B214,'Order Summary'!$D:$G,4,FALSE)</f>
        <v>Yes</v>
      </c>
      <c r="F214" s="55" t="str">
        <f>VLOOKUP($A214,'Order Summary'!$B:$I,8,FALSE)</f>
        <v>Ashburn, GA</v>
      </c>
      <c r="G214" s="216">
        <f>IF($A214="","",VLOOKUP($A214&amp;"-"&amp;$B214,'Order Summary'!$D:$U,18,FALSE))</f>
        <v>45990</v>
      </c>
      <c r="H214" s="55">
        <v>3</v>
      </c>
      <c r="I214" s="55">
        <v>694438</v>
      </c>
      <c r="J214" s="55" t="str">
        <f>VLOOKUP($I214,'Old Pricing - end 26-Jan-2026'!$A:$R,2,FALSE)</f>
        <v>G1S 694438</v>
      </c>
      <c r="K214" s="55" t="str">
        <f>VLOOKUP($I214,'Old Pricing - end 26-Jan-2026'!$A:$R,6,FALSE)&amp;" "&amp;VLOOKUP($I214,'Old Pricing - end 26-Jan-2026'!$A:$R,7,FALSE)&amp;""" x "&amp;VLOOKUP($I214,'Old Pricing - end 26-Jan-2026'!$A:$R,9,FALSE)&amp;""" "&amp;VLOOKUP($I214,'Old Pricing - end 26-Jan-2026'!$A:$R,5,FALSE)</f>
        <v>2MM 49" x 144" ACP</v>
      </c>
      <c r="L214" s="55">
        <f>VLOOKUP($I214,'Old Pricing - end 26-Jan-2026'!$A:$K,8,FALSE)</f>
        <v>1245</v>
      </c>
      <c r="M214" s="55">
        <f>VLOOKUP($I214,'Old Pricing - end 26-Jan-2026'!$A:$K,10,FALSE)</f>
        <v>3658</v>
      </c>
      <c r="N214" s="55" t="str">
        <f>VLOOKUP($I214,'Old Pricing - end 26-Jan-2026'!$A:$R,13,FALSE)&amp;" "&amp;VLOOKUP($I214,'Old Pricing - end 26-Jan-2026'!$A:$R,12,FALSE)</f>
        <v>ASC 0069 GLOSSY WHITE</v>
      </c>
      <c r="O214" s="56">
        <v>9.8000000000000007</v>
      </c>
      <c r="P214" s="55">
        <f>(VLOOKUP($I214,'Old Pricing - end 26-Jan-2026'!$A:$R,8,FALSE)/1000)*(VLOOKUP($I214,'Old Pricing - end 26-Jan-2026'!$A:$R,10,FALSE)/1000)*Q214</f>
        <v>910.8420000000001</v>
      </c>
      <c r="Q214" s="55">
        <f>ROUND(('Order Details'!$O214*1000)/((VLOOKUP($I214,'Old Pricing - end 26-Jan-2026'!$A:$Q,7,FALSE)/12)*(VLOOKUP($I214,'Old Pricing - end 26-Jan-2026'!$A:$Q,9,FALSE)/12))/5,0)*5</f>
        <v>200</v>
      </c>
      <c r="R214" s="71">
        <f>$Q214/IFERROR(VLOOKUP($F214&amp;RIGHT($K214,8),'Master Data'!$O$5:$P$10,2,FALSE),'Master Data'!$P$4)</f>
        <v>1</v>
      </c>
      <c r="S214" s="57">
        <f>VLOOKUP($I214,'Old Pricing - end 26-Jan-2026'!$A:$Q,16,FALSE)</f>
        <v>700</v>
      </c>
      <c r="T214" s="57">
        <f>VLOOKUP(I214,'Old Pricing - end 26-Jan-2026'!$A:$O,15,FALSE)</f>
        <v>7.53</v>
      </c>
      <c r="U214" s="57">
        <f t="shared" si="11"/>
        <v>6860.0000000000009</v>
      </c>
      <c r="V214" s="111">
        <f t="shared" si="12"/>
        <v>6858.640260000001</v>
      </c>
      <c r="W214" s="55">
        <f>VLOOKUP($I214,'Old Pricing - end 26-Jan-2026'!$A:$R,18,FALSE)</f>
        <v>45</v>
      </c>
    </row>
    <row r="215" spans="1:23" ht="15" hidden="1" thickTop="1" x14ac:dyDescent="0.3">
      <c r="A215" s="55">
        <v>24045980</v>
      </c>
      <c r="B215" s="55">
        <v>0</v>
      </c>
      <c r="C215" s="55" t="str">
        <f>VLOOKUP(A215&amp;"-"&amp;B215,'Order Summary'!$D:$E,2,FALSE)</f>
        <v>PO Revised</v>
      </c>
      <c r="D215" s="216">
        <f>IF($A215="","",VLOOKUP($A215&amp;"-"&amp;$B215,'Order Summary'!$D:$U,3,FALSE))</f>
        <v>45888</v>
      </c>
      <c r="E215" s="55" t="str">
        <f>VLOOKUP(A215&amp;"-"&amp;B215,'Order Summary'!$D:$G,4,FALSE)</f>
        <v>No</v>
      </c>
      <c r="F215" s="55" t="str">
        <f>VLOOKUP($A215,'Order Summary'!$B:$I,8,FALSE)</f>
        <v>Ashburn, GA</v>
      </c>
      <c r="G215" s="216" t="str">
        <f>IF($A215="","",VLOOKUP($A215&amp;"-"&amp;$B215,'Order Summary'!$D:$U,18,FALSE))</f>
        <v/>
      </c>
      <c r="H215" s="55">
        <v>1</v>
      </c>
      <c r="I215" s="55">
        <v>694440</v>
      </c>
      <c r="J215" s="55" t="str">
        <f>VLOOKUP($I215,'Old Pricing - end 26-Jan-2026'!$A:$R,2,FALSE)</f>
        <v>G1S 694440</v>
      </c>
      <c r="K215" s="55" t="str">
        <f>VLOOKUP($I215,'Old Pricing - end 26-Jan-2026'!$A:$R,6,FALSE)&amp;" "&amp;VLOOKUP($I215,'Old Pricing - end 26-Jan-2026'!$A:$R,7,FALSE)&amp;""" x "&amp;VLOOKUP($I215,'Old Pricing - end 26-Jan-2026'!$A:$R,9,FALSE)&amp;""" "&amp;VLOOKUP($I215,'Old Pricing - end 26-Jan-2026'!$A:$R,5,FALSE)</f>
        <v>2MM 49" x 96" ACP</v>
      </c>
      <c r="L215" s="55">
        <f>VLOOKUP($I215,'Old Pricing - end 26-Jan-2026'!$A:$K,8,FALSE)</f>
        <v>1245</v>
      </c>
      <c r="M215" s="55">
        <f>VLOOKUP($I215,'Old Pricing - end 26-Jan-2026'!$A:$K,10,FALSE)</f>
        <v>2440</v>
      </c>
      <c r="N215" s="55" t="str">
        <f>VLOOKUP($I215,'Old Pricing - end 26-Jan-2026'!$A:$R,13,FALSE)&amp;" "&amp;VLOOKUP($I215,'Old Pricing - end 26-Jan-2026'!$A:$R,12,FALSE)</f>
        <v>AMC 0103 SILVER FROST</v>
      </c>
      <c r="O215" s="56">
        <v>78.400000000000006</v>
      </c>
      <c r="P215" s="55">
        <f>(VLOOKUP($I215,'Old Pricing - end 26-Jan-2026'!$A:$R,8,FALSE)/1000)*(VLOOKUP($I215,'Old Pricing - end 26-Jan-2026'!$A:$R,10,FALSE)/1000)*Q215</f>
        <v>7290.72</v>
      </c>
      <c r="Q215" s="55">
        <f>ROUND(('Order Details'!$O215*1000)/((VLOOKUP($I215,'Old Pricing - end 26-Jan-2026'!$A:$Q,7,FALSE)/12)*(VLOOKUP($I215,'Old Pricing - end 26-Jan-2026'!$A:$Q,9,FALSE)/12))/5,0)*5</f>
        <v>2400</v>
      </c>
      <c r="R215" s="71">
        <f>$Q215/IFERROR(VLOOKUP($F215&amp;RIGHT($K215,8),'Master Data'!$O$5:$P$10,2,FALSE),'Master Data'!$P$4)</f>
        <v>12</v>
      </c>
      <c r="S215" s="57">
        <f>VLOOKUP($I215,'Old Pricing - end 26-Jan-2026'!$A:$Q,16,FALSE)</f>
        <v>700</v>
      </c>
      <c r="T215" s="57">
        <f>VLOOKUP(I215,'Old Pricing - end 26-Jan-2026'!$A:$O,15,FALSE)</f>
        <v>7.53</v>
      </c>
      <c r="U215" s="57">
        <f t="shared" si="11"/>
        <v>54880.000000000007</v>
      </c>
      <c r="V215" s="111">
        <f t="shared" si="12"/>
        <v>54899.121600000006</v>
      </c>
      <c r="W215" s="55">
        <f>VLOOKUP($I215,'Old Pricing - end 26-Jan-2026'!$A:$R,18,FALSE)</f>
        <v>90</v>
      </c>
    </row>
    <row r="216" spans="1:23" ht="15" hidden="1" thickTop="1" x14ac:dyDescent="0.3">
      <c r="A216" s="55">
        <v>24045980</v>
      </c>
      <c r="B216" s="55">
        <v>0</v>
      </c>
      <c r="C216" s="55" t="str">
        <f>VLOOKUP(A216&amp;"-"&amp;B216,'Order Summary'!$D:$E,2,FALSE)</f>
        <v>PO Revised</v>
      </c>
      <c r="D216" s="216">
        <f>IF($A216="","",VLOOKUP($A216&amp;"-"&amp;$B216,'Order Summary'!$D:$U,3,FALSE))</f>
        <v>45888</v>
      </c>
      <c r="E216" s="55" t="str">
        <f>VLOOKUP(A216&amp;"-"&amp;B216,'Order Summary'!$D:$G,4,FALSE)</f>
        <v>No</v>
      </c>
      <c r="F216" s="55" t="str">
        <f>VLOOKUP($A216,'Order Summary'!$B:$I,8,FALSE)</f>
        <v>Ashburn, GA</v>
      </c>
      <c r="G216" s="216" t="str">
        <f>IF($A216="","",VLOOKUP($A216&amp;"-"&amp;$B216,'Order Summary'!$D:$U,18,FALSE))</f>
        <v/>
      </c>
      <c r="H216" s="55">
        <v>2</v>
      </c>
      <c r="I216" s="55">
        <v>694441</v>
      </c>
      <c r="J216" s="55" t="str">
        <f>VLOOKUP($I216,'Old Pricing - end 26-Jan-2026'!$A:$R,2,FALSE)</f>
        <v>G1S 694441</v>
      </c>
      <c r="K216" s="55" t="str">
        <f>VLOOKUP($I216,'Old Pricing - end 26-Jan-2026'!$A:$R,6,FALSE)&amp;" "&amp;VLOOKUP($I216,'Old Pricing - end 26-Jan-2026'!$A:$R,7,FALSE)&amp;""" x "&amp;VLOOKUP($I216,'Old Pricing - end 26-Jan-2026'!$A:$R,9,FALSE)&amp;""" "&amp;VLOOKUP($I216,'Old Pricing - end 26-Jan-2026'!$A:$R,5,FALSE)</f>
        <v>2MM 49" x 108" ACP</v>
      </c>
      <c r="L216" s="55">
        <f>VLOOKUP($I216,'Old Pricing - end 26-Jan-2026'!$A:$K,8,FALSE)</f>
        <v>1245</v>
      </c>
      <c r="M216" s="55">
        <f>VLOOKUP($I216,'Old Pricing - end 26-Jan-2026'!$A:$K,10,FALSE)</f>
        <v>2745</v>
      </c>
      <c r="N216" s="55" t="str">
        <f>VLOOKUP($I216,'Old Pricing - end 26-Jan-2026'!$A:$R,13,FALSE)&amp;" "&amp;VLOOKUP($I216,'Old Pricing - end 26-Jan-2026'!$A:$R,12,FALSE)</f>
        <v>AMC 0103 SILVER FROST</v>
      </c>
      <c r="O216" s="56">
        <v>14.7</v>
      </c>
      <c r="P216" s="55">
        <f>(VLOOKUP($I216,'Old Pricing - end 26-Jan-2026'!$A:$R,8,FALSE)/1000)*(VLOOKUP($I216,'Old Pricing - end 26-Jan-2026'!$A:$R,10,FALSE)/1000)*Q216</f>
        <v>1367.0100000000002</v>
      </c>
      <c r="Q216" s="55">
        <f>ROUND(('Order Details'!$O216*1000)/((VLOOKUP($I216,'Old Pricing - end 26-Jan-2026'!$A:$Q,7,FALSE)/12)*(VLOOKUP($I216,'Old Pricing - end 26-Jan-2026'!$A:$Q,9,FALSE)/12))/5,0)*5</f>
        <v>400</v>
      </c>
      <c r="R216" s="71">
        <f>$Q216/IFERROR(VLOOKUP($F216&amp;RIGHT($K216,8),'Master Data'!$O$5:$P$10,2,FALSE),'Master Data'!$P$4)</f>
        <v>2</v>
      </c>
      <c r="S216" s="57">
        <f>VLOOKUP($I216,'Old Pricing - end 26-Jan-2026'!$A:$Q,16,FALSE)</f>
        <v>700</v>
      </c>
      <c r="T216" s="57">
        <f>VLOOKUP(I216,'Old Pricing - end 26-Jan-2026'!$A:$O,15,FALSE)</f>
        <v>7.53</v>
      </c>
      <c r="U216" s="57">
        <f t="shared" si="11"/>
        <v>10290</v>
      </c>
      <c r="V216" s="111">
        <f t="shared" si="12"/>
        <v>10293.585300000002</v>
      </c>
      <c r="W216" s="55">
        <f>VLOOKUP($I216,'Old Pricing - end 26-Jan-2026'!$A:$R,18,FALSE)</f>
        <v>90</v>
      </c>
    </row>
    <row r="217" spans="1:23" ht="15" hidden="1" thickTop="1" x14ac:dyDescent="0.3">
      <c r="A217" s="55">
        <v>24045980</v>
      </c>
      <c r="B217" s="55">
        <v>1</v>
      </c>
      <c r="C217" s="55" t="str">
        <f>VLOOKUP(A217&amp;"-"&amp;B217,'Order Summary'!$D:$E,2,FALSE)</f>
        <v>Telex / Seaway Released</v>
      </c>
      <c r="D217" s="216">
        <f>IF($A217="","",VLOOKUP($A217&amp;"-"&amp;$B217,'Order Summary'!$D:$U,3,FALSE))</f>
        <v>45888</v>
      </c>
      <c r="E217" s="55" t="str">
        <f>VLOOKUP(A217&amp;"-"&amp;B217,'Order Summary'!$D:$G,4,FALSE)</f>
        <v>Yes</v>
      </c>
      <c r="F217" s="55" t="str">
        <f>VLOOKUP($A217,'Order Summary'!$B:$I,8,FALSE)</f>
        <v>Ashburn, GA</v>
      </c>
      <c r="G217" s="216">
        <f>IF($A217="","",VLOOKUP($A217&amp;"-"&amp;$B217,'Order Summary'!$D:$U,18,FALSE))</f>
        <v>46018</v>
      </c>
      <c r="H217" s="55">
        <v>1</v>
      </c>
      <c r="I217" s="55">
        <v>694440</v>
      </c>
      <c r="J217" s="55" t="str">
        <f>VLOOKUP($I217,'Old Pricing - end 26-Jan-2026'!$A:$R,2,FALSE)</f>
        <v>G1S 694440</v>
      </c>
      <c r="K217" s="55" t="str">
        <f>VLOOKUP($I217,'Old Pricing - end 26-Jan-2026'!$A:$R,6,FALSE)&amp;" "&amp;VLOOKUP($I217,'Old Pricing - end 26-Jan-2026'!$A:$R,7,FALSE)&amp;""" x "&amp;VLOOKUP($I217,'Old Pricing - end 26-Jan-2026'!$A:$R,9,FALSE)&amp;""" "&amp;VLOOKUP($I217,'Old Pricing - end 26-Jan-2026'!$A:$R,5,FALSE)</f>
        <v>2MM 49" x 96" ACP</v>
      </c>
      <c r="L217" s="55">
        <f>VLOOKUP($I217,'Old Pricing - end 26-Jan-2026'!$A:$K,8,FALSE)</f>
        <v>1245</v>
      </c>
      <c r="M217" s="55">
        <f>VLOOKUP($I217,'Old Pricing - end 26-Jan-2026'!$A:$K,10,FALSE)</f>
        <v>2440</v>
      </c>
      <c r="N217" s="55" t="str">
        <f>VLOOKUP($I217,'Old Pricing - end 26-Jan-2026'!$A:$R,13,FALSE)&amp;" "&amp;VLOOKUP($I217,'Old Pricing - end 26-Jan-2026'!$A:$R,12,FALSE)</f>
        <v>AMC 0103 SILVER FROST</v>
      </c>
      <c r="O217" s="56">
        <v>52.267000000000003</v>
      </c>
      <c r="P217" s="55">
        <f>(VLOOKUP($I217,'Old Pricing - end 26-Jan-2026'!$A:$R,8,FALSE)/1000)*(VLOOKUP($I217,'Old Pricing - end 26-Jan-2026'!$A:$R,10,FALSE)/1000)*Q217</f>
        <v>4860.4800000000005</v>
      </c>
      <c r="Q217" s="55">
        <f>ROUND(('Order Details'!$O217*1000)/((VLOOKUP($I217,'Old Pricing - end 26-Jan-2026'!$A:$Q,7,FALSE)/12)*(VLOOKUP($I217,'Old Pricing - end 26-Jan-2026'!$A:$Q,9,FALSE)/12))/5,0)*5</f>
        <v>1600</v>
      </c>
      <c r="R217" s="71">
        <f>$Q217/IFERROR(VLOOKUP($F217&amp;RIGHT($K217,8),'Master Data'!$O$5:$P$10,2,FALSE),'Master Data'!$P$4)</f>
        <v>8</v>
      </c>
      <c r="S217" s="57">
        <f>VLOOKUP($I217,'Old Pricing - end 26-Jan-2026'!$A:$Q,16,FALSE)</f>
        <v>700</v>
      </c>
      <c r="T217" s="57">
        <f>VLOOKUP(I217,'Old Pricing - end 26-Jan-2026'!$A:$O,15,FALSE)</f>
        <v>7.53</v>
      </c>
      <c r="U217" s="57">
        <f t="shared" si="11"/>
        <v>36586.9</v>
      </c>
      <c r="V217" s="111">
        <f t="shared" si="12"/>
        <v>36599.414400000001</v>
      </c>
      <c r="W217" s="55">
        <f>VLOOKUP($I217,'Old Pricing - end 26-Jan-2026'!$A:$R,18,FALSE)</f>
        <v>90</v>
      </c>
    </row>
    <row r="218" spans="1:23" ht="15" hidden="1" thickTop="1" x14ac:dyDescent="0.3">
      <c r="A218" s="55">
        <v>24045980</v>
      </c>
      <c r="B218" s="55">
        <v>1</v>
      </c>
      <c r="C218" s="55" t="str">
        <f>VLOOKUP(A218&amp;"-"&amp;B218,'Order Summary'!$D:$E,2,FALSE)</f>
        <v>Telex / Seaway Released</v>
      </c>
      <c r="D218" s="216">
        <f>IF($A218="","",VLOOKUP($A218&amp;"-"&amp;$B218,'Order Summary'!$D:$U,3,FALSE))</f>
        <v>45888</v>
      </c>
      <c r="E218" s="55" t="str">
        <f>VLOOKUP(A218&amp;"-"&amp;B218,'Order Summary'!$D:$G,4,FALSE)</f>
        <v>Yes</v>
      </c>
      <c r="F218" s="55" t="str">
        <f>VLOOKUP($A218,'Order Summary'!$B:$I,8,FALSE)</f>
        <v>Ashburn, GA</v>
      </c>
      <c r="G218" s="216">
        <f>IF($A218="","",VLOOKUP($A218&amp;"-"&amp;$B218,'Order Summary'!$D:$U,18,FALSE))</f>
        <v>46018</v>
      </c>
      <c r="H218" s="55">
        <v>2</v>
      </c>
      <c r="I218" s="55">
        <v>694441</v>
      </c>
      <c r="J218" s="55" t="str">
        <f>VLOOKUP($I218,'Old Pricing - end 26-Jan-2026'!$A:$R,2,FALSE)</f>
        <v>G1S 694441</v>
      </c>
      <c r="K218" s="55" t="str">
        <f>VLOOKUP($I218,'Old Pricing - end 26-Jan-2026'!$A:$R,6,FALSE)&amp;" "&amp;VLOOKUP($I218,'Old Pricing - end 26-Jan-2026'!$A:$R,7,FALSE)&amp;""" x "&amp;VLOOKUP($I218,'Old Pricing - end 26-Jan-2026'!$A:$R,9,FALSE)&amp;""" "&amp;VLOOKUP($I218,'Old Pricing - end 26-Jan-2026'!$A:$R,5,FALSE)</f>
        <v>2MM 49" x 108" ACP</v>
      </c>
      <c r="L218" s="55">
        <f>VLOOKUP($I218,'Old Pricing - end 26-Jan-2026'!$A:$K,8,FALSE)</f>
        <v>1245</v>
      </c>
      <c r="M218" s="55">
        <f>VLOOKUP($I218,'Old Pricing - end 26-Jan-2026'!$A:$K,10,FALSE)</f>
        <v>2745</v>
      </c>
      <c r="N218" s="55" t="str">
        <f>VLOOKUP($I218,'Old Pricing - end 26-Jan-2026'!$A:$R,13,FALSE)&amp;" "&amp;VLOOKUP($I218,'Old Pricing - end 26-Jan-2026'!$A:$R,12,FALSE)</f>
        <v>AMC 0103 SILVER FROST</v>
      </c>
      <c r="O218" s="56">
        <v>29.4</v>
      </c>
      <c r="P218" s="55">
        <f>(VLOOKUP($I218,'Old Pricing - end 26-Jan-2026'!$A:$R,8,FALSE)/1000)*(VLOOKUP($I218,'Old Pricing - end 26-Jan-2026'!$A:$R,10,FALSE)/1000)*Q218</f>
        <v>2734.0200000000004</v>
      </c>
      <c r="Q218" s="55">
        <f>ROUND(('Order Details'!$O218*1000)/((VLOOKUP($I218,'Old Pricing - end 26-Jan-2026'!$A:$Q,7,FALSE)/12)*(VLOOKUP($I218,'Old Pricing - end 26-Jan-2026'!$A:$Q,9,FALSE)/12))/5,0)*5</f>
        <v>800</v>
      </c>
      <c r="R218" s="71">
        <f>$Q218/IFERROR(VLOOKUP($F218&amp;RIGHT($K218,8),'Master Data'!$O$5:$P$10,2,FALSE),'Master Data'!$P$4)</f>
        <v>4</v>
      </c>
      <c r="S218" s="57">
        <f>VLOOKUP($I218,'Old Pricing - end 26-Jan-2026'!$A:$Q,16,FALSE)</f>
        <v>700</v>
      </c>
      <c r="T218" s="57">
        <f>VLOOKUP(I218,'Old Pricing - end 26-Jan-2026'!$A:$O,15,FALSE)</f>
        <v>7.53</v>
      </c>
      <c r="U218" s="57">
        <f t="shared" si="11"/>
        <v>20580</v>
      </c>
      <c r="V218" s="111">
        <f t="shared" si="12"/>
        <v>20587.170600000005</v>
      </c>
      <c r="W218" s="55">
        <f>VLOOKUP($I218,'Old Pricing - end 26-Jan-2026'!$A:$R,18,FALSE)</f>
        <v>90</v>
      </c>
    </row>
    <row r="219" spans="1:23" ht="15" hidden="1" thickTop="1" x14ac:dyDescent="0.3">
      <c r="A219" s="55">
        <v>24045980</v>
      </c>
      <c r="B219" s="55">
        <v>1</v>
      </c>
      <c r="C219" s="55" t="str">
        <f>VLOOKUP(A219&amp;"-"&amp;B219,'Order Summary'!$D:$E,2,FALSE)</f>
        <v>Telex / Seaway Released</v>
      </c>
      <c r="D219" s="216">
        <f>IF($A219="","",VLOOKUP($A219&amp;"-"&amp;$B219,'Order Summary'!$D:$U,3,FALSE))</f>
        <v>45888</v>
      </c>
      <c r="E219" s="55" t="str">
        <f>VLOOKUP(A219&amp;"-"&amp;B219,'Order Summary'!$D:$G,4,FALSE)</f>
        <v>Yes</v>
      </c>
      <c r="F219" s="55" t="str">
        <f>VLOOKUP($A219,'Order Summary'!$B:$I,8,FALSE)</f>
        <v>Ashburn, GA</v>
      </c>
      <c r="G219" s="216">
        <f>IF($A219="","",VLOOKUP($A219&amp;"-"&amp;$B219,'Order Summary'!$D:$U,18,FALSE))</f>
        <v>46018</v>
      </c>
      <c r="H219" s="55">
        <v>3</v>
      </c>
      <c r="I219" s="55">
        <v>694442</v>
      </c>
      <c r="J219" s="55" t="str">
        <f>VLOOKUP($I219,'Old Pricing - end 26-Jan-2026'!$A:$R,2,FALSE)</f>
        <v>G1S 694442</v>
      </c>
      <c r="K219" s="55" t="str">
        <f>VLOOKUP($I219,'Old Pricing - end 26-Jan-2026'!$A:$R,6,FALSE)&amp;" "&amp;VLOOKUP($I219,'Old Pricing - end 26-Jan-2026'!$A:$R,7,FALSE)&amp;""" x "&amp;VLOOKUP($I219,'Old Pricing - end 26-Jan-2026'!$A:$R,9,FALSE)&amp;""" "&amp;VLOOKUP($I219,'Old Pricing - end 26-Jan-2026'!$A:$R,5,FALSE)</f>
        <v>2MM 49" x 144" ACP</v>
      </c>
      <c r="L219" s="55">
        <f>VLOOKUP($I219,'Old Pricing - end 26-Jan-2026'!$A:$K,8,FALSE)</f>
        <v>1245</v>
      </c>
      <c r="M219" s="55">
        <f>VLOOKUP($I219,'Old Pricing - end 26-Jan-2026'!$A:$K,10,FALSE)</f>
        <v>3658</v>
      </c>
      <c r="N219" s="55" t="str">
        <f>VLOOKUP($I219,'Old Pricing - end 26-Jan-2026'!$A:$R,13,FALSE)&amp;" "&amp;VLOOKUP($I219,'Old Pricing - end 26-Jan-2026'!$A:$R,12,FALSE)</f>
        <v>AMC 0103 SILVER FROST</v>
      </c>
      <c r="O219" s="56">
        <v>9.8000000000000007</v>
      </c>
      <c r="P219" s="55">
        <f>(VLOOKUP($I219,'Old Pricing - end 26-Jan-2026'!$A:$R,8,FALSE)/1000)*(VLOOKUP($I219,'Old Pricing - end 26-Jan-2026'!$A:$R,10,FALSE)/1000)*Q219</f>
        <v>910.8420000000001</v>
      </c>
      <c r="Q219" s="55">
        <f>ROUND(('Order Details'!$O219*1000)/((VLOOKUP($I219,'Old Pricing - end 26-Jan-2026'!$A:$Q,7,FALSE)/12)*(VLOOKUP($I219,'Old Pricing - end 26-Jan-2026'!$A:$Q,9,FALSE)/12))/5,0)*5</f>
        <v>200</v>
      </c>
      <c r="R219" s="71">
        <f>$Q219/IFERROR(VLOOKUP($F219&amp;RIGHT($K219,8),'Master Data'!$O$5:$P$10,2,FALSE),'Master Data'!$P$4)</f>
        <v>1</v>
      </c>
      <c r="S219" s="57">
        <f>VLOOKUP($I219,'Old Pricing - end 26-Jan-2026'!$A:$Q,16,FALSE)</f>
        <v>700</v>
      </c>
      <c r="T219" s="57">
        <f>VLOOKUP(I219,'Old Pricing - end 26-Jan-2026'!$A:$O,15,FALSE)</f>
        <v>7.53</v>
      </c>
      <c r="U219" s="57">
        <f t="shared" si="11"/>
        <v>6860.0000000000009</v>
      </c>
      <c r="V219" s="111">
        <f t="shared" si="12"/>
        <v>6858.640260000001</v>
      </c>
      <c r="W219" s="55">
        <f>VLOOKUP($I219,'Old Pricing - end 26-Jan-2026'!$A:$R,18,FALSE)</f>
        <v>90</v>
      </c>
    </row>
    <row r="220" spans="1:23" ht="15" hidden="1" thickTop="1" x14ac:dyDescent="0.3">
      <c r="A220" s="55">
        <v>24045982</v>
      </c>
      <c r="B220" s="55">
        <v>0</v>
      </c>
      <c r="C220" s="55" t="str">
        <f>VLOOKUP(A220&amp;"-"&amp;B220,'Order Summary'!$D:$E,2,FALSE)</f>
        <v>PO Revised</v>
      </c>
      <c r="D220" s="216">
        <f>IF($A220="","",VLOOKUP($A220&amp;"-"&amp;$B220,'Order Summary'!$D:$U,3,FALSE))</f>
        <v>45888</v>
      </c>
      <c r="E220" s="55" t="str">
        <f>VLOOKUP(A220&amp;"-"&amp;B220,'Order Summary'!$D:$G,4,FALSE)</f>
        <v>No</v>
      </c>
      <c r="F220" s="55" t="str">
        <f>VLOOKUP($A220,'Order Summary'!$B:$I,8,FALSE)</f>
        <v>Ashburn, GA</v>
      </c>
      <c r="G220" s="216" t="str">
        <f>IF($A220="","",VLOOKUP($A220&amp;"-"&amp;$B220,'Order Summary'!$D:$U,18,FALSE))</f>
        <v/>
      </c>
      <c r="H220" s="55">
        <v>1</v>
      </c>
      <c r="I220">
        <v>694444</v>
      </c>
      <c r="J220" s="55" t="str">
        <f>VLOOKUP($I220,'Old Pricing - end 26-Jan-2026'!$A:$R,2,FALSE)</f>
        <v>G1S 694444</v>
      </c>
      <c r="K220" s="55" t="str">
        <f>VLOOKUP($I220,'Old Pricing - end 26-Jan-2026'!$A:$R,6,FALSE)&amp;" "&amp;VLOOKUP($I220,'Old Pricing - end 26-Jan-2026'!$A:$R,7,FALSE)&amp;""" x "&amp;VLOOKUP($I220,'Old Pricing - end 26-Jan-2026'!$A:$R,9,FALSE)&amp;""" "&amp;VLOOKUP($I220,'Old Pricing - end 26-Jan-2026'!$A:$R,5,FALSE)</f>
        <v>2MM 49" x 96" ACP</v>
      </c>
      <c r="L220" s="55">
        <f>VLOOKUP($I220,'Old Pricing - end 26-Jan-2026'!$A:$K,8,FALSE)</f>
        <v>1245</v>
      </c>
      <c r="M220" s="55">
        <f>VLOOKUP($I220,'Old Pricing - end 26-Jan-2026'!$A:$K,10,FALSE)</f>
        <v>2440</v>
      </c>
      <c r="N220" s="55" t="str">
        <f>VLOOKUP($I220,'Old Pricing - end 26-Jan-2026'!$A:$R,13,FALSE)&amp;" "&amp;VLOOKUP($I220,'Old Pricing - end 26-Jan-2026'!$A:$R,12,FALSE)</f>
        <v>AMC 0086 CHARCOAL METALLIC</v>
      </c>
      <c r="O220" s="56">
        <v>78.400000000000006</v>
      </c>
      <c r="P220" s="55">
        <f>(VLOOKUP($I220,'Old Pricing - end 26-Jan-2026'!$A:$R,8,FALSE)/1000)*(VLOOKUP($I220,'Old Pricing - end 26-Jan-2026'!$A:$R,10,FALSE)/1000)*Q220</f>
        <v>7290.72</v>
      </c>
      <c r="Q220" s="55">
        <f>ROUND(('Order Details'!$O220*1000)/((VLOOKUP($I220,'Old Pricing - end 26-Jan-2026'!$A:$Q,7,FALSE)/12)*(VLOOKUP($I220,'Old Pricing - end 26-Jan-2026'!$A:$Q,9,FALSE)/12))/5,0)*5</f>
        <v>2400</v>
      </c>
      <c r="R220" s="71">
        <f>$Q220/IFERROR(VLOOKUP($F220&amp;RIGHT($K220,8),'Master Data'!$O$5:$P$10,2,FALSE),'Master Data'!$P$4)</f>
        <v>12</v>
      </c>
      <c r="S220" s="57">
        <f>VLOOKUP($I220,'Old Pricing - end 26-Jan-2026'!$A:$Q,16,FALSE)</f>
        <v>750</v>
      </c>
      <c r="T220" s="57">
        <f>VLOOKUP(I220,'Old Pricing - end 26-Jan-2026'!$A:$O,15,FALSE)</f>
        <v>8.07</v>
      </c>
      <c r="U220" s="57">
        <f t="shared" si="11"/>
        <v>58800.000000000007</v>
      </c>
      <c r="V220" s="111">
        <f t="shared" si="12"/>
        <v>58836.110400000005</v>
      </c>
      <c r="W220" s="55">
        <f>VLOOKUP($I220,'Old Pricing - end 26-Jan-2026'!$A:$R,18,FALSE)</f>
        <v>45</v>
      </c>
    </row>
    <row r="221" spans="1:23" ht="15" hidden="1" thickTop="1" x14ac:dyDescent="0.3">
      <c r="A221" s="55">
        <v>24045982</v>
      </c>
      <c r="B221" s="55">
        <v>0</v>
      </c>
      <c r="C221" s="55" t="str">
        <f>VLOOKUP(A221&amp;"-"&amp;B221,'Order Summary'!$D:$E,2,FALSE)</f>
        <v>PO Revised</v>
      </c>
      <c r="D221" s="216">
        <f>IF($A221="","",VLOOKUP($A221&amp;"-"&amp;$B221,'Order Summary'!$D:$U,3,FALSE))</f>
        <v>45888</v>
      </c>
      <c r="E221" s="55" t="str">
        <f>VLOOKUP(A221&amp;"-"&amp;B221,'Order Summary'!$D:$G,4,FALSE)</f>
        <v>No</v>
      </c>
      <c r="F221" s="55" t="str">
        <f>VLOOKUP($A221,'Order Summary'!$B:$I,8,FALSE)</f>
        <v>Ashburn, GA</v>
      </c>
      <c r="G221" s="216" t="str">
        <f>IF($A221="","",VLOOKUP($A221&amp;"-"&amp;$B221,'Order Summary'!$D:$U,18,FALSE))</f>
        <v/>
      </c>
      <c r="H221" s="55">
        <v>2</v>
      </c>
      <c r="I221" s="55">
        <v>694445</v>
      </c>
      <c r="J221" s="55" t="str">
        <f>VLOOKUP($I221,'Old Pricing - end 26-Jan-2026'!$A:$R,2,FALSE)</f>
        <v>G1S 694445</v>
      </c>
      <c r="K221" s="55" t="str">
        <f>VLOOKUP($I221,'Old Pricing - end 26-Jan-2026'!$A:$R,6,FALSE)&amp;" "&amp;VLOOKUP($I221,'Old Pricing - end 26-Jan-2026'!$A:$R,7,FALSE)&amp;""" x "&amp;VLOOKUP($I221,'Old Pricing - end 26-Jan-2026'!$A:$R,9,FALSE)&amp;""" "&amp;VLOOKUP($I221,'Old Pricing - end 26-Jan-2026'!$A:$R,5,FALSE)</f>
        <v>2MM 49" x 108" ACP</v>
      </c>
      <c r="L221" s="55">
        <f>VLOOKUP($I221,'Old Pricing - end 26-Jan-2026'!$A:$K,8,FALSE)</f>
        <v>1245</v>
      </c>
      <c r="M221" s="55">
        <f>VLOOKUP($I221,'Old Pricing - end 26-Jan-2026'!$A:$K,10,FALSE)</f>
        <v>2745</v>
      </c>
      <c r="N221" s="55" t="str">
        <f>VLOOKUP($I221,'Old Pricing - end 26-Jan-2026'!$A:$R,13,FALSE)&amp;" "&amp;VLOOKUP($I221,'Old Pricing - end 26-Jan-2026'!$A:$R,12,FALSE)</f>
        <v>AMC 0086 CHARCOAL METALLIC</v>
      </c>
      <c r="O221" s="56">
        <v>14.7</v>
      </c>
      <c r="P221" s="55">
        <f>(VLOOKUP($I221,'Old Pricing - end 26-Jan-2026'!$A:$R,8,FALSE)/1000)*(VLOOKUP($I221,'Old Pricing - end 26-Jan-2026'!$A:$R,10,FALSE)/1000)*Q221</f>
        <v>1367.0100000000002</v>
      </c>
      <c r="Q221" s="55">
        <f>ROUND(('Order Details'!$O221*1000)/((VLOOKUP($I221,'Old Pricing - end 26-Jan-2026'!$A:$Q,7,FALSE)/12)*(VLOOKUP($I221,'Old Pricing - end 26-Jan-2026'!$A:$Q,9,FALSE)/12))/5,0)*5</f>
        <v>400</v>
      </c>
      <c r="R221" s="71">
        <f>$Q221/IFERROR(VLOOKUP($F221&amp;RIGHT($K221,8),'Master Data'!$O$5:$P$10,2,FALSE),'Master Data'!$P$4)</f>
        <v>2</v>
      </c>
      <c r="S221" s="57">
        <f>VLOOKUP($I221,'Old Pricing - end 26-Jan-2026'!$A:$Q,16,FALSE)</f>
        <v>750</v>
      </c>
      <c r="T221" s="57">
        <f>VLOOKUP(I221,'Old Pricing - end 26-Jan-2026'!$A:$O,15,FALSE)</f>
        <v>8.07</v>
      </c>
      <c r="U221" s="57">
        <f t="shared" si="11"/>
        <v>11025</v>
      </c>
      <c r="V221" s="111">
        <f t="shared" si="12"/>
        <v>11031.770700000003</v>
      </c>
      <c r="W221" s="55">
        <f>VLOOKUP($I221,'Old Pricing - end 26-Jan-2026'!$A:$R,18,FALSE)</f>
        <v>45</v>
      </c>
    </row>
    <row r="222" spans="1:23" ht="15" hidden="1" thickTop="1" x14ac:dyDescent="0.3">
      <c r="A222" s="55">
        <v>24045982</v>
      </c>
      <c r="B222" s="55">
        <v>1</v>
      </c>
      <c r="C222" s="55" t="str">
        <f>VLOOKUP(A222&amp;"-"&amp;B222,'Order Summary'!$D:$E,2,FALSE)</f>
        <v>Telex / Seaway Released</v>
      </c>
      <c r="D222" s="216">
        <f>IF($A222="","",VLOOKUP($A222&amp;"-"&amp;$B222,'Order Summary'!$D:$U,3,FALSE))</f>
        <v>45888</v>
      </c>
      <c r="E222" s="55" t="str">
        <f>VLOOKUP(A222&amp;"-"&amp;B222,'Order Summary'!$D:$G,4,FALSE)</f>
        <v>Yes</v>
      </c>
      <c r="F222" s="55" t="str">
        <f>VLOOKUP($A222,'Order Summary'!$B:$I,8,FALSE)</f>
        <v>Ashburn, GA</v>
      </c>
      <c r="G222" s="216">
        <f>IF($A222="","",VLOOKUP($A222&amp;"-"&amp;$B222,'Order Summary'!$D:$U,18,FALSE))</f>
        <v>45990</v>
      </c>
      <c r="H222" s="55">
        <v>1</v>
      </c>
      <c r="I222" s="55">
        <v>694444</v>
      </c>
      <c r="J222" s="55" t="str">
        <f>VLOOKUP($I222,'Old Pricing - end 26-Jan-2026'!$A:$R,2,FALSE)</f>
        <v>G1S 694444</v>
      </c>
      <c r="K222" s="55" t="str">
        <f>VLOOKUP($I222,'Old Pricing - end 26-Jan-2026'!$A:$R,6,FALSE)&amp;" "&amp;VLOOKUP($I222,'Old Pricing - end 26-Jan-2026'!$A:$R,7,FALSE)&amp;""" x "&amp;VLOOKUP($I222,'Old Pricing - end 26-Jan-2026'!$A:$R,9,FALSE)&amp;""" "&amp;VLOOKUP($I222,'Old Pricing - end 26-Jan-2026'!$A:$R,5,FALSE)</f>
        <v>2MM 49" x 96" ACP</v>
      </c>
      <c r="L222" s="55">
        <f>VLOOKUP($I222,'Old Pricing - end 26-Jan-2026'!$A:$K,8,FALSE)</f>
        <v>1245</v>
      </c>
      <c r="M222" s="55">
        <f>VLOOKUP($I222,'Old Pricing - end 26-Jan-2026'!$A:$K,10,FALSE)</f>
        <v>2440</v>
      </c>
      <c r="N222" s="55" t="str">
        <f>VLOOKUP($I222,'Old Pricing - end 26-Jan-2026'!$A:$R,13,FALSE)&amp;" "&amp;VLOOKUP($I222,'Old Pricing - end 26-Jan-2026'!$A:$R,12,FALSE)</f>
        <v>AMC 0086 CHARCOAL METALLIC</v>
      </c>
      <c r="O222" s="56">
        <v>52.267000000000003</v>
      </c>
      <c r="P222" s="55">
        <f>(VLOOKUP($I222,'Old Pricing - end 26-Jan-2026'!$A:$R,8,FALSE)/1000)*(VLOOKUP($I222,'Old Pricing - end 26-Jan-2026'!$A:$R,10,FALSE)/1000)*Q222</f>
        <v>4860.4800000000005</v>
      </c>
      <c r="Q222" s="55">
        <f>ROUND(('Order Details'!$O222*1000)/((VLOOKUP($I222,'Old Pricing - end 26-Jan-2026'!$A:$Q,7,FALSE)/12)*(VLOOKUP($I222,'Old Pricing - end 26-Jan-2026'!$A:$Q,9,FALSE)/12))/5,0)*5</f>
        <v>1600</v>
      </c>
      <c r="R222" s="71">
        <f>$Q222/IFERROR(VLOOKUP($F222&amp;RIGHT($K222,8),'Master Data'!$O$5:$P$10,2,FALSE),'Master Data'!$P$4)</f>
        <v>8</v>
      </c>
      <c r="S222" s="57">
        <f>VLOOKUP($I222,'Old Pricing - end 26-Jan-2026'!$A:$Q,16,FALSE)</f>
        <v>750</v>
      </c>
      <c r="T222" s="57">
        <f>VLOOKUP(I222,'Old Pricing - end 26-Jan-2026'!$A:$O,15,FALSE)</f>
        <v>8.07</v>
      </c>
      <c r="U222" s="57">
        <f t="shared" si="11"/>
        <v>39200.25</v>
      </c>
      <c r="V222" s="111">
        <f t="shared" si="12"/>
        <v>39224.073600000003</v>
      </c>
      <c r="W222" s="55">
        <f>VLOOKUP($I222,'Old Pricing - end 26-Jan-2026'!$A:$R,18,FALSE)</f>
        <v>45</v>
      </c>
    </row>
    <row r="223" spans="1:23" ht="15" hidden="1" thickTop="1" x14ac:dyDescent="0.3">
      <c r="A223" s="55">
        <v>24045982</v>
      </c>
      <c r="B223" s="55">
        <v>1</v>
      </c>
      <c r="C223" s="55" t="str">
        <f>VLOOKUP(A223&amp;"-"&amp;B223,'Order Summary'!$D:$E,2,FALSE)</f>
        <v>Telex / Seaway Released</v>
      </c>
      <c r="D223" s="216">
        <f>IF($A223="","",VLOOKUP($A223&amp;"-"&amp;$B223,'Order Summary'!$D:$U,3,FALSE))</f>
        <v>45888</v>
      </c>
      <c r="E223" s="55" t="str">
        <f>VLOOKUP(A223&amp;"-"&amp;B223,'Order Summary'!$D:$G,4,FALSE)</f>
        <v>Yes</v>
      </c>
      <c r="F223" s="55" t="str">
        <f>VLOOKUP($A223,'Order Summary'!$B:$I,8,FALSE)</f>
        <v>Ashburn, GA</v>
      </c>
      <c r="G223" s="216">
        <f>IF($A223="","",VLOOKUP($A223&amp;"-"&amp;$B223,'Order Summary'!$D:$U,18,FALSE))</f>
        <v>45990</v>
      </c>
      <c r="H223" s="55">
        <v>2</v>
      </c>
      <c r="I223" s="55">
        <v>694445</v>
      </c>
      <c r="J223" s="55" t="str">
        <f>VLOOKUP($I223,'Old Pricing - end 26-Jan-2026'!$A:$R,2,FALSE)</f>
        <v>G1S 694445</v>
      </c>
      <c r="K223" s="55" t="str">
        <f>VLOOKUP($I223,'Old Pricing - end 26-Jan-2026'!$A:$R,6,FALSE)&amp;" "&amp;VLOOKUP($I223,'Old Pricing - end 26-Jan-2026'!$A:$R,7,FALSE)&amp;""" x "&amp;VLOOKUP($I223,'Old Pricing - end 26-Jan-2026'!$A:$R,9,FALSE)&amp;""" "&amp;VLOOKUP($I223,'Old Pricing - end 26-Jan-2026'!$A:$R,5,FALSE)</f>
        <v>2MM 49" x 108" ACP</v>
      </c>
      <c r="L223" s="55">
        <f>VLOOKUP($I223,'Old Pricing - end 26-Jan-2026'!$A:$K,8,FALSE)</f>
        <v>1245</v>
      </c>
      <c r="M223" s="55">
        <f>VLOOKUP($I223,'Old Pricing - end 26-Jan-2026'!$A:$K,10,FALSE)</f>
        <v>2745</v>
      </c>
      <c r="N223" s="55" t="str">
        <f>VLOOKUP($I223,'Old Pricing - end 26-Jan-2026'!$A:$R,13,FALSE)&amp;" "&amp;VLOOKUP($I223,'Old Pricing - end 26-Jan-2026'!$A:$R,12,FALSE)</f>
        <v>AMC 0086 CHARCOAL METALLIC</v>
      </c>
      <c r="O223" s="56">
        <v>29.4</v>
      </c>
      <c r="P223" s="55">
        <f>(VLOOKUP($I223,'Old Pricing - end 26-Jan-2026'!$A:$R,8,FALSE)/1000)*(VLOOKUP($I223,'Old Pricing - end 26-Jan-2026'!$A:$R,10,FALSE)/1000)*Q223</f>
        <v>2734.0200000000004</v>
      </c>
      <c r="Q223" s="55">
        <f>ROUND(('Order Details'!$O223*1000)/((VLOOKUP($I223,'Old Pricing - end 26-Jan-2026'!$A:$Q,7,FALSE)/12)*(VLOOKUP($I223,'Old Pricing - end 26-Jan-2026'!$A:$Q,9,FALSE)/12))/5,0)*5</f>
        <v>800</v>
      </c>
      <c r="R223" s="71">
        <f>$Q223/IFERROR(VLOOKUP($F223&amp;RIGHT($K223,8),'Master Data'!$O$5:$P$10,2,FALSE),'Master Data'!$P$4)</f>
        <v>4</v>
      </c>
      <c r="S223" s="57">
        <f>VLOOKUP($I223,'Old Pricing - end 26-Jan-2026'!$A:$Q,16,FALSE)</f>
        <v>750</v>
      </c>
      <c r="T223" s="57">
        <f>VLOOKUP(I223,'Old Pricing - end 26-Jan-2026'!$A:$O,15,FALSE)</f>
        <v>8.07</v>
      </c>
      <c r="U223" s="57">
        <f t="shared" si="11"/>
        <v>22050</v>
      </c>
      <c r="V223" s="111">
        <f t="shared" si="12"/>
        <v>22063.541400000006</v>
      </c>
      <c r="W223" s="55">
        <f>VLOOKUP($I223,'Old Pricing - end 26-Jan-2026'!$A:$R,18,FALSE)</f>
        <v>45</v>
      </c>
    </row>
    <row r="224" spans="1:23" ht="15" hidden="1" thickTop="1" x14ac:dyDescent="0.3">
      <c r="A224" s="55">
        <v>24045982</v>
      </c>
      <c r="B224" s="55">
        <v>1</v>
      </c>
      <c r="C224" s="55" t="str">
        <f>VLOOKUP(A224&amp;"-"&amp;B224,'Order Summary'!$D:$E,2,FALSE)</f>
        <v>Telex / Seaway Released</v>
      </c>
      <c r="D224" s="216">
        <f>IF($A224="","",VLOOKUP($A224&amp;"-"&amp;$B224,'Order Summary'!$D:$U,3,FALSE))</f>
        <v>45888</v>
      </c>
      <c r="E224" s="55" t="str">
        <f>VLOOKUP(A224&amp;"-"&amp;B224,'Order Summary'!$D:$G,4,FALSE)</f>
        <v>Yes</v>
      </c>
      <c r="F224" s="55" t="str">
        <f>VLOOKUP($A224,'Order Summary'!$B:$I,8,FALSE)</f>
        <v>Ashburn, GA</v>
      </c>
      <c r="G224" s="216">
        <f>IF($A224="","",VLOOKUP($A224&amp;"-"&amp;$B224,'Order Summary'!$D:$U,18,FALSE))</f>
        <v>45990</v>
      </c>
      <c r="H224" s="55">
        <v>3</v>
      </c>
      <c r="I224" s="55">
        <v>694446</v>
      </c>
      <c r="J224" s="55" t="str">
        <f>VLOOKUP($I224,'Old Pricing - end 26-Jan-2026'!$A:$R,2,FALSE)</f>
        <v>G1S 694446</v>
      </c>
      <c r="K224" s="55" t="str">
        <f>VLOOKUP($I224,'Old Pricing - end 26-Jan-2026'!$A:$R,6,FALSE)&amp;" "&amp;VLOOKUP($I224,'Old Pricing - end 26-Jan-2026'!$A:$R,7,FALSE)&amp;""" x "&amp;VLOOKUP($I224,'Old Pricing - end 26-Jan-2026'!$A:$R,9,FALSE)&amp;""" "&amp;VLOOKUP($I224,'Old Pricing - end 26-Jan-2026'!$A:$R,5,FALSE)</f>
        <v>2MM 49" x 144" ACP</v>
      </c>
      <c r="L224" s="55">
        <f>VLOOKUP($I224,'Old Pricing - end 26-Jan-2026'!$A:$K,8,FALSE)</f>
        <v>1245</v>
      </c>
      <c r="M224" s="55">
        <f>VLOOKUP($I224,'Old Pricing - end 26-Jan-2026'!$A:$K,10,FALSE)</f>
        <v>3658</v>
      </c>
      <c r="N224" s="55" t="str">
        <f>VLOOKUP($I224,'Old Pricing - end 26-Jan-2026'!$A:$R,13,FALSE)&amp;" "&amp;VLOOKUP($I224,'Old Pricing - end 26-Jan-2026'!$A:$R,12,FALSE)</f>
        <v>AMC 0086 CHARCOAL METALLIC</v>
      </c>
      <c r="O224" s="56">
        <v>9.8000000000000007</v>
      </c>
      <c r="P224" s="55">
        <f>(VLOOKUP($I224,'Old Pricing - end 26-Jan-2026'!$A:$R,8,FALSE)/1000)*(VLOOKUP($I224,'Old Pricing - end 26-Jan-2026'!$A:$R,10,FALSE)/1000)*Q224</f>
        <v>910.8420000000001</v>
      </c>
      <c r="Q224" s="55">
        <f>ROUND(('Order Details'!$O224*1000)/((VLOOKUP($I224,'Old Pricing - end 26-Jan-2026'!$A:$Q,7,FALSE)/12)*(VLOOKUP($I224,'Old Pricing - end 26-Jan-2026'!$A:$Q,9,FALSE)/12))/5,0)*5</f>
        <v>200</v>
      </c>
      <c r="R224" s="71">
        <f>$Q224/IFERROR(VLOOKUP($F224&amp;RIGHT($K224,8),'Master Data'!$O$5:$P$10,2,FALSE),'Master Data'!$P$4)</f>
        <v>1</v>
      </c>
      <c r="S224" s="57">
        <f>VLOOKUP($I224,'Old Pricing - end 26-Jan-2026'!$A:$Q,16,FALSE)</f>
        <v>750</v>
      </c>
      <c r="T224" s="57">
        <f>VLOOKUP(I224,'Old Pricing - end 26-Jan-2026'!$A:$O,15,FALSE)</f>
        <v>8.07</v>
      </c>
      <c r="U224" s="57">
        <f t="shared" si="11"/>
        <v>7350.0000000000009</v>
      </c>
      <c r="V224" s="111">
        <f t="shared" si="12"/>
        <v>7350.4949400000014</v>
      </c>
      <c r="W224" s="55">
        <f>VLOOKUP($I224,'Old Pricing - end 26-Jan-2026'!$A:$R,18,FALSE)</f>
        <v>45</v>
      </c>
    </row>
    <row r="225" spans="1:23" ht="15" hidden="1" thickTop="1" x14ac:dyDescent="0.3">
      <c r="A225" s="55">
        <v>24045985</v>
      </c>
      <c r="B225" s="55">
        <v>0</v>
      </c>
      <c r="C225" s="55" t="str">
        <f>VLOOKUP(A225&amp;"-"&amp;B225,'Order Summary'!$D:$E,2,FALSE)</f>
        <v>Telex / Seaway Released</v>
      </c>
      <c r="D225" s="216">
        <f>IF($A225="","",VLOOKUP($A225&amp;"-"&amp;$B225,'Order Summary'!$D:$U,3,FALSE))</f>
        <v>45888</v>
      </c>
      <c r="E225" s="55" t="str">
        <f>VLOOKUP(A225&amp;"-"&amp;B225,'Order Summary'!$D:$G,4,FALSE)</f>
        <v>Yes</v>
      </c>
      <c r="F225" s="55" t="str">
        <f>VLOOKUP($A225,'Order Summary'!$B:$I,8,FALSE)</f>
        <v>Gordon, PA</v>
      </c>
      <c r="G225" s="216">
        <f>IF($A225="","",VLOOKUP($A225&amp;"-"&amp;$B225,'Order Summary'!$D:$U,18,FALSE))</f>
        <v>45994</v>
      </c>
      <c r="H225" s="55">
        <v>1</v>
      </c>
      <c r="I225" s="55">
        <v>694432</v>
      </c>
      <c r="J225" s="55" t="str">
        <f>VLOOKUP($I225,'Old Pricing - end 26-Jan-2026'!$A:$R,2,FALSE)</f>
        <v>G1S 694432</v>
      </c>
      <c r="K225" s="55" t="str">
        <f>VLOOKUP($I225,'Old Pricing - end 26-Jan-2026'!$A:$R,6,FALSE)&amp;" "&amp;VLOOKUP($I225,'Old Pricing - end 26-Jan-2026'!$A:$R,7,FALSE)&amp;""" x "&amp;VLOOKUP($I225,'Old Pricing - end 26-Jan-2026'!$A:$R,9,FALSE)&amp;""" "&amp;VLOOKUP($I225,'Old Pricing - end 26-Jan-2026'!$A:$R,5,FALSE)</f>
        <v>2MM 49" x 96" ACP</v>
      </c>
      <c r="L225" s="55">
        <f>VLOOKUP($I225,'Old Pricing - end 26-Jan-2026'!$A:$K,8,FALSE)</f>
        <v>1245</v>
      </c>
      <c r="M225" s="55">
        <f>VLOOKUP($I225,'Old Pricing - end 26-Jan-2026'!$A:$K,10,FALSE)</f>
        <v>2440</v>
      </c>
      <c r="N225" s="55" t="str">
        <f>VLOOKUP($I225,'Old Pricing - end 26-Jan-2026'!$A:$R,13,FALSE)&amp;" "&amp;VLOOKUP($I225,'Old Pricing - end 26-Jan-2026'!$A:$R,12,FALSE)</f>
        <v>ASC 0096 GLOSSY BLACK</v>
      </c>
      <c r="O225" s="56">
        <v>26.132999999999999</v>
      </c>
      <c r="P225" s="55">
        <f>(VLOOKUP($I225,'Old Pricing - end 26-Jan-2026'!$A:$R,8,FALSE)/1000)*(VLOOKUP($I225,'Old Pricing - end 26-Jan-2026'!$A:$R,10,FALSE)/1000)*Q225</f>
        <v>2430.2400000000002</v>
      </c>
      <c r="Q225" s="55">
        <f>ROUND(('Order Details'!$O225*1000)/((VLOOKUP($I225,'Old Pricing - end 26-Jan-2026'!$A:$Q,7,FALSE)/12)*(VLOOKUP($I225,'Old Pricing - end 26-Jan-2026'!$A:$Q,9,FALSE)/12))/5,0)*5</f>
        <v>800</v>
      </c>
      <c r="R225" s="71">
        <f>$Q225/IFERROR(VLOOKUP($F225&amp;RIGHT($K225,8),'Master Data'!$O$5:$P$10,2,FALSE),'Master Data'!$P$4)</f>
        <v>4</v>
      </c>
      <c r="S225" s="57">
        <f>VLOOKUP($I225,'Old Pricing - end 26-Jan-2026'!$A:$Q,16,FALSE)</f>
        <v>700</v>
      </c>
      <c r="T225" s="57">
        <f>VLOOKUP(I225,'Old Pricing - end 26-Jan-2026'!$A:$O,15,FALSE)</f>
        <v>7.53</v>
      </c>
      <c r="U225" s="57">
        <f t="shared" si="11"/>
        <v>18293.099999999999</v>
      </c>
      <c r="V225" s="111">
        <f t="shared" si="12"/>
        <v>18299.707200000001</v>
      </c>
      <c r="W225" s="55">
        <f>VLOOKUP($I225,'Old Pricing - end 26-Jan-2026'!$A:$R,18,FALSE)</f>
        <v>45</v>
      </c>
    </row>
    <row r="226" spans="1:23" ht="15" hidden="1" thickTop="1" x14ac:dyDescent="0.3">
      <c r="A226" s="55">
        <v>24045985</v>
      </c>
      <c r="B226" s="55">
        <v>0</v>
      </c>
      <c r="C226" s="55" t="str">
        <f>VLOOKUP(A226&amp;"-"&amp;B226,'Order Summary'!$D:$E,2,FALSE)</f>
        <v>Telex / Seaway Released</v>
      </c>
      <c r="D226" s="216">
        <f>IF($A226="","",VLOOKUP($A226&amp;"-"&amp;$B226,'Order Summary'!$D:$U,3,FALSE))</f>
        <v>45888</v>
      </c>
      <c r="E226" s="55" t="str">
        <f>VLOOKUP(A226&amp;"-"&amp;B226,'Order Summary'!$D:$G,4,FALSE)</f>
        <v>Yes</v>
      </c>
      <c r="F226" s="55" t="str">
        <f>VLOOKUP($A226,'Order Summary'!$B:$I,8,FALSE)</f>
        <v>Gordon, PA</v>
      </c>
      <c r="G226" s="216">
        <f>IF($A226="","",VLOOKUP($A226&amp;"-"&amp;$B226,'Order Summary'!$D:$U,18,FALSE))</f>
        <v>45994</v>
      </c>
      <c r="H226" s="55">
        <v>2</v>
      </c>
      <c r="I226" s="55">
        <v>694436</v>
      </c>
      <c r="J226" s="55" t="str">
        <f>VLOOKUP($I226,'Old Pricing - end 26-Jan-2026'!$A:$R,2,FALSE)</f>
        <v>G1S 694436</v>
      </c>
      <c r="K226" s="55" t="str">
        <f>VLOOKUP($I226,'Old Pricing - end 26-Jan-2026'!$A:$R,6,FALSE)&amp;" "&amp;VLOOKUP($I226,'Old Pricing - end 26-Jan-2026'!$A:$R,7,FALSE)&amp;""" x "&amp;VLOOKUP($I226,'Old Pricing - end 26-Jan-2026'!$A:$R,9,FALSE)&amp;""" "&amp;VLOOKUP($I226,'Old Pricing - end 26-Jan-2026'!$A:$R,5,FALSE)</f>
        <v>2MM 49" x 96" ACP</v>
      </c>
      <c r="L226" s="55">
        <f>VLOOKUP($I226,'Old Pricing - end 26-Jan-2026'!$A:$K,8,FALSE)</f>
        <v>1245</v>
      </c>
      <c r="M226" s="55">
        <f>VLOOKUP($I226,'Old Pricing - end 26-Jan-2026'!$A:$K,10,FALSE)</f>
        <v>2440</v>
      </c>
      <c r="N226" s="55" t="str">
        <f>VLOOKUP($I226,'Old Pricing - end 26-Jan-2026'!$A:$R,13,FALSE)&amp;" "&amp;VLOOKUP($I226,'Old Pricing - end 26-Jan-2026'!$A:$R,12,FALSE)</f>
        <v>ASC 0069 GLOSSY WHITE</v>
      </c>
      <c r="O226" s="56">
        <v>26.132999999999999</v>
      </c>
      <c r="P226" s="55">
        <f>(VLOOKUP($I226,'Old Pricing - end 26-Jan-2026'!$A:$R,8,FALSE)/1000)*(VLOOKUP($I226,'Old Pricing - end 26-Jan-2026'!$A:$R,10,FALSE)/1000)*Q226</f>
        <v>2430.2400000000002</v>
      </c>
      <c r="Q226" s="55">
        <f>ROUND(('Order Details'!$O226*1000)/((VLOOKUP($I226,'Old Pricing - end 26-Jan-2026'!$A:$Q,7,FALSE)/12)*(VLOOKUP($I226,'Old Pricing - end 26-Jan-2026'!$A:$Q,9,FALSE)/12))/5,0)*5</f>
        <v>800</v>
      </c>
      <c r="R226" s="71">
        <f>$Q226/IFERROR(VLOOKUP($F226&amp;RIGHT($K226,8),'Master Data'!$O$5:$P$10,2,FALSE),'Master Data'!$P$4)</f>
        <v>4</v>
      </c>
      <c r="S226" s="57">
        <f>VLOOKUP($I226,'Old Pricing - end 26-Jan-2026'!$A:$Q,16,FALSE)</f>
        <v>700</v>
      </c>
      <c r="T226" s="57">
        <f>VLOOKUP(I226,'Old Pricing - end 26-Jan-2026'!$A:$O,15,FALSE)</f>
        <v>7.53</v>
      </c>
      <c r="U226" s="57">
        <f t="shared" si="11"/>
        <v>18293.099999999999</v>
      </c>
      <c r="V226" s="111">
        <f t="shared" si="12"/>
        <v>18299.707200000001</v>
      </c>
      <c r="W226" s="55">
        <f>VLOOKUP($I226,'Old Pricing - end 26-Jan-2026'!$A:$R,18,FALSE)</f>
        <v>45</v>
      </c>
    </row>
    <row r="227" spans="1:23" ht="15" hidden="1" thickTop="1" x14ac:dyDescent="0.3">
      <c r="A227" s="55">
        <v>24045985</v>
      </c>
      <c r="B227" s="55">
        <v>0</v>
      </c>
      <c r="C227" s="55" t="str">
        <f>VLOOKUP(A227&amp;"-"&amp;B227,'Order Summary'!$D:$E,2,FALSE)</f>
        <v>Telex / Seaway Released</v>
      </c>
      <c r="D227" s="216">
        <f>IF($A227="","",VLOOKUP($A227&amp;"-"&amp;$B227,'Order Summary'!$D:$U,3,FALSE))</f>
        <v>45888</v>
      </c>
      <c r="E227" s="55" t="str">
        <f>VLOOKUP(A227&amp;"-"&amp;B227,'Order Summary'!$D:$G,4,FALSE)</f>
        <v>Yes</v>
      </c>
      <c r="F227" s="55" t="str">
        <f>VLOOKUP($A227,'Order Summary'!$B:$I,8,FALSE)</f>
        <v>Gordon, PA</v>
      </c>
      <c r="G227" s="216">
        <f>IF($A227="","",VLOOKUP($A227&amp;"-"&amp;$B227,'Order Summary'!$D:$U,18,FALSE))</f>
        <v>45994</v>
      </c>
      <c r="H227" s="55">
        <v>3</v>
      </c>
      <c r="I227" s="55">
        <v>694440</v>
      </c>
      <c r="J227" s="55" t="str">
        <f>VLOOKUP($I227,'Old Pricing - end 26-Jan-2026'!$A:$R,2,FALSE)</f>
        <v>G1S 694440</v>
      </c>
      <c r="K227" s="55" t="str">
        <f>VLOOKUP($I227,'Old Pricing - end 26-Jan-2026'!$A:$R,6,FALSE)&amp;" "&amp;VLOOKUP($I227,'Old Pricing - end 26-Jan-2026'!$A:$R,7,FALSE)&amp;""" x "&amp;VLOOKUP($I227,'Old Pricing - end 26-Jan-2026'!$A:$R,9,FALSE)&amp;""" "&amp;VLOOKUP($I227,'Old Pricing - end 26-Jan-2026'!$A:$R,5,FALSE)</f>
        <v>2MM 49" x 96" ACP</v>
      </c>
      <c r="L227" s="55">
        <f>VLOOKUP($I227,'Old Pricing - end 26-Jan-2026'!$A:$K,8,FALSE)</f>
        <v>1245</v>
      </c>
      <c r="M227" s="55">
        <f>VLOOKUP($I227,'Old Pricing - end 26-Jan-2026'!$A:$K,10,FALSE)</f>
        <v>2440</v>
      </c>
      <c r="N227" s="55" t="str">
        <f>VLOOKUP($I227,'Old Pricing - end 26-Jan-2026'!$A:$R,13,FALSE)&amp;" "&amp;VLOOKUP($I227,'Old Pricing - end 26-Jan-2026'!$A:$R,12,FALSE)</f>
        <v>AMC 0103 SILVER FROST</v>
      </c>
      <c r="O227" s="56">
        <v>19.600000000000001</v>
      </c>
      <c r="P227" s="55">
        <f>(VLOOKUP($I227,'Old Pricing - end 26-Jan-2026'!$A:$R,8,FALSE)/1000)*(VLOOKUP($I227,'Old Pricing - end 26-Jan-2026'!$A:$R,10,FALSE)/1000)*Q227</f>
        <v>1822.68</v>
      </c>
      <c r="Q227" s="55">
        <f>ROUND(('Order Details'!$O227*1000)/((VLOOKUP($I227,'Old Pricing - end 26-Jan-2026'!$A:$Q,7,FALSE)/12)*(VLOOKUP($I227,'Old Pricing - end 26-Jan-2026'!$A:$Q,9,FALSE)/12))/5,0)*5</f>
        <v>600</v>
      </c>
      <c r="R227" s="71">
        <f>$Q227/IFERROR(VLOOKUP($F227&amp;RIGHT($K227,8),'Master Data'!$O$5:$P$10,2,FALSE),'Master Data'!$P$4)</f>
        <v>3</v>
      </c>
      <c r="S227" s="57">
        <f>VLOOKUP($I227,'Old Pricing - end 26-Jan-2026'!$A:$Q,16,FALSE)</f>
        <v>700</v>
      </c>
      <c r="T227" s="57">
        <f>VLOOKUP(I227,'Old Pricing - end 26-Jan-2026'!$A:$O,15,FALSE)</f>
        <v>7.53</v>
      </c>
      <c r="U227" s="57">
        <f t="shared" si="11"/>
        <v>13720.000000000002</v>
      </c>
      <c r="V227" s="111">
        <f t="shared" si="12"/>
        <v>13724.780400000001</v>
      </c>
      <c r="W227" s="55">
        <f>VLOOKUP($I227,'Old Pricing - end 26-Jan-2026'!$A:$R,18,FALSE)</f>
        <v>90</v>
      </c>
    </row>
    <row r="228" spans="1:23" ht="15" hidden="1" thickTop="1" x14ac:dyDescent="0.3">
      <c r="A228" s="55">
        <v>24045985</v>
      </c>
      <c r="B228" s="55">
        <v>0</v>
      </c>
      <c r="C228" s="55" t="str">
        <f>VLOOKUP(A228&amp;"-"&amp;B228,'Order Summary'!$D:$E,2,FALSE)</f>
        <v>Telex / Seaway Released</v>
      </c>
      <c r="D228" s="216">
        <f>IF($A228="","",VLOOKUP($A228&amp;"-"&amp;$B228,'Order Summary'!$D:$U,3,FALSE))</f>
        <v>45888</v>
      </c>
      <c r="E228" s="55" t="str">
        <f>VLOOKUP(A228&amp;"-"&amp;B228,'Order Summary'!$D:$G,4,FALSE)</f>
        <v>Yes</v>
      </c>
      <c r="F228" s="55" t="str">
        <f>VLOOKUP($A228,'Order Summary'!$B:$I,8,FALSE)</f>
        <v>Gordon, PA</v>
      </c>
      <c r="G228" s="216">
        <f>IF($A228="","",VLOOKUP($A228&amp;"-"&amp;$B228,'Order Summary'!$D:$U,18,FALSE))</f>
        <v>45994</v>
      </c>
      <c r="H228" s="55">
        <v>4</v>
      </c>
      <c r="I228" s="55">
        <v>694444</v>
      </c>
      <c r="J228" s="55" t="str">
        <f>VLOOKUP($I228,'Old Pricing - end 26-Jan-2026'!$A:$R,2,FALSE)</f>
        <v>G1S 694444</v>
      </c>
      <c r="K228" s="55" t="str">
        <f>VLOOKUP($I228,'Old Pricing - end 26-Jan-2026'!$A:$R,6,FALSE)&amp;" "&amp;VLOOKUP($I228,'Old Pricing - end 26-Jan-2026'!$A:$R,7,FALSE)&amp;""" x "&amp;VLOOKUP($I228,'Old Pricing - end 26-Jan-2026'!$A:$R,9,FALSE)&amp;""" "&amp;VLOOKUP($I228,'Old Pricing - end 26-Jan-2026'!$A:$R,5,FALSE)</f>
        <v>2MM 49" x 96" ACP</v>
      </c>
      <c r="L228" s="55">
        <f>VLOOKUP($I228,'Old Pricing - end 26-Jan-2026'!$A:$K,8,FALSE)</f>
        <v>1245</v>
      </c>
      <c r="M228" s="55">
        <f>VLOOKUP($I228,'Old Pricing - end 26-Jan-2026'!$A:$K,10,FALSE)</f>
        <v>2440</v>
      </c>
      <c r="N228" s="55" t="str">
        <f>VLOOKUP($I228,'Old Pricing - end 26-Jan-2026'!$A:$R,13,FALSE)&amp;" "&amp;VLOOKUP($I228,'Old Pricing - end 26-Jan-2026'!$A:$R,12,FALSE)</f>
        <v>AMC 0086 CHARCOAL METALLIC</v>
      </c>
      <c r="O228" s="56">
        <v>19.600000000000001</v>
      </c>
      <c r="P228" s="55">
        <f>(VLOOKUP($I228,'Old Pricing - end 26-Jan-2026'!$A:$R,8,FALSE)/1000)*(VLOOKUP($I228,'Old Pricing - end 26-Jan-2026'!$A:$R,10,FALSE)/1000)*Q228</f>
        <v>1822.68</v>
      </c>
      <c r="Q228" s="55">
        <f>ROUND(('Order Details'!$O228*1000)/((VLOOKUP($I228,'Old Pricing - end 26-Jan-2026'!$A:$Q,7,FALSE)/12)*(VLOOKUP($I228,'Old Pricing - end 26-Jan-2026'!$A:$Q,9,FALSE)/12))/5,0)*5</f>
        <v>600</v>
      </c>
      <c r="R228" s="71">
        <f>$Q228/IFERROR(VLOOKUP($F228&amp;RIGHT($K228,8),'Master Data'!$O$5:$P$10,2,FALSE),'Master Data'!$P$4)</f>
        <v>3</v>
      </c>
      <c r="S228" s="57">
        <f>VLOOKUP($I228,'Old Pricing - end 26-Jan-2026'!$A:$Q,16,FALSE)</f>
        <v>750</v>
      </c>
      <c r="T228" s="57">
        <f>VLOOKUP(I228,'Old Pricing - end 26-Jan-2026'!$A:$O,15,FALSE)</f>
        <v>8.07</v>
      </c>
      <c r="U228" s="57">
        <f t="shared" si="11"/>
        <v>14700.000000000002</v>
      </c>
      <c r="V228" s="111">
        <f t="shared" si="12"/>
        <v>14709.027600000001</v>
      </c>
      <c r="W228" s="55">
        <f>VLOOKUP($I228,'Old Pricing - end 26-Jan-2026'!$A:$R,18,FALSE)</f>
        <v>45</v>
      </c>
    </row>
    <row r="229" spans="1:23" ht="15" hidden="1" thickTop="1" x14ac:dyDescent="0.3">
      <c r="A229" s="55">
        <v>24045987</v>
      </c>
      <c r="B229" s="55">
        <v>0</v>
      </c>
      <c r="C229" s="55" t="str">
        <f>VLOOKUP(A229&amp;"-"&amp;B229,'Order Summary'!$D:$E,2,FALSE)</f>
        <v>Telex / Seaway Released</v>
      </c>
      <c r="D229" s="216">
        <f>IF($A229="","",VLOOKUP($A229&amp;"-"&amp;$B229,'Order Summary'!$D:$U,3,FALSE))</f>
        <v>45888</v>
      </c>
      <c r="E229" s="55" t="str">
        <f>VLOOKUP(A229&amp;"-"&amp;B229,'Order Summary'!$D:$G,4,FALSE)</f>
        <v>Yes</v>
      </c>
      <c r="F229" s="55" t="str">
        <f>VLOOKUP($A229,'Order Summary'!$B:$I,8,FALSE)</f>
        <v>South Paris, ME</v>
      </c>
      <c r="G229" s="216">
        <f>IF($A229="","",VLOOKUP($A229&amp;"-"&amp;$B229,'Order Summary'!$D:$U,18,FALSE))</f>
        <v>45671</v>
      </c>
      <c r="H229" s="55">
        <v>1</v>
      </c>
      <c r="I229">
        <v>694432</v>
      </c>
      <c r="J229" s="55" t="str">
        <f>VLOOKUP($I229,'Old Pricing - end 26-Jan-2026'!$A:$R,2,FALSE)</f>
        <v>G1S 694432</v>
      </c>
      <c r="K229" s="55" t="str">
        <f>VLOOKUP($I229,'Old Pricing - end 26-Jan-2026'!$A:$R,6,FALSE)&amp;" "&amp;VLOOKUP($I229,'Old Pricing - end 26-Jan-2026'!$A:$R,7,FALSE)&amp;""" x "&amp;VLOOKUP($I229,'Old Pricing - end 26-Jan-2026'!$A:$R,9,FALSE)&amp;""" "&amp;VLOOKUP($I229,'Old Pricing - end 26-Jan-2026'!$A:$R,5,FALSE)</f>
        <v>2MM 49" x 96" ACP</v>
      </c>
      <c r="L229" s="55">
        <f>VLOOKUP($I229,'Old Pricing - end 26-Jan-2026'!$A:$K,8,FALSE)</f>
        <v>1245</v>
      </c>
      <c r="M229" s="55">
        <f>VLOOKUP($I229,'Old Pricing - end 26-Jan-2026'!$A:$K,10,FALSE)</f>
        <v>2440</v>
      </c>
      <c r="N229" s="55" t="str">
        <f>VLOOKUP($I229,'Old Pricing - end 26-Jan-2026'!$A:$R,13,FALSE)&amp;" "&amp;VLOOKUP($I229,'Old Pricing - end 26-Jan-2026'!$A:$R,12,FALSE)</f>
        <v>ASC 0096 GLOSSY BLACK</v>
      </c>
      <c r="O229" s="149">
        <f>((VLOOKUP($I229,'Old Pricing - end 26-Jan-2026'!$A:$R,7,FALSE)/12)*(VLOOKUP($I229,'Old Pricing - end 26-Jan-2026'!$A:$R,9,FALSE)/12)*Q229)/1000</f>
        <v>6.5333333333333332</v>
      </c>
      <c r="P229" s="55">
        <f>(VLOOKUP($I229,'Old Pricing - end 26-Jan-2026'!$A:$R,8,FALSE)/1000)*(VLOOKUP($I229,'Old Pricing - end 26-Jan-2026'!$A:$R,10,FALSE)/1000)*Q229</f>
        <v>607.56000000000006</v>
      </c>
      <c r="Q229" s="55">
        <v>200</v>
      </c>
      <c r="R229" s="71">
        <f>$Q229/IFERROR(VLOOKUP($F229&amp;RIGHT($K229,8),'Master Data'!$O$5:$P$10,2,FALSE),'Master Data'!$P$4)</f>
        <v>1</v>
      </c>
      <c r="S229" s="57">
        <f>VLOOKUP($I229,'Old Pricing - end 26-Jan-2026'!$A:$Q,16,FALSE)</f>
        <v>700</v>
      </c>
      <c r="T229" s="57">
        <f>VLOOKUP(I229,'Old Pricing - end 26-Jan-2026'!$A:$O,15,FALSE)</f>
        <v>7.53</v>
      </c>
      <c r="U229" s="57">
        <v>4573.1000000000004</v>
      </c>
      <c r="V229" s="111">
        <f t="shared" si="12"/>
        <v>4574.9268000000002</v>
      </c>
      <c r="W229" s="55">
        <f>VLOOKUP($I229,'Old Pricing - end 26-Jan-2026'!$A:$R,18,FALSE)</f>
        <v>45</v>
      </c>
    </row>
    <row r="230" spans="1:23" ht="15" hidden="1" thickTop="1" x14ac:dyDescent="0.3">
      <c r="A230" s="55">
        <v>24045987</v>
      </c>
      <c r="B230" s="55">
        <v>0</v>
      </c>
      <c r="C230" s="55" t="str">
        <f>VLOOKUP(A230&amp;"-"&amp;B230,'Order Summary'!$D:$E,2,FALSE)</f>
        <v>Telex / Seaway Released</v>
      </c>
      <c r="D230" s="216">
        <f>IF($A230="","",VLOOKUP($A230&amp;"-"&amp;$B230,'Order Summary'!$D:$U,3,FALSE))</f>
        <v>45888</v>
      </c>
      <c r="E230" s="55" t="str">
        <f>VLOOKUP(A230&amp;"-"&amp;B230,'Order Summary'!$D:$G,4,FALSE)</f>
        <v>Yes</v>
      </c>
      <c r="F230" s="55" t="str">
        <f>VLOOKUP($A230,'Order Summary'!$B:$I,8,FALSE)</f>
        <v>South Paris, ME</v>
      </c>
      <c r="G230" s="216">
        <f>IF($A230="","",VLOOKUP($A230&amp;"-"&amp;$B230,'Order Summary'!$D:$U,18,FALSE))</f>
        <v>45671</v>
      </c>
      <c r="H230" s="55">
        <v>2</v>
      </c>
      <c r="I230" s="55">
        <v>694433</v>
      </c>
      <c r="J230" s="55" t="str">
        <f>VLOOKUP($I230,'Old Pricing - end 26-Jan-2026'!$A:$R,2,FALSE)</f>
        <v>G1S 694433</v>
      </c>
      <c r="K230" s="55" t="str">
        <f>VLOOKUP($I230,'Old Pricing - end 26-Jan-2026'!$A:$R,6,FALSE)&amp;" "&amp;VLOOKUP($I230,'Old Pricing - end 26-Jan-2026'!$A:$R,7,FALSE)&amp;""" x "&amp;VLOOKUP($I230,'Old Pricing - end 26-Jan-2026'!$A:$R,9,FALSE)&amp;""" "&amp;VLOOKUP($I230,'Old Pricing - end 26-Jan-2026'!$A:$R,5,FALSE)</f>
        <v>2MM 49" x 108" ACP</v>
      </c>
      <c r="L230" s="55">
        <f>VLOOKUP($I230,'Old Pricing - end 26-Jan-2026'!$A:$K,8,FALSE)</f>
        <v>1245</v>
      </c>
      <c r="M230" s="55">
        <f>VLOOKUP($I230,'Old Pricing - end 26-Jan-2026'!$A:$K,10,FALSE)</f>
        <v>2745</v>
      </c>
      <c r="N230" s="55" t="str">
        <f>VLOOKUP($I230,'Old Pricing - end 26-Jan-2026'!$A:$R,13,FALSE)&amp;" "&amp;VLOOKUP($I230,'Old Pricing - end 26-Jan-2026'!$A:$R,12,FALSE)</f>
        <v>ASC 0096 GLOSSY BLACK</v>
      </c>
      <c r="O230" s="149">
        <f>((VLOOKUP($I230,'Old Pricing - end 26-Jan-2026'!$A:$R,7,FALSE)/12)*(VLOOKUP($I230,'Old Pricing - end 26-Jan-2026'!$A:$R,9,FALSE)/12)*Q230)/1000</f>
        <v>14.7</v>
      </c>
      <c r="P230" s="55">
        <f>(VLOOKUP($I230,'Old Pricing - end 26-Jan-2026'!$A:$R,8,FALSE)/1000)*(VLOOKUP($I230,'Old Pricing - end 26-Jan-2026'!$A:$R,10,FALSE)/1000)*Q230</f>
        <v>1367.0100000000002</v>
      </c>
      <c r="Q230" s="55">
        <v>400</v>
      </c>
      <c r="R230" s="71">
        <f>$Q230/IFERROR(VLOOKUP($F230&amp;RIGHT($K230,8),'Master Data'!$O$5:$P$10,2,FALSE),'Master Data'!$P$4)</f>
        <v>2</v>
      </c>
      <c r="S230" s="57">
        <f>VLOOKUP($I230,'Old Pricing - end 26-Jan-2026'!$A:$Q,16,FALSE)</f>
        <v>700</v>
      </c>
      <c r="T230" s="57">
        <f>VLOOKUP(I230,'Old Pricing - end 26-Jan-2026'!$A:$O,15,FALSE)</f>
        <v>7.53</v>
      </c>
      <c r="U230" s="57">
        <v>10290</v>
      </c>
      <c r="V230" s="111">
        <f t="shared" si="12"/>
        <v>10293.585300000002</v>
      </c>
      <c r="W230" s="55">
        <f>VLOOKUP($I230,'Old Pricing - end 26-Jan-2026'!$A:$R,18,FALSE)</f>
        <v>45</v>
      </c>
    </row>
    <row r="231" spans="1:23" ht="15" hidden="1" thickTop="1" x14ac:dyDescent="0.3">
      <c r="A231" s="55">
        <v>24045987</v>
      </c>
      <c r="B231" s="55">
        <v>0</v>
      </c>
      <c r="C231" s="55" t="str">
        <f>VLOOKUP(A231&amp;"-"&amp;B231,'Order Summary'!$D:$E,2,FALSE)</f>
        <v>Telex / Seaway Released</v>
      </c>
      <c r="D231" s="216">
        <f>IF($A231="","",VLOOKUP($A231&amp;"-"&amp;$B231,'Order Summary'!$D:$U,3,FALSE))</f>
        <v>45888</v>
      </c>
      <c r="E231" s="55" t="str">
        <f>VLOOKUP(A231&amp;"-"&amp;B231,'Order Summary'!$D:$G,4,FALSE)</f>
        <v>Yes</v>
      </c>
      <c r="F231" s="55" t="str">
        <f>VLOOKUP($A231,'Order Summary'!$B:$I,8,FALSE)</f>
        <v>South Paris, ME</v>
      </c>
      <c r="G231" s="216">
        <f>IF($A231="","",VLOOKUP($A231&amp;"-"&amp;$B231,'Order Summary'!$D:$U,18,FALSE))</f>
        <v>45671</v>
      </c>
      <c r="H231" s="55">
        <v>3</v>
      </c>
      <c r="I231" s="55">
        <v>694436</v>
      </c>
      <c r="J231" s="55" t="str">
        <f>VLOOKUP($I231,'Old Pricing - end 26-Jan-2026'!$A:$R,2,FALSE)</f>
        <v>G1S 694436</v>
      </c>
      <c r="K231" s="55" t="str">
        <f>VLOOKUP($I231,'Old Pricing - end 26-Jan-2026'!$A:$R,6,FALSE)&amp;" "&amp;VLOOKUP($I231,'Old Pricing - end 26-Jan-2026'!$A:$R,7,FALSE)&amp;""" x "&amp;VLOOKUP($I231,'Old Pricing - end 26-Jan-2026'!$A:$R,9,FALSE)&amp;""" "&amp;VLOOKUP($I231,'Old Pricing - end 26-Jan-2026'!$A:$R,5,FALSE)</f>
        <v>2MM 49" x 96" ACP</v>
      </c>
      <c r="L231" s="55">
        <f>VLOOKUP($I231,'Old Pricing - end 26-Jan-2026'!$A:$K,8,FALSE)</f>
        <v>1245</v>
      </c>
      <c r="M231" s="55">
        <f>VLOOKUP($I231,'Old Pricing - end 26-Jan-2026'!$A:$K,10,FALSE)</f>
        <v>2440</v>
      </c>
      <c r="N231" s="55" t="str">
        <f>VLOOKUP($I231,'Old Pricing - end 26-Jan-2026'!$A:$R,13,FALSE)&amp;" "&amp;VLOOKUP($I231,'Old Pricing - end 26-Jan-2026'!$A:$R,12,FALSE)</f>
        <v>ASC 0069 GLOSSY WHITE</v>
      </c>
      <c r="O231" s="149">
        <f>((VLOOKUP($I231,'Old Pricing - end 26-Jan-2026'!$A:$R,7,FALSE)/12)*(VLOOKUP($I231,'Old Pricing - end 26-Jan-2026'!$A:$R,9,FALSE)/12)*Q231)/1000</f>
        <v>26.133333333333333</v>
      </c>
      <c r="P231" s="55">
        <f>(VLOOKUP($I231,'Old Pricing - end 26-Jan-2026'!$A:$R,8,FALSE)/1000)*(VLOOKUP($I231,'Old Pricing - end 26-Jan-2026'!$A:$R,10,FALSE)/1000)*Q231</f>
        <v>2430.2400000000002</v>
      </c>
      <c r="Q231" s="55">
        <v>800</v>
      </c>
      <c r="R231" s="71">
        <f>$Q231/IFERROR(VLOOKUP($F231&amp;RIGHT($K231,8),'Master Data'!$O$5:$P$10,2,FALSE),'Master Data'!$P$4)</f>
        <v>4</v>
      </c>
      <c r="S231" s="57">
        <f>VLOOKUP($I231,'Old Pricing - end 26-Jan-2026'!$A:$Q,16,FALSE)</f>
        <v>700</v>
      </c>
      <c r="T231" s="57">
        <f>VLOOKUP(I231,'Old Pricing - end 26-Jan-2026'!$A:$O,15,FALSE)</f>
        <v>7.53</v>
      </c>
      <c r="U231" s="57">
        <v>18293.099999999999</v>
      </c>
      <c r="V231" s="111">
        <f t="shared" si="12"/>
        <v>18299.707200000001</v>
      </c>
      <c r="W231" s="55">
        <f>VLOOKUP($I231,'Old Pricing - end 26-Jan-2026'!$A:$R,18,FALSE)</f>
        <v>45</v>
      </c>
    </row>
    <row r="232" spans="1:23" ht="15" hidden="1" thickTop="1" x14ac:dyDescent="0.3">
      <c r="A232" s="55">
        <v>24045987</v>
      </c>
      <c r="B232" s="55">
        <v>0</v>
      </c>
      <c r="C232" s="55" t="str">
        <f>VLOOKUP(A232&amp;"-"&amp;B232,'Order Summary'!$D:$E,2,FALSE)</f>
        <v>Telex / Seaway Released</v>
      </c>
      <c r="D232" s="216">
        <f>IF($A232="","",VLOOKUP($A232&amp;"-"&amp;$B232,'Order Summary'!$D:$U,3,FALSE))</f>
        <v>45888</v>
      </c>
      <c r="E232" s="55" t="str">
        <f>VLOOKUP(A232&amp;"-"&amp;B232,'Order Summary'!$D:$G,4,FALSE)</f>
        <v>Yes</v>
      </c>
      <c r="F232" s="55" t="str">
        <f>VLOOKUP($A232,'Order Summary'!$B:$I,8,FALSE)</f>
        <v>South Paris, ME</v>
      </c>
      <c r="G232" s="216">
        <f>IF($A232="","",VLOOKUP($A232&amp;"-"&amp;$B232,'Order Summary'!$D:$U,18,FALSE))</f>
        <v>45671</v>
      </c>
      <c r="H232" s="55">
        <v>4</v>
      </c>
      <c r="I232" s="55">
        <v>694437</v>
      </c>
      <c r="J232" s="55" t="str">
        <f>VLOOKUP($I232,'Old Pricing - end 26-Jan-2026'!$A:$R,2,FALSE)</f>
        <v>G1S 694437</v>
      </c>
      <c r="K232" s="55" t="str">
        <f>VLOOKUP($I232,'Old Pricing - end 26-Jan-2026'!$A:$R,6,FALSE)&amp;" "&amp;VLOOKUP($I232,'Old Pricing - end 26-Jan-2026'!$A:$R,7,FALSE)&amp;""" x "&amp;VLOOKUP($I232,'Old Pricing - end 26-Jan-2026'!$A:$R,9,FALSE)&amp;""" "&amp;VLOOKUP($I232,'Old Pricing - end 26-Jan-2026'!$A:$R,5,FALSE)</f>
        <v>2MM 49" x 108" ACP</v>
      </c>
      <c r="L232" s="55">
        <f>VLOOKUP($I232,'Old Pricing - end 26-Jan-2026'!$A:$K,8,FALSE)</f>
        <v>1245</v>
      </c>
      <c r="M232" s="55">
        <f>VLOOKUP($I232,'Old Pricing - end 26-Jan-2026'!$A:$K,10,FALSE)</f>
        <v>2745</v>
      </c>
      <c r="N232" s="55" t="str">
        <f>VLOOKUP($I232,'Old Pricing - end 26-Jan-2026'!$A:$R,13,FALSE)&amp;" "&amp;VLOOKUP($I232,'Old Pricing - end 26-Jan-2026'!$A:$R,12,FALSE)</f>
        <v>ASC 0069 GLOSSY WHITE</v>
      </c>
      <c r="O232" s="149">
        <f>((VLOOKUP($I232,'Old Pricing - end 26-Jan-2026'!$A:$R,7,FALSE)/12)*(VLOOKUP($I232,'Old Pricing - end 26-Jan-2026'!$A:$R,9,FALSE)/12)*Q232)/1000</f>
        <v>14.7</v>
      </c>
      <c r="P232" s="55">
        <f>(VLOOKUP($I232,'Old Pricing - end 26-Jan-2026'!$A:$R,8,FALSE)/1000)*(VLOOKUP($I232,'Old Pricing - end 26-Jan-2026'!$A:$R,10,FALSE)/1000)*Q232</f>
        <v>1367.0100000000002</v>
      </c>
      <c r="Q232" s="55">
        <v>400</v>
      </c>
      <c r="R232" s="71">
        <f>$Q232/IFERROR(VLOOKUP($F232&amp;RIGHT($K232,8),'Master Data'!$O$5:$P$10,2,FALSE),'Master Data'!$P$4)</f>
        <v>2</v>
      </c>
      <c r="S232" s="57">
        <f>VLOOKUP($I232,'Old Pricing - end 26-Jan-2026'!$A:$Q,16,FALSE)</f>
        <v>700</v>
      </c>
      <c r="T232" s="57">
        <f>VLOOKUP(I232,'Old Pricing - end 26-Jan-2026'!$A:$O,15,FALSE)</f>
        <v>7.53</v>
      </c>
      <c r="U232" s="57">
        <v>10290</v>
      </c>
      <c r="V232" s="111">
        <f t="shared" si="12"/>
        <v>10293.585300000002</v>
      </c>
      <c r="W232" s="55">
        <f>VLOOKUP($I232,'Old Pricing - end 26-Jan-2026'!$A:$R,18,FALSE)</f>
        <v>45</v>
      </c>
    </row>
    <row r="233" spans="1:23" ht="15" hidden="1" thickTop="1" x14ac:dyDescent="0.3">
      <c r="A233" s="55">
        <v>24045987</v>
      </c>
      <c r="B233" s="55">
        <v>0</v>
      </c>
      <c r="C233" s="55" t="str">
        <f>VLOOKUP(A233&amp;"-"&amp;B233,'Order Summary'!$D:$E,2,FALSE)</f>
        <v>Telex / Seaway Released</v>
      </c>
      <c r="D233" s="216">
        <f>IF($A233="","",VLOOKUP($A233&amp;"-"&amp;$B233,'Order Summary'!$D:$U,3,FALSE))</f>
        <v>45888</v>
      </c>
      <c r="E233" s="55" t="str">
        <f>VLOOKUP(A233&amp;"-"&amp;B233,'Order Summary'!$D:$G,4,FALSE)</f>
        <v>Yes</v>
      </c>
      <c r="F233" s="55" t="str">
        <f>VLOOKUP($A233,'Order Summary'!$B:$I,8,FALSE)</f>
        <v>South Paris, ME</v>
      </c>
      <c r="G233" s="216">
        <f>IF($A233="","",VLOOKUP($A233&amp;"-"&amp;$B233,'Order Summary'!$D:$U,18,FALSE))</f>
        <v>45671</v>
      </c>
      <c r="H233" s="55">
        <v>5</v>
      </c>
      <c r="I233" s="55">
        <v>694440</v>
      </c>
      <c r="J233" s="55" t="str">
        <f>VLOOKUP($I233,'Old Pricing - end 26-Jan-2026'!$A:$R,2,FALSE)</f>
        <v>G1S 694440</v>
      </c>
      <c r="K233" s="55" t="str">
        <f>VLOOKUP($I233,'Old Pricing - end 26-Jan-2026'!$A:$R,6,FALSE)&amp;" "&amp;VLOOKUP($I233,'Old Pricing - end 26-Jan-2026'!$A:$R,7,FALSE)&amp;""" x "&amp;VLOOKUP($I233,'Old Pricing - end 26-Jan-2026'!$A:$R,9,FALSE)&amp;""" "&amp;VLOOKUP($I233,'Old Pricing - end 26-Jan-2026'!$A:$R,5,FALSE)</f>
        <v>2MM 49" x 96" ACP</v>
      </c>
      <c r="L233" s="55">
        <f>VLOOKUP($I233,'Old Pricing - end 26-Jan-2026'!$A:$K,8,FALSE)</f>
        <v>1245</v>
      </c>
      <c r="M233" s="55">
        <f>VLOOKUP($I233,'Old Pricing - end 26-Jan-2026'!$A:$K,10,FALSE)</f>
        <v>2440</v>
      </c>
      <c r="N233" s="55" t="str">
        <f>VLOOKUP($I233,'Old Pricing - end 26-Jan-2026'!$A:$R,13,FALSE)&amp;" "&amp;VLOOKUP($I233,'Old Pricing - end 26-Jan-2026'!$A:$R,12,FALSE)</f>
        <v>AMC 0103 SILVER FROST</v>
      </c>
      <c r="O233" s="149">
        <f>((VLOOKUP($I233,'Old Pricing - end 26-Jan-2026'!$A:$R,7,FALSE)/12)*(VLOOKUP($I233,'Old Pricing - end 26-Jan-2026'!$A:$R,9,FALSE)/12)*Q233)/1000</f>
        <v>6.5333333333333332</v>
      </c>
      <c r="P233" s="55">
        <f>(VLOOKUP($I233,'Old Pricing - end 26-Jan-2026'!$A:$R,8,FALSE)/1000)*(VLOOKUP($I233,'Old Pricing - end 26-Jan-2026'!$A:$R,10,FALSE)/1000)*Q233</f>
        <v>607.56000000000006</v>
      </c>
      <c r="Q233" s="55">
        <v>200</v>
      </c>
      <c r="R233" s="71">
        <f>$Q233/IFERROR(VLOOKUP($F233&amp;RIGHT($K233,8),'Master Data'!$O$5:$P$10,2,FALSE),'Master Data'!$P$4)</f>
        <v>1</v>
      </c>
      <c r="S233" s="57">
        <f>VLOOKUP($I233,'Old Pricing - end 26-Jan-2026'!$A:$Q,16,FALSE)</f>
        <v>700</v>
      </c>
      <c r="T233" s="57">
        <f>VLOOKUP(I233,'Old Pricing - end 26-Jan-2026'!$A:$O,15,FALSE)</f>
        <v>7.53</v>
      </c>
      <c r="U233" s="57">
        <v>4573.1000000000004</v>
      </c>
      <c r="V233" s="111">
        <f t="shared" si="12"/>
        <v>4574.9268000000002</v>
      </c>
      <c r="W233" s="55">
        <f>VLOOKUP($I233,'Old Pricing - end 26-Jan-2026'!$A:$R,18,FALSE)</f>
        <v>90</v>
      </c>
    </row>
    <row r="234" spans="1:23" ht="15" hidden="1" thickTop="1" x14ac:dyDescent="0.3">
      <c r="A234" s="55">
        <v>24045987</v>
      </c>
      <c r="B234" s="55">
        <v>0</v>
      </c>
      <c r="C234" s="55" t="str">
        <f>VLOOKUP(A234&amp;"-"&amp;B234,'Order Summary'!$D:$E,2,FALSE)</f>
        <v>Telex / Seaway Released</v>
      </c>
      <c r="D234" s="216">
        <f>IF($A234="","",VLOOKUP($A234&amp;"-"&amp;$B234,'Order Summary'!$D:$U,3,FALSE))</f>
        <v>45888</v>
      </c>
      <c r="E234" s="55" t="str">
        <f>VLOOKUP(A234&amp;"-"&amp;B234,'Order Summary'!$D:$G,4,FALSE)</f>
        <v>Yes</v>
      </c>
      <c r="F234" s="55" t="str">
        <f>VLOOKUP($A234,'Order Summary'!$B:$I,8,FALSE)</f>
        <v>South Paris, ME</v>
      </c>
      <c r="G234" s="216">
        <f>IF($A234="","",VLOOKUP($A234&amp;"-"&amp;$B234,'Order Summary'!$D:$U,18,FALSE))</f>
        <v>45671</v>
      </c>
      <c r="H234" s="55">
        <v>6</v>
      </c>
      <c r="I234" s="55">
        <v>694441</v>
      </c>
      <c r="J234" s="55" t="str">
        <f>VLOOKUP($I234,'Old Pricing - end 26-Jan-2026'!$A:$R,2,FALSE)</f>
        <v>G1S 694441</v>
      </c>
      <c r="K234" s="55" t="str">
        <f>VLOOKUP($I234,'Old Pricing - end 26-Jan-2026'!$A:$R,6,FALSE)&amp;" "&amp;VLOOKUP($I234,'Old Pricing - end 26-Jan-2026'!$A:$R,7,FALSE)&amp;""" x "&amp;VLOOKUP($I234,'Old Pricing - end 26-Jan-2026'!$A:$R,9,FALSE)&amp;""" "&amp;VLOOKUP($I234,'Old Pricing - end 26-Jan-2026'!$A:$R,5,FALSE)</f>
        <v>2MM 49" x 108" ACP</v>
      </c>
      <c r="L234" s="55">
        <f>VLOOKUP($I234,'Old Pricing - end 26-Jan-2026'!$A:$K,8,FALSE)</f>
        <v>1245</v>
      </c>
      <c r="M234" s="55">
        <f>VLOOKUP($I234,'Old Pricing - end 26-Jan-2026'!$A:$K,10,FALSE)</f>
        <v>2745</v>
      </c>
      <c r="N234" s="55" t="str">
        <f>VLOOKUP($I234,'Old Pricing - end 26-Jan-2026'!$A:$R,13,FALSE)&amp;" "&amp;VLOOKUP($I234,'Old Pricing - end 26-Jan-2026'!$A:$R,12,FALSE)</f>
        <v>AMC 0103 SILVER FROST</v>
      </c>
      <c r="O234" s="149">
        <f>((VLOOKUP($I234,'Old Pricing - end 26-Jan-2026'!$A:$R,7,FALSE)/12)*(VLOOKUP($I234,'Old Pricing - end 26-Jan-2026'!$A:$R,9,FALSE)/12)*Q234)/1000</f>
        <v>7.35</v>
      </c>
      <c r="P234" s="55">
        <f>(VLOOKUP($I234,'Old Pricing - end 26-Jan-2026'!$A:$R,8,FALSE)/1000)*(VLOOKUP($I234,'Old Pricing - end 26-Jan-2026'!$A:$R,10,FALSE)/1000)*Q234</f>
        <v>683.50500000000011</v>
      </c>
      <c r="Q234" s="55">
        <v>200</v>
      </c>
      <c r="R234" s="71">
        <f>$Q234/IFERROR(VLOOKUP($F234&amp;RIGHT($K234,8),'Master Data'!$O$5:$P$10,2,FALSE),'Master Data'!$P$4)</f>
        <v>1</v>
      </c>
      <c r="S234" s="57">
        <f>VLOOKUP($I234,'Old Pricing - end 26-Jan-2026'!$A:$Q,16,FALSE)</f>
        <v>700</v>
      </c>
      <c r="T234" s="57">
        <f>VLOOKUP(I234,'Old Pricing - end 26-Jan-2026'!$A:$O,15,FALSE)</f>
        <v>7.53</v>
      </c>
      <c r="U234" s="57">
        <v>5145</v>
      </c>
      <c r="V234" s="111">
        <f t="shared" si="12"/>
        <v>5146.7926500000012</v>
      </c>
      <c r="W234" s="55">
        <f>VLOOKUP($I234,'Old Pricing - end 26-Jan-2026'!$A:$R,18,FALSE)</f>
        <v>90</v>
      </c>
    </row>
    <row r="235" spans="1:23" ht="15" hidden="1" thickTop="1" x14ac:dyDescent="0.3">
      <c r="A235" s="55">
        <v>24045987</v>
      </c>
      <c r="B235" s="55">
        <v>0</v>
      </c>
      <c r="C235" s="55" t="str">
        <f>VLOOKUP(A235&amp;"-"&amp;B235,'Order Summary'!$D:$E,2,FALSE)</f>
        <v>Telex / Seaway Released</v>
      </c>
      <c r="D235" s="216">
        <f>IF($A235="","",VLOOKUP($A235&amp;"-"&amp;$B235,'Order Summary'!$D:$U,3,FALSE))</f>
        <v>45888</v>
      </c>
      <c r="E235" s="55" t="str">
        <f>VLOOKUP(A235&amp;"-"&amp;B235,'Order Summary'!$D:$G,4,FALSE)</f>
        <v>Yes</v>
      </c>
      <c r="F235" s="55" t="str">
        <f>VLOOKUP($A235,'Order Summary'!$B:$I,8,FALSE)</f>
        <v>South Paris, ME</v>
      </c>
      <c r="G235" s="216">
        <f>IF($A235="","",VLOOKUP($A235&amp;"-"&amp;$B235,'Order Summary'!$D:$U,18,FALSE))</f>
        <v>45671</v>
      </c>
      <c r="H235" s="55">
        <v>7</v>
      </c>
      <c r="I235" s="55">
        <v>694444</v>
      </c>
      <c r="J235" s="55" t="str">
        <f>VLOOKUP($I235,'Old Pricing - end 26-Jan-2026'!$A:$R,2,FALSE)</f>
        <v>G1S 694444</v>
      </c>
      <c r="K235" s="55" t="str">
        <f>VLOOKUP($I235,'Old Pricing - end 26-Jan-2026'!$A:$R,6,FALSE)&amp;" "&amp;VLOOKUP($I235,'Old Pricing - end 26-Jan-2026'!$A:$R,7,FALSE)&amp;""" x "&amp;VLOOKUP($I235,'Old Pricing - end 26-Jan-2026'!$A:$R,9,FALSE)&amp;""" "&amp;VLOOKUP($I235,'Old Pricing - end 26-Jan-2026'!$A:$R,5,FALSE)</f>
        <v>2MM 49" x 96" ACP</v>
      </c>
      <c r="L235" s="55">
        <f>VLOOKUP($I235,'Old Pricing - end 26-Jan-2026'!$A:$K,8,FALSE)</f>
        <v>1245</v>
      </c>
      <c r="M235" s="55">
        <f>VLOOKUP($I235,'Old Pricing - end 26-Jan-2026'!$A:$K,10,FALSE)</f>
        <v>2440</v>
      </c>
      <c r="N235" s="55" t="str">
        <f>VLOOKUP($I235,'Old Pricing - end 26-Jan-2026'!$A:$R,13,FALSE)&amp;" "&amp;VLOOKUP($I235,'Old Pricing - end 26-Jan-2026'!$A:$R,12,FALSE)</f>
        <v>AMC 0086 CHARCOAL METALLIC</v>
      </c>
      <c r="O235" s="149">
        <f>((VLOOKUP($I235,'Old Pricing - end 26-Jan-2026'!$A:$R,7,FALSE)/12)*(VLOOKUP($I235,'Old Pricing - end 26-Jan-2026'!$A:$R,9,FALSE)/12)*Q235)/1000</f>
        <v>6.5333333333333332</v>
      </c>
      <c r="P235" s="55">
        <f>(VLOOKUP($I235,'Old Pricing - end 26-Jan-2026'!$A:$R,8,FALSE)/1000)*(VLOOKUP($I235,'Old Pricing - end 26-Jan-2026'!$A:$R,10,FALSE)/1000)*Q235</f>
        <v>607.56000000000006</v>
      </c>
      <c r="Q235" s="55">
        <v>200</v>
      </c>
      <c r="R235" s="71">
        <f>$Q235/IFERROR(VLOOKUP($F235&amp;RIGHT($K235,8),'Master Data'!$O$5:$P$10,2,FALSE),'Master Data'!$P$4)</f>
        <v>1</v>
      </c>
      <c r="S235" s="57">
        <f>VLOOKUP($I235,'Old Pricing - end 26-Jan-2026'!$A:$Q,16,FALSE)</f>
        <v>750</v>
      </c>
      <c r="T235" s="57">
        <f>VLOOKUP(I235,'Old Pricing - end 26-Jan-2026'!$A:$O,15,FALSE)</f>
        <v>8.07</v>
      </c>
      <c r="U235" s="57">
        <v>4899.75</v>
      </c>
      <c r="V235" s="111">
        <f t="shared" si="12"/>
        <v>4903.0092000000004</v>
      </c>
      <c r="W235" s="55">
        <f>VLOOKUP($I235,'Old Pricing - end 26-Jan-2026'!$A:$R,18,FALSE)</f>
        <v>45</v>
      </c>
    </row>
    <row r="236" spans="1:23" ht="15" hidden="1" thickTop="1" x14ac:dyDescent="0.3">
      <c r="A236" s="55">
        <v>24045987</v>
      </c>
      <c r="B236" s="55">
        <v>0</v>
      </c>
      <c r="C236" s="55" t="str">
        <f>VLOOKUP(A236&amp;"-"&amp;B236,'Order Summary'!$D:$E,2,FALSE)</f>
        <v>Telex / Seaway Released</v>
      </c>
      <c r="D236" s="216">
        <f>IF($A236="","",VLOOKUP($A236&amp;"-"&amp;$B236,'Order Summary'!$D:$U,3,FALSE))</f>
        <v>45888</v>
      </c>
      <c r="E236" s="55" t="str">
        <f>VLOOKUP(A236&amp;"-"&amp;B236,'Order Summary'!$D:$G,4,FALSE)</f>
        <v>Yes</v>
      </c>
      <c r="F236" s="55" t="str">
        <f>VLOOKUP($A236,'Order Summary'!$B:$I,8,FALSE)</f>
        <v>South Paris, ME</v>
      </c>
      <c r="G236" s="216">
        <f>IF($A236="","",VLOOKUP($A236&amp;"-"&amp;$B236,'Order Summary'!$D:$U,18,FALSE))</f>
        <v>45671</v>
      </c>
      <c r="H236" s="55">
        <v>8</v>
      </c>
      <c r="I236" s="55">
        <v>694445</v>
      </c>
      <c r="J236" s="55" t="str">
        <f>VLOOKUP($I236,'Old Pricing - end 26-Jan-2026'!$A:$R,2,FALSE)</f>
        <v>G1S 694445</v>
      </c>
      <c r="K236" s="55" t="str">
        <f>VLOOKUP($I236,'Old Pricing - end 26-Jan-2026'!$A:$R,6,FALSE)&amp;" "&amp;VLOOKUP($I236,'Old Pricing - end 26-Jan-2026'!$A:$R,7,FALSE)&amp;""" x "&amp;VLOOKUP($I236,'Old Pricing - end 26-Jan-2026'!$A:$R,9,FALSE)&amp;""" "&amp;VLOOKUP($I236,'Old Pricing - end 26-Jan-2026'!$A:$R,5,FALSE)</f>
        <v>2MM 49" x 108" ACP</v>
      </c>
      <c r="L236" s="55">
        <f>VLOOKUP($I236,'Old Pricing - end 26-Jan-2026'!$A:$K,8,FALSE)</f>
        <v>1245</v>
      </c>
      <c r="M236" s="55">
        <f>VLOOKUP($I236,'Old Pricing - end 26-Jan-2026'!$A:$K,10,FALSE)</f>
        <v>2745</v>
      </c>
      <c r="N236" s="55" t="str">
        <f>VLOOKUP($I236,'Old Pricing - end 26-Jan-2026'!$A:$R,13,FALSE)&amp;" "&amp;VLOOKUP($I236,'Old Pricing - end 26-Jan-2026'!$A:$R,12,FALSE)</f>
        <v>AMC 0086 CHARCOAL METALLIC</v>
      </c>
      <c r="O236" s="149">
        <f>((VLOOKUP($I236,'Old Pricing - end 26-Jan-2026'!$A:$R,7,FALSE)/12)*(VLOOKUP($I236,'Old Pricing - end 26-Jan-2026'!$A:$R,9,FALSE)/12)*Q236)/1000</f>
        <v>7.35</v>
      </c>
      <c r="P236" s="55">
        <f>(VLOOKUP($I236,'Old Pricing - end 26-Jan-2026'!$A:$R,8,FALSE)/1000)*(VLOOKUP($I236,'Old Pricing - end 26-Jan-2026'!$A:$R,10,FALSE)/1000)*Q236</f>
        <v>683.50500000000011</v>
      </c>
      <c r="Q236" s="55">
        <v>200</v>
      </c>
      <c r="R236" s="71">
        <f>$Q236/IFERROR(VLOOKUP($F236&amp;RIGHT($K236,8),'Master Data'!$O$5:$P$10,2,FALSE),'Master Data'!$P$4)</f>
        <v>1</v>
      </c>
      <c r="S236" s="57">
        <f>VLOOKUP($I236,'Old Pricing - end 26-Jan-2026'!$A:$Q,16,FALSE)</f>
        <v>750</v>
      </c>
      <c r="T236" s="57">
        <f>VLOOKUP(I236,'Old Pricing - end 26-Jan-2026'!$A:$O,15,FALSE)</f>
        <v>8.07</v>
      </c>
      <c r="U236" s="57">
        <v>5512.5</v>
      </c>
      <c r="V236" s="111">
        <f t="shared" si="12"/>
        <v>5515.8853500000014</v>
      </c>
      <c r="W236" s="55">
        <f>VLOOKUP($I236,'Old Pricing - end 26-Jan-2026'!$A:$R,18,FALSE)</f>
        <v>45</v>
      </c>
    </row>
    <row r="237" spans="1:23" ht="15" hidden="1" thickTop="1" x14ac:dyDescent="0.3">
      <c r="A237" s="55">
        <v>52923929</v>
      </c>
      <c r="B237" s="55">
        <v>0</v>
      </c>
      <c r="C237" s="55" t="str">
        <f>VLOOKUP(A237&amp;"-"&amp;B237,'Order Summary'!$D:$E,2,FALSE)</f>
        <v>Telex / Seaway Released</v>
      </c>
      <c r="D237" s="216">
        <f>IF($A237="","",VLOOKUP($A237&amp;"-"&amp;$B237,'Order Summary'!$D:$U,3,FALSE))</f>
        <v>45888</v>
      </c>
      <c r="E237" s="55" t="str">
        <f>VLOOKUP(A237&amp;"-"&amp;B237,'Order Summary'!$D:$G,4,FALSE)</f>
        <v>Yes</v>
      </c>
      <c r="F237" s="55" t="str">
        <f>VLOOKUP($A237,'Order Summary'!$B:$I,8,FALSE)</f>
        <v>Minneota, MN</v>
      </c>
      <c r="G237" s="216">
        <f>IF($A237="","",VLOOKUP($A237&amp;"-"&amp;$B237,'Order Summary'!$D:$U,18,FALSE))</f>
        <v>46030</v>
      </c>
      <c r="H237" s="55">
        <v>1</v>
      </c>
      <c r="I237" s="55">
        <v>694433</v>
      </c>
      <c r="J237" s="55" t="str">
        <f>VLOOKUP($I237,'Old Pricing - end 26-Jan-2026'!$A:$R,2,FALSE)</f>
        <v>G1S 694433</v>
      </c>
      <c r="K237" s="55" t="str">
        <f>VLOOKUP($I237,'Old Pricing - end 26-Jan-2026'!$A:$R,6,FALSE)&amp;" "&amp;VLOOKUP($I237,'Old Pricing - end 26-Jan-2026'!$A:$R,7,FALSE)&amp;""" x "&amp;VLOOKUP($I237,'Old Pricing - end 26-Jan-2026'!$A:$R,9,FALSE)&amp;""" "&amp;VLOOKUP($I237,'Old Pricing - end 26-Jan-2026'!$A:$R,5,FALSE)</f>
        <v>2MM 49" x 108" ACP</v>
      </c>
      <c r="L237" s="55">
        <f>VLOOKUP($I237,'Old Pricing - end 26-Jan-2026'!$A:$K,8,FALSE)</f>
        <v>1245</v>
      </c>
      <c r="M237" s="55">
        <f>VLOOKUP($I237,'Old Pricing - end 26-Jan-2026'!$A:$K,10,FALSE)</f>
        <v>2745</v>
      </c>
      <c r="N237" s="55" t="str">
        <f>VLOOKUP($I237,'Old Pricing - end 26-Jan-2026'!$A:$R,13,FALSE)&amp;" "&amp;VLOOKUP($I237,'Old Pricing - end 26-Jan-2026'!$A:$R,12,FALSE)</f>
        <v>ASC 0096 GLOSSY BLACK</v>
      </c>
      <c r="O237" s="56">
        <v>14.7</v>
      </c>
      <c r="P237" s="55">
        <f>(VLOOKUP($I237,'Old Pricing - end 26-Jan-2026'!$A:$R,8,FALSE)/1000)*(VLOOKUP($I237,'Old Pricing - end 26-Jan-2026'!$A:$R,10,FALSE)/1000)*Q237</f>
        <v>1367.0100000000002</v>
      </c>
      <c r="Q237" s="55">
        <f>ROUND(('Order Details'!$O237*1000)/((VLOOKUP($I237,'Old Pricing - end 26-Jan-2026'!$A:$Q,7,FALSE)/12)*(VLOOKUP($I237,'Old Pricing - end 26-Jan-2026'!$A:$Q,9,FALSE)/12))/5,0)*5</f>
        <v>400</v>
      </c>
      <c r="R237" s="71">
        <f>$Q237/IFERROR(VLOOKUP($F237&amp;RIGHT($K237,8),'Master Data'!$O$5:$P$10,2,FALSE),'Master Data'!$P$4)</f>
        <v>2</v>
      </c>
      <c r="S237" s="57">
        <f>VLOOKUP($I237,'Old Pricing - end 26-Jan-2026'!$A:$Q,16,FALSE)</f>
        <v>700</v>
      </c>
      <c r="T237" s="57">
        <f>VLOOKUP(I237,'Old Pricing - end 26-Jan-2026'!$A:$O,15,FALSE)</f>
        <v>7.53</v>
      </c>
      <c r="U237" s="57">
        <f t="shared" ref="U237:U296" si="13">O237*S237</f>
        <v>10290</v>
      </c>
      <c r="V237" s="111">
        <f t="shared" si="12"/>
        <v>10293.585300000002</v>
      </c>
      <c r="W237" s="55">
        <f>VLOOKUP($I237,'Old Pricing - end 26-Jan-2026'!$A:$R,18,FALSE)</f>
        <v>45</v>
      </c>
    </row>
    <row r="238" spans="1:23" ht="15" hidden="1" thickTop="1" x14ac:dyDescent="0.3">
      <c r="A238" s="55">
        <v>52923929</v>
      </c>
      <c r="B238" s="55">
        <v>0</v>
      </c>
      <c r="C238" s="55" t="str">
        <f>VLOOKUP(A238&amp;"-"&amp;B238,'Order Summary'!$D:$E,2,FALSE)</f>
        <v>Telex / Seaway Released</v>
      </c>
      <c r="D238" s="216">
        <f>IF($A238="","",VLOOKUP($A238&amp;"-"&amp;$B238,'Order Summary'!$D:$U,3,FALSE))</f>
        <v>45888</v>
      </c>
      <c r="E238" s="55" t="str">
        <f>VLOOKUP(A238&amp;"-"&amp;B238,'Order Summary'!$D:$G,4,FALSE)</f>
        <v>Yes</v>
      </c>
      <c r="F238" s="55" t="str">
        <f>VLOOKUP($A238,'Order Summary'!$B:$I,8,FALSE)</f>
        <v>Minneota, MN</v>
      </c>
      <c r="G238" s="216">
        <f>IF($A238="","",VLOOKUP($A238&amp;"-"&amp;$B238,'Order Summary'!$D:$U,18,FALSE))</f>
        <v>46030</v>
      </c>
      <c r="H238" s="55">
        <v>2</v>
      </c>
      <c r="I238" s="55">
        <v>694432</v>
      </c>
      <c r="J238" s="55" t="str">
        <f>VLOOKUP($I238,'Old Pricing - end 26-Jan-2026'!$A:$R,2,FALSE)</f>
        <v>G1S 694432</v>
      </c>
      <c r="K238" s="55" t="str">
        <f>VLOOKUP($I238,'Old Pricing - end 26-Jan-2026'!$A:$R,6,FALSE)&amp;" "&amp;VLOOKUP($I238,'Old Pricing - end 26-Jan-2026'!$A:$R,7,FALSE)&amp;""" x "&amp;VLOOKUP($I238,'Old Pricing - end 26-Jan-2026'!$A:$R,9,FALSE)&amp;""" "&amp;VLOOKUP($I238,'Old Pricing - end 26-Jan-2026'!$A:$R,5,FALSE)</f>
        <v>2MM 49" x 96" ACP</v>
      </c>
      <c r="L238" s="55">
        <f>VLOOKUP($I238,'Old Pricing - end 26-Jan-2026'!$A:$K,8,FALSE)</f>
        <v>1245</v>
      </c>
      <c r="M238" s="55">
        <f>VLOOKUP($I238,'Old Pricing - end 26-Jan-2026'!$A:$K,10,FALSE)</f>
        <v>2440</v>
      </c>
      <c r="N238" s="55" t="str">
        <f>VLOOKUP($I238,'Old Pricing - end 26-Jan-2026'!$A:$R,13,FALSE)&amp;" "&amp;VLOOKUP($I238,'Old Pricing - end 26-Jan-2026'!$A:$R,12,FALSE)</f>
        <v>ASC 0096 GLOSSY BLACK</v>
      </c>
      <c r="O238" s="56">
        <v>13.067</v>
      </c>
      <c r="P238" s="55">
        <f>(VLOOKUP($I238,'Old Pricing - end 26-Jan-2026'!$A:$R,8,FALSE)/1000)*(VLOOKUP($I238,'Old Pricing - end 26-Jan-2026'!$A:$R,10,FALSE)/1000)*Q238</f>
        <v>1215.1200000000001</v>
      </c>
      <c r="Q238" s="55">
        <f>ROUND(('Order Details'!$O238*1000)/((VLOOKUP($I238,'Old Pricing - end 26-Jan-2026'!$A:$Q,7,FALSE)/12)*(VLOOKUP($I238,'Old Pricing - end 26-Jan-2026'!$A:$Q,9,FALSE)/12))/5,0)*5</f>
        <v>400</v>
      </c>
      <c r="R238" s="71">
        <f>$Q238/IFERROR(VLOOKUP($F238&amp;RIGHT($K238,8),'Master Data'!$O$5:$P$10,2,FALSE),'Master Data'!$P$4)</f>
        <v>2</v>
      </c>
      <c r="S238" s="57">
        <f>VLOOKUP($I238,'Old Pricing - end 26-Jan-2026'!$A:$Q,16,FALSE)</f>
        <v>700</v>
      </c>
      <c r="T238" s="57">
        <f>VLOOKUP(I238,'Old Pricing - end 26-Jan-2026'!$A:$O,15,FALSE)</f>
        <v>7.53</v>
      </c>
      <c r="U238" s="57">
        <f t="shared" si="13"/>
        <v>9146.9</v>
      </c>
      <c r="V238" s="111">
        <f t="shared" si="12"/>
        <v>9149.8536000000004</v>
      </c>
      <c r="W238" s="55">
        <f>VLOOKUP($I238,'Old Pricing - end 26-Jan-2026'!$A:$R,18,FALSE)</f>
        <v>45</v>
      </c>
    </row>
    <row r="239" spans="1:23" ht="15" hidden="1" thickTop="1" x14ac:dyDescent="0.3">
      <c r="A239" s="55">
        <v>52923929</v>
      </c>
      <c r="B239" s="55">
        <v>0</v>
      </c>
      <c r="C239" s="55" t="str">
        <f>VLOOKUP(A239&amp;"-"&amp;B239,'Order Summary'!$D:$E,2,FALSE)</f>
        <v>Telex / Seaway Released</v>
      </c>
      <c r="D239" s="216">
        <f>IF($A239="","",VLOOKUP($A239&amp;"-"&amp;$B239,'Order Summary'!$D:$U,3,FALSE))</f>
        <v>45888</v>
      </c>
      <c r="E239" s="55" t="str">
        <f>VLOOKUP(A239&amp;"-"&amp;B239,'Order Summary'!$D:$G,4,FALSE)</f>
        <v>Yes</v>
      </c>
      <c r="F239" s="55" t="str">
        <f>VLOOKUP($A239,'Order Summary'!$B:$I,8,FALSE)</f>
        <v>Minneota, MN</v>
      </c>
      <c r="G239" s="216">
        <f>IF($A239="","",VLOOKUP($A239&amp;"-"&amp;$B239,'Order Summary'!$D:$U,18,FALSE))</f>
        <v>46030</v>
      </c>
      <c r="H239" s="55">
        <v>3</v>
      </c>
      <c r="I239" s="55">
        <v>694436</v>
      </c>
      <c r="J239" s="55" t="str">
        <f>VLOOKUP($I239,'Old Pricing - end 26-Jan-2026'!$A:$R,2,FALSE)</f>
        <v>G1S 694436</v>
      </c>
      <c r="K239" s="55" t="str">
        <f>VLOOKUP($I239,'Old Pricing - end 26-Jan-2026'!$A:$R,6,FALSE)&amp;" "&amp;VLOOKUP($I239,'Old Pricing - end 26-Jan-2026'!$A:$R,7,FALSE)&amp;""" x "&amp;VLOOKUP($I239,'Old Pricing - end 26-Jan-2026'!$A:$R,9,FALSE)&amp;""" "&amp;VLOOKUP($I239,'Old Pricing - end 26-Jan-2026'!$A:$R,5,FALSE)</f>
        <v>2MM 49" x 96" ACP</v>
      </c>
      <c r="L239" s="55">
        <f>VLOOKUP($I239,'Old Pricing - end 26-Jan-2026'!$A:$K,8,FALSE)</f>
        <v>1245</v>
      </c>
      <c r="M239" s="55">
        <f>VLOOKUP($I239,'Old Pricing - end 26-Jan-2026'!$A:$K,10,FALSE)</f>
        <v>2440</v>
      </c>
      <c r="N239" s="55" t="str">
        <f>VLOOKUP($I239,'Old Pricing - end 26-Jan-2026'!$A:$R,13,FALSE)&amp;" "&amp;VLOOKUP($I239,'Old Pricing - end 26-Jan-2026'!$A:$R,12,FALSE)</f>
        <v>ASC 0069 GLOSSY WHITE</v>
      </c>
      <c r="O239" s="56">
        <v>6.5330000000000004</v>
      </c>
      <c r="P239" s="55">
        <f>(VLOOKUP($I239,'Old Pricing - end 26-Jan-2026'!$A:$R,8,FALSE)/1000)*(VLOOKUP($I239,'Old Pricing - end 26-Jan-2026'!$A:$R,10,FALSE)/1000)*Q239</f>
        <v>607.56000000000006</v>
      </c>
      <c r="Q239" s="55">
        <f>ROUND(('Order Details'!$O239*1000)/((VLOOKUP($I239,'Old Pricing - end 26-Jan-2026'!$A:$Q,7,FALSE)/12)*(VLOOKUP($I239,'Old Pricing - end 26-Jan-2026'!$A:$Q,9,FALSE)/12))/5,0)*5</f>
        <v>200</v>
      </c>
      <c r="R239" s="71">
        <f>$Q239/IFERROR(VLOOKUP($F239&amp;RIGHT($K239,8),'Master Data'!$O$5:$P$10,2,FALSE),'Master Data'!$P$4)</f>
        <v>1</v>
      </c>
      <c r="S239" s="57">
        <f>VLOOKUP($I239,'Old Pricing - end 26-Jan-2026'!$A:$Q,16,FALSE)</f>
        <v>700</v>
      </c>
      <c r="T239" s="57">
        <f>VLOOKUP(I239,'Old Pricing - end 26-Jan-2026'!$A:$O,15,FALSE)</f>
        <v>7.53</v>
      </c>
      <c r="U239" s="57">
        <f t="shared" si="13"/>
        <v>4573.1000000000004</v>
      </c>
      <c r="V239" s="111">
        <f t="shared" si="12"/>
        <v>4574.9268000000002</v>
      </c>
      <c r="W239" s="55">
        <f>VLOOKUP($I239,'Old Pricing - end 26-Jan-2026'!$A:$R,18,FALSE)</f>
        <v>45</v>
      </c>
    </row>
    <row r="240" spans="1:23" ht="15" hidden="1" thickTop="1" x14ac:dyDescent="0.3">
      <c r="A240" s="55">
        <v>52923929</v>
      </c>
      <c r="B240" s="55">
        <v>0</v>
      </c>
      <c r="C240" s="55" t="str">
        <f>VLOOKUP(A240&amp;"-"&amp;B240,'Order Summary'!$D:$E,2,FALSE)</f>
        <v>Telex / Seaway Released</v>
      </c>
      <c r="D240" s="216">
        <f>IF($A240="","",VLOOKUP($A240&amp;"-"&amp;$B240,'Order Summary'!$D:$U,3,FALSE))</f>
        <v>45888</v>
      </c>
      <c r="E240" s="55" t="str">
        <f>VLOOKUP(A240&amp;"-"&amp;B240,'Order Summary'!$D:$G,4,FALSE)</f>
        <v>Yes</v>
      </c>
      <c r="F240" s="55" t="str">
        <f>VLOOKUP($A240,'Order Summary'!$B:$I,8,FALSE)</f>
        <v>Minneota, MN</v>
      </c>
      <c r="G240" s="216">
        <f>IF($A240="","",VLOOKUP($A240&amp;"-"&amp;$B240,'Order Summary'!$D:$U,18,FALSE))</f>
        <v>46030</v>
      </c>
      <c r="H240" s="55">
        <v>4</v>
      </c>
      <c r="I240" s="55">
        <v>694437</v>
      </c>
      <c r="J240" s="55" t="str">
        <f>VLOOKUP($I240,'Old Pricing - end 26-Jan-2026'!$A:$R,2,FALSE)</f>
        <v>G1S 694437</v>
      </c>
      <c r="K240" s="55" t="str">
        <f>VLOOKUP($I240,'Old Pricing - end 26-Jan-2026'!$A:$R,6,FALSE)&amp;" "&amp;VLOOKUP($I240,'Old Pricing - end 26-Jan-2026'!$A:$R,7,FALSE)&amp;""" x "&amp;VLOOKUP($I240,'Old Pricing - end 26-Jan-2026'!$A:$R,9,FALSE)&amp;""" "&amp;VLOOKUP($I240,'Old Pricing - end 26-Jan-2026'!$A:$R,5,FALSE)</f>
        <v>2MM 49" x 108" ACP</v>
      </c>
      <c r="L240" s="55">
        <f>VLOOKUP($I240,'Old Pricing - end 26-Jan-2026'!$A:$K,8,FALSE)</f>
        <v>1245</v>
      </c>
      <c r="M240" s="55">
        <f>VLOOKUP($I240,'Old Pricing - end 26-Jan-2026'!$A:$K,10,FALSE)</f>
        <v>2745</v>
      </c>
      <c r="N240" s="55" t="str">
        <f>VLOOKUP($I240,'Old Pricing - end 26-Jan-2026'!$A:$R,13,FALSE)&amp;" "&amp;VLOOKUP($I240,'Old Pricing - end 26-Jan-2026'!$A:$R,12,FALSE)</f>
        <v>ASC 0069 GLOSSY WHITE</v>
      </c>
      <c r="O240" s="56">
        <v>14.7</v>
      </c>
      <c r="P240" s="55">
        <f>(VLOOKUP($I240,'Old Pricing - end 26-Jan-2026'!$A:$R,8,FALSE)/1000)*(VLOOKUP($I240,'Old Pricing - end 26-Jan-2026'!$A:$R,10,FALSE)/1000)*Q240</f>
        <v>1367.0100000000002</v>
      </c>
      <c r="Q240" s="55">
        <f>ROUND(('Order Details'!$O240*1000)/((VLOOKUP($I240,'Old Pricing - end 26-Jan-2026'!$A:$Q,7,FALSE)/12)*(VLOOKUP($I240,'Old Pricing - end 26-Jan-2026'!$A:$Q,9,FALSE)/12))/5,0)*5</f>
        <v>400</v>
      </c>
      <c r="R240" s="71">
        <f>$Q240/IFERROR(VLOOKUP($F240&amp;RIGHT($K240,8),'Master Data'!$O$5:$P$10,2,FALSE),'Master Data'!$P$4)</f>
        <v>2</v>
      </c>
      <c r="S240" s="57">
        <f>VLOOKUP($I240,'Old Pricing - end 26-Jan-2026'!$A:$Q,16,FALSE)</f>
        <v>700</v>
      </c>
      <c r="T240" s="57">
        <f>VLOOKUP(I240,'Old Pricing - end 26-Jan-2026'!$A:$O,15,FALSE)</f>
        <v>7.53</v>
      </c>
      <c r="U240" s="57">
        <f t="shared" si="13"/>
        <v>10290</v>
      </c>
      <c r="V240" s="111">
        <f t="shared" si="12"/>
        <v>10293.585300000002</v>
      </c>
      <c r="W240" s="55">
        <f>VLOOKUP($I240,'Old Pricing - end 26-Jan-2026'!$A:$R,18,FALSE)</f>
        <v>45</v>
      </c>
    </row>
    <row r="241" spans="1:23" ht="15" hidden="1" thickTop="1" x14ac:dyDescent="0.3">
      <c r="A241" s="55">
        <v>52923929</v>
      </c>
      <c r="B241" s="55">
        <v>0</v>
      </c>
      <c r="C241" s="55" t="str">
        <f>VLOOKUP(A241&amp;"-"&amp;B241,'Order Summary'!$D:$E,2,FALSE)</f>
        <v>Telex / Seaway Released</v>
      </c>
      <c r="D241" s="216">
        <f>IF($A241="","",VLOOKUP($A241&amp;"-"&amp;$B241,'Order Summary'!$D:$U,3,FALSE))</f>
        <v>45888</v>
      </c>
      <c r="E241" s="55" t="str">
        <f>VLOOKUP(A241&amp;"-"&amp;B241,'Order Summary'!$D:$G,4,FALSE)</f>
        <v>Yes</v>
      </c>
      <c r="F241" s="55" t="str">
        <f>VLOOKUP($A241,'Order Summary'!$B:$I,8,FALSE)</f>
        <v>Minneota, MN</v>
      </c>
      <c r="G241" s="216">
        <f>IF($A241="","",VLOOKUP($A241&amp;"-"&amp;$B241,'Order Summary'!$D:$U,18,FALSE))</f>
        <v>46030</v>
      </c>
      <c r="H241" s="55">
        <v>5</v>
      </c>
      <c r="I241" s="55">
        <v>694440</v>
      </c>
      <c r="J241" s="55" t="str">
        <f>VLOOKUP($I241,'Old Pricing - end 26-Jan-2026'!$A:$R,2,FALSE)</f>
        <v>G1S 694440</v>
      </c>
      <c r="K241" s="55" t="str">
        <f>VLOOKUP($I241,'Old Pricing - end 26-Jan-2026'!$A:$R,6,FALSE)&amp;" "&amp;VLOOKUP($I241,'Old Pricing - end 26-Jan-2026'!$A:$R,7,FALSE)&amp;""" x "&amp;VLOOKUP($I241,'Old Pricing - end 26-Jan-2026'!$A:$R,9,FALSE)&amp;""" "&amp;VLOOKUP($I241,'Old Pricing - end 26-Jan-2026'!$A:$R,5,FALSE)</f>
        <v>2MM 49" x 96" ACP</v>
      </c>
      <c r="L241" s="55">
        <f>VLOOKUP($I241,'Old Pricing - end 26-Jan-2026'!$A:$K,8,FALSE)</f>
        <v>1245</v>
      </c>
      <c r="M241" s="55">
        <f>VLOOKUP($I241,'Old Pricing - end 26-Jan-2026'!$A:$K,10,FALSE)</f>
        <v>2440</v>
      </c>
      <c r="N241" s="55" t="str">
        <f>VLOOKUP($I241,'Old Pricing - end 26-Jan-2026'!$A:$R,13,FALSE)&amp;" "&amp;VLOOKUP($I241,'Old Pricing - end 26-Jan-2026'!$A:$R,12,FALSE)</f>
        <v>AMC 0103 SILVER FROST</v>
      </c>
      <c r="O241" s="56">
        <v>6.5330000000000004</v>
      </c>
      <c r="P241" s="55">
        <f>(VLOOKUP($I241,'Old Pricing - end 26-Jan-2026'!$A:$R,8,FALSE)/1000)*(VLOOKUP($I241,'Old Pricing - end 26-Jan-2026'!$A:$R,10,FALSE)/1000)*Q241</f>
        <v>607.56000000000006</v>
      </c>
      <c r="Q241" s="55">
        <f>ROUND(('Order Details'!$O241*1000)/((VLOOKUP($I241,'Old Pricing - end 26-Jan-2026'!$A:$Q,7,FALSE)/12)*(VLOOKUP($I241,'Old Pricing - end 26-Jan-2026'!$A:$Q,9,FALSE)/12))/5,0)*5</f>
        <v>200</v>
      </c>
      <c r="R241" s="71">
        <f>$Q241/IFERROR(VLOOKUP($F241&amp;RIGHT($K241,8),'Master Data'!$O$5:$P$10,2,FALSE),'Master Data'!$P$4)</f>
        <v>1</v>
      </c>
      <c r="S241" s="57">
        <f>VLOOKUP($I241,'Old Pricing - end 26-Jan-2026'!$A:$Q,16,FALSE)</f>
        <v>700</v>
      </c>
      <c r="T241" s="57">
        <f>VLOOKUP(I241,'Old Pricing - end 26-Jan-2026'!$A:$O,15,FALSE)</f>
        <v>7.53</v>
      </c>
      <c r="U241" s="57">
        <f t="shared" si="13"/>
        <v>4573.1000000000004</v>
      </c>
      <c r="V241" s="111">
        <f t="shared" si="12"/>
        <v>4574.9268000000002</v>
      </c>
      <c r="W241" s="55">
        <f>VLOOKUP($I241,'Old Pricing - end 26-Jan-2026'!$A:$R,18,FALSE)</f>
        <v>90</v>
      </c>
    </row>
    <row r="242" spans="1:23" ht="15" hidden="1" thickTop="1" x14ac:dyDescent="0.3">
      <c r="A242" s="55">
        <v>52923929</v>
      </c>
      <c r="B242" s="55">
        <v>0</v>
      </c>
      <c r="C242" s="55" t="str">
        <f>VLOOKUP(A242&amp;"-"&amp;B242,'Order Summary'!$D:$E,2,FALSE)</f>
        <v>Telex / Seaway Released</v>
      </c>
      <c r="D242" s="216">
        <f>IF($A242="","",VLOOKUP($A242&amp;"-"&amp;$B242,'Order Summary'!$D:$U,3,FALSE))</f>
        <v>45888</v>
      </c>
      <c r="E242" s="55" t="str">
        <f>VLOOKUP(A242&amp;"-"&amp;B242,'Order Summary'!$D:$G,4,FALSE)</f>
        <v>Yes</v>
      </c>
      <c r="F242" s="55" t="str">
        <f>VLOOKUP($A242,'Order Summary'!$B:$I,8,FALSE)</f>
        <v>Minneota, MN</v>
      </c>
      <c r="G242" s="216">
        <f>IF($A242="","",VLOOKUP($A242&amp;"-"&amp;$B242,'Order Summary'!$D:$U,18,FALSE))</f>
        <v>46030</v>
      </c>
      <c r="H242" s="55">
        <v>6</v>
      </c>
      <c r="I242" s="55">
        <v>694441</v>
      </c>
      <c r="J242" s="55" t="str">
        <f>VLOOKUP($I242,'Old Pricing - end 26-Jan-2026'!$A:$R,2,FALSE)</f>
        <v>G1S 694441</v>
      </c>
      <c r="K242" s="55" t="str">
        <f>VLOOKUP($I242,'Old Pricing - end 26-Jan-2026'!$A:$R,6,FALSE)&amp;" "&amp;VLOOKUP($I242,'Old Pricing - end 26-Jan-2026'!$A:$R,7,FALSE)&amp;""" x "&amp;VLOOKUP($I242,'Old Pricing - end 26-Jan-2026'!$A:$R,9,FALSE)&amp;""" "&amp;VLOOKUP($I242,'Old Pricing - end 26-Jan-2026'!$A:$R,5,FALSE)</f>
        <v>2MM 49" x 108" ACP</v>
      </c>
      <c r="L242" s="55">
        <f>VLOOKUP($I242,'Old Pricing - end 26-Jan-2026'!$A:$K,8,FALSE)</f>
        <v>1245</v>
      </c>
      <c r="M242" s="55">
        <f>VLOOKUP($I242,'Old Pricing - end 26-Jan-2026'!$A:$K,10,FALSE)</f>
        <v>2745</v>
      </c>
      <c r="N242" s="55" t="str">
        <f>VLOOKUP($I242,'Old Pricing - end 26-Jan-2026'!$A:$R,13,FALSE)&amp;" "&amp;VLOOKUP($I242,'Old Pricing - end 26-Jan-2026'!$A:$R,12,FALSE)</f>
        <v>AMC 0103 SILVER FROST</v>
      </c>
      <c r="O242" s="56">
        <v>7.35</v>
      </c>
      <c r="P242" s="55">
        <f>(VLOOKUP($I242,'Old Pricing - end 26-Jan-2026'!$A:$R,8,FALSE)/1000)*(VLOOKUP($I242,'Old Pricing - end 26-Jan-2026'!$A:$R,10,FALSE)/1000)*Q242</f>
        <v>683.50500000000011</v>
      </c>
      <c r="Q242" s="55">
        <f>ROUND(('Order Details'!$O242*1000)/((VLOOKUP($I242,'Old Pricing - end 26-Jan-2026'!$A:$Q,7,FALSE)/12)*(VLOOKUP($I242,'Old Pricing - end 26-Jan-2026'!$A:$Q,9,FALSE)/12))/5,0)*5</f>
        <v>200</v>
      </c>
      <c r="R242" s="71">
        <f>$Q242/IFERROR(VLOOKUP($F242&amp;RIGHT($K242,8),'Master Data'!$O$5:$P$10,2,FALSE),'Master Data'!$P$4)</f>
        <v>1</v>
      </c>
      <c r="S242" s="57">
        <f>VLOOKUP($I242,'Old Pricing - end 26-Jan-2026'!$A:$Q,16,FALSE)</f>
        <v>700</v>
      </c>
      <c r="T242" s="57">
        <f>VLOOKUP(I242,'Old Pricing - end 26-Jan-2026'!$A:$O,15,FALSE)</f>
        <v>7.53</v>
      </c>
      <c r="U242" s="57">
        <f t="shared" si="13"/>
        <v>5145</v>
      </c>
      <c r="V242" s="111">
        <f t="shared" si="12"/>
        <v>5146.7926500000012</v>
      </c>
      <c r="W242" s="55">
        <f>VLOOKUP($I242,'Old Pricing - end 26-Jan-2026'!$A:$R,18,FALSE)</f>
        <v>90</v>
      </c>
    </row>
    <row r="243" spans="1:23" ht="15" hidden="1" thickTop="1" x14ac:dyDescent="0.3">
      <c r="A243" s="55">
        <v>52923929</v>
      </c>
      <c r="B243" s="55">
        <v>0</v>
      </c>
      <c r="C243" s="55" t="str">
        <f>VLOOKUP(A243&amp;"-"&amp;B243,'Order Summary'!$D:$E,2,FALSE)</f>
        <v>Telex / Seaway Released</v>
      </c>
      <c r="D243" s="216">
        <f>IF($A243="","",VLOOKUP($A243&amp;"-"&amp;$B243,'Order Summary'!$D:$U,3,FALSE))</f>
        <v>45888</v>
      </c>
      <c r="E243" s="55" t="str">
        <f>VLOOKUP(A243&amp;"-"&amp;B243,'Order Summary'!$D:$G,4,FALSE)</f>
        <v>Yes</v>
      </c>
      <c r="F243" s="55" t="str">
        <f>VLOOKUP($A243,'Order Summary'!$B:$I,8,FALSE)</f>
        <v>Minneota, MN</v>
      </c>
      <c r="G243" s="216">
        <f>IF($A243="","",VLOOKUP($A243&amp;"-"&amp;$B243,'Order Summary'!$D:$U,18,FALSE))</f>
        <v>46030</v>
      </c>
      <c r="H243" s="55">
        <v>7</v>
      </c>
      <c r="I243" s="55">
        <v>694444</v>
      </c>
      <c r="J243" s="55" t="str">
        <f>VLOOKUP($I243,'Old Pricing - end 26-Jan-2026'!$A:$R,2,FALSE)</f>
        <v>G1S 694444</v>
      </c>
      <c r="K243" s="55" t="str">
        <f>VLOOKUP($I243,'Old Pricing - end 26-Jan-2026'!$A:$R,6,FALSE)&amp;" "&amp;VLOOKUP($I243,'Old Pricing - end 26-Jan-2026'!$A:$R,7,FALSE)&amp;""" x "&amp;VLOOKUP($I243,'Old Pricing - end 26-Jan-2026'!$A:$R,9,FALSE)&amp;""" "&amp;VLOOKUP($I243,'Old Pricing - end 26-Jan-2026'!$A:$R,5,FALSE)</f>
        <v>2MM 49" x 96" ACP</v>
      </c>
      <c r="L243" s="55">
        <f>VLOOKUP($I243,'Old Pricing - end 26-Jan-2026'!$A:$K,8,FALSE)</f>
        <v>1245</v>
      </c>
      <c r="M243" s="55">
        <f>VLOOKUP($I243,'Old Pricing - end 26-Jan-2026'!$A:$K,10,FALSE)</f>
        <v>2440</v>
      </c>
      <c r="N243" s="55" t="str">
        <f>VLOOKUP($I243,'Old Pricing - end 26-Jan-2026'!$A:$R,13,FALSE)&amp;" "&amp;VLOOKUP($I243,'Old Pricing - end 26-Jan-2026'!$A:$R,12,FALSE)</f>
        <v>AMC 0086 CHARCOAL METALLIC</v>
      </c>
      <c r="O243" s="56">
        <v>13.067</v>
      </c>
      <c r="P243" s="55">
        <f>(VLOOKUP($I243,'Old Pricing - end 26-Jan-2026'!$A:$R,8,FALSE)/1000)*(VLOOKUP($I243,'Old Pricing - end 26-Jan-2026'!$A:$R,10,FALSE)/1000)*Q243</f>
        <v>1215.1200000000001</v>
      </c>
      <c r="Q243" s="55">
        <f>ROUND(('Order Details'!$O243*1000)/((VLOOKUP($I243,'Old Pricing - end 26-Jan-2026'!$A:$Q,7,FALSE)/12)*(VLOOKUP($I243,'Old Pricing - end 26-Jan-2026'!$A:$Q,9,FALSE)/12))/5,0)*5</f>
        <v>400</v>
      </c>
      <c r="R243" s="71">
        <f>$Q243/IFERROR(VLOOKUP($F243&amp;RIGHT($K243,8),'Master Data'!$O$5:$P$10,2,FALSE),'Master Data'!$P$4)</f>
        <v>2</v>
      </c>
      <c r="S243" s="57">
        <f>VLOOKUP($I243,'Old Pricing - end 26-Jan-2026'!$A:$Q,16,FALSE)</f>
        <v>750</v>
      </c>
      <c r="T243" s="57">
        <f>VLOOKUP(I243,'Old Pricing - end 26-Jan-2026'!$A:$O,15,FALSE)</f>
        <v>8.07</v>
      </c>
      <c r="U243" s="57">
        <f t="shared" si="13"/>
        <v>9800.25</v>
      </c>
      <c r="V243" s="111">
        <f t="shared" si="12"/>
        <v>9806.0184000000008</v>
      </c>
      <c r="W243" s="55">
        <f>VLOOKUP($I243,'Old Pricing - end 26-Jan-2026'!$A:$R,18,FALSE)</f>
        <v>45</v>
      </c>
    </row>
    <row r="244" spans="1:23" s="130" customFormat="1" ht="15" hidden="1" thickTop="1" x14ac:dyDescent="0.3">
      <c r="A244" s="125">
        <v>52923929</v>
      </c>
      <c r="B244" s="125">
        <v>0</v>
      </c>
      <c r="C244" s="125" t="str">
        <f>VLOOKUP(A244&amp;"-"&amp;B244,'Order Summary'!$D:$E,2,FALSE)</f>
        <v>Telex / Seaway Released</v>
      </c>
      <c r="D244" s="216">
        <f>IF($A244="","",VLOOKUP($A244&amp;"-"&amp;$B244,'Order Summary'!$D:$U,3,FALSE))</f>
        <v>45888</v>
      </c>
      <c r="E244" s="125" t="str">
        <f>VLOOKUP(A244&amp;"-"&amp;B244,'Order Summary'!$D:$G,4,FALSE)</f>
        <v>Yes</v>
      </c>
      <c r="F244" s="125" t="str">
        <f>VLOOKUP($A244,'Order Summary'!$B:$I,8,FALSE)</f>
        <v>Minneota, MN</v>
      </c>
      <c r="G244" s="216">
        <f>IF($A244="","",VLOOKUP($A244&amp;"-"&amp;$B244,'Order Summary'!$D:$U,18,FALSE))</f>
        <v>46030</v>
      </c>
      <c r="H244" s="125">
        <v>8</v>
      </c>
      <c r="I244" s="125">
        <v>694445</v>
      </c>
      <c r="J244" s="125" t="str">
        <f>VLOOKUP($I244,'Old Pricing - end 26-Jan-2026'!$A:$R,2,FALSE)</f>
        <v>G1S 694445</v>
      </c>
      <c r="K244" s="125" t="str">
        <f>VLOOKUP($I244,'Old Pricing - end 26-Jan-2026'!$A:$R,6,FALSE)&amp;" "&amp;VLOOKUP($I244,'Old Pricing - end 26-Jan-2026'!$A:$R,7,FALSE)&amp;""" x "&amp;VLOOKUP($I244,'Old Pricing - end 26-Jan-2026'!$A:$R,9,FALSE)&amp;""" "&amp;VLOOKUP($I244,'Old Pricing - end 26-Jan-2026'!$A:$R,5,FALSE)</f>
        <v>2MM 49" x 108" ACP</v>
      </c>
      <c r="L244" s="125">
        <f>VLOOKUP($I244,'Old Pricing - end 26-Jan-2026'!$A:$K,8,FALSE)</f>
        <v>1245</v>
      </c>
      <c r="M244" s="125">
        <f>VLOOKUP($I244,'Old Pricing - end 26-Jan-2026'!$A:$K,10,FALSE)</f>
        <v>2745</v>
      </c>
      <c r="N244" s="125" t="str">
        <f>VLOOKUP($I244,'Old Pricing - end 26-Jan-2026'!$A:$R,13,FALSE)&amp;" "&amp;VLOOKUP($I244,'Old Pricing - end 26-Jan-2026'!$A:$R,12,FALSE)</f>
        <v>AMC 0086 CHARCOAL METALLIC</v>
      </c>
      <c r="O244" s="126">
        <v>14.7</v>
      </c>
      <c r="P244" s="125">
        <f>(VLOOKUP($I244,'Old Pricing - end 26-Jan-2026'!$A:$R,8,FALSE)/1000)*(VLOOKUP($I244,'Old Pricing - end 26-Jan-2026'!$A:$R,10,FALSE)/1000)*Q244</f>
        <v>1367.0100000000002</v>
      </c>
      <c r="Q244" s="125">
        <f>ROUND(('Order Details'!$O244*1000)/((VLOOKUP($I244,'Old Pricing - end 26-Jan-2026'!$A:$Q,7,FALSE)/12)*(VLOOKUP($I244,'Old Pricing - end 26-Jan-2026'!$A:$Q,9,FALSE)/12))/5,0)*5</f>
        <v>400</v>
      </c>
      <c r="R244" s="127">
        <f>$Q244/IFERROR(VLOOKUP($F244&amp;RIGHT($K244,8),'Master Data'!$O$5:$P$10,2,FALSE),'Master Data'!$P$4)</f>
        <v>2</v>
      </c>
      <c r="S244" s="128">
        <f>VLOOKUP($I244,'Old Pricing - end 26-Jan-2026'!$A:$Q,16,FALSE)</f>
        <v>750</v>
      </c>
      <c r="T244" s="128">
        <f>VLOOKUP(I244,'Old Pricing - end 26-Jan-2026'!$A:$O,15,FALSE)</f>
        <v>8.07</v>
      </c>
      <c r="U244" s="128">
        <f t="shared" si="13"/>
        <v>11025</v>
      </c>
      <c r="V244" s="129">
        <f t="shared" si="12"/>
        <v>11031.770700000003</v>
      </c>
      <c r="W244" s="55">
        <f>VLOOKUP($I244,'Old Pricing - end 26-Jan-2026'!$A:$R,18,FALSE)</f>
        <v>45</v>
      </c>
    </row>
    <row r="245" spans="1:23" ht="15" hidden="1" thickTop="1" x14ac:dyDescent="0.3">
      <c r="A245" s="55">
        <v>52930001</v>
      </c>
      <c r="B245" s="55">
        <v>0</v>
      </c>
      <c r="C245" s="55" t="str">
        <f>VLOOKUP(A245&amp;"-"&amp;B245,'Order Summary'!$D:$E,2,FALSE)</f>
        <v>Telex / Seaway Released</v>
      </c>
      <c r="D245" s="216">
        <f>IF($A245="","",VLOOKUP($A245&amp;"-"&amp;$B245,'Order Summary'!$D:$U,3,FALSE))</f>
        <v>45888</v>
      </c>
      <c r="E245" s="55" t="str">
        <f>VLOOKUP(A245&amp;"-"&amp;B245,'Order Summary'!$D:$G,4,FALSE)</f>
        <v>Yes</v>
      </c>
      <c r="F245" s="55" t="str">
        <f>VLOOKUP($A245,'Order Summary'!$B:$I,8,FALSE)</f>
        <v>Nampa, ID</v>
      </c>
      <c r="G245" s="216">
        <f>IF($A245="","",VLOOKUP($A245&amp;"-"&amp;$B245,'Order Summary'!$D:$U,18,FALSE))</f>
        <v>46058</v>
      </c>
      <c r="H245" s="55">
        <v>1</v>
      </c>
      <c r="I245" s="55">
        <v>694447</v>
      </c>
      <c r="J245" s="55" t="str">
        <f>VLOOKUP($I245,'Old Pricing - end 26-Jan-2026'!$A:$R,2,FALSE)</f>
        <v>G1S 694447</v>
      </c>
      <c r="K245" s="55" t="str">
        <f>VLOOKUP($I245,'Old Pricing - end 26-Jan-2026'!$A:$R,6,FALSE)&amp;" "&amp;VLOOKUP($I245,'Old Pricing - end 26-Jan-2026'!$A:$R,7,FALSE)&amp;""" x "&amp;VLOOKUP($I245,'Old Pricing - end 26-Jan-2026'!$A:$R,9,FALSE)&amp;""" "&amp;VLOOKUP($I245,'Old Pricing - end 26-Jan-2026'!$A:$R,5,FALSE)</f>
        <v>2MM 49" x 90" ACP</v>
      </c>
      <c r="L245" s="55">
        <f>VLOOKUP($I245,'Old Pricing - end 26-Jan-2026'!$A:$K,8,FALSE)</f>
        <v>1245</v>
      </c>
      <c r="M245" s="55">
        <f>VLOOKUP($I245,'Old Pricing - end 26-Jan-2026'!$A:$K,10,FALSE)</f>
        <v>2286</v>
      </c>
      <c r="N245" s="55" t="str">
        <f>VLOOKUP($I245,'Old Pricing - end 26-Jan-2026'!$A:$R,13,FALSE)&amp;" "&amp;VLOOKUP($I245,'Old Pricing - end 26-Jan-2026'!$A:$R,12,FALSE)</f>
        <v>ASC 0099 MATTE BLACK</v>
      </c>
      <c r="O245" s="149">
        <f>((VLOOKUP($I245,'Old Pricing - end 26-Jan-2026'!$A:$R,7,FALSE)/12)*(VLOOKUP($I245,'Old Pricing - end 26-Jan-2026'!$A:$R,9,FALSE)/12)*Q245)/1000</f>
        <v>6.1249999999999991</v>
      </c>
      <c r="P245" s="55">
        <f>(VLOOKUP($I245,'Old Pricing - end 26-Jan-2026'!$A:$R,8,FALSE)/1000)*(VLOOKUP($I245,'Old Pricing - end 26-Jan-2026'!$A:$R,10,FALSE)/1000)*Q245</f>
        <v>569.21400000000006</v>
      </c>
      <c r="Q245" s="55">
        <v>200</v>
      </c>
      <c r="R245" s="71">
        <f>$Q245/IFERROR(VLOOKUP($F245&amp;RIGHT($K245,8),'Master Data'!$O$5:$P$10,2,FALSE),'Master Data'!$P$4)</f>
        <v>1</v>
      </c>
      <c r="S245" s="57">
        <f>VLOOKUP($I245,'Old Pricing - end 26-Jan-2026'!$A:$Q,16,FALSE)</f>
        <v>750</v>
      </c>
      <c r="T245" s="57">
        <f>VLOOKUP(I245,'Old Pricing - end 26-Jan-2026'!$A:$O,15,FALSE)</f>
        <v>8.07</v>
      </c>
      <c r="U245" s="57">
        <v>4593.75</v>
      </c>
      <c r="V245" s="111">
        <f t="shared" si="12"/>
        <v>4593.5569800000003</v>
      </c>
      <c r="W245" s="55">
        <f>VLOOKUP($I245,'Old Pricing - end 26-Jan-2026'!$A:$R,18,FALSE)</f>
        <v>90</v>
      </c>
    </row>
    <row r="246" spans="1:23" ht="15" hidden="1" thickTop="1" x14ac:dyDescent="0.3">
      <c r="A246" s="55">
        <v>52930001</v>
      </c>
      <c r="B246" s="55">
        <v>0</v>
      </c>
      <c r="C246" s="55" t="str">
        <f>VLOOKUP(A246&amp;"-"&amp;B246,'Order Summary'!$D:$E,2,FALSE)</f>
        <v>Telex / Seaway Released</v>
      </c>
      <c r="D246" s="216">
        <f>IF($A246="","",VLOOKUP($A246&amp;"-"&amp;$B246,'Order Summary'!$D:$U,3,FALSE))</f>
        <v>45888</v>
      </c>
      <c r="E246" s="55" t="str">
        <f>VLOOKUP(A246&amp;"-"&amp;B246,'Order Summary'!$D:$G,4,FALSE)</f>
        <v>Yes</v>
      </c>
      <c r="F246" s="55" t="str">
        <f>VLOOKUP($A246,'Order Summary'!$B:$I,8,FALSE)</f>
        <v>Nampa, ID</v>
      </c>
      <c r="G246" s="216">
        <f>IF($A246="","",VLOOKUP($A246&amp;"-"&amp;$B246,'Order Summary'!$D:$U,18,FALSE))</f>
        <v>46058</v>
      </c>
      <c r="H246" s="55">
        <v>2</v>
      </c>
      <c r="I246" s="55">
        <v>694448</v>
      </c>
      <c r="J246" s="55" t="str">
        <f>VLOOKUP($I246,'Old Pricing - end 26-Jan-2026'!$A:$R,2,FALSE)</f>
        <v>G1S 694448</v>
      </c>
      <c r="K246" s="55" t="str">
        <f>VLOOKUP($I246,'Old Pricing - end 26-Jan-2026'!$A:$R,6,FALSE)&amp;" "&amp;VLOOKUP($I246,'Old Pricing - end 26-Jan-2026'!$A:$R,7,FALSE)&amp;""" x "&amp;VLOOKUP($I246,'Old Pricing - end 26-Jan-2026'!$A:$R,9,FALSE)&amp;""" "&amp;VLOOKUP($I246,'Old Pricing - end 26-Jan-2026'!$A:$R,5,FALSE)</f>
        <v>2MM 49" x 96" ACP</v>
      </c>
      <c r="L246" s="55">
        <f>VLOOKUP($I246,'Old Pricing - end 26-Jan-2026'!$A:$K,8,FALSE)</f>
        <v>1245</v>
      </c>
      <c r="M246" s="55">
        <f>VLOOKUP($I246,'Old Pricing - end 26-Jan-2026'!$A:$K,10,FALSE)</f>
        <v>2440</v>
      </c>
      <c r="N246" s="55" t="str">
        <f>VLOOKUP($I246,'Old Pricing - end 26-Jan-2026'!$A:$R,13,FALSE)&amp;" "&amp;VLOOKUP($I246,'Old Pricing - end 26-Jan-2026'!$A:$R,12,FALSE)</f>
        <v>ASC 0099 MATTE BLACK</v>
      </c>
      <c r="O246" s="149">
        <f>((VLOOKUP($I246,'Old Pricing - end 26-Jan-2026'!$A:$R,7,FALSE)/12)*(VLOOKUP($I246,'Old Pricing - end 26-Jan-2026'!$A:$R,9,FALSE)/12)*Q246)/1000</f>
        <v>45.733333333333327</v>
      </c>
      <c r="P246" s="55">
        <f>(VLOOKUP($I246,'Old Pricing - end 26-Jan-2026'!$A:$R,8,FALSE)/1000)*(VLOOKUP($I246,'Old Pricing - end 26-Jan-2026'!$A:$R,10,FALSE)/1000)*Q246</f>
        <v>4252.92</v>
      </c>
      <c r="Q246" s="55">
        <v>1400</v>
      </c>
      <c r="R246" s="71">
        <f>$Q246/IFERROR(VLOOKUP($F246&amp;RIGHT($K246,8),'Master Data'!$O$5:$P$10,2,FALSE),'Master Data'!$P$4)</f>
        <v>7</v>
      </c>
      <c r="S246" s="57">
        <f>VLOOKUP($I246,'Old Pricing - end 26-Jan-2026'!$A:$Q,16,FALSE)</f>
        <v>750</v>
      </c>
      <c r="T246" s="57">
        <f>VLOOKUP(I246,'Old Pricing - end 26-Jan-2026'!$A:$O,15,FALSE)</f>
        <v>8.07</v>
      </c>
      <c r="U246" s="57">
        <v>34299.75</v>
      </c>
      <c r="V246" s="111">
        <f t="shared" si="12"/>
        <v>34321.064400000003</v>
      </c>
      <c r="W246" s="55">
        <f>VLOOKUP($I246,'Old Pricing - end 26-Jan-2026'!$A:$R,18,FALSE)</f>
        <v>90</v>
      </c>
    </row>
    <row r="247" spans="1:23" ht="15" hidden="1" thickTop="1" x14ac:dyDescent="0.3">
      <c r="A247" s="55">
        <v>52930001</v>
      </c>
      <c r="B247" s="55">
        <v>0</v>
      </c>
      <c r="C247" s="55" t="str">
        <f>VLOOKUP(A247&amp;"-"&amp;B247,'Order Summary'!$D:$E,2,FALSE)</f>
        <v>Telex / Seaway Released</v>
      </c>
      <c r="D247" s="216">
        <f>IF($A247="","",VLOOKUP($A247&amp;"-"&amp;$B247,'Order Summary'!$D:$U,3,FALSE))</f>
        <v>45888</v>
      </c>
      <c r="E247" s="55" t="str">
        <f>VLOOKUP(A247&amp;"-"&amp;B247,'Order Summary'!$D:$G,4,FALSE)</f>
        <v>Yes</v>
      </c>
      <c r="F247" s="55" t="str">
        <f>VLOOKUP($A247,'Order Summary'!$B:$I,8,FALSE)</f>
        <v>Nampa, ID</v>
      </c>
      <c r="G247" s="216">
        <f>IF($A247="","",VLOOKUP($A247&amp;"-"&amp;$B247,'Order Summary'!$D:$U,18,FALSE))</f>
        <v>46058</v>
      </c>
      <c r="H247" s="55">
        <v>3</v>
      </c>
      <c r="I247" s="55">
        <v>694449</v>
      </c>
      <c r="J247" s="55" t="str">
        <f>VLOOKUP($I247,'Old Pricing - end 26-Jan-2026'!$A:$R,2,FALSE)</f>
        <v>G1S 694449</v>
      </c>
      <c r="K247" s="55" t="str">
        <f>VLOOKUP($I247,'Old Pricing - end 26-Jan-2026'!$A:$R,6,FALSE)&amp;" "&amp;VLOOKUP($I247,'Old Pricing - end 26-Jan-2026'!$A:$R,7,FALSE)&amp;""" x "&amp;VLOOKUP($I247,'Old Pricing - end 26-Jan-2026'!$A:$R,9,FALSE)&amp;""" "&amp;VLOOKUP($I247,'Old Pricing - end 26-Jan-2026'!$A:$R,5,FALSE)</f>
        <v>2MM 49" x 108" ACP</v>
      </c>
      <c r="L247" s="55">
        <f>VLOOKUP($I247,'Old Pricing - end 26-Jan-2026'!$A:$K,8,FALSE)</f>
        <v>1245</v>
      </c>
      <c r="M247" s="55">
        <f>VLOOKUP($I247,'Old Pricing - end 26-Jan-2026'!$A:$K,10,FALSE)</f>
        <v>2745</v>
      </c>
      <c r="N247" s="55" t="str">
        <f>VLOOKUP($I247,'Old Pricing - end 26-Jan-2026'!$A:$R,13,FALSE)&amp;" "&amp;VLOOKUP($I247,'Old Pricing - end 26-Jan-2026'!$A:$R,12,FALSE)</f>
        <v>ASC 0099 MATTE BLACK</v>
      </c>
      <c r="O247" s="149">
        <f>((VLOOKUP($I247,'Old Pricing - end 26-Jan-2026'!$A:$R,7,FALSE)/12)*(VLOOKUP($I247,'Old Pricing - end 26-Jan-2026'!$A:$R,9,FALSE)/12)*Q247)/1000</f>
        <v>36.75</v>
      </c>
      <c r="P247" s="55">
        <f>(VLOOKUP($I247,'Old Pricing - end 26-Jan-2026'!$A:$R,8,FALSE)/1000)*(VLOOKUP($I247,'Old Pricing - end 26-Jan-2026'!$A:$R,10,FALSE)/1000)*Q247</f>
        <v>3417.5250000000005</v>
      </c>
      <c r="Q247" s="55">
        <v>1000</v>
      </c>
      <c r="R247" s="71">
        <f>$Q247/IFERROR(VLOOKUP($F247&amp;RIGHT($K247,8),'Master Data'!$O$5:$P$10,2,FALSE),'Master Data'!$P$4)</f>
        <v>5</v>
      </c>
      <c r="S247" s="57">
        <f>VLOOKUP($I247,'Old Pricing - end 26-Jan-2026'!$A:$Q,16,FALSE)</f>
        <v>750</v>
      </c>
      <c r="T247" s="57">
        <f>VLOOKUP(I247,'Old Pricing - end 26-Jan-2026'!$A:$O,15,FALSE)</f>
        <v>8.07</v>
      </c>
      <c r="U247" s="57">
        <v>27562.5</v>
      </c>
      <c r="V247" s="111">
        <f t="shared" si="12"/>
        <v>27579.426750000006</v>
      </c>
      <c r="W247" s="55">
        <f>VLOOKUP($I247,'Old Pricing - end 26-Jan-2026'!$A:$R,18,FALSE)</f>
        <v>90</v>
      </c>
    </row>
    <row r="248" spans="1:23" ht="15" hidden="1" thickTop="1" x14ac:dyDescent="0.3">
      <c r="A248" s="55">
        <v>52930031</v>
      </c>
      <c r="B248" s="55">
        <v>0</v>
      </c>
      <c r="C248" s="55" t="str">
        <f>VLOOKUP(A248&amp;"-"&amp;B248,'Order Summary'!$D:$E,2,FALSE)</f>
        <v>Telex / Seaway Released</v>
      </c>
      <c r="D248" s="216">
        <f>IF($A248="","",VLOOKUP($A248&amp;"-"&amp;$B248,'Order Summary'!$D:$U,3,FALSE))</f>
        <v>45888</v>
      </c>
      <c r="E248" s="55" t="str">
        <f>VLOOKUP(A248&amp;"-"&amp;B248,'Order Summary'!$D:$G,4,FALSE)</f>
        <v>Yes</v>
      </c>
      <c r="F248" s="55" t="str">
        <f>VLOOKUP($A248,'Order Summary'!$B:$I,8,FALSE)</f>
        <v>Nampa, ID</v>
      </c>
      <c r="G248" s="216">
        <f>IF($A248="","",VLOOKUP($A248&amp;"-"&amp;$B248,'Order Summary'!$D:$U,18,FALSE))</f>
        <v>46037</v>
      </c>
      <c r="H248" s="55">
        <v>1</v>
      </c>
      <c r="I248" s="55">
        <v>694433</v>
      </c>
      <c r="J248" s="55" t="str">
        <f>VLOOKUP($I248,'Old Pricing - end 26-Jan-2026'!$A:$R,2,FALSE)</f>
        <v>G1S 694433</v>
      </c>
      <c r="K248" s="55" t="str">
        <f>VLOOKUP($I248,'Old Pricing - end 26-Jan-2026'!$A:$R,6,FALSE)&amp;" "&amp;VLOOKUP($I248,'Old Pricing - end 26-Jan-2026'!$A:$R,7,FALSE)&amp;""" x "&amp;VLOOKUP($I248,'Old Pricing - end 26-Jan-2026'!$A:$R,9,FALSE)&amp;""" "&amp;VLOOKUP($I248,'Old Pricing - end 26-Jan-2026'!$A:$R,5,FALSE)</f>
        <v>2MM 49" x 108" ACP</v>
      </c>
      <c r="L248" s="55">
        <f>VLOOKUP($I248,'Old Pricing - end 26-Jan-2026'!$A:$K,8,FALSE)</f>
        <v>1245</v>
      </c>
      <c r="M248" s="55">
        <f>VLOOKUP($I248,'Old Pricing - end 26-Jan-2026'!$A:$K,10,FALSE)</f>
        <v>2745</v>
      </c>
      <c r="N248" s="55" t="str">
        <f>VLOOKUP($I248,'Old Pricing - end 26-Jan-2026'!$A:$R,13,FALSE)&amp;" "&amp;VLOOKUP($I248,'Old Pricing - end 26-Jan-2026'!$A:$R,12,FALSE)</f>
        <v>ASC 0096 GLOSSY BLACK</v>
      </c>
      <c r="O248" s="56">
        <v>7.35</v>
      </c>
      <c r="P248" s="55">
        <f>(VLOOKUP($I248,'Old Pricing - end 26-Jan-2026'!$A:$R,8,FALSE)/1000)*(VLOOKUP($I248,'Old Pricing - end 26-Jan-2026'!$A:$R,10,FALSE)/1000)*Q248</f>
        <v>683.50500000000011</v>
      </c>
      <c r="Q248" s="55">
        <f>ROUND(('Order Details'!$O248*1000)/((VLOOKUP($I248,'Old Pricing - end 26-Jan-2026'!$A:$Q,7,FALSE)/12)*(VLOOKUP($I248,'Old Pricing - end 26-Jan-2026'!$A:$Q,9,FALSE)/12))/5,0)*5</f>
        <v>200</v>
      </c>
      <c r="R248" s="71">
        <f>$Q248/IFERROR(VLOOKUP($F248&amp;RIGHT($K248,8),'Master Data'!$O$5:$P$10,2,FALSE),'Master Data'!$P$4)</f>
        <v>1</v>
      </c>
      <c r="S248" s="57">
        <f>VLOOKUP($I248,'Old Pricing - end 26-Jan-2026'!$A:$Q,16,FALSE)</f>
        <v>700</v>
      </c>
      <c r="T248" s="57">
        <f>VLOOKUP(I248,'Old Pricing - end 26-Jan-2026'!$A:$O,15,FALSE)</f>
        <v>7.53</v>
      </c>
      <c r="U248" s="57">
        <f t="shared" si="13"/>
        <v>5145</v>
      </c>
      <c r="V248" s="111">
        <f t="shared" si="12"/>
        <v>5146.7926500000012</v>
      </c>
      <c r="W248" s="55">
        <f>VLOOKUP($I248,'Old Pricing - end 26-Jan-2026'!$A:$R,18,FALSE)</f>
        <v>45</v>
      </c>
    </row>
    <row r="249" spans="1:23" ht="15" hidden="1" thickTop="1" x14ac:dyDescent="0.3">
      <c r="A249" s="55">
        <v>52930031</v>
      </c>
      <c r="B249" s="55">
        <v>0</v>
      </c>
      <c r="C249" s="55" t="str">
        <f>VLOOKUP(A249&amp;"-"&amp;B249,'Order Summary'!$D:$E,2,FALSE)</f>
        <v>Telex / Seaway Released</v>
      </c>
      <c r="D249" s="216">
        <f>IF($A249="","",VLOOKUP($A249&amp;"-"&amp;$B249,'Order Summary'!$D:$U,3,FALSE))</f>
        <v>45888</v>
      </c>
      <c r="E249" s="55" t="str">
        <f>VLOOKUP(A249&amp;"-"&amp;B249,'Order Summary'!$D:$G,4,FALSE)</f>
        <v>Yes</v>
      </c>
      <c r="F249" s="55" t="str">
        <f>VLOOKUP($A249,'Order Summary'!$B:$I,8,FALSE)</f>
        <v>Nampa, ID</v>
      </c>
      <c r="G249" s="216">
        <f>IF($A249="","",VLOOKUP($A249&amp;"-"&amp;$B249,'Order Summary'!$D:$U,18,FALSE))</f>
        <v>46037</v>
      </c>
      <c r="H249" s="55">
        <v>2</v>
      </c>
      <c r="I249" s="55">
        <v>694436</v>
      </c>
      <c r="J249" s="55" t="str">
        <f>VLOOKUP($I249,'Old Pricing - end 26-Jan-2026'!$A:$R,2,FALSE)</f>
        <v>G1S 694436</v>
      </c>
      <c r="K249" s="55" t="str">
        <f>VLOOKUP($I249,'Old Pricing - end 26-Jan-2026'!$A:$R,6,FALSE)&amp;" "&amp;VLOOKUP($I249,'Old Pricing - end 26-Jan-2026'!$A:$R,7,FALSE)&amp;""" x "&amp;VLOOKUP($I249,'Old Pricing - end 26-Jan-2026'!$A:$R,9,FALSE)&amp;""" "&amp;VLOOKUP($I249,'Old Pricing - end 26-Jan-2026'!$A:$R,5,FALSE)</f>
        <v>2MM 49" x 96" ACP</v>
      </c>
      <c r="L249" s="55">
        <f>VLOOKUP($I249,'Old Pricing - end 26-Jan-2026'!$A:$K,8,FALSE)</f>
        <v>1245</v>
      </c>
      <c r="M249" s="55">
        <f>VLOOKUP($I249,'Old Pricing - end 26-Jan-2026'!$A:$K,10,FALSE)</f>
        <v>2440</v>
      </c>
      <c r="N249" s="55" t="str">
        <f>VLOOKUP($I249,'Old Pricing - end 26-Jan-2026'!$A:$R,13,FALSE)&amp;" "&amp;VLOOKUP($I249,'Old Pricing - end 26-Jan-2026'!$A:$R,12,FALSE)</f>
        <v>ASC 0069 GLOSSY WHITE</v>
      </c>
      <c r="O249" s="56">
        <v>19.600000000000001</v>
      </c>
      <c r="P249" s="55">
        <f>(VLOOKUP($I249,'Old Pricing - end 26-Jan-2026'!$A:$R,8,FALSE)/1000)*(VLOOKUP($I249,'Old Pricing - end 26-Jan-2026'!$A:$R,10,FALSE)/1000)*Q249</f>
        <v>1822.68</v>
      </c>
      <c r="Q249" s="55">
        <f>ROUND(('Order Details'!$O249*1000)/((VLOOKUP($I249,'Old Pricing - end 26-Jan-2026'!$A:$Q,7,FALSE)/12)*(VLOOKUP($I249,'Old Pricing - end 26-Jan-2026'!$A:$Q,9,FALSE)/12))/5,0)*5</f>
        <v>600</v>
      </c>
      <c r="R249" s="71">
        <f>$Q249/IFERROR(VLOOKUP($F249&amp;RIGHT($K249,8),'Master Data'!$O$5:$P$10,2,FALSE),'Master Data'!$P$4)</f>
        <v>3</v>
      </c>
      <c r="S249" s="57">
        <f>VLOOKUP($I249,'Old Pricing - end 26-Jan-2026'!$A:$Q,16,FALSE)</f>
        <v>700</v>
      </c>
      <c r="T249" s="57">
        <f>VLOOKUP(I249,'Old Pricing - end 26-Jan-2026'!$A:$O,15,FALSE)</f>
        <v>7.53</v>
      </c>
      <c r="U249" s="57">
        <f t="shared" si="13"/>
        <v>13720.000000000002</v>
      </c>
      <c r="V249" s="111">
        <f t="shared" si="12"/>
        <v>13724.780400000001</v>
      </c>
      <c r="W249" s="55">
        <f>VLOOKUP($I249,'Old Pricing - end 26-Jan-2026'!$A:$R,18,FALSE)</f>
        <v>45</v>
      </c>
    </row>
    <row r="250" spans="1:23" ht="15" hidden="1" thickTop="1" x14ac:dyDescent="0.3">
      <c r="A250" s="55">
        <v>52930031</v>
      </c>
      <c r="B250" s="55">
        <v>0</v>
      </c>
      <c r="C250" s="55" t="str">
        <f>VLOOKUP(A250&amp;"-"&amp;B250,'Order Summary'!$D:$E,2,FALSE)</f>
        <v>Telex / Seaway Released</v>
      </c>
      <c r="D250" s="216">
        <f>IF($A250="","",VLOOKUP($A250&amp;"-"&amp;$B250,'Order Summary'!$D:$U,3,FALSE))</f>
        <v>45888</v>
      </c>
      <c r="E250" s="55" t="str">
        <f>VLOOKUP(A250&amp;"-"&amp;B250,'Order Summary'!$D:$G,4,FALSE)</f>
        <v>Yes</v>
      </c>
      <c r="F250" s="55" t="str">
        <f>VLOOKUP($A250,'Order Summary'!$B:$I,8,FALSE)</f>
        <v>Nampa, ID</v>
      </c>
      <c r="G250" s="216">
        <f>IF($A250="","",VLOOKUP($A250&amp;"-"&amp;$B250,'Order Summary'!$D:$U,18,FALSE))</f>
        <v>46037</v>
      </c>
      <c r="H250" s="55">
        <v>3</v>
      </c>
      <c r="I250" s="55">
        <v>694437</v>
      </c>
      <c r="J250" s="55" t="str">
        <f>VLOOKUP($I250,'Old Pricing - end 26-Jan-2026'!$A:$R,2,FALSE)</f>
        <v>G1S 694437</v>
      </c>
      <c r="K250" s="55" t="str">
        <f>VLOOKUP($I250,'Old Pricing - end 26-Jan-2026'!$A:$R,6,FALSE)&amp;" "&amp;VLOOKUP($I250,'Old Pricing - end 26-Jan-2026'!$A:$R,7,FALSE)&amp;""" x "&amp;VLOOKUP($I250,'Old Pricing - end 26-Jan-2026'!$A:$R,9,FALSE)&amp;""" "&amp;VLOOKUP($I250,'Old Pricing - end 26-Jan-2026'!$A:$R,5,FALSE)</f>
        <v>2MM 49" x 108" ACP</v>
      </c>
      <c r="L250" s="55">
        <f>VLOOKUP($I250,'Old Pricing - end 26-Jan-2026'!$A:$K,8,FALSE)</f>
        <v>1245</v>
      </c>
      <c r="M250" s="55">
        <f>VLOOKUP($I250,'Old Pricing - end 26-Jan-2026'!$A:$K,10,FALSE)</f>
        <v>2745</v>
      </c>
      <c r="N250" s="55" t="str">
        <f>VLOOKUP($I250,'Old Pricing - end 26-Jan-2026'!$A:$R,13,FALSE)&amp;" "&amp;VLOOKUP($I250,'Old Pricing - end 26-Jan-2026'!$A:$R,12,FALSE)</f>
        <v>ASC 0069 GLOSSY WHITE</v>
      </c>
      <c r="O250" s="56">
        <v>14.7</v>
      </c>
      <c r="P250" s="55">
        <f>(VLOOKUP($I250,'Old Pricing - end 26-Jan-2026'!$A:$R,8,FALSE)/1000)*(VLOOKUP($I250,'Old Pricing - end 26-Jan-2026'!$A:$R,10,FALSE)/1000)*Q250</f>
        <v>1367.0100000000002</v>
      </c>
      <c r="Q250" s="55">
        <f>ROUND(('Order Details'!$O250*1000)/((VLOOKUP($I250,'Old Pricing - end 26-Jan-2026'!$A:$Q,7,FALSE)/12)*(VLOOKUP($I250,'Old Pricing - end 26-Jan-2026'!$A:$Q,9,FALSE)/12))/5,0)*5</f>
        <v>400</v>
      </c>
      <c r="R250" s="71">
        <f>$Q250/IFERROR(VLOOKUP($F250&amp;RIGHT($K250,8),'Master Data'!$O$5:$P$10,2,FALSE),'Master Data'!$P$4)</f>
        <v>2</v>
      </c>
      <c r="S250" s="57">
        <f>VLOOKUP($I250,'Old Pricing - end 26-Jan-2026'!$A:$Q,16,FALSE)</f>
        <v>700</v>
      </c>
      <c r="T250" s="57">
        <f>VLOOKUP(I250,'Old Pricing - end 26-Jan-2026'!$A:$O,15,FALSE)</f>
        <v>7.53</v>
      </c>
      <c r="U250" s="57">
        <f t="shared" si="13"/>
        <v>10290</v>
      </c>
      <c r="V250" s="111">
        <f t="shared" si="12"/>
        <v>10293.585300000002</v>
      </c>
      <c r="W250" s="55">
        <f>VLOOKUP($I250,'Old Pricing - end 26-Jan-2026'!$A:$R,18,FALSE)</f>
        <v>45</v>
      </c>
    </row>
    <row r="251" spans="1:23" ht="15" hidden="1" thickTop="1" x14ac:dyDescent="0.3">
      <c r="A251" s="55">
        <v>52930031</v>
      </c>
      <c r="B251" s="55">
        <v>0</v>
      </c>
      <c r="C251" s="55" t="str">
        <f>VLOOKUP(A251&amp;"-"&amp;B251,'Order Summary'!$D:$E,2,FALSE)</f>
        <v>Telex / Seaway Released</v>
      </c>
      <c r="D251" s="216">
        <f>IF($A251="","",VLOOKUP($A251&amp;"-"&amp;$B251,'Order Summary'!$D:$U,3,FALSE))</f>
        <v>45888</v>
      </c>
      <c r="E251" s="55" t="str">
        <f>VLOOKUP(A251&amp;"-"&amp;B251,'Order Summary'!$D:$G,4,FALSE)</f>
        <v>Yes</v>
      </c>
      <c r="F251" s="55" t="str">
        <f>VLOOKUP($A251,'Order Summary'!$B:$I,8,FALSE)</f>
        <v>Nampa, ID</v>
      </c>
      <c r="G251" s="216">
        <f>IF($A251="","",VLOOKUP($A251&amp;"-"&amp;$B251,'Order Summary'!$D:$U,18,FALSE))</f>
        <v>46037</v>
      </c>
      <c r="H251" s="55">
        <v>4</v>
      </c>
      <c r="I251" s="55">
        <v>694439</v>
      </c>
      <c r="J251" s="55" t="str">
        <f>VLOOKUP($I251,'Old Pricing - end 26-Jan-2026'!$A:$R,2,FALSE)</f>
        <v>G1S 694439</v>
      </c>
      <c r="K251" s="55" t="str">
        <f>VLOOKUP($I251,'Old Pricing - end 26-Jan-2026'!$A:$R,6,FALSE)&amp;" "&amp;VLOOKUP($I251,'Old Pricing - end 26-Jan-2026'!$A:$R,7,FALSE)&amp;""" x "&amp;VLOOKUP($I251,'Old Pricing - end 26-Jan-2026'!$A:$R,9,FALSE)&amp;""" "&amp;VLOOKUP($I251,'Old Pricing - end 26-Jan-2026'!$A:$R,5,FALSE)</f>
        <v>2MM 49" x 90" ACP</v>
      </c>
      <c r="L251" s="55">
        <f>VLOOKUP($I251,'Old Pricing - end 26-Jan-2026'!$A:$K,8,FALSE)</f>
        <v>1245</v>
      </c>
      <c r="M251" s="55">
        <f>VLOOKUP($I251,'Old Pricing - end 26-Jan-2026'!$A:$K,10,FALSE)</f>
        <v>2286</v>
      </c>
      <c r="N251" s="55" t="str">
        <f>VLOOKUP($I251,'Old Pricing - end 26-Jan-2026'!$A:$R,13,FALSE)&amp;" "&amp;VLOOKUP($I251,'Old Pricing - end 26-Jan-2026'!$A:$R,12,FALSE)</f>
        <v>AMC 0103 SILVER FROST</v>
      </c>
      <c r="O251" s="56">
        <v>6.125</v>
      </c>
      <c r="P251" s="55">
        <f>(VLOOKUP($I251,'Old Pricing - end 26-Jan-2026'!$A:$R,8,FALSE)/1000)*(VLOOKUP($I251,'Old Pricing - end 26-Jan-2026'!$A:$R,10,FALSE)/1000)*Q251</f>
        <v>569.21400000000006</v>
      </c>
      <c r="Q251" s="55">
        <f>ROUND(('Order Details'!$O251*1000)/((VLOOKUP($I251,'Old Pricing - end 26-Jan-2026'!$A:$Q,7,FALSE)/12)*(VLOOKUP($I251,'Old Pricing - end 26-Jan-2026'!$A:$Q,9,FALSE)/12))/5,0)*5</f>
        <v>200</v>
      </c>
      <c r="R251" s="71">
        <f>$Q251/IFERROR(VLOOKUP($F251&amp;RIGHT($K251,8),'Master Data'!$O$5:$P$10,2,FALSE),'Master Data'!$P$4)</f>
        <v>1</v>
      </c>
      <c r="S251" s="57">
        <f>VLOOKUP($I251,'Old Pricing - end 26-Jan-2026'!$A:$Q,16,FALSE)</f>
        <v>700</v>
      </c>
      <c r="T251" s="57">
        <f>VLOOKUP(I251,'Old Pricing - end 26-Jan-2026'!$A:$O,15,FALSE)</f>
        <v>7.53</v>
      </c>
      <c r="U251" s="57">
        <f t="shared" si="13"/>
        <v>4287.5</v>
      </c>
      <c r="V251" s="111">
        <f t="shared" si="12"/>
        <v>4286.1814200000008</v>
      </c>
      <c r="W251" s="55">
        <f>VLOOKUP($I251,'Old Pricing - end 26-Jan-2026'!$A:$R,18,FALSE)</f>
        <v>90</v>
      </c>
    </row>
    <row r="252" spans="1:23" ht="15" hidden="1" thickTop="1" x14ac:dyDescent="0.3">
      <c r="A252" s="55">
        <v>52930031</v>
      </c>
      <c r="B252" s="55">
        <v>0</v>
      </c>
      <c r="C252" s="55" t="str">
        <f>VLOOKUP(A252&amp;"-"&amp;B252,'Order Summary'!$D:$E,2,FALSE)</f>
        <v>Telex / Seaway Released</v>
      </c>
      <c r="D252" s="216">
        <f>IF($A252="","",VLOOKUP($A252&amp;"-"&amp;$B252,'Order Summary'!$D:$U,3,FALSE))</f>
        <v>45888</v>
      </c>
      <c r="E252" s="55" t="str">
        <f>VLOOKUP(A252&amp;"-"&amp;B252,'Order Summary'!$D:$G,4,FALSE)</f>
        <v>Yes</v>
      </c>
      <c r="F252" s="55" t="str">
        <f>VLOOKUP($A252,'Order Summary'!$B:$I,8,FALSE)</f>
        <v>Nampa, ID</v>
      </c>
      <c r="G252" s="216">
        <f>IF($A252="","",VLOOKUP($A252&amp;"-"&amp;$B252,'Order Summary'!$D:$U,18,FALSE))</f>
        <v>46037</v>
      </c>
      <c r="H252" s="55">
        <v>5</v>
      </c>
      <c r="I252" s="55">
        <v>694440</v>
      </c>
      <c r="J252" s="55" t="str">
        <f>VLOOKUP($I252,'Old Pricing - end 26-Jan-2026'!$A:$R,2,FALSE)</f>
        <v>G1S 694440</v>
      </c>
      <c r="K252" s="55" t="str">
        <f>VLOOKUP($I252,'Old Pricing - end 26-Jan-2026'!$A:$R,6,FALSE)&amp;" "&amp;VLOOKUP($I252,'Old Pricing - end 26-Jan-2026'!$A:$R,7,FALSE)&amp;""" x "&amp;VLOOKUP($I252,'Old Pricing - end 26-Jan-2026'!$A:$R,9,FALSE)&amp;""" "&amp;VLOOKUP($I252,'Old Pricing - end 26-Jan-2026'!$A:$R,5,FALSE)</f>
        <v>2MM 49" x 96" ACP</v>
      </c>
      <c r="L252" s="55">
        <f>VLOOKUP($I252,'Old Pricing - end 26-Jan-2026'!$A:$K,8,FALSE)</f>
        <v>1245</v>
      </c>
      <c r="M252" s="55">
        <f>VLOOKUP($I252,'Old Pricing - end 26-Jan-2026'!$A:$K,10,FALSE)</f>
        <v>2440</v>
      </c>
      <c r="N252" s="55" t="str">
        <f>VLOOKUP($I252,'Old Pricing - end 26-Jan-2026'!$A:$R,13,FALSE)&amp;" "&amp;VLOOKUP($I252,'Old Pricing - end 26-Jan-2026'!$A:$R,12,FALSE)</f>
        <v>AMC 0103 SILVER FROST</v>
      </c>
      <c r="O252" s="56">
        <v>6.5330000000000004</v>
      </c>
      <c r="P252" s="55">
        <f>(VLOOKUP($I252,'Old Pricing - end 26-Jan-2026'!$A:$R,8,FALSE)/1000)*(VLOOKUP($I252,'Old Pricing - end 26-Jan-2026'!$A:$R,10,FALSE)/1000)*Q252</f>
        <v>607.56000000000006</v>
      </c>
      <c r="Q252" s="55">
        <f>ROUND(('Order Details'!$O252*1000)/((VLOOKUP($I252,'Old Pricing - end 26-Jan-2026'!$A:$Q,7,FALSE)/12)*(VLOOKUP($I252,'Old Pricing - end 26-Jan-2026'!$A:$Q,9,FALSE)/12))/5,0)*5</f>
        <v>200</v>
      </c>
      <c r="R252" s="71">
        <f>$Q252/IFERROR(VLOOKUP($F252&amp;RIGHT($K252,8),'Master Data'!$O$5:$P$10,2,FALSE),'Master Data'!$P$4)</f>
        <v>1</v>
      </c>
      <c r="S252" s="57">
        <f>VLOOKUP($I252,'Old Pricing - end 26-Jan-2026'!$A:$Q,16,FALSE)</f>
        <v>700</v>
      </c>
      <c r="T252" s="57">
        <f>VLOOKUP(I252,'Old Pricing - end 26-Jan-2026'!$A:$O,15,FALSE)</f>
        <v>7.53</v>
      </c>
      <c r="U252" s="57">
        <f t="shared" si="13"/>
        <v>4573.1000000000004</v>
      </c>
      <c r="V252" s="111">
        <f t="shared" si="12"/>
        <v>4574.9268000000002</v>
      </c>
      <c r="W252" s="55">
        <f>VLOOKUP($I252,'Old Pricing - end 26-Jan-2026'!$A:$R,18,FALSE)</f>
        <v>90</v>
      </c>
    </row>
    <row r="253" spans="1:23" ht="15" hidden="1" thickTop="1" x14ac:dyDescent="0.3">
      <c r="A253" s="55">
        <v>52930031</v>
      </c>
      <c r="B253" s="55">
        <v>0</v>
      </c>
      <c r="C253" s="55" t="str">
        <f>VLOOKUP(A253&amp;"-"&amp;B253,'Order Summary'!$D:$E,2,FALSE)</f>
        <v>Telex / Seaway Released</v>
      </c>
      <c r="D253" s="216">
        <f>IF($A253="","",VLOOKUP($A253&amp;"-"&amp;$B253,'Order Summary'!$D:$U,3,FALSE))</f>
        <v>45888</v>
      </c>
      <c r="E253" s="55" t="str">
        <f>VLOOKUP(A253&amp;"-"&amp;B253,'Order Summary'!$D:$G,4,FALSE)</f>
        <v>Yes</v>
      </c>
      <c r="F253" s="55" t="str">
        <f>VLOOKUP($A253,'Order Summary'!$B:$I,8,FALSE)</f>
        <v>Nampa, ID</v>
      </c>
      <c r="G253" s="216">
        <f>IF($A253="","",VLOOKUP($A253&amp;"-"&amp;$B253,'Order Summary'!$D:$U,18,FALSE))</f>
        <v>46037</v>
      </c>
      <c r="H253" s="55">
        <v>6</v>
      </c>
      <c r="I253" s="55">
        <v>694441</v>
      </c>
      <c r="J253" s="55" t="str">
        <f>VLOOKUP($I253,'Old Pricing - end 26-Jan-2026'!$A:$R,2,FALSE)</f>
        <v>G1S 694441</v>
      </c>
      <c r="K253" s="55" t="str">
        <f>VLOOKUP($I253,'Old Pricing - end 26-Jan-2026'!$A:$R,6,FALSE)&amp;" "&amp;VLOOKUP($I253,'Old Pricing - end 26-Jan-2026'!$A:$R,7,FALSE)&amp;""" x "&amp;VLOOKUP($I253,'Old Pricing - end 26-Jan-2026'!$A:$R,9,FALSE)&amp;""" "&amp;VLOOKUP($I253,'Old Pricing - end 26-Jan-2026'!$A:$R,5,FALSE)</f>
        <v>2MM 49" x 108" ACP</v>
      </c>
      <c r="L253" s="55">
        <f>VLOOKUP($I253,'Old Pricing - end 26-Jan-2026'!$A:$K,8,FALSE)</f>
        <v>1245</v>
      </c>
      <c r="M253" s="55">
        <f>VLOOKUP($I253,'Old Pricing - end 26-Jan-2026'!$A:$K,10,FALSE)</f>
        <v>2745</v>
      </c>
      <c r="N253" s="55" t="str">
        <f>VLOOKUP($I253,'Old Pricing - end 26-Jan-2026'!$A:$R,13,FALSE)&amp;" "&amp;VLOOKUP($I253,'Old Pricing - end 26-Jan-2026'!$A:$R,12,FALSE)</f>
        <v>AMC 0103 SILVER FROST</v>
      </c>
      <c r="O253" s="56">
        <v>7.35</v>
      </c>
      <c r="P253" s="55">
        <f>(VLOOKUP($I253,'Old Pricing - end 26-Jan-2026'!$A:$R,8,FALSE)/1000)*(VLOOKUP($I253,'Old Pricing - end 26-Jan-2026'!$A:$R,10,FALSE)/1000)*Q253</f>
        <v>683.50500000000011</v>
      </c>
      <c r="Q253" s="55">
        <f>ROUND(('Order Details'!$O253*1000)/((VLOOKUP($I253,'Old Pricing - end 26-Jan-2026'!$A:$Q,7,FALSE)/12)*(VLOOKUP($I253,'Old Pricing - end 26-Jan-2026'!$A:$Q,9,FALSE)/12))/5,0)*5</f>
        <v>200</v>
      </c>
      <c r="R253" s="71">
        <f>$Q253/IFERROR(VLOOKUP($F253&amp;RIGHT($K253,8),'Master Data'!$O$5:$P$10,2,FALSE),'Master Data'!$P$4)</f>
        <v>1</v>
      </c>
      <c r="S253" s="57">
        <f>VLOOKUP($I253,'Old Pricing - end 26-Jan-2026'!$A:$Q,16,FALSE)</f>
        <v>700</v>
      </c>
      <c r="T253" s="57">
        <f>VLOOKUP(I253,'Old Pricing - end 26-Jan-2026'!$A:$O,15,FALSE)</f>
        <v>7.53</v>
      </c>
      <c r="U253" s="57">
        <f t="shared" si="13"/>
        <v>5145</v>
      </c>
      <c r="V253" s="111">
        <f t="shared" si="12"/>
        <v>5146.7926500000012</v>
      </c>
      <c r="W253" s="55">
        <f>VLOOKUP($I253,'Old Pricing - end 26-Jan-2026'!$A:$R,18,FALSE)</f>
        <v>90</v>
      </c>
    </row>
    <row r="254" spans="1:23" ht="15" hidden="1" thickTop="1" x14ac:dyDescent="0.3">
      <c r="A254" s="55">
        <v>52930031</v>
      </c>
      <c r="B254" s="55">
        <v>0</v>
      </c>
      <c r="C254" s="55" t="str">
        <f>VLOOKUP(A254&amp;"-"&amp;B254,'Order Summary'!$D:$E,2,FALSE)</f>
        <v>Telex / Seaway Released</v>
      </c>
      <c r="D254" s="216">
        <f>IF($A254="","",VLOOKUP($A254&amp;"-"&amp;$B254,'Order Summary'!$D:$U,3,FALSE))</f>
        <v>45888</v>
      </c>
      <c r="E254" s="55" t="str">
        <f>VLOOKUP(A254&amp;"-"&amp;B254,'Order Summary'!$D:$G,4,FALSE)</f>
        <v>Yes</v>
      </c>
      <c r="F254" s="55" t="str">
        <f>VLOOKUP($A254,'Order Summary'!$B:$I,8,FALSE)</f>
        <v>Nampa, ID</v>
      </c>
      <c r="G254" s="216">
        <f>IF($A254="","",VLOOKUP($A254&amp;"-"&amp;$B254,'Order Summary'!$D:$U,18,FALSE))</f>
        <v>46037</v>
      </c>
      <c r="H254" s="55">
        <v>7</v>
      </c>
      <c r="I254" s="55">
        <v>694444</v>
      </c>
      <c r="J254" s="55" t="str">
        <f>VLOOKUP($I254,'Old Pricing - end 26-Jan-2026'!$A:$R,2,FALSE)</f>
        <v>G1S 694444</v>
      </c>
      <c r="K254" s="55" t="str">
        <f>VLOOKUP($I254,'Old Pricing - end 26-Jan-2026'!$A:$R,6,FALSE)&amp;" "&amp;VLOOKUP($I254,'Old Pricing - end 26-Jan-2026'!$A:$R,7,FALSE)&amp;""" x "&amp;VLOOKUP($I254,'Old Pricing - end 26-Jan-2026'!$A:$R,9,FALSE)&amp;""" "&amp;VLOOKUP($I254,'Old Pricing - end 26-Jan-2026'!$A:$R,5,FALSE)</f>
        <v>2MM 49" x 96" ACP</v>
      </c>
      <c r="L254" s="55">
        <f>VLOOKUP($I254,'Old Pricing - end 26-Jan-2026'!$A:$K,8,FALSE)</f>
        <v>1245</v>
      </c>
      <c r="M254" s="55">
        <f>VLOOKUP($I254,'Old Pricing - end 26-Jan-2026'!$A:$K,10,FALSE)</f>
        <v>2440</v>
      </c>
      <c r="N254" s="55" t="str">
        <f>VLOOKUP($I254,'Old Pricing - end 26-Jan-2026'!$A:$R,13,FALSE)&amp;" "&amp;VLOOKUP($I254,'Old Pricing - end 26-Jan-2026'!$A:$R,12,FALSE)</f>
        <v>AMC 0086 CHARCOAL METALLIC</v>
      </c>
      <c r="O254" s="56">
        <v>13.067</v>
      </c>
      <c r="P254" s="55">
        <f>(VLOOKUP($I254,'Old Pricing - end 26-Jan-2026'!$A:$R,8,FALSE)/1000)*(VLOOKUP($I254,'Old Pricing - end 26-Jan-2026'!$A:$R,10,FALSE)/1000)*Q254</f>
        <v>1215.1200000000001</v>
      </c>
      <c r="Q254" s="55">
        <f>ROUND(('Order Details'!$O254*1000)/((VLOOKUP($I254,'Old Pricing - end 26-Jan-2026'!$A:$Q,7,FALSE)/12)*(VLOOKUP($I254,'Old Pricing - end 26-Jan-2026'!$A:$Q,9,FALSE)/12))/5,0)*5</f>
        <v>400</v>
      </c>
      <c r="R254" s="71">
        <f>$Q254/IFERROR(VLOOKUP($F254&amp;RIGHT($K254,8),'Master Data'!$O$5:$P$10,2,FALSE),'Master Data'!$P$4)</f>
        <v>2</v>
      </c>
      <c r="S254" s="57">
        <f>VLOOKUP($I254,'Old Pricing - end 26-Jan-2026'!$A:$Q,16,FALSE)</f>
        <v>750</v>
      </c>
      <c r="T254" s="57">
        <f>VLOOKUP(I254,'Old Pricing - end 26-Jan-2026'!$A:$O,15,FALSE)</f>
        <v>8.07</v>
      </c>
      <c r="U254" s="57">
        <f t="shared" si="13"/>
        <v>9800.25</v>
      </c>
      <c r="V254" s="111">
        <f t="shared" si="12"/>
        <v>9806.0184000000008</v>
      </c>
      <c r="W254" s="55">
        <f>VLOOKUP($I254,'Old Pricing - end 26-Jan-2026'!$A:$R,18,FALSE)</f>
        <v>45</v>
      </c>
    </row>
    <row r="255" spans="1:23" ht="15" hidden="1" thickTop="1" x14ac:dyDescent="0.3">
      <c r="A255" s="55">
        <v>52930031</v>
      </c>
      <c r="B255" s="55">
        <v>0</v>
      </c>
      <c r="C255" s="55" t="str">
        <f>VLOOKUP(A255&amp;"-"&amp;B255,'Order Summary'!$D:$E,2,FALSE)</f>
        <v>Telex / Seaway Released</v>
      </c>
      <c r="D255" s="216">
        <f>IF($A255="","",VLOOKUP($A255&amp;"-"&amp;$B255,'Order Summary'!$D:$U,3,FALSE))</f>
        <v>45888</v>
      </c>
      <c r="E255" s="55" t="str">
        <f>VLOOKUP(A255&amp;"-"&amp;B255,'Order Summary'!$D:$G,4,FALSE)</f>
        <v>Yes</v>
      </c>
      <c r="F255" s="55" t="str">
        <f>VLOOKUP($A255,'Order Summary'!$B:$I,8,FALSE)</f>
        <v>Nampa, ID</v>
      </c>
      <c r="G255" s="216">
        <f>IF($A255="","",VLOOKUP($A255&amp;"-"&amp;$B255,'Order Summary'!$D:$U,18,FALSE))</f>
        <v>46037</v>
      </c>
      <c r="H255" s="55">
        <v>8</v>
      </c>
      <c r="I255" s="55">
        <v>694445</v>
      </c>
      <c r="J255" s="55" t="str">
        <f>VLOOKUP($I255,'Old Pricing - end 26-Jan-2026'!$A:$R,2,FALSE)</f>
        <v>G1S 694445</v>
      </c>
      <c r="K255" s="55" t="str">
        <f>VLOOKUP($I255,'Old Pricing - end 26-Jan-2026'!$A:$R,6,FALSE)&amp;" "&amp;VLOOKUP($I255,'Old Pricing - end 26-Jan-2026'!$A:$R,7,FALSE)&amp;""" x "&amp;VLOOKUP($I255,'Old Pricing - end 26-Jan-2026'!$A:$R,9,FALSE)&amp;""" "&amp;VLOOKUP($I255,'Old Pricing - end 26-Jan-2026'!$A:$R,5,FALSE)</f>
        <v>2MM 49" x 108" ACP</v>
      </c>
      <c r="L255" s="55">
        <f>VLOOKUP($I255,'Old Pricing - end 26-Jan-2026'!$A:$K,8,FALSE)</f>
        <v>1245</v>
      </c>
      <c r="M255" s="55">
        <f>VLOOKUP($I255,'Old Pricing - end 26-Jan-2026'!$A:$K,10,FALSE)</f>
        <v>2745</v>
      </c>
      <c r="N255" s="55" t="str">
        <f>VLOOKUP($I255,'Old Pricing - end 26-Jan-2026'!$A:$R,13,FALSE)&amp;" "&amp;VLOOKUP($I255,'Old Pricing - end 26-Jan-2026'!$A:$R,12,FALSE)</f>
        <v>AMC 0086 CHARCOAL METALLIC</v>
      </c>
      <c r="O255" s="56">
        <v>14.7</v>
      </c>
      <c r="P255" s="55">
        <f>(VLOOKUP($I255,'Old Pricing - end 26-Jan-2026'!$A:$R,8,FALSE)/1000)*(VLOOKUP($I255,'Old Pricing - end 26-Jan-2026'!$A:$R,10,FALSE)/1000)*Q255</f>
        <v>1367.0100000000002</v>
      </c>
      <c r="Q255" s="55">
        <f>ROUND(('Order Details'!$O255*1000)/((VLOOKUP($I255,'Old Pricing - end 26-Jan-2026'!$A:$Q,7,FALSE)/12)*(VLOOKUP($I255,'Old Pricing - end 26-Jan-2026'!$A:$Q,9,FALSE)/12))/5,0)*5</f>
        <v>400</v>
      </c>
      <c r="R255" s="71">
        <f>$Q255/IFERROR(VLOOKUP($F255&amp;RIGHT($K255,8),'Master Data'!$O$5:$P$10,2,FALSE),'Master Data'!$P$4)</f>
        <v>2</v>
      </c>
      <c r="S255" s="57">
        <f>VLOOKUP($I255,'Old Pricing - end 26-Jan-2026'!$A:$Q,16,FALSE)</f>
        <v>750</v>
      </c>
      <c r="T255" s="57">
        <f>VLOOKUP(I255,'Old Pricing - end 26-Jan-2026'!$A:$O,15,FALSE)</f>
        <v>8.07</v>
      </c>
      <c r="U255" s="57">
        <f t="shared" si="13"/>
        <v>11025</v>
      </c>
      <c r="V255" s="111">
        <f t="shared" si="12"/>
        <v>11031.770700000003</v>
      </c>
      <c r="W255" s="55">
        <f>VLOOKUP($I255,'Old Pricing - end 26-Jan-2026'!$A:$R,18,FALSE)</f>
        <v>45</v>
      </c>
    </row>
    <row r="256" spans="1:23" ht="15" hidden="1" thickTop="1" x14ac:dyDescent="0.3">
      <c r="A256" s="55">
        <v>52970942</v>
      </c>
      <c r="B256" s="55">
        <v>0</v>
      </c>
      <c r="C256" s="55" t="str">
        <f>VLOOKUP(A256&amp;"-"&amp;B256,'Order Summary'!$D:$E,2,FALSE)</f>
        <v>Balance Payment Received</v>
      </c>
      <c r="D256" s="216">
        <f>IF($A256="","",VLOOKUP($A256&amp;"-"&amp;$B256,'Order Summary'!$D:$U,3,FALSE))</f>
        <v>45985</v>
      </c>
      <c r="E256" s="55" t="str">
        <f>VLOOKUP(A256&amp;"-"&amp;B256,'Order Summary'!$D:$G,4,FALSE)</f>
        <v>Yes</v>
      </c>
      <c r="F256" s="55" t="str">
        <f>VLOOKUP($A256,'Order Summary'!$B:$I,8,FALSE)</f>
        <v>Nampa, ID</v>
      </c>
      <c r="G256" s="216">
        <f>IF($A256="","",VLOOKUP($A256&amp;"-"&amp;$B256,'Order Summary'!$D:$U,18,FALSE))</f>
        <v>46142</v>
      </c>
      <c r="H256" s="55">
        <v>1</v>
      </c>
      <c r="I256" s="55">
        <v>709354</v>
      </c>
      <c r="J256" s="55" t="str">
        <f>VLOOKUP($I256,'Old Pricing - end 26-Jan-2026'!$A:$R,2,FALSE)</f>
        <v>G1S 709354</v>
      </c>
      <c r="K256" s="55" t="str">
        <f>VLOOKUP($I256,'Old Pricing - end 26-Jan-2026'!$A:$R,6,FALSE)&amp;" "&amp;VLOOKUP($I256,'Old Pricing - end 26-Jan-2026'!$A:$R,7,FALSE)&amp;""" x "&amp;VLOOKUP($I256,'Old Pricing - end 26-Jan-2026'!$A:$R,9,FALSE)&amp;""" "&amp;VLOOKUP($I256,'Old Pricing - end 26-Jan-2026'!$A:$R,5,FALSE)</f>
        <v>2MM 49" x 90.5" ACP</v>
      </c>
      <c r="L256" s="55">
        <f>VLOOKUP($I256,'Old Pricing - end 26-Jan-2026'!$A:$K,8,FALSE)</f>
        <v>1245</v>
      </c>
      <c r="M256" s="55">
        <f>VLOOKUP($I256,'Old Pricing - end 26-Jan-2026'!$A:$K,10,FALSE)</f>
        <v>2300</v>
      </c>
      <c r="N256" s="55" t="str">
        <f>VLOOKUP($I256,'Old Pricing - end 26-Jan-2026'!$A:$R,13,FALSE)&amp;" "&amp;VLOOKUP($I256,'Old Pricing - end 26-Jan-2026'!$A:$R,12,FALSE)</f>
        <v>ASC 0096 GLOSSY BLACK</v>
      </c>
      <c r="O256" s="56">
        <v>43.113</v>
      </c>
      <c r="P256" s="55">
        <f>(VLOOKUP($I256,'Old Pricing - end 26-Jan-2026'!$A:$R,8,FALSE)/1000)*(VLOOKUP($I256,'Old Pricing - end 26-Jan-2026'!$A:$R,10,FALSE)/1000)*Q256</f>
        <v>4008.9</v>
      </c>
      <c r="Q256" s="55">
        <f>ROUND(('Order Details'!$O256*1000)/((VLOOKUP($I256,'Old Pricing - end 26-Jan-2026'!$A:$Q,7,FALSE)/12)*(VLOOKUP($I256,'Old Pricing - end 26-Jan-2026'!$A:$Q,9,FALSE)/12))/5,0)*5</f>
        <v>1400</v>
      </c>
      <c r="R256" s="71">
        <f>$Q256/IFERROR(VLOOKUP($F256&amp;RIGHT($K256,8),'Master Data'!$O$5:$P$10,2,FALSE),'Master Data'!$P$4)</f>
        <v>7</v>
      </c>
      <c r="S256" s="57">
        <f>VLOOKUP($I256,'Old Pricing - end 26-Jan-2026'!$A:$Q,16,FALSE)</f>
        <v>700</v>
      </c>
      <c r="T256" s="57">
        <f>VLOOKUP(I256,'Old Pricing - end 26-Jan-2026'!$A:$O,15,FALSE)</f>
        <v>7.53</v>
      </c>
      <c r="U256" s="57">
        <f t="shared" si="13"/>
        <v>30179.1</v>
      </c>
      <c r="V256" s="111">
        <f t="shared" si="12"/>
        <v>30187.017000000003</v>
      </c>
      <c r="W256" s="55">
        <f>VLOOKUP($I256,'Old Pricing - end 26-Jan-2026'!$A:$R,18,FALSE)</f>
        <v>45</v>
      </c>
    </row>
    <row r="257" spans="1:23" ht="15" hidden="1" thickTop="1" x14ac:dyDescent="0.3">
      <c r="A257" s="55">
        <v>52970942</v>
      </c>
      <c r="B257" s="55">
        <v>0</v>
      </c>
      <c r="C257" s="55" t="str">
        <f>VLOOKUP(A257&amp;"-"&amp;B257,'Order Summary'!$D:$E,2,FALSE)</f>
        <v>Balance Payment Received</v>
      </c>
      <c r="D257" s="216">
        <f>IF($A257="","",VLOOKUP($A257&amp;"-"&amp;$B257,'Order Summary'!$D:$U,3,FALSE))</f>
        <v>45985</v>
      </c>
      <c r="E257" s="55" t="str">
        <f>VLOOKUP(A257&amp;"-"&amp;B257,'Order Summary'!$D:$G,4,FALSE)</f>
        <v>Yes</v>
      </c>
      <c r="F257" s="55" t="str">
        <f>VLOOKUP($A257,'Order Summary'!$B:$I,8,FALSE)</f>
        <v>Nampa, ID</v>
      </c>
      <c r="G257" s="216">
        <f>IF($A257="","",VLOOKUP($A257&amp;"-"&amp;$B257,'Order Summary'!$D:$U,18,FALSE))</f>
        <v>46142</v>
      </c>
      <c r="H257" s="55">
        <v>2</v>
      </c>
      <c r="I257" s="55">
        <v>694432</v>
      </c>
      <c r="J257" s="55" t="str">
        <f>VLOOKUP($I257,'Old Pricing - end 26-Jan-2026'!$A:$R,2,FALSE)</f>
        <v>G1S 694432</v>
      </c>
      <c r="K257" s="55" t="str">
        <f>VLOOKUP($I257,'Old Pricing - end 26-Jan-2026'!$A:$R,6,FALSE)&amp;" "&amp;VLOOKUP($I257,'Old Pricing - end 26-Jan-2026'!$A:$R,7,FALSE)&amp;""" x "&amp;VLOOKUP($I257,'Old Pricing - end 26-Jan-2026'!$A:$R,9,FALSE)&amp;""" "&amp;VLOOKUP($I257,'Old Pricing - end 26-Jan-2026'!$A:$R,5,FALSE)</f>
        <v>2MM 49" x 96" ACP</v>
      </c>
      <c r="L257" s="55">
        <f>VLOOKUP($I257,'Old Pricing - end 26-Jan-2026'!$A:$K,8,FALSE)</f>
        <v>1245</v>
      </c>
      <c r="M257" s="55">
        <f>VLOOKUP($I257,'Old Pricing - end 26-Jan-2026'!$A:$K,10,FALSE)</f>
        <v>2440</v>
      </c>
      <c r="N257" s="55" t="str">
        <f>VLOOKUP($I257,'Old Pricing - end 26-Jan-2026'!$A:$R,13,FALSE)&amp;" "&amp;VLOOKUP($I257,'Old Pricing - end 26-Jan-2026'!$A:$R,12,FALSE)</f>
        <v>ASC 0096 GLOSSY BLACK</v>
      </c>
      <c r="O257" s="56">
        <v>26.132999999999999</v>
      </c>
      <c r="P257" s="55">
        <f>(VLOOKUP($I257,'Old Pricing - end 26-Jan-2026'!$A:$R,8,FALSE)/1000)*(VLOOKUP($I257,'Old Pricing - end 26-Jan-2026'!$A:$R,10,FALSE)/1000)*Q257</f>
        <v>2430.2400000000002</v>
      </c>
      <c r="Q257" s="55">
        <f>ROUND(('Order Details'!$O257*1000)/((VLOOKUP($I257,'Old Pricing - end 26-Jan-2026'!$A:$Q,7,FALSE)/12)*(VLOOKUP($I257,'Old Pricing - end 26-Jan-2026'!$A:$Q,9,FALSE)/12))/5,0)*5</f>
        <v>800</v>
      </c>
      <c r="R257" s="71">
        <f>$Q257/IFERROR(VLOOKUP($F257&amp;RIGHT($K257,8),'Master Data'!$O$5:$P$10,2,FALSE),'Master Data'!$P$4)</f>
        <v>4</v>
      </c>
      <c r="S257" s="57">
        <f>VLOOKUP($I257,'Old Pricing - end 26-Jan-2026'!$A:$Q,16,FALSE)</f>
        <v>700</v>
      </c>
      <c r="T257" s="57">
        <f>VLOOKUP(I257,'Old Pricing - end 26-Jan-2026'!$A:$O,15,FALSE)</f>
        <v>7.53</v>
      </c>
      <c r="U257" s="57">
        <f t="shared" si="13"/>
        <v>18293.099999999999</v>
      </c>
      <c r="V257" s="111">
        <f t="shared" si="12"/>
        <v>18299.707200000001</v>
      </c>
      <c r="W257" s="55">
        <f>VLOOKUP($I257,'Old Pricing - end 26-Jan-2026'!$A:$R,18,FALSE)</f>
        <v>45</v>
      </c>
    </row>
    <row r="258" spans="1:23" ht="15" hidden="1" thickTop="1" x14ac:dyDescent="0.3">
      <c r="A258" s="55">
        <v>52970942</v>
      </c>
      <c r="B258" s="55">
        <v>0</v>
      </c>
      <c r="C258" s="55" t="str">
        <f>VLOOKUP(A258&amp;"-"&amp;B258,'Order Summary'!$D:$E,2,FALSE)</f>
        <v>Balance Payment Received</v>
      </c>
      <c r="D258" s="216">
        <f>IF($A258="","",VLOOKUP($A258&amp;"-"&amp;$B258,'Order Summary'!$D:$U,3,FALSE))</f>
        <v>45985</v>
      </c>
      <c r="E258" s="55" t="str">
        <f>VLOOKUP(A258&amp;"-"&amp;B258,'Order Summary'!$D:$G,4,FALSE)</f>
        <v>Yes</v>
      </c>
      <c r="F258" s="55" t="str">
        <f>VLOOKUP($A258,'Order Summary'!$B:$I,8,FALSE)</f>
        <v>Nampa, ID</v>
      </c>
      <c r="G258" s="216">
        <f>IF($A258="","",VLOOKUP($A258&amp;"-"&amp;$B258,'Order Summary'!$D:$U,18,FALSE))</f>
        <v>46142</v>
      </c>
      <c r="H258" s="55">
        <v>3</v>
      </c>
      <c r="I258" s="55">
        <v>694433</v>
      </c>
      <c r="J258" s="55" t="str">
        <f>VLOOKUP($I258,'Old Pricing - end 26-Jan-2026'!$A:$R,2,FALSE)</f>
        <v>G1S 694433</v>
      </c>
      <c r="K258" s="55" t="str">
        <f>VLOOKUP($I258,'Old Pricing - end 26-Jan-2026'!$A:$R,6,FALSE)&amp;" "&amp;VLOOKUP($I258,'Old Pricing - end 26-Jan-2026'!$A:$R,7,FALSE)&amp;""" x "&amp;VLOOKUP($I258,'Old Pricing - end 26-Jan-2026'!$A:$R,9,FALSE)&amp;""" "&amp;VLOOKUP($I258,'Old Pricing - end 26-Jan-2026'!$A:$R,5,FALSE)</f>
        <v>2MM 49" x 108" ACP</v>
      </c>
      <c r="L258" s="55">
        <f>VLOOKUP($I258,'Old Pricing - end 26-Jan-2026'!$A:$K,8,FALSE)</f>
        <v>1245</v>
      </c>
      <c r="M258" s="55">
        <f>VLOOKUP($I258,'Old Pricing - end 26-Jan-2026'!$A:$K,10,FALSE)</f>
        <v>2745</v>
      </c>
      <c r="N258" s="55" t="str">
        <f>VLOOKUP($I258,'Old Pricing - end 26-Jan-2026'!$A:$R,13,FALSE)&amp;" "&amp;VLOOKUP($I258,'Old Pricing - end 26-Jan-2026'!$A:$R,12,FALSE)</f>
        <v>ASC 0096 GLOSSY BLACK</v>
      </c>
      <c r="O258" s="56">
        <v>14.7</v>
      </c>
      <c r="P258" s="55">
        <f>(VLOOKUP($I258,'Old Pricing - end 26-Jan-2026'!$A:$R,8,FALSE)/1000)*(VLOOKUP($I258,'Old Pricing - end 26-Jan-2026'!$A:$R,10,FALSE)/1000)*Q258</f>
        <v>1367.0100000000002</v>
      </c>
      <c r="Q258" s="55">
        <f>ROUND(('Order Details'!$O258*1000)/((VLOOKUP($I258,'Old Pricing - end 26-Jan-2026'!$A:$Q,7,FALSE)/12)*(VLOOKUP($I258,'Old Pricing - end 26-Jan-2026'!$A:$Q,9,FALSE)/12))/5,0)*5</f>
        <v>400</v>
      </c>
      <c r="R258" s="71">
        <f>$Q258/IFERROR(VLOOKUP($F258&amp;RIGHT($K258,8),'Master Data'!$O$5:$P$10,2,FALSE),'Master Data'!$P$4)</f>
        <v>2</v>
      </c>
      <c r="S258" s="57">
        <f>VLOOKUP($I258,'Old Pricing - end 26-Jan-2026'!$A:$Q,16,FALSE)</f>
        <v>700</v>
      </c>
      <c r="T258" s="57">
        <f>VLOOKUP(I258,'Old Pricing - end 26-Jan-2026'!$A:$O,15,FALSE)</f>
        <v>7.53</v>
      </c>
      <c r="U258" s="57">
        <f t="shared" si="13"/>
        <v>10290</v>
      </c>
      <c r="V258" s="111">
        <f t="shared" si="12"/>
        <v>10293.585300000002</v>
      </c>
      <c r="W258" s="55">
        <f>VLOOKUP($I258,'Old Pricing - end 26-Jan-2026'!$A:$R,18,FALSE)</f>
        <v>45</v>
      </c>
    </row>
    <row r="259" spans="1:23" ht="15" hidden="1" thickTop="1" x14ac:dyDescent="0.3">
      <c r="A259" s="55">
        <v>52970945</v>
      </c>
      <c r="B259" s="55">
        <v>0</v>
      </c>
      <c r="C259" s="55" t="str">
        <f>VLOOKUP(A259&amp;"-"&amp;B259,'Order Summary'!$D:$E,2,FALSE)</f>
        <v>Telex / Seaway Released</v>
      </c>
      <c r="D259" s="216">
        <f>IF($A259="","",VLOOKUP($A259&amp;"-"&amp;$B259,'Order Summary'!$D:$U,3,FALSE))</f>
        <v>45985</v>
      </c>
      <c r="E259" s="55" t="str">
        <f>VLOOKUP(A259&amp;"-"&amp;B259,'Order Summary'!$D:$G,4,FALSE)</f>
        <v>Yes</v>
      </c>
      <c r="F259" s="55" t="str">
        <f>VLOOKUP($A259,'Order Summary'!$B:$I,8,FALSE)</f>
        <v>Nampa, ID</v>
      </c>
      <c r="G259" s="216">
        <f>IF($A259="","",VLOOKUP($A259&amp;"-"&amp;$B259,'Order Summary'!$D:$U,18,FALSE))</f>
        <v>46128</v>
      </c>
      <c r="H259" s="55">
        <v>1</v>
      </c>
      <c r="I259" s="55">
        <v>709525</v>
      </c>
      <c r="J259" s="55" t="str">
        <f>VLOOKUP($I259,'Old Pricing - end 26-Jan-2026'!$A:$R,2,FALSE)</f>
        <v>G1S 709525</v>
      </c>
      <c r="K259" s="55" t="str">
        <f>VLOOKUP($I259,'Old Pricing - end 26-Jan-2026'!$A:$R,6,FALSE)&amp;" "&amp;VLOOKUP($I259,'Old Pricing - end 26-Jan-2026'!$A:$R,7,FALSE)&amp;""" x "&amp;VLOOKUP($I259,'Old Pricing - end 26-Jan-2026'!$A:$R,9,FALSE)&amp;""" "&amp;VLOOKUP($I259,'Old Pricing - end 26-Jan-2026'!$A:$R,5,FALSE)</f>
        <v>2MM 49" x 90.5" ACP</v>
      </c>
      <c r="L259" s="55">
        <f>VLOOKUP($I259,'Old Pricing - end 26-Jan-2026'!$A:$K,8,FALSE)</f>
        <v>1245</v>
      </c>
      <c r="M259" s="55">
        <f>VLOOKUP($I259,'Old Pricing - end 26-Jan-2026'!$A:$K,10,FALSE)</f>
        <v>2300</v>
      </c>
      <c r="N259" s="55" t="str">
        <f>VLOOKUP($I259,'Old Pricing - end 26-Jan-2026'!$A:$R,13,FALSE)&amp;" "&amp;VLOOKUP($I259,'Old Pricing - end 26-Jan-2026'!$A:$R,12,FALSE)</f>
        <v>AMC 0103 SILVER FROST</v>
      </c>
      <c r="O259" s="56">
        <v>30.795000000000002</v>
      </c>
      <c r="P259" s="55">
        <f>(VLOOKUP($I259,'Old Pricing - end 26-Jan-2026'!$A:$R,8,FALSE)/1000)*(VLOOKUP($I259,'Old Pricing - end 26-Jan-2026'!$A:$R,10,FALSE)/1000)*Q259</f>
        <v>2863.5</v>
      </c>
      <c r="Q259" s="55">
        <f>ROUND(('Order Details'!$O259*1000)/((VLOOKUP($I259,'Old Pricing - end 26-Jan-2026'!$A:$Q,7,FALSE)/12)*(VLOOKUP($I259,'Old Pricing - end 26-Jan-2026'!$A:$Q,9,FALSE)/12))/5,0)*5</f>
        <v>1000</v>
      </c>
      <c r="R259" s="71">
        <f>$Q259/IFERROR(VLOOKUP($F259&amp;RIGHT($K259,8),'Master Data'!$O$5:$P$10,2,FALSE),'Master Data'!$P$4)</f>
        <v>5</v>
      </c>
      <c r="S259" s="123">
        <f>VLOOKUP($I259,'Old Pricing - end 26-Jan-2026'!$A:$Q,16,FALSE)</f>
        <v>700</v>
      </c>
      <c r="T259" s="123">
        <f>VLOOKUP(I259,'Old Pricing - end 26-Jan-2026'!$A:$O,15,FALSE)</f>
        <v>7.53</v>
      </c>
      <c r="U259" s="123">
        <f t="shared" si="13"/>
        <v>21556.5</v>
      </c>
      <c r="V259" s="111">
        <f t="shared" ref="V259:V319" si="14">P259*T259</f>
        <v>21562.155000000002</v>
      </c>
      <c r="W259" s="55">
        <f>VLOOKUP($I259,'Old Pricing - end 26-Jan-2026'!$A:$R,18,FALSE)</f>
        <v>90</v>
      </c>
    </row>
    <row r="260" spans="1:23" ht="15" hidden="1" thickTop="1" x14ac:dyDescent="0.3">
      <c r="A260" s="55">
        <v>52970945</v>
      </c>
      <c r="B260" s="55">
        <v>0</v>
      </c>
      <c r="C260" s="55" t="str">
        <f>VLOOKUP(A260&amp;"-"&amp;B260,'Order Summary'!$D:$E,2,FALSE)</f>
        <v>Telex / Seaway Released</v>
      </c>
      <c r="D260" s="216">
        <f>IF($A260="","",VLOOKUP($A260&amp;"-"&amp;$B260,'Order Summary'!$D:$U,3,FALSE))</f>
        <v>45985</v>
      </c>
      <c r="E260" s="55" t="str">
        <f>VLOOKUP(A260&amp;"-"&amp;B260,'Order Summary'!$D:$G,4,FALSE)</f>
        <v>Yes</v>
      </c>
      <c r="F260" s="55" t="str">
        <f>VLOOKUP($A260,'Order Summary'!$B:$I,8,FALSE)</f>
        <v>Nampa, ID</v>
      </c>
      <c r="G260" s="216">
        <f>IF($A260="","",VLOOKUP($A260&amp;"-"&amp;$B260,'Order Summary'!$D:$U,18,FALSE))</f>
        <v>46128</v>
      </c>
      <c r="H260" s="55">
        <v>2</v>
      </c>
      <c r="I260" s="55">
        <v>694440</v>
      </c>
      <c r="J260" s="55" t="str">
        <f>VLOOKUP($I260,'Old Pricing - end 26-Jan-2026'!$A:$R,2,FALSE)</f>
        <v>G1S 694440</v>
      </c>
      <c r="K260" s="55" t="str">
        <f>VLOOKUP($I260,'Old Pricing - end 26-Jan-2026'!$A:$R,6,FALSE)&amp;" "&amp;VLOOKUP($I260,'Old Pricing - end 26-Jan-2026'!$A:$R,7,FALSE)&amp;""" x "&amp;VLOOKUP($I260,'Old Pricing - end 26-Jan-2026'!$A:$R,9,FALSE)&amp;""" "&amp;VLOOKUP($I260,'Old Pricing - end 26-Jan-2026'!$A:$R,5,FALSE)</f>
        <v>2MM 49" x 96" ACP</v>
      </c>
      <c r="L260" s="55">
        <f>VLOOKUP($I260,'Old Pricing - end 26-Jan-2026'!$A:$K,8,FALSE)</f>
        <v>1245</v>
      </c>
      <c r="M260" s="55">
        <f>VLOOKUP($I260,'Old Pricing - end 26-Jan-2026'!$A:$K,10,FALSE)</f>
        <v>2440</v>
      </c>
      <c r="N260" s="55" t="str">
        <f>VLOOKUP($I260,'Old Pricing - end 26-Jan-2026'!$A:$R,13,FALSE)&amp;" "&amp;VLOOKUP($I260,'Old Pricing - end 26-Jan-2026'!$A:$R,12,FALSE)</f>
        <v>AMC 0103 SILVER FROST</v>
      </c>
      <c r="O260" s="56">
        <v>26.132999999999999</v>
      </c>
      <c r="P260" s="55">
        <f>(VLOOKUP($I260,'Old Pricing - end 26-Jan-2026'!$A:$R,8,FALSE)/1000)*(VLOOKUP($I260,'Old Pricing - end 26-Jan-2026'!$A:$R,10,FALSE)/1000)*Q260</f>
        <v>2430.2400000000002</v>
      </c>
      <c r="Q260" s="55">
        <f>ROUND(('Order Details'!$O260*1000)/((VLOOKUP($I260,'Old Pricing - end 26-Jan-2026'!$A:$Q,7,FALSE)/12)*(VLOOKUP($I260,'Old Pricing - end 26-Jan-2026'!$A:$Q,9,FALSE)/12))/5,0)*5</f>
        <v>800</v>
      </c>
      <c r="R260" s="71">
        <f>$Q260/IFERROR(VLOOKUP($F260&amp;RIGHT($K260,8),'Master Data'!$O$5:$P$10,2,FALSE),'Master Data'!$P$4)</f>
        <v>4</v>
      </c>
      <c r="S260" s="123">
        <f>VLOOKUP($I260,'Old Pricing - end 26-Jan-2026'!$A:$Q,16,FALSE)</f>
        <v>700</v>
      </c>
      <c r="T260" s="123">
        <f>VLOOKUP(I260,'Old Pricing - end 26-Jan-2026'!$A:$O,15,FALSE)</f>
        <v>7.53</v>
      </c>
      <c r="U260" s="123">
        <f t="shared" si="13"/>
        <v>18293.099999999999</v>
      </c>
      <c r="V260" s="111">
        <f t="shared" si="14"/>
        <v>18299.707200000001</v>
      </c>
      <c r="W260" s="55">
        <f>VLOOKUP($I260,'Old Pricing - end 26-Jan-2026'!$A:$R,18,FALSE)</f>
        <v>90</v>
      </c>
    </row>
    <row r="261" spans="1:23" ht="15" hidden="1" thickTop="1" x14ac:dyDescent="0.3">
      <c r="A261" s="55">
        <v>52970945</v>
      </c>
      <c r="B261" s="55">
        <v>0</v>
      </c>
      <c r="C261" s="55" t="str">
        <f>VLOOKUP(A261&amp;"-"&amp;B261,'Order Summary'!$D:$E,2,FALSE)</f>
        <v>Telex / Seaway Released</v>
      </c>
      <c r="D261" s="216">
        <f>IF($A261="","",VLOOKUP($A261&amp;"-"&amp;$B261,'Order Summary'!$D:$U,3,FALSE))</f>
        <v>45985</v>
      </c>
      <c r="E261" s="55" t="str">
        <f>VLOOKUP(A261&amp;"-"&amp;B261,'Order Summary'!$D:$G,4,FALSE)</f>
        <v>Yes</v>
      </c>
      <c r="F261" s="55" t="str">
        <f>VLOOKUP($A261,'Order Summary'!$B:$I,8,FALSE)</f>
        <v>Nampa, ID</v>
      </c>
      <c r="G261" s="216">
        <f>IF($A261="","",VLOOKUP($A261&amp;"-"&amp;$B261,'Order Summary'!$D:$U,18,FALSE))</f>
        <v>46128</v>
      </c>
      <c r="H261" s="55">
        <v>3</v>
      </c>
      <c r="I261" s="55">
        <v>694441</v>
      </c>
      <c r="J261" s="55" t="str">
        <f>VLOOKUP($I261,'Old Pricing - end 26-Jan-2026'!$A:$R,2,FALSE)</f>
        <v>G1S 694441</v>
      </c>
      <c r="K261" s="55" t="str">
        <f>VLOOKUP($I261,'Old Pricing - end 26-Jan-2026'!$A:$R,6,FALSE)&amp;" "&amp;VLOOKUP($I261,'Old Pricing - end 26-Jan-2026'!$A:$R,7,FALSE)&amp;""" x "&amp;VLOOKUP($I261,'Old Pricing - end 26-Jan-2026'!$A:$R,9,FALSE)&amp;""" "&amp;VLOOKUP($I261,'Old Pricing - end 26-Jan-2026'!$A:$R,5,FALSE)</f>
        <v>2MM 49" x 108" ACP</v>
      </c>
      <c r="L261" s="55">
        <f>VLOOKUP($I261,'Old Pricing - end 26-Jan-2026'!$A:$K,8,FALSE)</f>
        <v>1245</v>
      </c>
      <c r="M261" s="55">
        <f>VLOOKUP($I261,'Old Pricing - end 26-Jan-2026'!$A:$K,10,FALSE)</f>
        <v>2745</v>
      </c>
      <c r="N261" s="55" t="str">
        <f>VLOOKUP($I261,'Old Pricing - end 26-Jan-2026'!$A:$R,13,FALSE)&amp;" "&amp;VLOOKUP($I261,'Old Pricing - end 26-Jan-2026'!$A:$R,12,FALSE)</f>
        <v>AMC 0103 SILVER FROST</v>
      </c>
      <c r="O261" s="56">
        <v>22.05</v>
      </c>
      <c r="P261" s="55">
        <f>(VLOOKUP($I261,'Old Pricing - end 26-Jan-2026'!$A:$R,8,FALSE)/1000)*(VLOOKUP($I261,'Old Pricing - end 26-Jan-2026'!$A:$R,10,FALSE)/1000)*Q261</f>
        <v>2050.5150000000003</v>
      </c>
      <c r="Q261" s="55">
        <f>ROUND(('Order Details'!$O261*1000)/((VLOOKUP($I261,'Old Pricing - end 26-Jan-2026'!$A:$Q,7,FALSE)/12)*(VLOOKUP($I261,'Old Pricing - end 26-Jan-2026'!$A:$Q,9,FALSE)/12))/5,0)*5</f>
        <v>600</v>
      </c>
      <c r="R261" s="71">
        <f>$Q261/IFERROR(VLOOKUP($F261&amp;RIGHT($K261,8),'Master Data'!$O$5:$P$10,2,FALSE),'Master Data'!$P$4)</f>
        <v>3</v>
      </c>
      <c r="S261" s="123">
        <f>VLOOKUP($I261,'Old Pricing - end 26-Jan-2026'!$A:$Q,16,FALSE)</f>
        <v>700</v>
      </c>
      <c r="T261" s="123">
        <f>VLOOKUP(I261,'Old Pricing - end 26-Jan-2026'!$A:$O,15,FALSE)</f>
        <v>7.53</v>
      </c>
      <c r="U261" s="123">
        <f t="shared" si="13"/>
        <v>15435</v>
      </c>
      <c r="V261" s="111">
        <f t="shared" si="14"/>
        <v>15440.377950000004</v>
      </c>
      <c r="W261" s="55">
        <f>VLOOKUP($I261,'Old Pricing - end 26-Jan-2026'!$A:$R,18,FALSE)</f>
        <v>90</v>
      </c>
    </row>
    <row r="262" spans="1:23" ht="15" hidden="1" thickTop="1" x14ac:dyDescent="0.3">
      <c r="A262" s="55">
        <v>52970945</v>
      </c>
      <c r="B262" s="55">
        <v>0</v>
      </c>
      <c r="C262" s="55" t="str">
        <f>VLOOKUP(A262&amp;"-"&amp;B262,'Order Summary'!$D:$E,2,FALSE)</f>
        <v>Telex / Seaway Released</v>
      </c>
      <c r="D262" s="216">
        <f>IF($A262="","",VLOOKUP($A262&amp;"-"&amp;$B262,'Order Summary'!$D:$U,3,FALSE))</f>
        <v>45985</v>
      </c>
      <c r="E262" s="55" t="str">
        <f>VLOOKUP(A262&amp;"-"&amp;B262,'Order Summary'!$D:$G,4,FALSE)</f>
        <v>Yes</v>
      </c>
      <c r="F262" s="55" t="str">
        <f>VLOOKUP($A262,'Order Summary'!$B:$I,8,FALSE)</f>
        <v>Nampa, ID</v>
      </c>
      <c r="G262" s="216">
        <f>IF($A262="","",VLOOKUP($A262&amp;"-"&amp;$B262,'Order Summary'!$D:$U,18,FALSE))</f>
        <v>46128</v>
      </c>
      <c r="H262" s="55">
        <v>4</v>
      </c>
      <c r="I262" s="55">
        <v>694442</v>
      </c>
      <c r="J262" s="55" t="str">
        <f>VLOOKUP($I262,'Old Pricing - end 26-Jan-2026'!$A:$R,2,FALSE)</f>
        <v>G1S 694442</v>
      </c>
      <c r="K262" s="55" t="str">
        <f>VLOOKUP($I262,'Old Pricing - end 26-Jan-2026'!$A:$R,6,FALSE)&amp;" "&amp;VLOOKUP($I262,'Old Pricing - end 26-Jan-2026'!$A:$R,7,FALSE)&amp;""" x "&amp;VLOOKUP($I262,'Old Pricing - end 26-Jan-2026'!$A:$R,9,FALSE)&amp;""" "&amp;VLOOKUP($I262,'Old Pricing - end 26-Jan-2026'!$A:$R,5,FALSE)</f>
        <v>2MM 49" x 144" ACP</v>
      </c>
      <c r="L262" s="55">
        <f>VLOOKUP($I262,'Old Pricing - end 26-Jan-2026'!$A:$K,8,FALSE)</f>
        <v>1245</v>
      </c>
      <c r="M262" s="55">
        <f>VLOOKUP($I262,'Old Pricing - end 26-Jan-2026'!$A:$K,10,FALSE)</f>
        <v>3658</v>
      </c>
      <c r="N262" s="55" t="str">
        <f>VLOOKUP($I262,'Old Pricing - end 26-Jan-2026'!$A:$R,13,FALSE)&amp;" "&amp;VLOOKUP($I262,'Old Pricing - end 26-Jan-2026'!$A:$R,12,FALSE)</f>
        <v>AMC 0103 SILVER FROST</v>
      </c>
      <c r="O262" s="56">
        <v>9.8000000000000007</v>
      </c>
      <c r="P262" s="55">
        <f>(VLOOKUP($I262,'Old Pricing - end 26-Jan-2026'!$A:$R,8,FALSE)/1000)*(VLOOKUP($I262,'Old Pricing - end 26-Jan-2026'!$A:$R,10,FALSE)/1000)*Q262</f>
        <v>910.8420000000001</v>
      </c>
      <c r="Q262" s="55">
        <f>ROUND(('Order Details'!$O262*1000)/((VLOOKUP($I262,'Old Pricing - end 26-Jan-2026'!$A:$Q,7,FALSE)/12)*(VLOOKUP($I262,'Old Pricing - end 26-Jan-2026'!$A:$Q,9,FALSE)/12))/5,0)*5</f>
        <v>200</v>
      </c>
      <c r="R262" s="71">
        <f>$Q262/IFERROR(VLOOKUP($F262&amp;RIGHT($K262,8),'Master Data'!$O$5:$P$10,2,FALSE),'Master Data'!$P$4)</f>
        <v>1</v>
      </c>
      <c r="S262" s="123">
        <f>VLOOKUP($I262,'Old Pricing - end 26-Jan-2026'!$A:$Q,16,FALSE)</f>
        <v>700</v>
      </c>
      <c r="T262" s="123">
        <f>VLOOKUP(I262,'Old Pricing - end 26-Jan-2026'!$A:$O,15,FALSE)</f>
        <v>7.53</v>
      </c>
      <c r="U262" s="123">
        <f t="shared" si="13"/>
        <v>6860.0000000000009</v>
      </c>
      <c r="V262" s="111">
        <f t="shared" si="14"/>
        <v>6858.640260000001</v>
      </c>
      <c r="W262" s="55">
        <f>VLOOKUP($I262,'Old Pricing - end 26-Jan-2026'!$A:$R,18,FALSE)</f>
        <v>90</v>
      </c>
    </row>
    <row r="263" spans="1:23" ht="15" hidden="1" thickTop="1" x14ac:dyDescent="0.3">
      <c r="A263" s="55">
        <v>52970947</v>
      </c>
      <c r="B263" s="55">
        <v>0</v>
      </c>
      <c r="C263" s="55" t="str">
        <f>VLOOKUP(A263&amp;"-"&amp;B263,'Order Summary'!$D:$E,2,FALSE)</f>
        <v>Balance Payment Received</v>
      </c>
      <c r="D263" s="216">
        <f>IF($A263="","",VLOOKUP($A263&amp;"-"&amp;$B263,'Order Summary'!$D:$U,3,FALSE))</f>
        <v>45985</v>
      </c>
      <c r="E263" s="55" t="str">
        <f>VLOOKUP(A263&amp;"-"&amp;B263,'Order Summary'!$D:$G,4,FALSE)</f>
        <v>Yes</v>
      </c>
      <c r="F263" s="55" t="str">
        <f>VLOOKUP($A263,'Order Summary'!$B:$I,8,FALSE)</f>
        <v>Nampa, ID</v>
      </c>
      <c r="G263" s="216">
        <f>IF($A263="","",VLOOKUP($A263&amp;"-"&amp;$B263,'Order Summary'!$D:$U,18,FALSE))</f>
        <v>46142</v>
      </c>
      <c r="H263" s="55">
        <v>1</v>
      </c>
      <c r="I263" s="55">
        <v>709355</v>
      </c>
      <c r="J263" s="55" t="str">
        <f>VLOOKUP($I263,'Old Pricing - end 26-Jan-2026'!$A:$R,2,FALSE)</f>
        <v>G1S 709355</v>
      </c>
      <c r="K263" s="55" t="str">
        <f>VLOOKUP($I263,'Old Pricing - end 26-Jan-2026'!$A:$R,6,FALSE)&amp;" "&amp;VLOOKUP($I263,'Old Pricing - end 26-Jan-2026'!$A:$R,7,FALSE)&amp;""" x "&amp;VLOOKUP($I263,'Old Pricing - end 26-Jan-2026'!$A:$R,9,FALSE)&amp;""" "&amp;VLOOKUP($I263,'Old Pricing - end 26-Jan-2026'!$A:$R,5,FALSE)</f>
        <v>2MM 49" x 90.5" ACP</v>
      </c>
      <c r="L263" s="55">
        <f>VLOOKUP($I263,'Old Pricing - end 26-Jan-2026'!$A:$K,8,FALSE)</f>
        <v>1245</v>
      </c>
      <c r="M263" s="55">
        <f>VLOOKUP($I263,'Old Pricing - end 26-Jan-2026'!$A:$K,10,FALSE)</f>
        <v>2300</v>
      </c>
      <c r="N263" s="55" t="str">
        <f>VLOOKUP($I263,'Old Pricing - end 26-Jan-2026'!$A:$R,13,FALSE)&amp;" "&amp;VLOOKUP($I263,'Old Pricing - end 26-Jan-2026'!$A:$R,12,FALSE)</f>
        <v>ASC 0069 GLOSSY WHITE</v>
      </c>
      <c r="O263" s="56">
        <v>49.271999999999998</v>
      </c>
      <c r="P263" s="55">
        <f>(VLOOKUP($I263,'Old Pricing - end 26-Jan-2026'!$A:$R,8,FALSE)/1000)*(VLOOKUP($I263,'Old Pricing - end 26-Jan-2026'!$A:$R,10,FALSE)/1000)*Q263</f>
        <v>4581.6000000000004</v>
      </c>
      <c r="Q263" s="55">
        <f>ROUND(('Order Details'!$O263*1000)/((VLOOKUP($I263,'Old Pricing - end 26-Jan-2026'!$A:$Q,7,FALSE)/12)*(VLOOKUP($I263,'Old Pricing - end 26-Jan-2026'!$A:$Q,9,FALSE)/12))/5,0)*5</f>
        <v>1600</v>
      </c>
      <c r="R263" s="71">
        <f>$Q263/IFERROR(VLOOKUP($F263&amp;RIGHT($K263,8),'Master Data'!$O$5:$P$10,2,FALSE),'Master Data'!$P$4)</f>
        <v>8</v>
      </c>
      <c r="S263" s="123">
        <f>VLOOKUP($I263,'Old Pricing - end 26-Jan-2026'!$A:$Q,16,FALSE)</f>
        <v>700</v>
      </c>
      <c r="T263" s="123">
        <f>VLOOKUP(I263,'Old Pricing - end 26-Jan-2026'!$A:$O,15,FALSE)</f>
        <v>7.53</v>
      </c>
      <c r="U263" s="123">
        <f t="shared" si="13"/>
        <v>34490.400000000001</v>
      </c>
      <c r="V263" s="111">
        <f t="shared" si="14"/>
        <v>34499.448000000004</v>
      </c>
      <c r="W263" s="55">
        <f>VLOOKUP($I263,'Old Pricing - end 26-Jan-2026'!$A:$R,18,FALSE)</f>
        <v>45</v>
      </c>
    </row>
    <row r="264" spans="1:23" ht="15" hidden="1" thickTop="1" x14ac:dyDescent="0.3">
      <c r="A264" s="55">
        <v>52970947</v>
      </c>
      <c r="B264" s="55">
        <v>0</v>
      </c>
      <c r="C264" s="55" t="str">
        <f>VLOOKUP(A264&amp;"-"&amp;B264,'Order Summary'!$D:$E,2,FALSE)</f>
        <v>Balance Payment Received</v>
      </c>
      <c r="D264" s="216">
        <f>IF($A264="","",VLOOKUP($A264&amp;"-"&amp;$B264,'Order Summary'!$D:$U,3,FALSE))</f>
        <v>45985</v>
      </c>
      <c r="E264" s="55" t="str">
        <f>VLOOKUP(A264&amp;"-"&amp;B264,'Order Summary'!$D:$G,4,FALSE)</f>
        <v>Yes</v>
      </c>
      <c r="F264" s="55" t="str">
        <f>VLOOKUP($A264,'Order Summary'!$B:$I,8,FALSE)</f>
        <v>Nampa, ID</v>
      </c>
      <c r="G264" s="216">
        <f>IF($A264="","",VLOOKUP($A264&amp;"-"&amp;$B264,'Order Summary'!$D:$U,18,FALSE))</f>
        <v>46142</v>
      </c>
      <c r="H264" s="55">
        <v>2</v>
      </c>
      <c r="I264" s="55">
        <v>694436</v>
      </c>
      <c r="J264" s="55" t="str">
        <f>VLOOKUP($I264,'Old Pricing - end 26-Jan-2026'!$A:$R,2,FALSE)</f>
        <v>G1S 694436</v>
      </c>
      <c r="K264" s="55" t="str">
        <f>VLOOKUP($I264,'Old Pricing - end 26-Jan-2026'!$A:$R,6,FALSE)&amp;" "&amp;VLOOKUP($I264,'Old Pricing - end 26-Jan-2026'!$A:$R,7,FALSE)&amp;""" x "&amp;VLOOKUP($I264,'Old Pricing - end 26-Jan-2026'!$A:$R,9,FALSE)&amp;""" "&amp;VLOOKUP($I264,'Old Pricing - end 26-Jan-2026'!$A:$R,5,FALSE)</f>
        <v>2MM 49" x 96" ACP</v>
      </c>
      <c r="L264" s="55">
        <f>VLOOKUP($I264,'Old Pricing - end 26-Jan-2026'!$A:$K,8,FALSE)</f>
        <v>1245</v>
      </c>
      <c r="M264" s="55">
        <f>VLOOKUP($I264,'Old Pricing - end 26-Jan-2026'!$A:$K,10,FALSE)</f>
        <v>2440</v>
      </c>
      <c r="N264" s="55" t="str">
        <f>VLOOKUP($I264,'Old Pricing - end 26-Jan-2026'!$A:$R,13,FALSE)&amp;" "&amp;VLOOKUP($I264,'Old Pricing - end 26-Jan-2026'!$A:$R,12,FALSE)</f>
        <v>ASC 0069 GLOSSY WHITE</v>
      </c>
      <c r="O264" s="56">
        <v>6.5330000000000004</v>
      </c>
      <c r="P264" s="55">
        <f>(VLOOKUP($I264,'Old Pricing - end 26-Jan-2026'!$A:$R,8,FALSE)/1000)*(VLOOKUP($I264,'Old Pricing - end 26-Jan-2026'!$A:$R,10,FALSE)/1000)*Q264</f>
        <v>607.56000000000006</v>
      </c>
      <c r="Q264" s="55">
        <f>ROUND(('Order Details'!$O264*1000)/((VLOOKUP($I264,'Old Pricing - end 26-Jan-2026'!$A:$Q,7,FALSE)/12)*(VLOOKUP($I264,'Old Pricing - end 26-Jan-2026'!$A:$Q,9,FALSE)/12))/5,0)*5</f>
        <v>200</v>
      </c>
      <c r="R264" s="71">
        <f>$Q264/IFERROR(VLOOKUP($F264&amp;RIGHT($K264,8),'Master Data'!$O$5:$P$10,2,FALSE),'Master Data'!$P$4)</f>
        <v>1</v>
      </c>
      <c r="S264" s="123">
        <f>VLOOKUP($I264,'Old Pricing - end 26-Jan-2026'!$A:$Q,16,FALSE)</f>
        <v>700</v>
      </c>
      <c r="T264" s="123">
        <f>VLOOKUP(I264,'Old Pricing - end 26-Jan-2026'!$A:$O,15,FALSE)</f>
        <v>7.53</v>
      </c>
      <c r="U264" s="123">
        <f t="shared" si="13"/>
        <v>4573.1000000000004</v>
      </c>
      <c r="V264" s="111">
        <f t="shared" si="14"/>
        <v>4574.9268000000002</v>
      </c>
      <c r="W264" s="55">
        <f>VLOOKUP($I264,'Old Pricing - end 26-Jan-2026'!$A:$R,18,FALSE)</f>
        <v>45</v>
      </c>
    </row>
    <row r="265" spans="1:23" ht="15" hidden="1" thickTop="1" x14ac:dyDescent="0.3">
      <c r="A265" s="55">
        <v>52970947</v>
      </c>
      <c r="B265" s="55">
        <v>0</v>
      </c>
      <c r="C265" s="55" t="str">
        <f>VLOOKUP(A265&amp;"-"&amp;B265,'Order Summary'!$D:$E,2,FALSE)</f>
        <v>Balance Payment Received</v>
      </c>
      <c r="D265" s="216">
        <f>IF($A265="","",VLOOKUP($A265&amp;"-"&amp;$B265,'Order Summary'!$D:$U,3,FALSE))</f>
        <v>45985</v>
      </c>
      <c r="E265" s="55" t="str">
        <f>VLOOKUP(A265&amp;"-"&amp;B265,'Order Summary'!$D:$G,4,FALSE)</f>
        <v>Yes</v>
      </c>
      <c r="F265" s="55" t="str">
        <f>VLOOKUP($A265,'Order Summary'!$B:$I,8,FALSE)</f>
        <v>Nampa, ID</v>
      </c>
      <c r="G265" s="216">
        <f>IF($A265="","",VLOOKUP($A265&amp;"-"&amp;$B265,'Order Summary'!$D:$U,18,FALSE))</f>
        <v>46142</v>
      </c>
      <c r="H265" s="55">
        <v>3</v>
      </c>
      <c r="I265" s="55">
        <v>694437</v>
      </c>
      <c r="J265" s="55" t="str">
        <f>VLOOKUP($I265,'Old Pricing - end 26-Jan-2026'!$A:$R,2,FALSE)</f>
        <v>G1S 694437</v>
      </c>
      <c r="K265" s="55" t="str">
        <f>VLOOKUP($I265,'Old Pricing - end 26-Jan-2026'!$A:$R,6,FALSE)&amp;" "&amp;VLOOKUP($I265,'Old Pricing - end 26-Jan-2026'!$A:$R,7,FALSE)&amp;""" x "&amp;VLOOKUP($I265,'Old Pricing - end 26-Jan-2026'!$A:$R,9,FALSE)&amp;""" "&amp;VLOOKUP($I265,'Old Pricing - end 26-Jan-2026'!$A:$R,5,FALSE)</f>
        <v>2MM 49" x 108" ACP</v>
      </c>
      <c r="L265" s="55">
        <f>VLOOKUP($I265,'Old Pricing - end 26-Jan-2026'!$A:$K,8,FALSE)</f>
        <v>1245</v>
      </c>
      <c r="M265" s="55">
        <f>VLOOKUP($I265,'Old Pricing - end 26-Jan-2026'!$A:$K,10,FALSE)</f>
        <v>2745</v>
      </c>
      <c r="N265" s="55" t="str">
        <f>VLOOKUP($I265,'Old Pricing - end 26-Jan-2026'!$A:$R,13,FALSE)&amp;" "&amp;VLOOKUP($I265,'Old Pricing - end 26-Jan-2026'!$A:$R,12,FALSE)</f>
        <v>ASC 0069 GLOSSY WHITE</v>
      </c>
      <c r="O265" s="56">
        <v>29.4</v>
      </c>
      <c r="P265" s="55">
        <f>(VLOOKUP($I265,'Old Pricing - end 26-Jan-2026'!$A:$R,8,FALSE)/1000)*(VLOOKUP($I265,'Old Pricing - end 26-Jan-2026'!$A:$R,10,FALSE)/1000)*Q265</f>
        <v>2734.0200000000004</v>
      </c>
      <c r="Q265" s="55">
        <f>ROUND(('Order Details'!$O265*1000)/((VLOOKUP($I265,'Old Pricing - end 26-Jan-2026'!$A:$Q,7,FALSE)/12)*(VLOOKUP($I265,'Old Pricing - end 26-Jan-2026'!$A:$Q,9,FALSE)/12))/5,0)*5</f>
        <v>800</v>
      </c>
      <c r="R265" s="71">
        <f>$Q265/IFERROR(VLOOKUP($F265&amp;RIGHT($K265,8),'Master Data'!$O$5:$P$10,2,FALSE),'Master Data'!$P$4)</f>
        <v>4</v>
      </c>
      <c r="S265" s="123">
        <f>VLOOKUP($I265,'Old Pricing - end 26-Jan-2026'!$A:$Q,16,FALSE)</f>
        <v>700</v>
      </c>
      <c r="T265" s="123">
        <f>VLOOKUP(I265,'Old Pricing - end 26-Jan-2026'!$A:$O,15,FALSE)</f>
        <v>7.53</v>
      </c>
      <c r="U265" s="123">
        <f t="shared" si="13"/>
        <v>20580</v>
      </c>
      <c r="V265" s="111">
        <f t="shared" si="14"/>
        <v>20587.170600000005</v>
      </c>
      <c r="W265" s="55">
        <f>VLOOKUP($I265,'Old Pricing - end 26-Jan-2026'!$A:$R,18,FALSE)</f>
        <v>45</v>
      </c>
    </row>
    <row r="266" spans="1:23" ht="15" hidden="1" thickTop="1" x14ac:dyDescent="0.3">
      <c r="A266" s="55">
        <v>52970948</v>
      </c>
      <c r="B266" s="55">
        <v>0</v>
      </c>
      <c r="C266" s="55" t="str">
        <f>VLOOKUP(A266&amp;"-"&amp;B266,'Order Summary'!$D:$E,2,FALSE)</f>
        <v>Telex / Seaway Released</v>
      </c>
      <c r="D266" s="216">
        <f>IF($A266="","",VLOOKUP($A266&amp;"-"&amp;$B266,'Order Summary'!$D:$U,3,FALSE))</f>
        <v>45985</v>
      </c>
      <c r="E266" s="55" t="str">
        <f>VLOOKUP(A266&amp;"-"&amp;B266,'Order Summary'!$D:$G,4,FALSE)</f>
        <v>Yes</v>
      </c>
      <c r="F266" s="55" t="str">
        <f>VLOOKUP($A266,'Order Summary'!$B:$I,8,FALSE)</f>
        <v>Nampa, ID</v>
      </c>
      <c r="G266" s="216">
        <f>IF($A266="","",VLOOKUP($A266&amp;"-"&amp;$B266,'Order Summary'!$D:$U,18,FALSE))</f>
        <v>46128</v>
      </c>
      <c r="H266" s="55">
        <v>1</v>
      </c>
      <c r="I266" s="55">
        <v>709356</v>
      </c>
      <c r="J266" s="55" t="str">
        <f>VLOOKUP($I266,'Old Pricing - end 26-Jan-2026'!$A:$R,2,FALSE)</f>
        <v>G1S 709356</v>
      </c>
      <c r="K266" s="55" t="str">
        <f>VLOOKUP($I266,'Old Pricing - end 26-Jan-2026'!$A:$R,6,FALSE)&amp;" "&amp;VLOOKUP($I266,'Old Pricing - end 26-Jan-2026'!$A:$R,7,FALSE)&amp;""" x "&amp;VLOOKUP($I266,'Old Pricing - end 26-Jan-2026'!$A:$R,9,FALSE)&amp;""" "&amp;VLOOKUP($I266,'Old Pricing - end 26-Jan-2026'!$A:$R,5,FALSE)</f>
        <v>2MM 49" x 90.5" ACP</v>
      </c>
      <c r="L266" s="55">
        <f>VLOOKUP($I266,'Old Pricing - end 26-Jan-2026'!$A:$K,8,FALSE)</f>
        <v>1245</v>
      </c>
      <c r="M266" s="55">
        <f>VLOOKUP($I266,'Old Pricing - end 26-Jan-2026'!$A:$K,10,FALSE)</f>
        <v>2300</v>
      </c>
      <c r="N266" s="55" t="str">
        <f>VLOOKUP($I266,'Old Pricing - end 26-Jan-2026'!$A:$R,13,FALSE)&amp;" "&amp;VLOOKUP($I266,'Old Pricing - end 26-Jan-2026'!$A:$R,12,FALSE)</f>
        <v>AMC 0086 CHARCOAL METALLIC</v>
      </c>
      <c r="O266" s="56">
        <v>43.113</v>
      </c>
      <c r="P266" s="55">
        <f>(VLOOKUP($I266,'Old Pricing - end 26-Jan-2026'!$A:$R,8,FALSE)/1000)*(VLOOKUP($I266,'Old Pricing - end 26-Jan-2026'!$A:$R,10,FALSE)/1000)*Q266</f>
        <v>4008.9</v>
      </c>
      <c r="Q266" s="55">
        <f>ROUND(('Order Details'!$O266*1000)/((VLOOKUP($I266,'Old Pricing - end 26-Jan-2026'!$A:$Q,7,FALSE)/12)*(VLOOKUP($I266,'Old Pricing - end 26-Jan-2026'!$A:$Q,9,FALSE)/12))/5,0)*5</f>
        <v>1400</v>
      </c>
      <c r="R266" s="71">
        <f>$Q266/IFERROR(VLOOKUP($F266&amp;RIGHT($K266,8),'Master Data'!$O$5:$P$10,2,FALSE),'Master Data'!$P$4)</f>
        <v>7</v>
      </c>
      <c r="S266" s="123">
        <f>VLOOKUP($I266,'Old Pricing - end 26-Jan-2026'!$A:$Q,16,FALSE)</f>
        <v>750</v>
      </c>
      <c r="T266" s="123">
        <f>VLOOKUP(I266,'Old Pricing - end 26-Jan-2026'!$A:$O,15,FALSE)</f>
        <v>8.07</v>
      </c>
      <c r="U266" s="123">
        <f t="shared" si="13"/>
        <v>32334.75</v>
      </c>
      <c r="V266" s="111">
        <f t="shared" si="14"/>
        <v>32351.823</v>
      </c>
      <c r="W266" s="55">
        <f>VLOOKUP($I266,'Old Pricing - end 26-Jan-2026'!$A:$R,18,FALSE)</f>
        <v>45</v>
      </c>
    </row>
    <row r="267" spans="1:23" ht="15" hidden="1" thickTop="1" x14ac:dyDescent="0.3">
      <c r="A267" s="55">
        <v>52970948</v>
      </c>
      <c r="B267" s="55">
        <v>0</v>
      </c>
      <c r="C267" s="55" t="str">
        <f>VLOOKUP(A267&amp;"-"&amp;B267,'Order Summary'!$D:$E,2,FALSE)</f>
        <v>Telex / Seaway Released</v>
      </c>
      <c r="D267" s="216">
        <f>IF($A267="","",VLOOKUP($A267&amp;"-"&amp;$B267,'Order Summary'!$D:$U,3,FALSE))</f>
        <v>45985</v>
      </c>
      <c r="E267" s="55" t="str">
        <f>VLOOKUP(A267&amp;"-"&amp;B267,'Order Summary'!$D:$G,4,FALSE)</f>
        <v>Yes</v>
      </c>
      <c r="F267" s="55" t="str">
        <f>VLOOKUP($A267,'Order Summary'!$B:$I,8,FALSE)</f>
        <v>Nampa, ID</v>
      </c>
      <c r="G267" s="216">
        <f>IF($A267="","",VLOOKUP($A267&amp;"-"&amp;$B267,'Order Summary'!$D:$U,18,FALSE))</f>
        <v>46128</v>
      </c>
      <c r="H267" s="55">
        <v>2</v>
      </c>
      <c r="I267" s="55">
        <v>694444</v>
      </c>
      <c r="J267" s="55" t="str">
        <f>VLOOKUP($I267,'Old Pricing - end 26-Jan-2026'!$A:$R,2,FALSE)</f>
        <v>G1S 694444</v>
      </c>
      <c r="K267" s="55" t="str">
        <f>VLOOKUP($I267,'Old Pricing - end 26-Jan-2026'!$A:$R,6,FALSE)&amp;" "&amp;VLOOKUP($I267,'Old Pricing - end 26-Jan-2026'!$A:$R,7,FALSE)&amp;""" x "&amp;VLOOKUP($I267,'Old Pricing - end 26-Jan-2026'!$A:$R,9,FALSE)&amp;""" "&amp;VLOOKUP($I267,'Old Pricing - end 26-Jan-2026'!$A:$R,5,FALSE)</f>
        <v>2MM 49" x 96" ACP</v>
      </c>
      <c r="L267" s="55">
        <f>VLOOKUP($I267,'Old Pricing - end 26-Jan-2026'!$A:$K,8,FALSE)</f>
        <v>1245</v>
      </c>
      <c r="M267" s="55">
        <f>VLOOKUP($I267,'Old Pricing - end 26-Jan-2026'!$A:$K,10,FALSE)</f>
        <v>2440</v>
      </c>
      <c r="N267" s="55" t="str">
        <f>VLOOKUP($I267,'Old Pricing - end 26-Jan-2026'!$A:$R,13,FALSE)&amp;" "&amp;VLOOKUP($I267,'Old Pricing - end 26-Jan-2026'!$A:$R,12,FALSE)</f>
        <v>AMC 0086 CHARCOAL METALLIC</v>
      </c>
      <c r="O267" s="56">
        <v>26.132999999999999</v>
      </c>
      <c r="P267" s="55">
        <f>(VLOOKUP($I267,'Old Pricing - end 26-Jan-2026'!$A:$R,8,FALSE)/1000)*(VLOOKUP($I267,'Old Pricing - end 26-Jan-2026'!$A:$R,10,FALSE)/1000)*Q267</f>
        <v>2430.2400000000002</v>
      </c>
      <c r="Q267" s="55">
        <f>ROUND(('Order Details'!$O267*1000)/((VLOOKUP($I267,'Old Pricing - end 26-Jan-2026'!$A:$Q,7,FALSE)/12)*(VLOOKUP($I267,'Old Pricing - end 26-Jan-2026'!$A:$Q,9,FALSE)/12))/5,0)*5</f>
        <v>800</v>
      </c>
      <c r="R267" s="71">
        <f>$Q267/IFERROR(VLOOKUP($F267&amp;RIGHT($K267,8),'Master Data'!$O$5:$P$10,2,FALSE),'Master Data'!$P$4)</f>
        <v>4</v>
      </c>
      <c r="S267" s="123">
        <f>VLOOKUP($I267,'Old Pricing - end 26-Jan-2026'!$A:$Q,16,FALSE)</f>
        <v>750</v>
      </c>
      <c r="T267" s="123">
        <f>VLOOKUP(I267,'Old Pricing - end 26-Jan-2026'!$A:$O,15,FALSE)</f>
        <v>8.07</v>
      </c>
      <c r="U267" s="123">
        <f t="shared" si="13"/>
        <v>19599.75</v>
      </c>
      <c r="V267" s="111">
        <f t="shared" si="14"/>
        <v>19612.036800000002</v>
      </c>
      <c r="W267" s="55">
        <f>VLOOKUP($I267,'Old Pricing - end 26-Jan-2026'!$A:$R,18,FALSE)</f>
        <v>45</v>
      </c>
    </row>
    <row r="268" spans="1:23" ht="15" hidden="1" thickTop="1" x14ac:dyDescent="0.3">
      <c r="A268" s="55">
        <v>52970948</v>
      </c>
      <c r="B268" s="55">
        <v>0</v>
      </c>
      <c r="C268" s="55" t="str">
        <f>VLOOKUP(A268&amp;"-"&amp;B268,'Order Summary'!$D:$E,2,FALSE)</f>
        <v>Telex / Seaway Released</v>
      </c>
      <c r="D268" s="216">
        <f>IF($A268="","",VLOOKUP($A268&amp;"-"&amp;$B268,'Order Summary'!$D:$U,3,FALSE))</f>
        <v>45985</v>
      </c>
      <c r="E268" s="55" t="str">
        <f>VLOOKUP(A268&amp;"-"&amp;B268,'Order Summary'!$D:$G,4,FALSE)</f>
        <v>Yes</v>
      </c>
      <c r="F268" s="55" t="str">
        <f>VLOOKUP($A268,'Order Summary'!$B:$I,8,FALSE)</f>
        <v>Nampa, ID</v>
      </c>
      <c r="G268" s="216">
        <f>IF($A268="","",VLOOKUP($A268&amp;"-"&amp;$B268,'Order Summary'!$D:$U,18,FALSE))</f>
        <v>46128</v>
      </c>
      <c r="H268" s="55">
        <v>3</v>
      </c>
      <c r="I268" s="55">
        <v>694446</v>
      </c>
      <c r="J268" s="55" t="str">
        <f>VLOOKUP($I268,'Old Pricing - end 26-Jan-2026'!$A:$R,2,FALSE)</f>
        <v>G1S 694446</v>
      </c>
      <c r="K268" s="55" t="str">
        <f>VLOOKUP($I268,'Old Pricing - end 26-Jan-2026'!$A:$R,6,FALSE)&amp;" "&amp;VLOOKUP($I268,'Old Pricing - end 26-Jan-2026'!$A:$R,7,FALSE)&amp;""" x "&amp;VLOOKUP($I268,'Old Pricing - end 26-Jan-2026'!$A:$R,9,FALSE)&amp;""" "&amp;VLOOKUP($I268,'Old Pricing - end 26-Jan-2026'!$A:$R,5,FALSE)</f>
        <v>2MM 49" x 144" ACP</v>
      </c>
      <c r="L268" s="55">
        <f>VLOOKUP($I268,'Old Pricing - end 26-Jan-2026'!$A:$K,8,FALSE)</f>
        <v>1245</v>
      </c>
      <c r="M268" s="55">
        <f>VLOOKUP($I268,'Old Pricing - end 26-Jan-2026'!$A:$K,10,FALSE)</f>
        <v>3658</v>
      </c>
      <c r="N268" s="55" t="str">
        <f>VLOOKUP($I268,'Old Pricing - end 26-Jan-2026'!$A:$R,13,FALSE)&amp;" "&amp;VLOOKUP($I268,'Old Pricing - end 26-Jan-2026'!$A:$R,12,FALSE)</f>
        <v>AMC 0086 CHARCOAL METALLIC</v>
      </c>
      <c r="O268" s="56">
        <v>19.600000000000001</v>
      </c>
      <c r="P268" s="55">
        <f>(VLOOKUP($I268,'Old Pricing - end 26-Jan-2026'!$A:$R,8,FALSE)/1000)*(VLOOKUP($I268,'Old Pricing - end 26-Jan-2026'!$A:$R,10,FALSE)/1000)*Q268</f>
        <v>1821.6840000000002</v>
      </c>
      <c r="Q268" s="55">
        <f>ROUND(('Order Details'!$O268*1000)/((VLOOKUP($I268,'Old Pricing - end 26-Jan-2026'!$A:$Q,7,FALSE)/12)*(VLOOKUP($I268,'Old Pricing - end 26-Jan-2026'!$A:$Q,9,FALSE)/12))/5,0)*5</f>
        <v>400</v>
      </c>
      <c r="R268" s="71">
        <f>$Q268/IFERROR(VLOOKUP($F268&amp;RIGHT($K268,8),'Master Data'!$O$5:$P$10,2,FALSE),'Master Data'!$P$4)</f>
        <v>2</v>
      </c>
      <c r="S268" s="123">
        <f>VLOOKUP($I268,'Old Pricing - end 26-Jan-2026'!$A:$Q,16,FALSE)</f>
        <v>750</v>
      </c>
      <c r="T268" s="123">
        <f>VLOOKUP(I268,'Old Pricing - end 26-Jan-2026'!$A:$O,15,FALSE)</f>
        <v>8.07</v>
      </c>
      <c r="U268" s="123">
        <f t="shared" si="13"/>
        <v>14700.000000000002</v>
      </c>
      <c r="V268" s="111">
        <f t="shared" si="14"/>
        <v>14700.989880000003</v>
      </c>
      <c r="W268" s="55">
        <f>VLOOKUP($I268,'Old Pricing - end 26-Jan-2026'!$A:$R,18,FALSE)</f>
        <v>45</v>
      </c>
    </row>
    <row r="269" spans="1:23" ht="15" hidden="1" thickTop="1" x14ac:dyDescent="0.3">
      <c r="A269" s="55">
        <v>52970952</v>
      </c>
      <c r="B269" s="55">
        <v>0</v>
      </c>
      <c r="C269" s="55" t="str">
        <f>VLOOKUP(A269&amp;"-"&amp;B269,'Order Summary'!$D:$E,2,FALSE)</f>
        <v>Downpayment Received</v>
      </c>
      <c r="D269" s="216">
        <f>IF($A269="","",VLOOKUP($A269&amp;"-"&amp;$B269,'Order Summary'!$D:$U,3,FALSE))</f>
        <v>45985</v>
      </c>
      <c r="E269" s="55" t="str">
        <f>VLOOKUP(A269&amp;"-"&amp;B269,'Order Summary'!$D:$G,4,FALSE)</f>
        <v>Yes</v>
      </c>
      <c r="F269" s="55" t="str">
        <f>VLOOKUP($A269,'Order Summary'!$B:$I,8,FALSE)</f>
        <v>Nampa, ID</v>
      </c>
      <c r="G269" s="216">
        <f>IF($A269="","",VLOOKUP($A269&amp;"-"&amp;$B269,'Order Summary'!$D:$U,18,FALSE))</f>
        <v>46156</v>
      </c>
      <c r="H269" s="55">
        <v>1</v>
      </c>
      <c r="I269" s="55">
        <v>709525</v>
      </c>
      <c r="J269" s="55" t="str">
        <f>VLOOKUP($I269,'Old Pricing - end 26-Jan-2026'!$A:$R,2,FALSE)</f>
        <v>G1S 709525</v>
      </c>
      <c r="K269" s="55" t="str">
        <f>VLOOKUP($I269,'Old Pricing - end 26-Jan-2026'!$A:$R,6,FALSE)&amp;" "&amp;VLOOKUP($I269,'Old Pricing - end 26-Jan-2026'!$A:$R,7,FALSE)&amp;""" x "&amp;VLOOKUP($I269,'Old Pricing - end 26-Jan-2026'!$A:$R,9,FALSE)&amp;""" "&amp;VLOOKUP($I269,'Old Pricing - end 26-Jan-2026'!$A:$R,5,FALSE)</f>
        <v>2MM 49" x 90.5" ACP</v>
      </c>
      <c r="L269" s="55">
        <f>VLOOKUP($I269,'Old Pricing - end 26-Jan-2026'!$A:$K,8,FALSE)</f>
        <v>1245</v>
      </c>
      <c r="M269" s="55">
        <f>VLOOKUP($I269,'Old Pricing - end 26-Jan-2026'!$A:$K,10,FALSE)</f>
        <v>2300</v>
      </c>
      <c r="N269" s="55" t="str">
        <f>VLOOKUP($I269,'Old Pricing - end 26-Jan-2026'!$A:$R,13,FALSE)&amp;" "&amp;VLOOKUP($I269,'Old Pricing - end 26-Jan-2026'!$A:$R,12,FALSE)</f>
        <v>AMC 0103 SILVER FROST</v>
      </c>
      <c r="O269" s="56">
        <v>12.318</v>
      </c>
      <c r="P269" s="55">
        <f>(VLOOKUP($I269,'Old Pricing - end 26-Jan-2026'!$A:$R,8,FALSE)/1000)*(VLOOKUP($I269,'Old Pricing - end 26-Jan-2026'!$A:$R,10,FALSE)/1000)*Q269</f>
        <v>1145.4000000000001</v>
      </c>
      <c r="Q269" s="55">
        <f>ROUND(('Order Details'!$O269*1000)/((VLOOKUP($I269,'Old Pricing - end 26-Jan-2026'!$A:$Q,7,FALSE)/12)*(VLOOKUP($I269,'Old Pricing - end 26-Jan-2026'!$A:$Q,9,FALSE)/12))/5,0)*5</f>
        <v>400</v>
      </c>
      <c r="R269" s="71">
        <f>$Q269/IFERROR(VLOOKUP($F269&amp;RIGHT($K269,8),'Master Data'!$O$5:$P$10,2,FALSE),'Master Data'!$P$4)</f>
        <v>2</v>
      </c>
      <c r="S269" s="123">
        <f>VLOOKUP($I269,'Old Pricing - end 26-Jan-2026'!$A:$Q,16,FALSE)</f>
        <v>700</v>
      </c>
      <c r="T269" s="123">
        <f>VLOOKUP(I269,'Old Pricing - end 26-Jan-2026'!$A:$O,15,FALSE)</f>
        <v>7.53</v>
      </c>
      <c r="U269" s="123">
        <f t="shared" si="13"/>
        <v>8622.6</v>
      </c>
      <c r="V269" s="111">
        <f t="shared" si="14"/>
        <v>8624.862000000001</v>
      </c>
      <c r="W269" s="55">
        <f>VLOOKUP($I269,'Old Pricing - end 26-Jan-2026'!$A:$R,18,FALSE)</f>
        <v>90</v>
      </c>
    </row>
    <row r="270" spans="1:23" ht="15" hidden="1" thickTop="1" x14ac:dyDescent="0.3">
      <c r="A270" s="55">
        <v>52970952</v>
      </c>
      <c r="B270" s="55">
        <v>0</v>
      </c>
      <c r="C270" s="55" t="str">
        <f>VLOOKUP(A270&amp;"-"&amp;B270,'Order Summary'!$D:$E,2,FALSE)</f>
        <v>Downpayment Received</v>
      </c>
      <c r="D270" s="216">
        <f>IF($A270="","",VLOOKUP($A270&amp;"-"&amp;$B270,'Order Summary'!$D:$U,3,FALSE))</f>
        <v>45985</v>
      </c>
      <c r="E270" s="55" t="str">
        <f>VLOOKUP(A270&amp;"-"&amp;B270,'Order Summary'!$D:$G,4,FALSE)</f>
        <v>Yes</v>
      </c>
      <c r="F270" s="55" t="str">
        <f>VLOOKUP($A270,'Order Summary'!$B:$I,8,FALSE)</f>
        <v>Nampa, ID</v>
      </c>
      <c r="G270" s="216">
        <f>IF($A270="","",VLOOKUP($A270&amp;"-"&amp;$B270,'Order Summary'!$D:$U,18,FALSE))</f>
        <v>46156</v>
      </c>
      <c r="H270" s="55">
        <v>2</v>
      </c>
      <c r="I270" s="55">
        <v>694440</v>
      </c>
      <c r="J270" s="55" t="str">
        <f>VLOOKUP($I270,'Old Pricing - end 26-Jan-2026'!$A:$R,2,FALSE)</f>
        <v>G1S 694440</v>
      </c>
      <c r="K270" s="55" t="str">
        <f>VLOOKUP($I270,'Old Pricing - end 26-Jan-2026'!$A:$R,6,FALSE)&amp;" "&amp;VLOOKUP($I270,'Old Pricing - end 26-Jan-2026'!$A:$R,7,FALSE)&amp;""" x "&amp;VLOOKUP($I270,'Old Pricing - end 26-Jan-2026'!$A:$R,9,FALSE)&amp;""" "&amp;VLOOKUP($I270,'Old Pricing - end 26-Jan-2026'!$A:$R,5,FALSE)</f>
        <v>2MM 49" x 96" ACP</v>
      </c>
      <c r="L270" s="55">
        <f>VLOOKUP($I270,'Old Pricing - end 26-Jan-2026'!$A:$K,8,FALSE)</f>
        <v>1245</v>
      </c>
      <c r="M270" s="55">
        <f>VLOOKUP($I270,'Old Pricing - end 26-Jan-2026'!$A:$K,10,FALSE)</f>
        <v>2440</v>
      </c>
      <c r="N270" s="55" t="str">
        <f>VLOOKUP($I270,'Old Pricing - end 26-Jan-2026'!$A:$R,13,FALSE)&amp;" "&amp;VLOOKUP($I270,'Old Pricing - end 26-Jan-2026'!$A:$R,12,FALSE)</f>
        <v>AMC 0103 SILVER FROST</v>
      </c>
      <c r="O270" s="56">
        <v>6.5330000000000004</v>
      </c>
      <c r="P270" s="55">
        <f>(VLOOKUP($I270,'Old Pricing - end 26-Jan-2026'!$A:$R,8,FALSE)/1000)*(VLOOKUP($I270,'Old Pricing - end 26-Jan-2026'!$A:$R,10,FALSE)/1000)*Q270</f>
        <v>607.56000000000006</v>
      </c>
      <c r="Q270" s="55">
        <f>ROUND(('Order Details'!$O270*1000)/((VLOOKUP($I270,'Old Pricing - end 26-Jan-2026'!$A:$Q,7,FALSE)/12)*(VLOOKUP($I270,'Old Pricing - end 26-Jan-2026'!$A:$Q,9,FALSE)/12))/5,0)*5</f>
        <v>200</v>
      </c>
      <c r="R270" s="71">
        <f>$Q270/IFERROR(VLOOKUP($F270&amp;RIGHT($K270,8),'Master Data'!$O$5:$P$10,2,FALSE),'Master Data'!$P$4)</f>
        <v>1</v>
      </c>
      <c r="S270" s="123">
        <f>VLOOKUP($I270,'Old Pricing - end 26-Jan-2026'!$A:$Q,16,FALSE)</f>
        <v>700</v>
      </c>
      <c r="T270" s="123">
        <f>VLOOKUP(I270,'Old Pricing - end 26-Jan-2026'!$A:$O,15,FALSE)</f>
        <v>7.53</v>
      </c>
      <c r="U270" s="123">
        <f t="shared" si="13"/>
        <v>4573.1000000000004</v>
      </c>
      <c r="V270" s="111">
        <f t="shared" si="14"/>
        <v>4574.9268000000002</v>
      </c>
      <c r="W270" s="55">
        <f>VLOOKUP($I270,'Old Pricing - end 26-Jan-2026'!$A:$R,18,FALSE)</f>
        <v>90</v>
      </c>
    </row>
    <row r="271" spans="1:23" ht="15" hidden="1" thickTop="1" x14ac:dyDescent="0.3">
      <c r="A271" s="55">
        <v>52970952</v>
      </c>
      <c r="B271" s="55">
        <v>0</v>
      </c>
      <c r="C271" s="55" t="str">
        <f>VLOOKUP(A271&amp;"-"&amp;B271,'Order Summary'!$D:$E,2,FALSE)</f>
        <v>Downpayment Received</v>
      </c>
      <c r="D271" s="216">
        <f>IF($A271="","",VLOOKUP($A271&amp;"-"&amp;$B271,'Order Summary'!$D:$U,3,FALSE))</f>
        <v>45985</v>
      </c>
      <c r="E271" s="55" t="str">
        <f>VLOOKUP(A271&amp;"-"&amp;B271,'Order Summary'!$D:$G,4,FALSE)</f>
        <v>Yes</v>
      </c>
      <c r="F271" s="55" t="str">
        <f>VLOOKUP($A271,'Order Summary'!$B:$I,8,FALSE)</f>
        <v>Nampa, ID</v>
      </c>
      <c r="G271" s="216">
        <f>IF($A271="","",VLOOKUP($A271&amp;"-"&amp;$B271,'Order Summary'!$D:$U,18,FALSE))</f>
        <v>46156</v>
      </c>
      <c r="H271" s="55">
        <v>3</v>
      </c>
      <c r="I271" s="55">
        <v>694441</v>
      </c>
      <c r="J271" s="55" t="str">
        <f>VLOOKUP($I271,'Old Pricing - end 26-Jan-2026'!$A:$R,2,FALSE)</f>
        <v>G1S 694441</v>
      </c>
      <c r="K271" s="55" t="str">
        <f>VLOOKUP($I271,'Old Pricing - end 26-Jan-2026'!$A:$R,6,FALSE)&amp;" "&amp;VLOOKUP($I271,'Old Pricing - end 26-Jan-2026'!$A:$R,7,FALSE)&amp;""" x "&amp;VLOOKUP($I271,'Old Pricing - end 26-Jan-2026'!$A:$R,9,FALSE)&amp;""" "&amp;VLOOKUP($I271,'Old Pricing - end 26-Jan-2026'!$A:$R,5,FALSE)</f>
        <v>2MM 49" x 108" ACP</v>
      </c>
      <c r="L271" s="55">
        <f>VLOOKUP($I271,'Old Pricing - end 26-Jan-2026'!$A:$K,8,FALSE)</f>
        <v>1245</v>
      </c>
      <c r="M271" s="55">
        <f>VLOOKUP($I271,'Old Pricing - end 26-Jan-2026'!$A:$K,10,FALSE)</f>
        <v>2745</v>
      </c>
      <c r="N271" s="55" t="str">
        <f>VLOOKUP($I271,'Old Pricing - end 26-Jan-2026'!$A:$R,13,FALSE)&amp;" "&amp;VLOOKUP($I271,'Old Pricing - end 26-Jan-2026'!$A:$R,12,FALSE)</f>
        <v>AMC 0103 SILVER FROST</v>
      </c>
      <c r="O271" s="56">
        <v>7.35</v>
      </c>
      <c r="P271" s="55">
        <f>(VLOOKUP($I271,'Old Pricing - end 26-Jan-2026'!$A:$R,8,FALSE)/1000)*(VLOOKUP($I271,'Old Pricing - end 26-Jan-2026'!$A:$R,10,FALSE)/1000)*Q271</f>
        <v>683.50500000000011</v>
      </c>
      <c r="Q271" s="55">
        <f>ROUND(('Order Details'!$O271*1000)/((VLOOKUP($I271,'Old Pricing - end 26-Jan-2026'!$A:$Q,7,FALSE)/12)*(VLOOKUP($I271,'Old Pricing - end 26-Jan-2026'!$A:$Q,9,FALSE)/12))/5,0)*5</f>
        <v>200</v>
      </c>
      <c r="R271" s="71">
        <f>$Q271/IFERROR(VLOOKUP($F271&amp;RIGHT($K271,8),'Master Data'!$O$5:$P$10,2,FALSE),'Master Data'!$P$4)</f>
        <v>1</v>
      </c>
      <c r="S271" s="123">
        <f>VLOOKUP($I271,'Old Pricing - end 26-Jan-2026'!$A:$Q,16,FALSE)</f>
        <v>700</v>
      </c>
      <c r="T271" s="123">
        <f>VLOOKUP(I271,'Old Pricing - end 26-Jan-2026'!$A:$O,15,FALSE)</f>
        <v>7.53</v>
      </c>
      <c r="U271" s="123">
        <f t="shared" si="13"/>
        <v>5145</v>
      </c>
      <c r="V271" s="111">
        <f t="shared" si="14"/>
        <v>5146.7926500000012</v>
      </c>
      <c r="W271" s="55">
        <f>VLOOKUP($I271,'Old Pricing - end 26-Jan-2026'!$A:$R,18,FALSE)</f>
        <v>90</v>
      </c>
    </row>
    <row r="272" spans="1:23" ht="15" hidden="1" thickTop="1" x14ac:dyDescent="0.3">
      <c r="A272" s="55">
        <v>52970952</v>
      </c>
      <c r="B272" s="55">
        <v>0</v>
      </c>
      <c r="C272" s="55" t="str">
        <f>VLOOKUP(A272&amp;"-"&amp;B272,'Order Summary'!$D:$E,2,FALSE)</f>
        <v>Downpayment Received</v>
      </c>
      <c r="D272" s="216">
        <f>IF($A272="","",VLOOKUP($A272&amp;"-"&amp;$B272,'Order Summary'!$D:$U,3,FALSE))</f>
        <v>45985</v>
      </c>
      <c r="E272" s="55" t="str">
        <f>VLOOKUP(A272&amp;"-"&amp;B272,'Order Summary'!$D:$G,4,FALSE)</f>
        <v>Yes</v>
      </c>
      <c r="F272" s="55" t="str">
        <f>VLOOKUP($A272,'Order Summary'!$B:$I,8,FALSE)</f>
        <v>Nampa, ID</v>
      </c>
      <c r="G272" s="216">
        <f>IF($A272="","",VLOOKUP($A272&amp;"-"&amp;$B272,'Order Summary'!$D:$U,18,FALSE))</f>
        <v>46156</v>
      </c>
      <c r="H272" s="55">
        <v>4</v>
      </c>
      <c r="I272" s="55">
        <v>694672</v>
      </c>
      <c r="J272" s="55" t="str">
        <f>VLOOKUP($I272,'Old Pricing - end 26-Jan-2026'!$A:$R,2,FALSE)</f>
        <v>G1S 694672</v>
      </c>
      <c r="K272" s="55" t="str">
        <f>VLOOKUP($I272,'Old Pricing - end 26-Jan-2026'!$A:$R,6,FALSE)&amp;" "&amp;VLOOKUP($I272,'Old Pricing - end 26-Jan-2026'!$A:$R,7,FALSE)&amp;""" x "&amp;VLOOKUP($I272,'Old Pricing - end 26-Jan-2026'!$A:$R,9,FALSE)&amp;""" "&amp;VLOOKUP($I272,'Old Pricing - end 26-Jan-2026'!$A:$R,5,FALSE)</f>
        <v>2MM 49" x 96" ACP</v>
      </c>
      <c r="L272" s="55">
        <f>VLOOKUP($I272,'Old Pricing - end 26-Jan-2026'!$A:$K,8,FALSE)</f>
        <v>1245</v>
      </c>
      <c r="M272" s="55">
        <f>VLOOKUP($I272,'Old Pricing - end 26-Jan-2026'!$A:$K,10,FALSE)</f>
        <v>2440</v>
      </c>
      <c r="N272" s="55" t="str">
        <f>VLOOKUP($I272,'Old Pricing - end 26-Jan-2026'!$A:$R,13,FALSE)&amp;" "&amp;VLOOKUP($I272,'Old Pricing - end 26-Jan-2026'!$A:$R,12,FALSE)</f>
        <v>ASC 0089 VICTORY RED</v>
      </c>
      <c r="O272" s="56">
        <v>13.067</v>
      </c>
      <c r="P272" s="55">
        <f>(VLOOKUP($I272,'Old Pricing - end 26-Jan-2026'!$A:$R,8,FALSE)/1000)*(VLOOKUP($I272,'Old Pricing - end 26-Jan-2026'!$A:$R,10,FALSE)/1000)*Q272</f>
        <v>1215.1200000000001</v>
      </c>
      <c r="Q272" s="55">
        <f>ROUND(('Order Details'!$O272*1000)/((VLOOKUP($I272,'Old Pricing - end 26-Jan-2026'!$A:$Q,7,FALSE)/12)*(VLOOKUP($I272,'Old Pricing - end 26-Jan-2026'!$A:$Q,9,FALSE)/12))/5,0)*5</f>
        <v>400</v>
      </c>
      <c r="R272" s="71">
        <f>$Q272/IFERROR(VLOOKUP($F272&amp;RIGHT($K272,8),'Master Data'!$O$5:$P$10,2,FALSE),'Master Data'!$P$4)</f>
        <v>2</v>
      </c>
      <c r="S272" s="123">
        <f>VLOOKUP($I272,'Old Pricing - end 26-Jan-2026'!$A:$Q,16,FALSE)</f>
        <v>700</v>
      </c>
      <c r="T272" s="123">
        <f>VLOOKUP(I272,'Old Pricing - end 26-Jan-2026'!$A:$O,15,FALSE)</f>
        <v>7.53</v>
      </c>
      <c r="U272" s="123">
        <f t="shared" si="13"/>
        <v>9146.9</v>
      </c>
      <c r="V272" s="111">
        <f t="shared" si="14"/>
        <v>9149.8536000000004</v>
      </c>
      <c r="W272" s="55">
        <f>VLOOKUP($I272,'Old Pricing - end 26-Jan-2026'!$A:$R,18,FALSE)</f>
        <v>45</v>
      </c>
    </row>
    <row r="273" spans="1:23" ht="15" hidden="1" thickTop="1" x14ac:dyDescent="0.3">
      <c r="A273" s="55">
        <v>52970952</v>
      </c>
      <c r="B273" s="55">
        <v>0</v>
      </c>
      <c r="C273" s="55" t="str">
        <f>VLOOKUP(A273&amp;"-"&amp;B273,'Order Summary'!$D:$E,2,FALSE)</f>
        <v>Downpayment Received</v>
      </c>
      <c r="D273" s="216">
        <f>IF($A273="","",VLOOKUP($A273&amp;"-"&amp;$B273,'Order Summary'!$D:$U,3,FALSE))</f>
        <v>45985</v>
      </c>
      <c r="E273" s="55" t="str">
        <f>VLOOKUP(A273&amp;"-"&amp;B273,'Order Summary'!$D:$G,4,FALSE)</f>
        <v>Yes</v>
      </c>
      <c r="F273" s="55" t="str">
        <f>VLOOKUP($A273,'Order Summary'!$B:$I,8,FALSE)</f>
        <v>Nampa, ID</v>
      </c>
      <c r="G273" s="216">
        <f>IF($A273="","",VLOOKUP($A273&amp;"-"&amp;$B273,'Order Summary'!$D:$U,18,FALSE))</f>
        <v>46156</v>
      </c>
      <c r="H273" s="55">
        <v>5</v>
      </c>
      <c r="I273" s="55">
        <v>694673</v>
      </c>
      <c r="J273" s="55" t="str">
        <f>VLOOKUP($I273,'Old Pricing - end 26-Jan-2026'!$A:$R,2,FALSE)</f>
        <v>G1S 694673</v>
      </c>
      <c r="K273" s="55" t="str">
        <f>VLOOKUP($I273,'Old Pricing - end 26-Jan-2026'!$A:$R,6,FALSE)&amp;" "&amp;VLOOKUP($I273,'Old Pricing - end 26-Jan-2026'!$A:$R,7,FALSE)&amp;""" x "&amp;VLOOKUP($I273,'Old Pricing - end 26-Jan-2026'!$A:$R,9,FALSE)&amp;""" "&amp;VLOOKUP($I273,'Old Pricing - end 26-Jan-2026'!$A:$R,5,FALSE)</f>
        <v>2MM 49" x 108" ACP</v>
      </c>
      <c r="L273" s="55">
        <f>VLOOKUP($I273,'Old Pricing - end 26-Jan-2026'!$A:$K,8,FALSE)</f>
        <v>1245</v>
      </c>
      <c r="M273" s="55">
        <f>VLOOKUP($I273,'Old Pricing - end 26-Jan-2026'!$A:$K,10,FALSE)</f>
        <v>2745</v>
      </c>
      <c r="N273" s="55" t="str">
        <f>VLOOKUP($I273,'Old Pricing - end 26-Jan-2026'!$A:$R,13,FALSE)&amp;" "&amp;VLOOKUP($I273,'Old Pricing - end 26-Jan-2026'!$A:$R,12,FALSE)</f>
        <v>ASC 0089 VICTORY RED</v>
      </c>
      <c r="O273" s="56">
        <v>7.35</v>
      </c>
      <c r="P273" s="55">
        <f>(VLOOKUP($I273,'Old Pricing - end 26-Jan-2026'!$A:$R,8,FALSE)/1000)*(VLOOKUP($I273,'Old Pricing - end 26-Jan-2026'!$A:$R,10,FALSE)/1000)*Q273</f>
        <v>683.50500000000011</v>
      </c>
      <c r="Q273" s="55">
        <f>ROUND(('Order Details'!$O273*1000)/((VLOOKUP($I273,'Old Pricing - end 26-Jan-2026'!$A:$Q,7,FALSE)/12)*(VLOOKUP($I273,'Old Pricing - end 26-Jan-2026'!$A:$Q,9,FALSE)/12))/5,0)*5</f>
        <v>200</v>
      </c>
      <c r="R273" s="71">
        <f>$Q273/IFERROR(VLOOKUP($F273&amp;RIGHT($K273,8),'Master Data'!$O$5:$P$10,2,FALSE),'Master Data'!$P$4)</f>
        <v>1</v>
      </c>
      <c r="S273" s="123">
        <f>VLOOKUP($I273,'Old Pricing - end 26-Jan-2026'!$A:$Q,16,FALSE)</f>
        <v>700</v>
      </c>
      <c r="T273" s="123">
        <f>VLOOKUP(I273,'Old Pricing - end 26-Jan-2026'!$A:$O,15,FALSE)</f>
        <v>7.53</v>
      </c>
      <c r="U273" s="123">
        <f t="shared" si="13"/>
        <v>5145</v>
      </c>
      <c r="V273" s="111">
        <f t="shared" si="14"/>
        <v>5146.7926500000012</v>
      </c>
      <c r="W273" s="55">
        <f>VLOOKUP($I273,'Old Pricing - end 26-Jan-2026'!$A:$R,18,FALSE)</f>
        <v>45</v>
      </c>
    </row>
    <row r="274" spans="1:23" ht="15" hidden="1" thickTop="1" x14ac:dyDescent="0.3">
      <c r="A274" s="55">
        <v>52970952</v>
      </c>
      <c r="B274" s="55">
        <v>0</v>
      </c>
      <c r="C274" s="55" t="str">
        <f>VLOOKUP(A274&amp;"-"&amp;B274,'Order Summary'!$D:$E,2,FALSE)</f>
        <v>Downpayment Received</v>
      </c>
      <c r="D274" s="216">
        <f>IF($A274="","",VLOOKUP($A274&amp;"-"&amp;$B274,'Order Summary'!$D:$U,3,FALSE))</f>
        <v>45985</v>
      </c>
      <c r="E274" s="55" t="str">
        <f>VLOOKUP(A274&amp;"-"&amp;B274,'Order Summary'!$D:$G,4,FALSE)</f>
        <v>Yes</v>
      </c>
      <c r="F274" s="55" t="str">
        <f>VLOOKUP($A274,'Order Summary'!$B:$I,8,FALSE)</f>
        <v>Nampa, ID</v>
      </c>
      <c r="G274" s="216">
        <f>IF($A274="","",VLOOKUP($A274&amp;"-"&amp;$B274,'Order Summary'!$D:$U,18,FALSE))</f>
        <v>46156</v>
      </c>
      <c r="H274" s="55">
        <v>6</v>
      </c>
      <c r="I274" s="55">
        <v>694674</v>
      </c>
      <c r="J274" s="55" t="str">
        <f>VLOOKUP($I274,'Old Pricing - end 26-Jan-2026'!$A:$R,2,FALSE)</f>
        <v>G1S 694674</v>
      </c>
      <c r="K274" s="55" t="str">
        <f>VLOOKUP($I274,'Old Pricing - end 26-Jan-2026'!$A:$R,6,FALSE)&amp;" "&amp;VLOOKUP($I274,'Old Pricing - end 26-Jan-2026'!$A:$R,7,FALSE)&amp;""" x "&amp;VLOOKUP($I274,'Old Pricing - end 26-Jan-2026'!$A:$R,9,FALSE)&amp;""" "&amp;VLOOKUP($I274,'Old Pricing - end 26-Jan-2026'!$A:$R,5,FALSE)</f>
        <v>2MM 49" x 144" ACP</v>
      </c>
      <c r="L274" s="55">
        <f>VLOOKUP($I274,'Old Pricing - end 26-Jan-2026'!$A:$K,8,FALSE)</f>
        <v>1245</v>
      </c>
      <c r="M274" s="55">
        <f>VLOOKUP($I274,'Old Pricing - end 26-Jan-2026'!$A:$K,10,FALSE)</f>
        <v>3658</v>
      </c>
      <c r="N274" s="55" t="str">
        <f>VLOOKUP($I274,'Old Pricing - end 26-Jan-2026'!$A:$R,13,FALSE)&amp;" "&amp;VLOOKUP($I274,'Old Pricing - end 26-Jan-2026'!$A:$R,12,FALSE)</f>
        <v>ASC 0089 VICTORY RED</v>
      </c>
      <c r="O274" s="56">
        <v>9.8000000000000007</v>
      </c>
      <c r="P274" s="55">
        <f>(VLOOKUP($I274,'Old Pricing - end 26-Jan-2026'!$A:$R,8,FALSE)/1000)*(VLOOKUP($I274,'Old Pricing - end 26-Jan-2026'!$A:$R,10,FALSE)/1000)*Q274</f>
        <v>910.8420000000001</v>
      </c>
      <c r="Q274" s="55">
        <f>ROUND(('Order Details'!$O274*1000)/((VLOOKUP($I274,'Old Pricing - end 26-Jan-2026'!$A:$Q,7,FALSE)/12)*(VLOOKUP($I274,'Old Pricing - end 26-Jan-2026'!$A:$Q,9,FALSE)/12))/5,0)*5</f>
        <v>200</v>
      </c>
      <c r="R274" s="71">
        <f>$Q274/IFERROR(VLOOKUP($F274&amp;RIGHT($K274,8),'Master Data'!$O$5:$P$10,2,FALSE),'Master Data'!$P$4)</f>
        <v>1</v>
      </c>
      <c r="S274" s="123">
        <f>VLOOKUP($I274,'Old Pricing - end 26-Jan-2026'!$A:$Q,16,FALSE)</f>
        <v>700</v>
      </c>
      <c r="T274" s="123">
        <f>VLOOKUP(I274,'Old Pricing - end 26-Jan-2026'!$A:$O,15,FALSE)</f>
        <v>7.53</v>
      </c>
      <c r="U274" s="123">
        <f t="shared" si="13"/>
        <v>6860.0000000000009</v>
      </c>
      <c r="V274" s="111">
        <f t="shared" si="14"/>
        <v>6858.640260000001</v>
      </c>
      <c r="W274" s="55">
        <f>VLOOKUP($I274,'Old Pricing - end 26-Jan-2026'!$A:$R,18,FALSE)</f>
        <v>45</v>
      </c>
    </row>
    <row r="275" spans="1:23" ht="15" hidden="1" thickTop="1" x14ac:dyDescent="0.3">
      <c r="A275" s="55">
        <v>52970952</v>
      </c>
      <c r="B275" s="55">
        <v>0</v>
      </c>
      <c r="C275" s="55" t="str">
        <f>VLOOKUP(A275&amp;"-"&amp;B275,'Order Summary'!$D:$E,2,FALSE)</f>
        <v>Downpayment Received</v>
      </c>
      <c r="D275" s="216">
        <f>IF($A275="","",VLOOKUP($A275&amp;"-"&amp;$B275,'Order Summary'!$D:$U,3,FALSE))</f>
        <v>45985</v>
      </c>
      <c r="E275" s="55" t="str">
        <f>VLOOKUP(A275&amp;"-"&amp;B275,'Order Summary'!$D:$G,4,FALSE)</f>
        <v>Yes</v>
      </c>
      <c r="F275" s="55" t="str">
        <f>VLOOKUP($A275,'Order Summary'!$B:$I,8,FALSE)</f>
        <v>Nampa, ID</v>
      </c>
      <c r="G275" s="216">
        <f>IF($A275="","",VLOOKUP($A275&amp;"-"&amp;$B275,'Order Summary'!$D:$U,18,FALSE))</f>
        <v>46156</v>
      </c>
      <c r="H275" s="55">
        <v>7</v>
      </c>
      <c r="I275" s="55">
        <v>695620</v>
      </c>
      <c r="J275" s="55" t="str">
        <f>VLOOKUP($I275,'Old Pricing - end 26-Jan-2026'!$A:$R,2,FALSE)</f>
        <v>G1S 695620</v>
      </c>
      <c r="K275" s="55" t="str">
        <f>VLOOKUP($I275,'Old Pricing - end 26-Jan-2026'!$A:$R,6,FALSE)&amp;" "&amp;VLOOKUP($I275,'Old Pricing - end 26-Jan-2026'!$A:$R,7,FALSE)&amp;""" x "&amp;VLOOKUP($I275,'Old Pricing - end 26-Jan-2026'!$A:$R,9,FALSE)&amp;""" "&amp;VLOOKUP($I275,'Old Pricing - end 26-Jan-2026'!$A:$R,5,FALSE)</f>
        <v>2MM 49" x 96" ACP</v>
      </c>
      <c r="L275" s="55">
        <f>VLOOKUP($I275,'Old Pricing - end 26-Jan-2026'!$A:$K,8,FALSE)</f>
        <v>1245</v>
      </c>
      <c r="M275" s="55">
        <f>VLOOKUP($I275,'Old Pricing - end 26-Jan-2026'!$A:$K,10,FALSE)</f>
        <v>2440</v>
      </c>
      <c r="N275" s="55" t="str">
        <f>VLOOKUP($I275,'Old Pricing - end 26-Jan-2026'!$A:$R,13,FALSE)&amp;" "&amp;VLOOKUP($I275,'Old Pricing - end 26-Jan-2026'!$A:$R,12,FALSE)</f>
        <v>ASC 0105 INDIGO BLUE</v>
      </c>
      <c r="O275" s="56">
        <v>13.067</v>
      </c>
      <c r="P275" s="55">
        <f>(VLOOKUP($I275,'Old Pricing - end 26-Jan-2026'!$A:$R,8,FALSE)/1000)*(VLOOKUP($I275,'Old Pricing - end 26-Jan-2026'!$A:$R,10,FALSE)/1000)*Q275</f>
        <v>1215.1200000000001</v>
      </c>
      <c r="Q275" s="55">
        <f>ROUND(('Order Details'!$O275*1000)/((VLOOKUP($I275,'Old Pricing - end 26-Jan-2026'!$A:$Q,7,FALSE)/12)*(VLOOKUP($I275,'Old Pricing - end 26-Jan-2026'!$A:$Q,9,FALSE)/12))/5,0)*5</f>
        <v>400</v>
      </c>
      <c r="R275" s="71">
        <f>$Q275/IFERROR(VLOOKUP($F275&amp;RIGHT($K275,8),'Master Data'!$O$5:$P$10,2,FALSE),'Master Data'!$P$4)</f>
        <v>2</v>
      </c>
      <c r="S275" s="123">
        <f>VLOOKUP($I275,'Old Pricing - end 26-Jan-2026'!$A:$Q,16,FALSE)</f>
        <v>750</v>
      </c>
      <c r="T275" s="123">
        <f>VLOOKUP(I275,'Old Pricing - end 26-Jan-2026'!$A:$O,15,FALSE)</f>
        <v>8.07</v>
      </c>
      <c r="U275" s="123">
        <f t="shared" si="13"/>
        <v>9800.25</v>
      </c>
      <c r="V275" s="111">
        <f t="shared" si="14"/>
        <v>9806.0184000000008</v>
      </c>
      <c r="W275" s="55">
        <f>VLOOKUP($I275,'Old Pricing - end 26-Jan-2026'!$A:$R,18,FALSE)</f>
        <v>45</v>
      </c>
    </row>
    <row r="276" spans="1:23" ht="15" hidden="1" thickTop="1" x14ac:dyDescent="0.3">
      <c r="A276" s="55">
        <v>52970952</v>
      </c>
      <c r="B276" s="55">
        <v>0</v>
      </c>
      <c r="C276" s="55" t="str">
        <f>VLOOKUP(A276&amp;"-"&amp;B276,'Order Summary'!$D:$E,2,FALSE)</f>
        <v>Downpayment Received</v>
      </c>
      <c r="D276" s="216">
        <f>IF($A276="","",VLOOKUP($A276&amp;"-"&amp;$B276,'Order Summary'!$D:$U,3,FALSE))</f>
        <v>45985</v>
      </c>
      <c r="E276" s="55" t="str">
        <f>VLOOKUP(A276&amp;"-"&amp;B276,'Order Summary'!$D:$G,4,FALSE)</f>
        <v>Yes</v>
      </c>
      <c r="F276" s="55" t="str">
        <f>VLOOKUP($A276,'Order Summary'!$B:$I,8,FALSE)</f>
        <v>Nampa, ID</v>
      </c>
      <c r="G276" s="216">
        <f>IF($A276="","",VLOOKUP($A276&amp;"-"&amp;$B276,'Order Summary'!$D:$U,18,FALSE))</f>
        <v>46156</v>
      </c>
      <c r="H276" s="55">
        <v>8</v>
      </c>
      <c r="I276" s="55">
        <v>695621</v>
      </c>
      <c r="J276" s="55" t="str">
        <f>VLOOKUP($I276,'Old Pricing - end 26-Jan-2026'!$A:$R,2,FALSE)</f>
        <v>G1S 695621</v>
      </c>
      <c r="K276" s="55" t="str">
        <f>VLOOKUP($I276,'Old Pricing - end 26-Jan-2026'!$A:$R,6,FALSE)&amp;" "&amp;VLOOKUP($I276,'Old Pricing - end 26-Jan-2026'!$A:$R,7,FALSE)&amp;""" x "&amp;VLOOKUP($I276,'Old Pricing - end 26-Jan-2026'!$A:$R,9,FALSE)&amp;""" "&amp;VLOOKUP($I276,'Old Pricing - end 26-Jan-2026'!$A:$R,5,FALSE)</f>
        <v>2MM 49" x 108" ACP</v>
      </c>
      <c r="L276" s="55">
        <f>VLOOKUP($I276,'Old Pricing - end 26-Jan-2026'!$A:$K,8,FALSE)</f>
        <v>1245</v>
      </c>
      <c r="M276" s="55">
        <f>VLOOKUP($I276,'Old Pricing - end 26-Jan-2026'!$A:$K,10,FALSE)</f>
        <v>2745</v>
      </c>
      <c r="N276" s="55" t="str">
        <f>VLOOKUP($I276,'Old Pricing - end 26-Jan-2026'!$A:$R,13,FALSE)&amp;" "&amp;VLOOKUP($I276,'Old Pricing - end 26-Jan-2026'!$A:$R,12,FALSE)</f>
        <v>ASC 0105 INDIGO BLUE</v>
      </c>
      <c r="O276" s="56">
        <v>7.35</v>
      </c>
      <c r="P276" s="55">
        <f>(VLOOKUP($I276,'Old Pricing - end 26-Jan-2026'!$A:$R,8,FALSE)/1000)*(VLOOKUP($I276,'Old Pricing - end 26-Jan-2026'!$A:$R,10,FALSE)/1000)*Q276</f>
        <v>683.50500000000011</v>
      </c>
      <c r="Q276" s="55">
        <f>ROUND(('Order Details'!$O276*1000)/((VLOOKUP($I276,'Old Pricing - end 26-Jan-2026'!$A:$Q,7,FALSE)/12)*(VLOOKUP($I276,'Old Pricing - end 26-Jan-2026'!$A:$Q,9,FALSE)/12))/5,0)*5</f>
        <v>200</v>
      </c>
      <c r="R276" s="71">
        <f>$Q276/IFERROR(VLOOKUP($F276&amp;RIGHT($K276,8),'Master Data'!$O$5:$P$10,2,FALSE),'Master Data'!$P$4)</f>
        <v>1</v>
      </c>
      <c r="S276" s="123">
        <f>VLOOKUP($I276,'Old Pricing - end 26-Jan-2026'!$A:$Q,16,FALSE)</f>
        <v>750</v>
      </c>
      <c r="T276" s="123">
        <f>VLOOKUP(I276,'Old Pricing - end 26-Jan-2026'!$A:$O,15,FALSE)</f>
        <v>8.07</v>
      </c>
      <c r="U276" s="123">
        <f t="shared" si="13"/>
        <v>5512.5</v>
      </c>
      <c r="V276" s="111">
        <f t="shared" si="14"/>
        <v>5515.8853500000014</v>
      </c>
      <c r="W276" s="55">
        <f>VLOOKUP($I276,'Old Pricing - end 26-Jan-2026'!$A:$R,18,FALSE)</f>
        <v>45</v>
      </c>
    </row>
    <row r="277" spans="1:23" ht="15" hidden="1" thickTop="1" x14ac:dyDescent="0.3">
      <c r="A277" s="55">
        <v>52970952</v>
      </c>
      <c r="B277" s="55">
        <v>0</v>
      </c>
      <c r="C277" s="55" t="str">
        <f>VLOOKUP(A277&amp;"-"&amp;B277,'Order Summary'!$D:$E,2,FALSE)</f>
        <v>Downpayment Received</v>
      </c>
      <c r="D277" s="216">
        <f>IF($A277="","",VLOOKUP($A277&amp;"-"&amp;$B277,'Order Summary'!$D:$U,3,FALSE))</f>
        <v>45985</v>
      </c>
      <c r="E277" s="55" t="str">
        <f>VLOOKUP(A277&amp;"-"&amp;B277,'Order Summary'!$D:$G,4,FALSE)</f>
        <v>Yes</v>
      </c>
      <c r="F277" s="55" t="str">
        <f>VLOOKUP($A277,'Order Summary'!$B:$I,8,FALSE)</f>
        <v>Nampa, ID</v>
      </c>
      <c r="G277" s="216">
        <f>IF($A277="","",VLOOKUP($A277&amp;"-"&amp;$B277,'Order Summary'!$D:$U,18,FALSE))</f>
        <v>46156</v>
      </c>
      <c r="H277" s="55">
        <v>9</v>
      </c>
      <c r="I277" s="55">
        <v>695622</v>
      </c>
      <c r="J277" s="55" t="str">
        <f>VLOOKUP($I277,'Old Pricing - end 26-Jan-2026'!$A:$R,2,FALSE)</f>
        <v>G1S 695622</v>
      </c>
      <c r="K277" s="55" t="str">
        <f>VLOOKUP($I277,'Old Pricing - end 26-Jan-2026'!$A:$R,6,FALSE)&amp;" "&amp;VLOOKUP($I277,'Old Pricing - end 26-Jan-2026'!$A:$R,7,FALSE)&amp;""" x "&amp;VLOOKUP($I277,'Old Pricing - end 26-Jan-2026'!$A:$R,9,FALSE)&amp;""" "&amp;VLOOKUP($I277,'Old Pricing - end 26-Jan-2026'!$A:$R,5,FALSE)</f>
        <v>2MM 49" x 144" ACP</v>
      </c>
      <c r="L277" s="55">
        <f>VLOOKUP($I277,'Old Pricing - end 26-Jan-2026'!$A:$K,8,FALSE)</f>
        <v>1245</v>
      </c>
      <c r="M277" s="55">
        <f>VLOOKUP($I277,'Old Pricing - end 26-Jan-2026'!$A:$K,10,FALSE)</f>
        <v>3658</v>
      </c>
      <c r="N277" s="55" t="str">
        <f>VLOOKUP($I277,'Old Pricing - end 26-Jan-2026'!$A:$R,13,FALSE)&amp;" "&amp;VLOOKUP($I277,'Old Pricing - end 26-Jan-2026'!$A:$R,12,FALSE)</f>
        <v>ASC 0105 INDIGO BLUE</v>
      </c>
      <c r="O277" s="56">
        <v>9.8000000000000007</v>
      </c>
      <c r="P277" s="55">
        <f>(VLOOKUP($I277,'Old Pricing - end 26-Jan-2026'!$A:$R,8,FALSE)/1000)*(VLOOKUP($I277,'Old Pricing - end 26-Jan-2026'!$A:$R,10,FALSE)/1000)*Q277</f>
        <v>910.8420000000001</v>
      </c>
      <c r="Q277" s="55">
        <f>ROUND(('Order Details'!$O277*1000)/((VLOOKUP($I277,'Old Pricing - end 26-Jan-2026'!$A:$Q,7,FALSE)/12)*(VLOOKUP($I277,'Old Pricing - end 26-Jan-2026'!$A:$Q,9,FALSE)/12))/5,0)*5</f>
        <v>200</v>
      </c>
      <c r="R277" s="71">
        <f>$Q277/IFERROR(VLOOKUP($F277&amp;RIGHT($K277,8),'Master Data'!$O$5:$P$10,2,FALSE),'Master Data'!$P$4)</f>
        <v>1</v>
      </c>
      <c r="S277" s="123">
        <f>VLOOKUP($I277,'Old Pricing - end 26-Jan-2026'!$A:$Q,16,FALSE)</f>
        <v>750</v>
      </c>
      <c r="T277" s="123">
        <f>VLOOKUP(I277,'Old Pricing - end 26-Jan-2026'!$A:$O,15,FALSE)</f>
        <v>8.07</v>
      </c>
      <c r="U277" s="123">
        <f t="shared" si="13"/>
        <v>7350.0000000000009</v>
      </c>
      <c r="V277" s="111">
        <f t="shared" si="14"/>
        <v>7350.4949400000014</v>
      </c>
      <c r="W277" s="55">
        <f>VLOOKUP($I277,'Old Pricing - end 26-Jan-2026'!$A:$R,18,FALSE)</f>
        <v>45</v>
      </c>
    </row>
    <row r="278" spans="1:23" ht="15" hidden="1" thickTop="1" x14ac:dyDescent="0.3">
      <c r="A278" s="55">
        <v>52971845</v>
      </c>
      <c r="B278" s="55">
        <v>0</v>
      </c>
      <c r="C278" s="55" t="str">
        <f>VLOOKUP(A278&amp;"-"&amp;B278,'Order Summary'!$D:$E,2,FALSE)</f>
        <v>Telex / Seaway Released</v>
      </c>
      <c r="D278" s="216">
        <f>IF($A278="","",VLOOKUP($A278&amp;"-"&amp;$B278,'Order Summary'!$D:$U,3,FALSE))</f>
        <v>45985</v>
      </c>
      <c r="E278" s="55" t="str">
        <f>VLOOKUP(A278&amp;"-"&amp;B278,'Order Summary'!$D:$G,4,FALSE)</f>
        <v>Yes</v>
      </c>
      <c r="F278" s="55" t="str">
        <f>VLOOKUP($A278,'Order Summary'!$B:$I,8,FALSE)</f>
        <v>Minneota, MN</v>
      </c>
      <c r="G278" s="216">
        <f>IF($A278="","",VLOOKUP($A278&amp;"-"&amp;$B278,'Order Summary'!$D:$U,18,FALSE))</f>
        <v>46114</v>
      </c>
      <c r="H278" s="55">
        <v>1</v>
      </c>
      <c r="I278" s="55">
        <v>694433</v>
      </c>
      <c r="J278" s="55" t="str">
        <f>VLOOKUP($I278,'Old Pricing - end 26-Jan-2026'!$A:$R,2,FALSE)</f>
        <v>G1S 694433</v>
      </c>
      <c r="K278" s="55" t="str">
        <f>VLOOKUP($I278,'Old Pricing - end 26-Jan-2026'!$A:$R,6,FALSE)&amp;" "&amp;VLOOKUP($I278,'Old Pricing - end 26-Jan-2026'!$A:$R,7,FALSE)&amp;""" x "&amp;VLOOKUP($I278,'Old Pricing - end 26-Jan-2026'!$A:$R,9,FALSE)&amp;""" "&amp;VLOOKUP($I278,'Old Pricing - end 26-Jan-2026'!$A:$R,5,FALSE)</f>
        <v>2MM 49" x 108" ACP</v>
      </c>
      <c r="L278" s="55">
        <f>VLOOKUP($I278,'Old Pricing - end 26-Jan-2026'!$A:$K,8,FALSE)</f>
        <v>1245</v>
      </c>
      <c r="M278" s="55">
        <f>VLOOKUP($I278,'Old Pricing - end 26-Jan-2026'!$A:$K,10,FALSE)</f>
        <v>2745</v>
      </c>
      <c r="N278" s="55" t="str">
        <f>VLOOKUP($I278,'Old Pricing - end 26-Jan-2026'!$A:$R,13,FALSE)&amp;" "&amp;VLOOKUP($I278,'Old Pricing - end 26-Jan-2026'!$A:$R,12,FALSE)</f>
        <v>ASC 0096 GLOSSY BLACK</v>
      </c>
      <c r="O278" s="56">
        <v>22.05</v>
      </c>
      <c r="P278" s="55">
        <f>(VLOOKUP($I278,'Old Pricing - end 26-Jan-2026'!$A:$R,8,FALSE)/1000)*(VLOOKUP($I278,'Old Pricing - end 26-Jan-2026'!$A:$R,10,FALSE)/1000)*Q278</f>
        <v>2050.5150000000003</v>
      </c>
      <c r="Q278" s="55">
        <f>ROUND(('Order Details'!$O278*1000)/((VLOOKUP($I278,'Old Pricing - end 26-Jan-2026'!$A:$Q,7,FALSE)/12)*(VLOOKUP($I278,'Old Pricing - end 26-Jan-2026'!$A:$Q,9,FALSE)/12))/5,0)*5</f>
        <v>600</v>
      </c>
      <c r="R278" s="71">
        <f>$Q278/IFERROR(VLOOKUP($F278&amp;RIGHT($K278,8),'Master Data'!$O$5:$P$10,2,FALSE),'Master Data'!$P$4)</f>
        <v>3</v>
      </c>
      <c r="S278" s="123">
        <f>VLOOKUP($I278,'Old Pricing - end 26-Jan-2026'!$A:$Q,16,FALSE)</f>
        <v>700</v>
      </c>
      <c r="T278" s="123">
        <f>VLOOKUP(I278,'Old Pricing - end 26-Jan-2026'!$A:$O,15,FALSE)</f>
        <v>7.53</v>
      </c>
      <c r="U278" s="123">
        <f t="shared" si="13"/>
        <v>15435</v>
      </c>
      <c r="V278" s="111">
        <f t="shared" si="14"/>
        <v>15440.377950000004</v>
      </c>
      <c r="W278" s="55">
        <f>VLOOKUP($I278,'Old Pricing - end 26-Jan-2026'!$A:$R,18,FALSE)</f>
        <v>45</v>
      </c>
    </row>
    <row r="279" spans="1:23" ht="15" hidden="1" thickTop="1" x14ac:dyDescent="0.3">
      <c r="A279" s="55">
        <v>52971845</v>
      </c>
      <c r="B279" s="55">
        <v>0</v>
      </c>
      <c r="C279" s="55" t="str">
        <f>VLOOKUP(A279&amp;"-"&amp;B279,'Order Summary'!$D:$E,2,FALSE)</f>
        <v>Telex / Seaway Released</v>
      </c>
      <c r="D279" s="216">
        <f>IF($A279="","",VLOOKUP($A279&amp;"-"&amp;$B279,'Order Summary'!$D:$U,3,FALSE))</f>
        <v>45985</v>
      </c>
      <c r="E279" s="55" t="str">
        <f>VLOOKUP(A279&amp;"-"&amp;B279,'Order Summary'!$D:$G,4,FALSE)</f>
        <v>Yes</v>
      </c>
      <c r="F279" s="55" t="str">
        <f>VLOOKUP($A279,'Order Summary'!$B:$I,8,FALSE)</f>
        <v>Minneota, MN</v>
      </c>
      <c r="G279" s="216">
        <f>IF($A279="","",VLOOKUP($A279&amp;"-"&amp;$B279,'Order Summary'!$D:$U,18,FALSE))</f>
        <v>46114</v>
      </c>
      <c r="H279" s="55">
        <v>2</v>
      </c>
      <c r="I279" s="55">
        <v>694437</v>
      </c>
      <c r="J279" s="55" t="str">
        <f>VLOOKUP($I279,'Old Pricing - end 26-Jan-2026'!$A:$R,2,FALSE)</f>
        <v>G1S 694437</v>
      </c>
      <c r="K279" s="55" t="str">
        <f>VLOOKUP($I279,'Old Pricing - end 26-Jan-2026'!$A:$R,6,FALSE)&amp;" "&amp;VLOOKUP($I279,'Old Pricing - end 26-Jan-2026'!$A:$R,7,FALSE)&amp;""" x "&amp;VLOOKUP($I279,'Old Pricing - end 26-Jan-2026'!$A:$R,9,FALSE)&amp;""" "&amp;VLOOKUP($I279,'Old Pricing - end 26-Jan-2026'!$A:$R,5,FALSE)</f>
        <v>2MM 49" x 108" ACP</v>
      </c>
      <c r="L279" s="55">
        <f>VLOOKUP($I279,'Old Pricing - end 26-Jan-2026'!$A:$K,8,FALSE)</f>
        <v>1245</v>
      </c>
      <c r="M279" s="55">
        <f>VLOOKUP($I279,'Old Pricing - end 26-Jan-2026'!$A:$K,10,FALSE)</f>
        <v>2745</v>
      </c>
      <c r="N279" s="55" t="str">
        <f>VLOOKUP($I279,'Old Pricing - end 26-Jan-2026'!$A:$R,13,FALSE)&amp;" "&amp;VLOOKUP($I279,'Old Pricing - end 26-Jan-2026'!$A:$R,12,FALSE)</f>
        <v>ASC 0069 GLOSSY WHITE</v>
      </c>
      <c r="O279" s="56">
        <v>29.4</v>
      </c>
      <c r="P279" s="55">
        <f>(VLOOKUP($I279,'Old Pricing - end 26-Jan-2026'!$A:$R,8,FALSE)/1000)*(VLOOKUP($I279,'Old Pricing - end 26-Jan-2026'!$A:$R,10,FALSE)/1000)*Q279</f>
        <v>2734.0200000000004</v>
      </c>
      <c r="Q279" s="55">
        <f>ROUND(('Order Details'!$O279*1000)/((VLOOKUP($I279,'Old Pricing - end 26-Jan-2026'!$A:$Q,7,FALSE)/12)*(VLOOKUP($I279,'Old Pricing - end 26-Jan-2026'!$A:$Q,9,FALSE)/12))/5,0)*5</f>
        <v>800</v>
      </c>
      <c r="R279" s="71">
        <f>$Q279/IFERROR(VLOOKUP($F279&amp;RIGHT($K279,8),'Master Data'!$O$5:$P$10,2,FALSE),'Master Data'!$P$4)</f>
        <v>4</v>
      </c>
      <c r="S279" s="123">
        <f>VLOOKUP($I279,'Old Pricing - end 26-Jan-2026'!$A:$Q,16,FALSE)</f>
        <v>700</v>
      </c>
      <c r="T279" s="123">
        <f>VLOOKUP(I279,'Old Pricing - end 26-Jan-2026'!$A:$O,15,FALSE)</f>
        <v>7.53</v>
      </c>
      <c r="U279" s="123">
        <f t="shared" si="13"/>
        <v>20580</v>
      </c>
      <c r="V279" s="111">
        <f t="shared" si="14"/>
        <v>20587.170600000005</v>
      </c>
      <c r="W279" s="55">
        <f>VLOOKUP($I279,'Old Pricing - end 26-Jan-2026'!$A:$R,18,FALSE)</f>
        <v>45</v>
      </c>
    </row>
    <row r="280" spans="1:23" ht="15" hidden="1" thickTop="1" x14ac:dyDescent="0.3">
      <c r="A280" s="55">
        <v>52971845</v>
      </c>
      <c r="B280" s="55">
        <v>0</v>
      </c>
      <c r="C280" s="55" t="str">
        <f>VLOOKUP(A280&amp;"-"&amp;B280,'Order Summary'!$D:$E,2,FALSE)</f>
        <v>Telex / Seaway Released</v>
      </c>
      <c r="D280" s="216">
        <f>IF($A280="","",VLOOKUP($A280&amp;"-"&amp;$B280,'Order Summary'!$D:$U,3,FALSE))</f>
        <v>45985</v>
      </c>
      <c r="E280" s="55" t="str">
        <f>VLOOKUP(A280&amp;"-"&amp;B280,'Order Summary'!$D:$G,4,FALSE)</f>
        <v>Yes</v>
      </c>
      <c r="F280" s="55" t="str">
        <f>VLOOKUP($A280,'Order Summary'!$B:$I,8,FALSE)</f>
        <v>Minneota, MN</v>
      </c>
      <c r="G280" s="216">
        <f>IF($A280="","",VLOOKUP($A280&amp;"-"&amp;$B280,'Order Summary'!$D:$U,18,FALSE))</f>
        <v>46114</v>
      </c>
      <c r="H280" s="55">
        <v>3</v>
      </c>
      <c r="I280" s="55">
        <v>694441</v>
      </c>
      <c r="J280" s="55" t="str">
        <f>VLOOKUP($I280,'Old Pricing - end 26-Jan-2026'!$A:$R,2,FALSE)</f>
        <v>G1S 694441</v>
      </c>
      <c r="K280" s="55" t="str">
        <f>VLOOKUP($I280,'Old Pricing - end 26-Jan-2026'!$A:$R,6,FALSE)&amp;" "&amp;VLOOKUP($I280,'Old Pricing - end 26-Jan-2026'!$A:$R,7,FALSE)&amp;""" x "&amp;VLOOKUP($I280,'Old Pricing - end 26-Jan-2026'!$A:$R,9,FALSE)&amp;""" "&amp;VLOOKUP($I280,'Old Pricing - end 26-Jan-2026'!$A:$R,5,FALSE)</f>
        <v>2MM 49" x 108" ACP</v>
      </c>
      <c r="L280" s="55">
        <f>VLOOKUP($I280,'Old Pricing - end 26-Jan-2026'!$A:$K,8,FALSE)</f>
        <v>1245</v>
      </c>
      <c r="M280" s="55">
        <f>VLOOKUP($I280,'Old Pricing - end 26-Jan-2026'!$A:$K,10,FALSE)</f>
        <v>2745</v>
      </c>
      <c r="N280" s="55" t="str">
        <f>VLOOKUP($I280,'Old Pricing - end 26-Jan-2026'!$A:$R,13,FALSE)&amp;" "&amp;VLOOKUP($I280,'Old Pricing - end 26-Jan-2026'!$A:$R,12,FALSE)</f>
        <v>AMC 0103 SILVER FROST</v>
      </c>
      <c r="O280" s="56">
        <v>22.05</v>
      </c>
      <c r="P280" s="55">
        <f>(VLOOKUP($I280,'Old Pricing - end 26-Jan-2026'!$A:$R,8,FALSE)/1000)*(VLOOKUP($I280,'Old Pricing - end 26-Jan-2026'!$A:$R,10,FALSE)/1000)*Q280</f>
        <v>2050.5150000000003</v>
      </c>
      <c r="Q280" s="55">
        <f>ROUND(('Order Details'!$O280*1000)/((VLOOKUP($I280,'Old Pricing - end 26-Jan-2026'!$A:$Q,7,FALSE)/12)*(VLOOKUP($I280,'Old Pricing - end 26-Jan-2026'!$A:$Q,9,FALSE)/12))/5,0)*5</f>
        <v>600</v>
      </c>
      <c r="R280" s="71">
        <f>$Q280/IFERROR(VLOOKUP($F280&amp;RIGHT($K280,8),'Master Data'!$O$5:$P$10,2,FALSE),'Master Data'!$P$4)</f>
        <v>3</v>
      </c>
      <c r="S280" s="123">
        <f>VLOOKUP($I280,'Old Pricing - end 26-Jan-2026'!$A:$Q,16,FALSE)</f>
        <v>700</v>
      </c>
      <c r="T280" s="123">
        <f>VLOOKUP(I280,'Old Pricing - end 26-Jan-2026'!$A:$O,15,FALSE)</f>
        <v>7.53</v>
      </c>
      <c r="U280" s="123">
        <f t="shared" si="13"/>
        <v>15435</v>
      </c>
      <c r="V280" s="111">
        <f t="shared" si="14"/>
        <v>15440.377950000004</v>
      </c>
      <c r="W280" s="55">
        <f>VLOOKUP($I280,'Old Pricing - end 26-Jan-2026'!$A:$R,18,FALSE)</f>
        <v>90</v>
      </c>
    </row>
    <row r="281" spans="1:23" ht="15" hidden="1" thickTop="1" x14ac:dyDescent="0.3">
      <c r="A281" s="55">
        <v>52971845</v>
      </c>
      <c r="B281" s="55">
        <v>0</v>
      </c>
      <c r="C281" s="55" t="str">
        <f>VLOOKUP(A281&amp;"-"&amp;B281,'Order Summary'!$D:$E,2,FALSE)</f>
        <v>Telex / Seaway Released</v>
      </c>
      <c r="D281" s="216">
        <f>IF($A281="","",VLOOKUP($A281&amp;"-"&amp;$B281,'Order Summary'!$D:$U,3,FALSE))</f>
        <v>45985</v>
      </c>
      <c r="E281" s="55" t="str">
        <f>VLOOKUP(A281&amp;"-"&amp;B281,'Order Summary'!$D:$G,4,FALSE)</f>
        <v>Yes</v>
      </c>
      <c r="F281" s="55" t="str">
        <f>VLOOKUP($A281,'Order Summary'!$B:$I,8,FALSE)</f>
        <v>Minneota, MN</v>
      </c>
      <c r="G281" s="216">
        <f>IF($A281="","",VLOOKUP($A281&amp;"-"&amp;$B281,'Order Summary'!$D:$U,18,FALSE))</f>
        <v>46114</v>
      </c>
      <c r="H281" s="55">
        <v>4</v>
      </c>
      <c r="I281" s="55">
        <v>694445</v>
      </c>
      <c r="J281" s="55" t="str">
        <f>VLOOKUP($I281,'Old Pricing - end 26-Jan-2026'!$A:$R,2,FALSE)</f>
        <v>G1S 694445</v>
      </c>
      <c r="K281" s="55" t="str">
        <f>VLOOKUP($I281,'Old Pricing - end 26-Jan-2026'!$A:$R,6,FALSE)&amp;" "&amp;VLOOKUP($I281,'Old Pricing - end 26-Jan-2026'!$A:$R,7,FALSE)&amp;""" x "&amp;VLOOKUP($I281,'Old Pricing - end 26-Jan-2026'!$A:$R,9,FALSE)&amp;""" "&amp;VLOOKUP($I281,'Old Pricing - end 26-Jan-2026'!$A:$R,5,FALSE)</f>
        <v>2MM 49" x 108" ACP</v>
      </c>
      <c r="L281" s="55">
        <f>VLOOKUP($I281,'Old Pricing - end 26-Jan-2026'!$A:$K,8,FALSE)</f>
        <v>1245</v>
      </c>
      <c r="M281" s="55">
        <f>VLOOKUP($I281,'Old Pricing - end 26-Jan-2026'!$A:$K,10,FALSE)</f>
        <v>2745</v>
      </c>
      <c r="N281" s="55" t="str">
        <f>VLOOKUP($I281,'Old Pricing - end 26-Jan-2026'!$A:$R,13,FALSE)&amp;" "&amp;VLOOKUP($I281,'Old Pricing - end 26-Jan-2026'!$A:$R,12,FALSE)</f>
        <v>AMC 0086 CHARCOAL METALLIC</v>
      </c>
      <c r="O281" s="56">
        <v>14.7</v>
      </c>
      <c r="P281" s="55">
        <f>(VLOOKUP($I281,'Old Pricing - end 26-Jan-2026'!$A:$R,8,FALSE)/1000)*(VLOOKUP($I281,'Old Pricing - end 26-Jan-2026'!$A:$R,10,FALSE)/1000)*Q281</f>
        <v>1367.0100000000002</v>
      </c>
      <c r="Q281" s="55">
        <f>ROUND(('Order Details'!$O281*1000)/((VLOOKUP($I281,'Old Pricing - end 26-Jan-2026'!$A:$Q,7,FALSE)/12)*(VLOOKUP($I281,'Old Pricing - end 26-Jan-2026'!$A:$Q,9,FALSE)/12))/5,0)*5</f>
        <v>400</v>
      </c>
      <c r="R281" s="71">
        <f>$Q281/IFERROR(VLOOKUP($F281&amp;RIGHT($K281,8),'Master Data'!$O$5:$P$10,2,FALSE),'Master Data'!$P$4)</f>
        <v>2</v>
      </c>
      <c r="S281" s="123">
        <f>VLOOKUP($I281,'Old Pricing - end 26-Jan-2026'!$A:$Q,16,FALSE)</f>
        <v>750</v>
      </c>
      <c r="T281" s="123">
        <f>VLOOKUP(I281,'Old Pricing - end 26-Jan-2026'!$A:$O,15,FALSE)</f>
        <v>8.07</v>
      </c>
      <c r="U281" s="123">
        <f t="shared" si="13"/>
        <v>11025</v>
      </c>
      <c r="V281" s="111">
        <f t="shared" si="14"/>
        <v>11031.770700000003</v>
      </c>
      <c r="W281" s="55">
        <f>VLOOKUP($I281,'Old Pricing - end 26-Jan-2026'!$A:$R,18,FALSE)</f>
        <v>45</v>
      </c>
    </row>
    <row r="282" spans="1:23" ht="15" hidden="1" thickTop="1" x14ac:dyDescent="0.3">
      <c r="A282" s="176">
        <v>24143625</v>
      </c>
      <c r="B282" s="55">
        <v>0</v>
      </c>
      <c r="C282" s="55" t="str">
        <f>VLOOKUP(A282&amp;"-"&amp;B282,'Order Summary'!$D:$E,2,FALSE)</f>
        <v>Downpayment Received</v>
      </c>
      <c r="D282" s="216">
        <f>IF($A282="","",VLOOKUP($A282&amp;"-"&amp;$B282,'Order Summary'!$D:$U,3,FALSE))</f>
        <v>45994</v>
      </c>
      <c r="E282" s="55" t="str">
        <f>VLOOKUP(A282&amp;"-"&amp;B282,'Order Summary'!$D:$G,4,FALSE)</f>
        <v>Yes</v>
      </c>
      <c r="F282" s="55" t="str">
        <f>VLOOKUP($A282,'Order Summary'!$B:$I,8,FALSE)</f>
        <v>Granger, IN</v>
      </c>
      <c r="G282" s="216">
        <f>IF($A282="","",VLOOKUP($A282&amp;"-"&amp;$B282,'Order Summary'!$D:$U,18,FALSE))</f>
        <v>46112</v>
      </c>
      <c r="H282" s="55">
        <v>1</v>
      </c>
      <c r="I282" s="55">
        <v>694673</v>
      </c>
      <c r="J282" s="55" t="str">
        <f>VLOOKUP($I282,'Old Pricing - end 26-Jan-2026'!$A:$R,2,FALSE)</f>
        <v>G1S 694673</v>
      </c>
      <c r="K282" s="55" t="str">
        <f>VLOOKUP($I282,'Old Pricing - end 26-Jan-2026'!$A:$R,6,FALSE)&amp;" "&amp;VLOOKUP($I282,'Old Pricing - end 26-Jan-2026'!$A:$R,7,FALSE)&amp;""" x "&amp;VLOOKUP($I282,'Old Pricing - end 26-Jan-2026'!$A:$R,9,FALSE)&amp;""" "&amp;VLOOKUP($I282,'Old Pricing - end 26-Jan-2026'!$A:$R,5,FALSE)</f>
        <v>2MM 49" x 108" ACP</v>
      </c>
      <c r="L282" s="55">
        <f>VLOOKUP($I282,'Old Pricing - end 26-Jan-2026'!$A:$K,8,FALSE)</f>
        <v>1245</v>
      </c>
      <c r="M282" s="55">
        <f>VLOOKUP($I282,'Old Pricing - end 26-Jan-2026'!$A:$K,10,FALSE)</f>
        <v>2745</v>
      </c>
      <c r="N282" s="55" t="str">
        <f>VLOOKUP($I282,'Old Pricing - end 26-Jan-2026'!$A:$R,13,FALSE)&amp;" "&amp;VLOOKUP($I282,'Old Pricing - end 26-Jan-2026'!$A:$R,12,FALSE)</f>
        <v>ASC 0089 VICTORY RED</v>
      </c>
      <c r="O282" s="56">
        <v>58.8</v>
      </c>
      <c r="P282" s="55">
        <f>(VLOOKUP($I282,'Old Pricing - end 26-Jan-2026'!$A:$R,8,FALSE)/1000)*(VLOOKUP($I282,'Old Pricing - end 26-Jan-2026'!$A:$R,10,FALSE)/1000)*Q282</f>
        <v>5468.0400000000009</v>
      </c>
      <c r="Q282" s="55">
        <f>ROUND(('Order Details'!$O282*1000)/((VLOOKUP($I282,'Old Pricing - end 26-Jan-2026'!$A:$Q,7,FALSE)/12)*(VLOOKUP($I282,'Old Pricing - end 26-Jan-2026'!$A:$Q,9,FALSE)/12))/5,0)*5</f>
        <v>1600</v>
      </c>
      <c r="R282" s="71">
        <f>$Q282/IFERROR(VLOOKUP($F282&amp;RIGHT($K282,8),'Master Data'!$O$5:$P$10,2,FALSE),'Master Data'!$P$4)</f>
        <v>8</v>
      </c>
      <c r="S282" s="57">
        <f>VLOOKUP($I282,'Old Pricing - end 26-Jan-2026'!$A:$Q,16,FALSE)</f>
        <v>700</v>
      </c>
      <c r="T282" s="57">
        <f>VLOOKUP(I282,'Old Pricing - end 26-Jan-2026'!$A:$O,15,FALSE)</f>
        <v>7.53</v>
      </c>
      <c r="U282" s="57">
        <f t="shared" si="13"/>
        <v>41160</v>
      </c>
      <c r="V282" s="111">
        <f t="shared" si="14"/>
        <v>41174.34120000001</v>
      </c>
      <c r="W282" s="55">
        <f>VLOOKUP($I282,'Old Pricing - end 26-Jan-2026'!$A:$R,18,FALSE)</f>
        <v>45</v>
      </c>
    </row>
    <row r="283" spans="1:23" ht="15" hidden="1" thickTop="1" x14ac:dyDescent="0.3">
      <c r="A283" s="176">
        <v>24143625</v>
      </c>
      <c r="B283" s="55">
        <v>0</v>
      </c>
      <c r="C283" s="55" t="str">
        <f>VLOOKUP(A283&amp;"-"&amp;B283,'Order Summary'!$D:$E,2,FALSE)</f>
        <v>Downpayment Received</v>
      </c>
      <c r="D283" s="216">
        <f>IF($A283="","",VLOOKUP($A283&amp;"-"&amp;$B283,'Order Summary'!$D:$U,3,FALSE))</f>
        <v>45994</v>
      </c>
      <c r="E283" s="55" t="str">
        <f>VLOOKUP(A283&amp;"-"&amp;B283,'Order Summary'!$D:$G,4,FALSE)</f>
        <v>Yes</v>
      </c>
      <c r="F283" s="55" t="str">
        <f>VLOOKUP($A283,'Order Summary'!$B:$I,8,FALSE)</f>
        <v>Granger, IN</v>
      </c>
      <c r="G283" s="216">
        <f>IF($A283="","",VLOOKUP($A283&amp;"-"&amp;$B283,'Order Summary'!$D:$U,18,FALSE))</f>
        <v>46112</v>
      </c>
      <c r="H283" s="55">
        <v>2</v>
      </c>
      <c r="I283" s="55">
        <v>695621</v>
      </c>
      <c r="J283" s="55" t="str">
        <f>VLOOKUP($I283,'Old Pricing - end 26-Jan-2026'!$A:$R,2,FALSE)</f>
        <v>G1S 695621</v>
      </c>
      <c r="K283" s="55" t="str">
        <f>VLOOKUP($I283,'Old Pricing - end 26-Jan-2026'!$A:$R,6,FALSE)&amp;" "&amp;VLOOKUP($I283,'Old Pricing - end 26-Jan-2026'!$A:$R,7,FALSE)&amp;""" x "&amp;VLOOKUP($I283,'Old Pricing - end 26-Jan-2026'!$A:$R,9,FALSE)&amp;""" "&amp;VLOOKUP($I283,'Old Pricing - end 26-Jan-2026'!$A:$R,5,FALSE)</f>
        <v>2MM 49" x 108" ACP</v>
      </c>
      <c r="L283" s="55">
        <f>VLOOKUP($I283,'Old Pricing - end 26-Jan-2026'!$A:$K,8,FALSE)</f>
        <v>1245</v>
      </c>
      <c r="M283" s="55">
        <f>VLOOKUP($I283,'Old Pricing - end 26-Jan-2026'!$A:$K,10,FALSE)</f>
        <v>2745</v>
      </c>
      <c r="N283" s="55" t="str">
        <f>VLOOKUP($I283,'Old Pricing - end 26-Jan-2026'!$A:$R,13,FALSE)&amp;" "&amp;VLOOKUP($I283,'Old Pricing - end 26-Jan-2026'!$A:$R,12,FALSE)</f>
        <v>ASC 0105 INDIGO BLUE</v>
      </c>
      <c r="O283" s="56">
        <v>29.4</v>
      </c>
      <c r="P283" s="55">
        <f>(VLOOKUP($I283,'Old Pricing - end 26-Jan-2026'!$A:$R,8,FALSE)/1000)*(VLOOKUP($I283,'Old Pricing - end 26-Jan-2026'!$A:$R,10,FALSE)/1000)*Q283</f>
        <v>2734.0200000000004</v>
      </c>
      <c r="Q283" s="55">
        <f>ROUND(('Order Details'!$O283*1000)/((VLOOKUP($I283,'Old Pricing - end 26-Jan-2026'!$A:$Q,7,FALSE)/12)*(VLOOKUP($I283,'Old Pricing - end 26-Jan-2026'!$A:$Q,9,FALSE)/12))/5,0)*5</f>
        <v>800</v>
      </c>
      <c r="R283" s="71">
        <f>$Q283/IFERROR(VLOOKUP($F283&amp;RIGHT($K283,8),'Master Data'!$O$5:$P$10,2,FALSE),'Master Data'!$P$4)</f>
        <v>4</v>
      </c>
      <c r="S283" s="57">
        <f>VLOOKUP($I283,'Old Pricing - end 26-Jan-2026'!$A:$Q,16,FALSE)</f>
        <v>750</v>
      </c>
      <c r="T283" s="57">
        <f>VLOOKUP(I283,'Old Pricing - end 26-Jan-2026'!$A:$O,15,FALSE)</f>
        <v>8.07</v>
      </c>
      <c r="U283" s="57">
        <f t="shared" si="13"/>
        <v>22050</v>
      </c>
      <c r="V283" s="111">
        <f t="shared" si="14"/>
        <v>22063.541400000006</v>
      </c>
      <c r="W283" s="55">
        <f>VLOOKUP($I283,'Old Pricing - end 26-Jan-2026'!$A:$R,18,FALSE)</f>
        <v>45</v>
      </c>
    </row>
    <row r="284" spans="1:23" ht="15" hidden="1" thickTop="1" x14ac:dyDescent="0.3">
      <c r="A284" s="55">
        <v>24160651</v>
      </c>
      <c r="B284" s="55">
        <v>0</v>
      </c>
      <c r="C284" s="55" t="str">
        <f>VLOOKUP(A284&amp;"-"&amp;B284,'Order Summary'!$D:$E,2,FALSE)</f>
        <v>Balance Payment Received</v>
      </c>
      <c r="D284" s="216">
        <f>IF($A284="","",VLOOKUP($A284&amp;"-"&amp;$B284,'Order Summary'!$D:$U,3,FALSE))</f>
        <v>46022</v>
      </c>
      <c r="E284" s="55" t="str">
        <f>VLOOKUP(A284&amp;"-"&amp;B284,'Order Summary'!$D:$G,4,FALSE)</f>
        <v>Yes</v>
      </c>
      <c r="F284" s="55" t="str">
        <f>VLOOKUP($A284,'Order Summary'!$B:$I,8,FALSE)</f>
        <v>Savannah, GA</v>
      </c>
      <c r="G284" s="216">
        <f>IF($A284="","",VLOOKUP($A284&amp;"-"&amp;$B284,'Order Summary'!$D:$U,18,FALSE))</f>
        <v>46141</v>
      </c>
      <c r="H284" s="55">
        <v>1</v>
      </c>
      <c r="I284" s="55">
        <v>694444</v>
      </c>
      <c r="J284" s="55" t="str">
        <f>VLOOKUP($I284,'Old Pricing - end 26-Jan-2026'!$A:$R,2,FALSE)</f>
        <v>G1S 694444</v>
      </c>
      <c r="K284" s="55" t="str">
        <f>VLOOKUP($I284,'Old Pricing - end 26-Jan-2026'!$A:$R,6,FALSE)&amp;" "&amp;VLOOKUP($I284,'Old Pricing - end 26-Jan-2026'!$A:$R,7,FALSE)&amp;""" x "&amp;VLOOKUP($I284,'Old Pricing - end 26-Jan-2026'!$A:$R,9,FALSE)&amp;""" "&amp;VLOOKUP($I284,'Old Pricing - end 26-Jan-2026'!$A:$R,5,FALSE)</f>
        <v>2MM 49" x 96" ACP</v>
      </c>
      <c r="L284" s="55">
        <f>VLOOKUP($I284,'Old Pricing - end 26-Jan-2026'!$A:$K,8,FALSE)</f>
        <v>1245</v>
      </c>
      <c r="M284" s="55">
        <f>VLOOKUP($I284,'Old Pricing - end 26-Jan-2026'!$A:$K,10,FALSE)</f>
        <v>2440</v>
      </c>
      <c r="N284" s="55" t="str">
        <f>VLOOKUP($I284,'Old Pricing - end 26-Jan-2026'!$A:$R,13,FALSE)&amp;" "&amp;VLOOKUP($I284,'Old Pricing - end 26-Jan-2026'!$A:$R,12,FALSE)</f>
        <v>AMC 0086 CHARCOAL METALLIC</v>
      </c>
      <c r="O284" s="56">
        <v>91.466999999999999</v>
      </c>
      <c r="P284" s="55">
        <f>(VLOOKUP($I284,'Old Pricing - end 26-Jan-2026'!$A:$R,8,FALSE)/1000)*(VLOOKUP($I284,'Old Pricing - end 26-Jan-2026'!$A:$R,10,FALSE)/1000)*Q284</f>
        <v>8505.84</v>
      </c>
      <c r="Q284" s="55">
        <f>ROUND(('Order Details'!$O284*1000)/((VLOOKUP($I284,'Old Pricing - end 26-Jan-2026'!$A:$Q,7,FALSE)/12)*(VLOOKUP($I284,'Old Pricing - end 26-Jan-2026'!$A:$Q,9,FALSE)/12))/5,0)*5</f>
        <v>2800</v>
      </c>
      <c r="R284" s="71">
        <f>$Q284/IFERROR(VLOOKUP($F284&amp;RIGHT($K284,8),'Master Data'!$O$5:$P$10,2,FALSE),'Master Data'!$P$4)</f>
        <v>14</v>
      </c>
      <c r="S284" s="57">
        <f>VLOOKUP($I284,'Old Pricing - end 26-Jan-2026'!$A:$Q,16,FALSE)</f>
        <v>750</v>
      </c>
      <c r="T284" s="57">
        <f>VLOOKUP(I284,'Old Pricing - end 26-Jan-2026'!$A:$O,15,FALSE)</f>
        <v>8.07</v>
      </c>
      <c r="U284" s="57">
        <f t="shared" si="13"/>
        <v>68600.25</v>
      </c>
      <c r="V284" s="111">
        <f t="shared" si="14"/>
        <v>68642.128800000006</v>
      </c>
      <c r="W284" s="55">
        <f>VLOOKUP($I284,'Old Pricing - end 26-Jan-2026'!$A:$R,18,FALSE)</f>
        <v>45</v>
      </c>
    </row>
    <row r="285" spans="1:23" ht="15" hidden="1" thickTop="1" x14ac:dyDescent="0.3">
      <c r="A285" s="55">
        <v>24160660</v>
      </c>
      <c r="B285" s="55">
        <v>0</v>
      </c>
      <c r="C285" s="55" t="str">
        <f>VLOOKUP(A285&amp;"-"&amp;B285,'Order Summary'!$D:$E,2,FALSE)</f>
        <v>Telex / Seaway Released</v>
      </c>
      <c r="D285" s="216">
        <f>IF($A285="","",VLOOKUP($A285&amp;"-"&amp;$B285,'Order Summary'!$D:$U,3,FALSE))</f>
        <v>46022</v>
      </c>
      <c r="E285" s="55" t="str">
        <f>VLOOKUP(A285&amp;"-"&amp;B285,'Order Summary'!$D:$G,4,FALSE)</f>
        <v>Yes</v>
      </c>
      <c r="F285" s="55" t="str">
        <f>VLOOKUP($A285,'Order Summary'!$B:$I,8,FALSE)</f>
        <v>Savannah, GA</v>
      </c>
      <c r="G285" s="216">
        <f>IF($A285="","",VLOOKUP($A285&amp;"-"&amp;$B285,'Order Summary'!$D:$U,18,FALSE))</f>
        <v>46141</v>
      </c>
      <c r="H285" s="55">
        <v>1</v>
      </c>
      <c r="I285" s="55">
        <v>694440</v>
      </c>
      <c r="J285" s="55" t="str">
        <f>VLOOKUP($I285,'Old Pricing - end 26-Jan-2026'!$A:$R,2,FALSE)</f>
        <v>G1S 694440</v>
      </c>
      <c r="K285" s="55" t="str">
        <f>VLOOKUP($I285,'Old Pricing - end 26-Jan-2026'!$A:$R,6,FALSE)&amp;" "&amp;VLOOKUP($I285,'Old Pricing - end 26-Jan-2026'!$A:$R,7,FALSE)&amp;""" x "&amp;VLOOKUP($I285,'Old Pricing - end 26-Jan-2026'!$A:$R,9,FALSE)&amp;""" "&amp;VLOOKUP($I285,'Old Pricing - end 26-Jan-2026'!$A:$R,5,FALSE)</f>
        <v>2MM 49" x 96" ACP</v>
      </c>
      <c r="L285" s="55">
        <f>VLOOKUP($I285,'Old Pricing - end 26-Jan-2026'!$A:$K,8,FALSE)</f>
        <v>1245</v>
      </c>
      <c r="M285" s="55">
        <f>VLOOKUP($I285,'Old Pricing - end 26-Jan-2026'!$A:$K,10,FALSE)</f>
        <v>2440</v>
      </c>
      <c r="N285" s="55" t="str">
        <f>VLOOKUP($I285,'Old Pricing - end 26-Jan-2026'!$A:$R,13,FALSE)&amp;" "&amp;VLOOKUP($I285,'Old Pricing - end 26-Jan-2026'!$A:$R,12,FALSE)</f>
        <v>AMC 0103 SILVER FROST</v>
      </c>
      <c r="O285" s="56">
        <v>91.466999999999999</v>
      </c>
      <c r="P285" s="55">
        <f>(VLOOKUP($I285,'Old Pricing - end 26-Jan-2026'!$A:$R,8,FALSE)/1000)*(VLOOKUP($I285,'Old Pricing - end 26-Jan-2026'!$A:$R,10,FALSE)/1000)*Q285</f>
        <v>8505.84</v>
      </c>
      <c r="Q285" s="55">
        <f>ROUND(('Order Details'!$O285*1000)/((VLOOKUP($I285,'Old Pricing - end 26-Jan-2026'!$A:$Q,7,FALSE)/12)*(VLOOKUP($I285,'Old Pricing - end 26-Jan-2026'!$A:$Q,9,FALSE)/12))/5,0)*5</f>
        <v>2800</v>
      </c>
      <c r="R285" s="71">
        <f>$Q285/IFERROR(VLOOKUP($F285&amp;RIGHT($K285,8),'Master Data'!$O$5:$P$10,2,FALSE),'Master Data'!$P$4)</f>
        <v>14</v>
      </c>
      <c r="S285" s="57">
        <f>VLOOKUP($I285,'Old Pricing - end 26-Jan-2026'!$A:$Q,16,FALSE)</f>
        <v>700</v>
      </c>
      <c r="T285" s="57">
        <f>VLOOKUP(I285,'Old Pricing - end 26-Jan-2026'!$A:$O,15,FALSE)</f>
        <v>7.53</v>
      </c>
      <c r="U285" s="57">
        <f t="shared" si="13"/>
        <v>64026.9</v>
      </c>
      <c r="V285" s="111">
        <f t="shared" si="14"/>
        <v>64048.975200000001</v>
      </c>
      <c r="W285" s="55">
        <f>VLOOKUP($I285,'Old Pricing - end 26-Jan-2026'!$A:$R,18,FALSE)</f>
        <v>90</v>
      </c>
    </row>
    <row r="286" spans="1:23" ht="15" hidden="1" thickTop="1" x14ac:dyDescent="0.3">
      <c r="A286" s="55">
        <v>24160667</v>
      </c>
      <c r="B286" s="55">
        <v>0</v>
      </c>
      <c r="C286" s="55" t="str">
        <f>VLOOKUP(A286&amp;"-"&amp;B286,'Order Summary'!$D:$E,2,FALSE)</f>
        <v>Telex / Seaway Released</v>
      </c>
      <c r="D286" s="216">
        <f>IF($A286="","",VLOOKUP($A286&amp;"-"&amp;$B286,'Order Summary'!$D:$U,3,FALSE))</f>
        <v>46022</v>
      </c>
      <c r="E286" s="55" t="str">
        <f>VLOOKUP(A286&amp;"-"&amp;B286,'Order Summary'!$D:$G,4,FALSE)</f>
        <v>Yes</v>
      </c>
      <c r="F286" s="55" t="str">
        <f>VLOOKUP($A286,'Order Summary'!$B:$I,8,FALSE)</f>
        <v>Savannah, GA</v>
      </c>
      <c r="G286" s="216">
        <f>IF($A286="","",VLOOKUP($A286&amp;"-"&amp;$B286,'Order Summary'!$D:$U,18,FALSE))</f>
        <v>46141</v>
      </c>
      <c r="H286" s="55">
        <v>1</v>
      </c>
      <c r="I286" s="55">
        <v>694433</v>
      </c>
      <c r="J286" s="55" t="str">
        <f>VLOOKUP($I286,'Old Pricing - end 26-Jan-2026'!$A:$R,2,FALSE)</f>
        <v>G1S 694433</v>
      </c>
      <c r="K286" s="55" t="str">
        <f>VLOOKUP($I286,'Old Pricing - end 26-Jan-2026'!$A:$R,6,FALSE)&amp;" "&amp;VLOOKUP($I286,'Old Pricing - end 26-Jan-2026'!$A:$R,7,FALSE)&amp;""" x "&amp;VLOOKUP($I286,'Old Pricing - end 26-Jan-2026'!$A:$R,9,FALSE)&amp;""" "&amp;VLOOKUP($I286,'Old Pricing - end 26-Jan-2026'!$A:$R,5,FALSE)</f>
        <v>2MM 49" x 108" ACP</v>
      </c>
      <c r="L286" s="55">
        <f>VLOOKUP($I286,'Old Pricing - end 26-Jan-2026'!$A:$K,8,FALSE)</f>
        <v>1245</v>
      </c>
      <c r="M286" s="55">
        <f>VLOOKUP($I286,'Old Pricing - end 26-Jan-2026'!$A:$K,10,FALSE)</f>
        <v>2745</v>
      </c>
      <c r="N286" s="55" t="str">
        <f>VLOOKUP($I286,'Old Pricing - end 26-Jan-2026'!$A:$R,13,FALSE)&amp;" "&amp;VLOOKUP($I286,'Old Pricing - end 26-Jan-2026'!$A:$R,12,FALSE)</f>
        <v>ASC 0096 GLOSSY BLACK</v>
      </c>
      <c r="O286" s="56">
        <v>88.2</v>
      </c>
      <c r="P286" s="55">
        <f>(VLOOKUP($I286,'Old Pricing - end 26-Jan-2026'!$A:$R,8,FALSE)/1000)*(VLOOKUP($I286,'Old Pricing - end 26-Jan-2026'!$A:$R,10,FALSE)/1000)*Q286</f>
        <v>8202.0600000000013</v>
      </c>
      <c r="Q286" s="55">
        <f>ROUND(('Order Details'!$O286*1000)/((VLOOKUP($I286,'Old Pricing - end 26-Jan-2026'!$A:$Q,7,FALSE)/12)*(VLOOKUP($I286,'Old Pricing - end 26-Jan-2026'!$A:$Q,9,FALSE)/12))/5,0)*5</f>
        <v>2400</v>
      </c>
      <c r="R286" s="71">
        <f>$Q286/IFERROR(VLOOKUP($F286&amp;RIGHT($K286,8),'Master Data'!$O$5:$P$10,2,FALSE),'Master Data'!$P$4)</f>
        <v>12</v>
      </c>
      <c r="S286" s="57">
        <f>VLOOKUP($I286,'Old Pricing - end 26-Jan-2026'!$A:$Q,16,FALSE)</f>
        <v>700</v>
      </c>
      <c r="T286" s="57">
        <f>VLOOKUP(I286,'Old Pricing - end 26-Jan-2026'!$A:$O,15,FALSE)</f>
        <v>7.53</v>
      </c>
      <c r="U286" s="57">
        <f t="shared" si="13"/>
        <v>61740</v>
      </c>
      <c r="V286" s="111">
        <f t="shared" si="14"/>
        <v>61761.511800000015</v>
      </c>
      <c r="W286" s="55">
        <f>VLOOKUP($I286,'Old Pricing - end 26-Jan-2026'!$A:$R,18,FALSE)</f>
        <v>45</v>
      </c>
    </row>
    <row r="287" spans="1:23" ht="15" hidden="1" thickTop="1" x14ac:dyDescent="0.3">
      <c r="A287" s="55">
        <v>24160671</v>
      </c>
      <c r="B287" s="55">
        <v>0</v>
      </c>
      <c r="C287" s="55" t="str">
        <f>VLOOKUP(A287&amp;"-"&amp;B287,'Order Summary'!$D:$E,2,FALSE)</f>
        <v>Balance Payment Received</v>
      </c>
      <c r="D287" s="216">
        <f>IF($A287="","",VLOOKUP($A287&amp;"-"&amp;$B287,'Order Summary'!$D:$U,3,FALSE))</f>
        <v>46022</v>
      </c>
      <c r="E287" s="55" t="str">
        <f>VLOOKUP(A287&amp;"-"&amp;B287,'Order Summary'!$D:$G,4,FALSE)</f>
        <v>Yes</v>
      </c>
      <c r="F287" s="55" t="str">
        <f>VLOOKUP($A287,'Order Summary'!$B:$I,8,FALSE)</f>
        <v>Savannah, GA</v>
      </c>
      <c r="G287" s="216">
        <f>IF($A287="","",VLOOKUP($A287&amp;"-"&amp;$B287,'Order Summary'!$D:$U,18,FALSE))</f>
        <v>46141</v>
      </c>
      <c r="H287" s="55">
        <v>1</v>
      </c>
      <c r="I287" s="55">
        <v>694445</v>
      </c>
      <c r="J287" s="55" t="str">
        <f>VLOOKUP($I287,'Old Pricing - end 26-Jan-2026'!$A:$R,2,FALSE)</f>
        <v>G1S 694445</v>
      </c>
      <c r="K287" s="55" t="str">
        <f>VLOOKUP($I287,'Old Pricing - end 26-Jan-2026'!$A:$R,6,FALSE)&amp;" "&amp;VLOOKUP($I287,'Old Pricing - end 26-Jan-2026'!$A:$R,7,FALSE)&amp;""" x "&amp;VLOOKUP($I287,'Old Pricing - end 26-Jan-2026'!$A:$R,9,FALSE)&amp;""" "&amp;VLOOKUP($I287,'Old Pricing - end 26-Jan-2026'!$A:$R,5,FALSE)</f>
        <v>2MM 49" x 108" ACP</v>
      </c>
      <c r="L287" s="55">
        <f>VLOOKUP($I287,'Old Pricing - end 26-Jan-2026'!$A:$K,8,FALSE)</f>
        <v>1245</v>
      </c>
      <c r="M287" s="55">
        <f>VLOOKUP($I287,'Old Pricing - end 26-Jan-2026'!$A:$K,10,FALSE)</f>
        <v>2745</v>
      </c>
      <c r="N287" s="55" t="str">
        <f>VLOOKUP($I287,'Old Pricing - end 26-Jan-2026'!$A:$R,13,FALSE)&amp;" "&amp;VLOOKUP($I287,'Old Pricing - end 26-Jan-2026'!$A:$R,12,FALSE)</f>
        <v>AMC 0086 CHARCOAL METALLIC</v>
      </c>
      <c r="O287" s="56">
        <v>88.2</v>
      </c>
      <c r="P287" s="55">
        <f>(VLOOKUP($I287,'Old Pricing - end 26-Jan-2026'!$A:$R,8,FALSE)/1000)*(VLOOKUP($I287,'Old Pricing - end 26-Jan-2026'!$A:$R,10,FALSE)/1000)*Q287</f>
        <v>8202.0600000000013</v>
      </c>
      <c r="Q287" s="55">
        <f>ROUND(('Order Details'!$O287*1000)/((VLOOKUP($I287,'Old Pricing - end 26-Jan-2026'!$A:$Q,7,FALSE)/12)*(VLOOKUP($I287,'Old Pricing - end 26-Jan-2026'!$A:$Q,9,FALSE)/12))/5,0)*5</f>
        <v>2400</v>
      </c>
      <c r="R287" s="71">
        <f>$Q287/IFERROR(VLOOKUP($F287&amp;RIGHT($K287,8),'Master Data'!$O$5:$P$10,2,FALSE),'Master Data'!$P$4)</f>
        <v>12</v>
      </c>
      <c r="S287" s="57">
        <f>VLOOKUP($I287,'Old Pricing - end 26-Jan-2026'!$A:$Q,16,FALSE)</f>
        <v>750</v>
      </c>
      <c r="T287" s="57">
        <f>VLOOKUP(I287,'Old Pricing - end 26-Jan-2026'!$A:$O,15,FALSE)</f>
        <v>8.07</v>
      </c>
      <c r="U287" s="57">
        <f t="shared" si="13"/>
        <v>66150</v>
      </c>
      <c r="V287" s="111">
        <f t="shared" si="14"/>
        <v>66190.624200000006</v>
      </c>
      <c r="W287" s="55">
        <f>VLOOKUP($I287,'Old Pricing - end 26-Jan-2026'!$A:$R,18,FALSE)</f>
        <v>45</v>
      </c>
    </row>
    <row r="288" spans="1:23" ht="15" hidden="1" thickTop="1" x14ac:dyDescent="0.3">
      <c r="A288" s="55">
        <v>24160657</v>
      </c>
      <c r="B288" s="55">
        <v>0</v>
      </c>
      <c r="C288" s="55" t="str">
        <f>VLOOKUP(A288&amp;"-"&amp;B288,'Order Summary'!$D:$E,2,FALSE)</f>
        <v>Balance Payment Received</v>
      </c>
      <c r="D288" s="216">
        <f>IF($A288="","",VLOOKUP($A288&amp;"-"&amp;$B288,'Order Summary'!$D:$U,3,FALSE))</f>
        <v>46022</v>
      </c>
      <c r="E288" s="55" t="str">
        <f>VLOOKUP(A288&amp;"-"&amp;B288,'Order Summary'!$D:$G,4,FALSE)</f>
        <v>Yes</v>
      </c>
      <c r="F288" s="55" t="str">
        <f>VLOOKUP($A288,'Order Summary'!$B:$I,8,FALSE)</f>
        <v>Savannah, GA</v>
      </c>
      <c r="G288" s="216">
        <f>IF($A288="","",VLOOKUP($A288&amp;"-"&amp;$B288,'Order Summary'!$D:$U,18,FALSE))</f>
        <v>46141</v>
      </c>
      <c r="H288" s="55">
        <v>1</v>
      </c>
      <c r="I288" s="55">
        <v>694436</v>
      </c>
      <c r="J288" s="55" t="str">
        <f>VLOOKUP($I288,'Old Pricing - end 26-Jan-2026'!$A:$R,2,FALSE)</f>
        <v>G1S 694436</v>
      </c>
      <c r="K288" s="55" t="str">
        <f>VLOOKUP($I288,'Old Pricing - end 26-Jan-2026'!$A:$R,6,FALSE)&amp;" "&amp;VLOOKUP($I288,'Old Pricing - end 26-Jan-2026'!$A:$R,7,FALSE)&amp;""" x "&amp;VLOOKUP($I288,'Old Pricing - end 26-Jan-2026'!$A:$R,9,FALSE)&amp;""" "&amp;VLOOKUP($I288,'Old Pricing - end 26-Jan-2026'!$A:$R,5,FALSE)</f>
        <v>2MM 49" x 96" ACP</v>
      </c>
      <c r="L288" s="55">
        <f>VLOOKUP($I288,'Old Pricing - end 26-Jan-2026'!$A:$K,8,FALSE)</f>
        <v>1245</v>
      </c>
      <c r="M288" s="55">
        <f>VLOOKUP($I288,'Old Pricing - end 26-Jan-2026'!$A:$K,10,FALSE)</f>
        <v>2440</v>
      </c>
      <c r="N288" s="55" t="str">
        <f>VLOOKUP($I288,'Old Pricing - end 26-Jan-2026'!$A:$R,13,FALSE)&amp;" "&amp;VLOOKUP($I288,'Old Pricing - end 26-Jan-2026'!$A:$R,12,FALSE)</f>
        <v>ASC 0069 GLOSSY WHITE</v>
      </c>
      <c r="O288" s="56">
        <v>91.466999999999999</v>
      </c>
      <c r="P288" s="55">
        <f>(VLOOKUP($I288,'Old Pricing - end 26-Jan-2026'!$A:$R,8,FALSE)/1000)*(VLOOKUP($I288,'Old Pricing - end 26-Jan-2026'!$A:$R,10,FALSE)/1000)*Q288</f>
        <v>8505.84</v>
      </c>
      <c r="Q288" s="55">
        <f>ROUND(('Order Details'!$O288*1000)/((VLOOKUP($I288,'Old Pricing - end 26-Jan-2026'!$A:$Q,7,FALSE)/12)*(VLOOKUP($I288,'Old Pricing - end 26-Jan-2026'!$A:$Q,9,FALSE)/12))/5,0)*5</f>
        <v>2800</v>
      </c>
      <c r="R288" s="71">
        <f>$Q288/IFERROR(VLOOKUP($F288&amp;RIGHT($K288,8),'Master Data'!$O$5:$P$10,2,FALSE),'Master Data'!$P$4)</f>
        <v>14</v>
      </c>
      <c r="S288" s="57">
        <f>VLOOKUP($I288,'Old Pricing - end 26-Jan-2026'!$A:$Q,16,FALSE)</f>
        <v>700</v>
      </c>
      <c r="T288" s="57">
        <f>VLOOKUP(I288,'Old Pricing - end 26-Jan-2026'!$A:$O,15,FALSE)</f>
        <v>7.53</v>
      </c>
      <c r="U288" s="57">
        <f t="shared" si="13"/>
        <v>64026.9</v>
      </c>
      <c r="V288" s="111">
        <f t="shared" si="14"/>
        <v>64048.975200000001</v>
      </c>
      <c r="W288" s="55">
        <f>VLOOKUP($I288,'Old Pricing - end 26-Jan-2026'!$A:$R,18,FALSE)</f>
        <v>45</v>
      </c>
    </row>
    <row r="289" spans="1:23" ht="15" hidden="1" thickTop="1" x14ac:dyDescent="0.3">
      <c r="A289" s="55">
        <v>24160655</v>
      </c>
      <c r="B289" s="55">
        <v>0</v>
      </c>
      <c r="C289" s="55" t="str">
        <f>VLOOKUP(A289&amp;"-"&amp;B289,'Order Summary'!$D:$E,2,FALSE)</f>
        <v>Container Loaded</v>
      </c>
      <c r="D289" s="216">
        <f>IF($A289="","",VLOOKUP($A289&amp;"-"&amp;$B289,'Order Summary'!$D:$U,3,FALSE))</f>
        <v>46022</v>
      </c>
      <c r="E289" s="55" t="str">
        <f>VLOOKUP(A289&amp;"-"&amp;B289,'Order Summary'!$D:$G,4,FALSE)</f>
        <v>Yes</v>
      </c>
      <c r="F289" s="55" t="str">
        <f>VLOOKUP($A289,'Order Summary'!$B:$I,8,FALSE)</f>
        <v>Savannah, GA</v>
      </c>
      <c r="G289" s="216">
        <f>IF($A289="","",VLOOKUP($A289&amp;"-"&amp;$B289,'Order Summary'!$D:$U,18,FALSE))</f>
        <v>46143</v>
      </c>
      <c r="H289" s="55">
        <v>1</v>
      </c>
      <c r="I289" s="55">
        <v>694432</v>
      </c>
      <c r="J289" s="55" t="str">
        <f>VLOOKUP($I289,'Old Pricing - end 26-Jan-2026'!$A:$R,2,FALSE)</f>
        <v>G1S 694432</v>
      </c>
      <c r="K289" s="55" t="str">
        <f>VLOOKUP($I289,'Old Pricing - end 26-Jan-2026'!$A:$R,6,FALSE)&amp;" "&amp;VLOOKUP($I289,'Old Pricing - end 26-Jan-2026'!$A:$R,7,FALSE)&amp;""" x "&amp;VLOOKUP($I289,'Old Pricing - end 26-Jan-2026'!$A:$R,9,FALSE)&amp;""" "&amp;VLOOKUP($I289,'Old Pricing - end 26-Jan-2026'!$A:$R,5,FALSE)</f>
        <v>2MM 49" x 96" ACP</v>
      </c>
      <c r="L289" s="55">
        <f>VLOOKUP($I289,'Old Pricing - end 26-Jan-2026'!$A:$K,8,FALSE)</f>
        <v>1245</v>
      </c>
      <c r="M289" s="55">
        <f>VLOOKUP($I289,'Old Pricing - end 26-Jan-2026'!$A:$K,10,FALSE)</f>
        <v>2440</v>
      </c>
      <c r="N289" s="55" t="str">
        <f>VLOOKUP($I289,'Old Pricing - end 26-Jan-2026'!$A:$R,13,FALSE)&amp;" "&amp;VLOOKUP($I289,'Old Pricing - end 26-Jan-2026'!$A:$R,12,FALSE)</f>
        <v>ASC 0096 GLOSSY BLACK</v>
      </c>
      <c r="O289" s="56">
        <v>91.466999999999999</v>
      </c>
      <c r="P289" s="55">
        <f>(VLOOKUP($I289,'Old Pricing - end 26-Jan-2026'!$A:$R,8,FALSE)/1000)*(VLOOKUP($I289,'Old Pricing - end 26-Jan-2026'!$A:$R,10,FALSE)/1000)*Q289</f>
        <v>8505.84</v>
      </c>
      <c r="Q289" s="55">
        <f>ROUND(('Order Details'!$O289*1000)/((VLOOKUP($I289,'Old Pricing - end 26-Jan-2026'!$A:$Q,7,FALSE)/12)*(VLOOKUP($I289,'Old Pricing - end 26-Jan-2026'!$A:$Q,9,FALSE)/12))/5,0)*5</f>
        <v>2800</v>
      </c>
      <c r="R289" s="71">
        <f>$Q289/IFERROR(VLOOKUP($F289&amp;RIGHT($K289,8),'Master Data'!$O$5:$P$10,2,FALSE),'Master Data'!$P$4)</f>
        <v>14</v>
      </c>
      <c r="S289" s="57">
        <f>VLOOKUP($I289,'Old Pricing - end 26-Jan-2026'!$A:$Q,16,FALSE)</f>
        <v>700</v>
      </c>
      <c r="T289" s="57">
        <f>VLOOKUP(I289,'Old Pricing - end 26-Jan-2026'!$A:$O,15,FALSE)</f>
        <v>7.53</v>
      </c>
      <c r="U289" s="57">
        <f t="shared" si="13"/>
        <v>64026.9</v>
      </c>
      <c r="V289" s="111">
        <f t="shared" si="14"/>
        <v>64048.975200000001</v>
      </c>
      <c r="W289" s="55">
        <f>VLOOKUP($I289,'Old Pricing - end 26-Jan-2026'!$A:$R,18,FALSE)</f>
        <v>45</v>
      </c>
    </row>
    <row r="290" spans="1:23" ht="15" hidden="1" thickTop="1" x14ac:dyDescent="0.3">
      <c r="A290" s="55">
        <v>24160670</v>
      </c>
      <c r="B290" s="55">
        <v>0</v>
      </c>
      <c r="C290" s="55" t="str">
        <f>VLOOKUP(A290&amp;"-"&amp;B290,'Order Summary'!$D:$E,2,FALSE)</f>
        <v>Balance Payment Received</v>
      </c>
      <c r="D290" s="216">
        <f>IF($A290="","",VLOOKUP($A290&amp;"-"&amp;$B290,'Order Summary'!$D:$U,3,FALSE))</f>
        <v>46022</v>
      </c>
      <c r="E290" s="55" t="str">
        <f>VLOOKUP(A290&amp;"-"&amp;B290,'Order Summary'!$D:$G,4,FALSE)</f>
        <v>Yes</v>
      </c>
      <c r="F290" s="55" t="str">
        <f>VLOOKUP($A290,'Order Summary'!$B:$I,8,FALSE)</f>
        <v>Savannah, GA</v>
      </c>
      <c r="G290" s="216">
        <f>IF($A290="","",VLOOKUP($A290&amp;"-"&amp;$B290,'Order Summary'!$D:$U,18,FALSE))</f>
        <v>46179</v>
      </c>
      <c r="H290" s="55">
        <v>1</v>
      </c>
      <c r="I290" s="55">
        <v>694441</v>
      </c>
      <c r="J290" s="55" t="str">
        <f>VLOOKUP($I290,'Old Pricing - end 26-Jan-2026'!$A:$R,2,FALSE)</f>
        <v>G1S 694441</v>
      </c>
      <c r="K290" s="55" t="str">
        <f>VLOOKUP($I290,'Old Pricing - end 26-Jan-2026'!$A:$R,6,FALSE)&amp;" "&amp;VLOOKUP($I290,'Old Pricing - end 26-Jan-2026'!$A:$R,7,FALSE)&amp;""" x "&amp;VLOOKUP($I290,'Old Pricing - end 26-Jan-2026'!$A:$R,9,FALSE)&amp;""" "&amp;VLOOKUP($I290,'Old Pricing - end 26-Jan-2026'!$A:$R,5,FALSE)</f>
        <v>2MM 49" x 108" ACP</v>
      </c>
      <c r="L290" s="55">
        <f>VLOOKUP($I290,'Old Pricing - end 26-Jan-2026'!$A:$K,8,FALSE)</f>
        <v>1245</v>
      </c>
      <c r="M290" s="55">
        <f>VLOOKUP($I290,'Old Pricing - end 26-Jan-2026'!$A:$K,10,FALSE)</f>
        <v>2745</v>
      </c>
      <c r="N290" s="55" t="str">
        <f>VLOOKUP($I290,'Old Pricing - end 26-Jan-2026'!$A:$R,13,FALSE)&amp;" "&amp;VLOOKUP($I290,'Old Pricing - end 26-Jan-2026'!$A:$R,12,FALSE)</f>
        <v>AMC 0103 SILVER FROST</v>
      </c>
      <c r="O290" s="56">
        <v>88.2</v>
      </c>
      <c r="P290" s="55">
        <f>(VLOOKUP($I290,'Old Pricing - end 26-Jan-2026'!$A:$R,8,FALSE)/1000)*(VLOOKUP($I290,'Old Pricing - end 26-Jan-2026'!$A:$R,10,FALSE)/1000)*Q290</f>
        <v>8202.0600000000013</v>
      </c>
      <c r="Q290" s="55">
        <f>ROUND(('Order Details'!$O290*1000)/((VLOOKUP($I290,'Old Pricing - end 26-Jan-2026'!$A:$Q,7,FALSE)/12)*(VLOOKUP($I290,'Old Pricing - end 26-Jan-2026'!$A:$Q,9,FALSE)/12))/5,0)*5</f>
        <v>2400</v>
      </c>
      <c r="R290" s="71">
        <f>$Q290/IFERROR(VLOOKUP($F290&amp;RIGHT($K290,8),'Master Data'!$O$5:$P$10,2,FALSE),'Master Data'!$P$4)</f>
        <v>12</v>
      </c>
      <c r="S290" s="57">
        <f>VLOOKUP($I290,'Old Pricing - end 26-Jan-2026'!$A:$Q,16,FALSE)</f>
        <v>700</v>
      </c>
      <c r="T290" s="57">
        <f>VLOOKUP(I290,'Old Pricing - end 26-Jan-2026'!$A:$O,15,FALSE)</f>
        <v>7.53</v>
      </c>
      <c r="U290" s="57">
        <f t="shared" si="13"/>
        <v>61740</v>
      </c>
      <c r="V290" s="111">
        <f t="shared" si="14"/>
        <v>61761.511800000015</v>
      </c>
      <c r="W290" s="55">
        <f>VLOOKUP($I290,'Old Pricing - end 26-Jan-2026'!$A:$R,18,FALSE)</f>
        <v>90</v>
      </c>
    </row>
    <row r="291" spans="1:23" ht="15" hidden="1" thickTop="1" x14ac:dyDescent="0.3">
      <c r="A291" s="55">
        <v>24160661</v>
      </c>
      <c r="B291" s="55">
        <v>0</v>
      </c>
      <c r="C291" s="55" t="str">
        <f>VLOOKUP(A291&amp;"-"&amp;B291,'Order Summary'!$D:$E,2,FALSE)</f>
        <v>Commercial Invoice Sent</v>
      </c>
      <c r="D291" s="216">
        <f>IF($A291="","",VLOOKUP($A291&amp;"-"&amp;$B291,'Order Summary'!$D:$U,3,FALSE))</f>
        <v>46022</v>
      </c>
      <c r="E291" s="55" t="str">
        <f>VLOOKUP(A291&amp;"-"&amp;B291,'Order Summary'!$D:$G,4,FALSE)</f>
        <v>Yes</v>
      </c>
      <c r="F291" s="55" t="str">
        <f>VLOOKUP($A291,'Order Summary'!$B:$I,8,FALSE)</f>
        <v>Savannah, GA</v>
      </c>
      <c r="G291" s="216">
        <f>IF($A291="","",VLOOKUP($A291&amp;"-"&amp;$B291,'Order Summary'!$D:$U,18,FALSE))</f>
        <v>46193</v>
      </c>
      <c r="H291" s="55">
        <v>1</v>
      </c>
      <c r="I291" s="55">
        <v>694444</v>
      </c>
      <c r="J291" s="55" t="str">
        <f>VLOOKUP($I291,'Old Pricing - end 26-Jan-2026'!$A:$R,2,FALSE)</f>
        <v>G1S 694444</v>
      </c>
      <c r="K291" s="55" t="str">
        <f>VLOOKUP($I291,'Old Pricing - end 26-Jan-2026'!$A:$R,6,FALSE)&amp;" "&amp;VLOOKUP($I291,'Old Pricing - end 26-Jan-2026'!$A:$R,7,FALSE)&amp;""" x "&amp;VLOOKUP($I291,'Old Pricing - end 26-Jan-2026'!$A:$R,9,FALSE)&amp;""" "&amp;VLOOKUP($I291,'Old Pricing - end 26-Jan-2026'!$A:$R,5,FALSE)</f>
        <v>2MM 49" x 96" ACP</v>
      </c>
      <c r="L291" s="55">
        <f>VLOOKUP($I291,'Old Pricing - end 26-Jan-2026'!$A:$K,8,FALSE)</f>
        <v>1245</v>
      </c>
      <c r="M291" s="55">
        <f>VLOOKUP($I291,'Old Pricing - end 26-Jan-2026'!$A:$K,10,FALSE)</f>
        <v>2440</v>
      </c>
      <c r="N291" s="55" t="str">
        <f>VLOOKUP($I291,'Old Pricing - end 26-Jan-2026'!$A:$R,13,FALSE)&amp;" "&amp;VLOOKUP($I291,'Old Pricing - end 26-Jan-2026'!$A:$R,12,FALSE)</f>
        <v>AMC 0086 CHARCOAL METALLIC</v>
      </c>
      <c r="O291" s="56">
        <v>91.466999999999999</v>
      </c>
      <c r="P291" s="55">
        <f>(VLOOKUP($I291,'Old Pricing - end 26-Jan-2026'!$A:$R,8,FALSE)/1000)*(VLOOKUP($I291,'Old Pricing - end 26-Jan-2026'!$A:$R,10,FALSE)/1000)*Q291</f>
        <v>8505.84</v>
      </c>
      <c r="Q291" s="55">
        <f>ROUND(('Order Details'!$O291*1000)/((VLOOKUP($I291,'Old Pricing - end 26-Jan-2026'!$A:$Q,7,FALSE)/12)*(VLOOKUP($I291,'Old Pricing - end 26-Jan-2026'!$A:$Q,9,FALSE)/12))/5,0)*5</f>
        <v>2800</v>
      </c>
      <c r="R291" s="71">
        <f>$Q291/IFERROR(VLOOKUP($F291&amp;RIGHT($K291,8),'Master Data'!$O$5:$P$10,2,FALSE),'Master Data'!$P$4)</f>
        <v>14</v>
      </c>
      <c r="S291" s="57">
        <f>VLOOKUP($I291,'Old Pricing - end 26-Jan-2026'!$A:$Q,16,FALSE)</f>
        <v>750</v>
      </c>
      <c r="T291" s="57">
        <f>VLOOKUP(I291,'Old Pricing - end 26-Jan-2026'!$A:$O,15,FALSE)</f>
        <v>8.07</v>
      </c>
      <c r="U291" s="57">
        <f t="shared" si="13"/>
        <v>68600.25</v>
      </c>
      <c r="V291" s="111">
        <f t="shared" si="14"/>
        <v>68642.128800000006</v>
      </c>
      <c r="W291" s="55">
        <f>VLOOKUP($I291,'Old Pricing - end 26-Jan-2026'!$A:$R,18,FALSE)</f>
        <v>45</v>
      </c>
    </row>
    <row r="292" spans="1:23" ht="15" hidden="1" thickTop="1" x14ac:dyDescent="0.3">
      <c r="A292" s="55">
        <v>24160669</v>
      </c>
      <c r="B292" s="55">
        <v>0</v>
      </c>
      <c r="C292" s="55" t="str">
        <f>VLOOKUP(A292&amp;"-"&amp;B292,'Order Summary'!$D:$E,2,FALSE)</f>
        <v>Commercial Invoice Sent</v>
      </c>
      <c r="D292" s="216">
        <f>IF($A292="","",VLOOKUP($A292&amp;"-"&amp;$B292,'Order Summary'!$D:$U,3,FALSE))</f>
        <v>46022</v>
      </c>
      <c r="E292" s="55" t="str">
        <f>VLOOKUP(A292&amp;"-"&amp;B292,'Order Summary'!$D:$G,4,FALSE)</f>
        <v>Yes</v>
      </c>
      <c r="F292" s="55" t="str">
        <f>VLOOKUP($A292,'Order Summary'!$B:$I,8,FALSE)</f>
        <v>Savannah, GA</v>
      </c>
      <c r="G292" s="216">
        <f>IF($A292="","",VLOOKUP($A292&amp;"-"&amp;$B292,'Order Summary'!$D:$U,18,FALSE))</f>
        <v>46193</v>
      </c>
      <c r="H292" s="55">
        <v>1</v>
      </c>
      <c r="I292" s="55">
        <v>694437</v>
      </c>
      <c r="J292" s="55" t="str">
        <f>VLOOKUP($I292,'Old Pricing - end 26-Jan-2026'!$A:$R,2,FALSE)</f>
        <v>G1S 694437</v>
      </c>
      <c r="K292" s="55" t="str">
        <f>VLOOKUP($I292,'Old Pricing - end 26-Jan-2026'!$A:$R,6,FALSE)&amp;" "&amp;VLOOKUP($I292,'Old Pricing - end 26-Jan-2026'!$A:$R,7,FALSE)&amp;""" x "&amp;VLOOKUP($I292,'Old Pricing - end 26-Jan-2026'!$A:$R,9,FALSE)&amp;""" "&amp;VLOOKUP($I292,'Old Pricing - end 26-Jan-2026'!$A:$R,5,FALSE)</f>
        <v>2MM 49" x 108" ACP</v>
      </c>
      <c r="L292" s="55">
        <f>VLOOKUP($I292,'Old Pricing - end 26-Jan-2026'!$A:$K,8,FALSE)</f>
        <v>1245</v>
      </c>
      <c r="M292" s="55">
        <f>VLOOKUP($I292,'Old Pricing - end 26-Jan-2026'!$A:$K,10,FALSE)</f>
        <v>2745</v>
      </c>
      <c r="N292" s="55" t="str">
        <f>VLOOKUP($I292,'Old Pricing - end 26-Jan-2026'!$A:$R,13,FALSE)&amp;" "&amp;VLOOKUP($I292,'Old Pricing - end 26-Jan-2026'!$A:$R,12,FALSE)</f>
        <v>ASC 0069 GLOSSY WHITE</v>
      </c>
      <c r="O292" s="56">
        <v>88.2</v>
      </c>
      <c r="P292" s="55">
        <f>(VLOOKUP($I292,'Old Pricing - end 26-Jan-2026'!$A:$R,8,FALSE)/1000)*(VLOOKUP($I292,'Old Pricing - end 26-Jan-2026'!$A:$R,10,FALSE)/1000)*Q292</f>
        <v>8202.0600000000013</v>
      </c>
      <c r="Q292" s="55">
        <f>ROUND(('Order Details'!$O292*1000)/((VLOOKUP($I292,'Old Pricing - end 26-Jan-2026'!$A:$Q,7,FALSE)/12)*(VLOOKUP($I292,'Old Pricing - end 26-Jan-2026'!$A:$Q,9,FALSE)/12))/5,0)*5</f>
        <v>2400</v>
      </c>
      <c r="R292" s="71">
        <f>$Q292/IFERROR(VLOOKUP($F292&amp;RIGHT($K292,8),'Master Data'!$O$5:$P$10,2,FALSE),'Master Data'!$P$4)</f>
        <v>12</v>
      </c>
      <c r="S292" s="57">
        <f>VLOOKUP($I292,'Old Pricing - end 26-Jan-2026'!$A:$Q,16,FALSE)</f>
        <v>700</v>
      </c>
      <c r="T292" s="57">
        <f>VLOOKUP(I292,'Old Pricing - end 26-Jan-2026'!$A:$O,15,FALSE)</f>
        <v>7.53</v>
      </c>
      <c r="U292" s="57">
        <f t="shared" si="13"/>
        <v>61740</v>
      </c>
      <c r="V292" s="111">
        <f t="shared" si="14"/>
        <v>61761.511800000015</v>
      </c>
      <c r="W292" s="55">
        <f>VLOOKUP($I292,'Old Pricing - end 26-Jan-2026'!$A:$R,18,FALSE)</f>
        <v>45</v>
      </c>
    </row>
    <row r="293" spans="1:23" ht="15" hidden="1" thickTop="1" x14ac:dyDescent="0.3">
      <c r="A293" s="55">
        <v>24160658</v>
      </c>
      <c r="B293" s="55">
        <v>0</v>
      </c>
      <c r="C293" s="55" t="str">
        <f>VLOOKUP(A293&amp;"-"&amp;B293,'Order Summary'!$D:$E,2,FALSE)</f>
        <v>In Production</v>
      </c>
      <c r="D293" s="216">
        <f>IF($A293="","",VLOOKUP($A293&amp;"-"&amp;$B293,'Order Summary'!$D:$U,3,FALSE))</f>
        <v>46022</v>
      </c>
      <c r="E293" s="55" t="str">
        <f>VLOOKUP(A293&amp;"-"&amp;B293,'Order Summary'!$D:$G,4,FALSE)</f>
        <v>Yes</v>
      </c>
      <c r="F293" s="55" t="str">
        <f>VLOOKUP($A293,'Order Summary'!$B:$I,8,FALSE)</f>
        <v>Savannah, GA</v>
      </c>
      <c r="G293" s="216">
        <f>IF($A293="","",VLOOKUP($A293&amp;"-"&amp;$B293,'Order Summary'!$D:$U,18,FALSE))</f>
        <v>46143</v>
      </c>
      <c r="H293" s="55">
        <v>1</v>
      </c>
      <c r="I293" s="55">
        <v>694436</v>
      </c>
      <c r="J293" s="55" t="str">
        <f>VLOOKUP($I293,'Old Pricing - end 26-Jan-2026'!$A:$R,2,FALSE)</f>
        <v>G1S 694436</v>
      </c>
      <c r="K293" s="55" t="str">
        <f>VLOOKUP($I293,'Old Pricing - end 26-Jan-2026'!$A:$R,6,FALSE)&amp;" "&amp;VLOOKUP($I293,'Old Pricing - end 26-Jan-2026'!$A:$R,7,FALSE)&amp;""" x "&amp;VLOOKUP($I293,'Old Pricing - end 26-Jan-2026'!$A:$R,9,FALSE)&amp;""" "&amp;VLOOKUP($I293,'Old Pricing - end 26-Jan-2026'!$A:$R,5,FALSE)</f>
        <v>2MM 49" x 96" ACP</v>
      </c>
      <c r="L293" s="55">
        <f>VLOOKUP($I293,'Old Pricing - end 26-Jan-2026'!$A:$K,8,FALSE)</f>
        <v>1245</v>
      </c>
      <c r="M293" s="55">
        <f>VLOOKUP($I293,'Old Pricing - end 26-Jan-2026'!$A:$K,10,FALSE)</f>
        <v>2440</v>
      </c>
      <c r="N293" s="55" t="str">
        <f>VLOOKUP($I293,'Old Pricing - end 26-Jan-2026'!$A:$R,13,FALSE)&amp;" "&amp;VLOOKUP($I293,'Old Pricing - end 26-Jan-2026'!$A:$R,12,FALSE)</f>
        <v>ASC 0069 GLOSSY WHITE</v>
      </c>
      <c r="O293" s="56">
        <v>91.466999999999999</v>
      </c>
      <c r="P293" s="55">
        <f>(VLOOKUP($I293,'Old Pricing - end 26-Jan-2026'!$A:$R,8,FALSE)/1000)*(VLOOKUP($I293,'Old Pricing - end 26-Jan-2026'!$A:$R,10,FALSE)/1000)*Q293</f>
        <v>8505.84</v>
      </c>
      <c r="Q293" s="55">
        <f>ROUND(('Order Details'!$O293*1000)/((VLOOKUP($I293,'Old Pricing - end 26-Jan-2026'!$A:$Q,7,FALSE)/12)*(VLOOKUP($I293,'Old Pricing - end 26-Jan-2026'!$A:$Q,9,FALSE)/12))/5,0)*5</f>
        <v>2800</v>
      </c>
      <c r="R293" s="71">
        <f>$Q293/IFERROR(VLOOKUP($F293&amp;RIGHT($K293,8),'Master Data'!$O$5:$P$10,2,FALSE),'Master Data'!$P$4)</f>
        <v>14</v>
      </c>
      <c r="S293" s="57">
        <f>VLOOKUP($I293,'Old Pricing - end 26-Jan-2026'!$A:$Q,16,FALSE)</f>
        <v>700</v>
      </c>
      <c r="T293" s="57">
        <f>VLOOKUP(I293,'Old Pricing - end 26-Jan-2026'!$A:$O,15,FALSE)</f>
        <v>7.53</v>
      </c>
      <c r="U293" s="57">
        <f t="shared" si="13"/>
        <v>64026.9</v>
      </c>
      <c r="V293" s="111">
        <f t="shared" si="14"/>
        <v>64048.975200000001</v>
      </c>
      <c r="W293" s="55">
        <f>VLOOKUP($I293,'Old Pricing - end 26-Jan-2026'!$A:$R,18,FALSE)</f>
        <v>45</v>
      </c>
    </row>
    <row r="294" spans="1:23" ht="15" hidden="1" thickTop="1" x14ac:dyDescent="0.3">
      <c r="A294" s="55">
        <v>24160659</v>
      </c>
      <c r="B294" s="55">
        <v>0</v>
      </c>
      <c r="C294" s="55" t="str">
        <f>VLOOKUP(A294&amp;"-"&amp;B294,'Order Summary'!$D:$E,2,FALSE)</f>
        <v>Commercial Invoice Sent</v>
      </c>
      <c r="D294" s="216">
        <f>IF($A294="","",VLOOKUP($A294&amp;"-"&amp;$B294,'Order Summary'!$D:$U,3,FALSE))</f>
        <v>46022</v>
      </c>
      <c r="E294" s="55" t="str">
        <f>VLOOKUP(A294&amp;"-"&amp;B294,'Order Summary'!$D:$G,4,FALSE)</f>
        <v>Yes</v>
      </c>
      <c r="F294" s="55" t="str">
        <f>VLOOKUP($A294,'Order Summary'!$B:$I,8,FALSE)</f>
        <v>Savannah, GA</v>
      </c>
      <c r="G294" s="216">
        <f>IF($A294="","",VLOOKUP($A294&amp;"-"&amp;$B294,'Order Summary'!$D:$U,18,FALSE))</f>
        <v>46193</v>
      </c>
      <c r="H294" s="55">
        <v>1</v>
      </c>
      <c r="I294" s="55">
        <v>694440</v>
      </c>
      <c r="J294" s="55" t="str">
        <f>VLOOKUP($I294,'Old Pricing - end 26-Jan-2026'!$A:$R,2,FALSE)</f>
        <v>G1S 694440</v>
      </c>
      <c r="K294" s="55" t="str">
        <f>VLOOKUP($I294,'Old Pricing - end 26-Jan-2026'!$A:$R,6,FALSE)&amp;" "&amp;VLOOKUP($I294,'Old Pricing - end 26-Jan-2026'!$A:$R,7,FALSE)&amp;""" x "&amp;VLOOKUP($I294,'Old Pricing - end 26-Jan-2026'!$A:$R,9,FALSE)&amp;""" "&amp;VLOOKUP($I294,'Old Pricing - end 26-Jan-2026'!$A:$R,5,FALSE)</f>
        <v>2MM 49" x 96" ACP</v>
      </c>
      <c r="L294" s="55">
        <f>VLOOKUP($I294,'Old Pricing - end 26-Jan-2026'!$A:$K,8,FALSE)</f>
        <v>1245</v>
      </c>
      <c r="M294" s="55">
        <f>VLOOKUP($I294,'Old Pricing - end 26-Jan-2026'!$A:$K,10,FALSE)</f>
        <v>2440</v>
      </c>
      <c r="N294" s="55" t="str">
        <f>VLOOKUP($I294,'Old Pricing - end 26-Jan-2026'!$A:$R,13,FALSE)&amp;" "&amp;VLOOKUP($I294,'Old Pricing - end 26-Jan-2026'!$A:$R,12,FALSE)</f>
        <v>AMC 0103 SILVER FROST</v>
      </c>
      <c r="O294" s="56">
        <v>91.466999999999999</v>
      </c>
      <c r="P294" s="55">
        <f>(VLOOKUP($I294,'Old Pricing - end 26-Jan-2026'!$A:$R,8,FALSE)/1000)*(VLOOKUP($I294,'Old Pricing - end 26-Jan-2026'!$A:$R,10,FALSE)/1000)*Q294</f>
        <v>8505.84</v>
      </c>
      <c r="Q294" s="55">
        <f>ROUND(('Order Details'!$O294*1000)/((VLOOKUP($I294,'Old Pricing - end 26-Jan-2026'!$A:$Q,7,FALSE)/12)*(VLOOKUP($I294,'Old Pricing - end 26-Jan-2026'!$A:$Q,9,FALSE)/12))/5,0)*5</f>
        <v>2800</v>
      </c>
      <c r="R294" s="71">
        <f>$Q294/IFERROR(VLOOKUP($F294&amp;RIGHT($K294,8),'Master Data'!$O$5:$P$10,2,FALSE),'Master Data'!$P$4)</f>
        <v>14</v>
      </c>
      <c r="S294" s="57">
        <f>VLOOKUP($I294,'Old Pricing - end 26-Jan-2026'!$A:$Q,16,FALSE)</f>
        <v>700</v>
      </c>
      <c r="T294" s="57">
        <f>VLOOKUP(I294,'Old Pricing - end 26-Jan-2026'!$A:$O,15,FALSE)</f>
        <v>7.53</v>
      </c>
      <c r="U294" s="57">
        <f t="shared" si="13"/>
        <v>64026.9</v>
      </c>
      <c r="V294" s="111">
        <f t="shared" si="14"/>
        <v>64048.975200000001</v>
      </c>
      <c r="W294" s="55">
        <f>VLOOKUP($I294,'Old Pricing - end 26-Jan-2026'!$A:$R,18,FALSE)</f>
        <v>90</v>
      </c>
    </row>
    <row r="295" spans="1:23" ht="15" hidden="1" thickTop="1" x14ac:dyDescent="0.3">
      <c r="A295" s="55">
        <v>24160674</v>
      </c>
      <c r="B295" s="55">
        <v>0</v>
      </c>
      <c r="C295" s="55" t="str">
        <f>VLOOKUP(A295&amp;"-"&amp;B295,'Order Summary'!$D:$E,2,FALSE)</f>
        <v>Commercial Invoice Sent</v>
      </c>
      <c r="D295" s="216">
        <f>IF($A295="","",VLOOKUP($A295&amp;"-"&amp;$B295,'Order Summary'!$D:$U,3,FALSE))</f>
        <v>46022</v>
      </c>
      <c r="E295" s="55" t="str">
        <f>VLOOKUP(A295&amp;"-"&amp;B295,'Order Summary'!$D:$G,4,FALSE)</f>
        <v>Yes</v>
      </c>
      <c r="F295" s="55" t="str">
        <f>VLOOKUP($A295,'Order Summary'!$B:$I,8,FALSE)</f>
        <v>Savannah, GA</v>
      </c>
      <c r="G295" s="216">
        <f>IF($A295="","",VLOOKUP($A295&amp;"-"&amp;$B295,'Order Summary'!$D:$U,18,FALSE))</f>
        <v>46143</v>
      </c>
      <c r="H295" s="55">
        <v>1</v>
      </c>
      <c r="I295" s="55">
        <v>694434</v>
      </c>
      <c r="J295" s="55" t="str">
        <f>VLOOKUP($I295,'Old Pricing - end 26-Jan-2026'!$A:$R,2,FALSE)</f>
        <v>G1S 694434</v>
      </c>
      <c r="K295" s="55" t="str">
        <f>VLOOKUP($I295,'Old Pricing - end 26-Jan-2026'!$A:$R,6,FALSE)&amp;" "&amp;VLOOKUP($I295,'Old Pricing - end 26-Jan-2026'!$A:$R,7,FALSE)&amp;""" x "&amp;VLOOKUP($I295,'Old Pricing - end 26-Jan-2026'!$A:$R,9,FALSE)&amp;""" "&amp;VLOOKUP($I295,'Old Pricing - end 26-Jan-2026'!$A:$R,5,FALSE)</f>
        <v>2MM 49" x 144" ACP</v>
      </c>
      <c r="L295" s="55">
        <f>VLOOKUP($I295,'Old Pricing - end 26-Jan-2026'!$A:$K,8,FALSE)</f>
        <v>1245</v>
      </c>
      <c r="M295" s="55">
        <f>VLOOKUP($I295,'Old Pricing - end 26-Jan-2026'!$A:$K,10,FALSE)</f>
        <v>3658</v>
      </c>
      <c r="N295" s="55" t="str">
        <f>VLOOKUP($I295,'Old Pricing - end 26-Jan-2026'!$A:$R,13,FALSE)&amp;" "&amp;VLOOKUP($I295,'Old Pricing - end 26-Jan-2026'!$A:$R,12,FALSE)</f>
        <v>ASC 0096 GLOSSY BLACK</v>
      </c>
      <c r="O295" s="56">
        <v>39.200000000000003</v>
      </c>
      <c r="P295" s="55">
        <f>(VLOOKUP($I295,'Old Pricing - end 26-Jan-2026'!$A:$R,8,FALSE)/1000)*(VLOOKUP($I295,'Old Pricing - end 26-Jan-2026'!$A:$R,10,FALSE)/1000)*Q295</f>
        <v>3643.3680000000004</v>
      </c>
      <c r="Q295" s="55">
        <f>ROUND(('Order Details'!$O295*1000)/((VLOOKUP($I295,'Old Pricing - end 26-Jan-2026'!$A:$Q,7,FALSE)/12)*(VLOOKUP($I295,'Old Pricing - end 26-Jan-2026'!$A:$Q,9,FALSE)/12))/5,0)*5</f>
        <v>800</v>
      </c>
      <c r="R295" s="71">
        <f>$Q295/IFERROR(VLOOKUP($F295&amp;RIGHT($K295,8),'Master Data'!$O$5:$P$10,2,FALSE),'Master Data'!$P$4)</f>
        <v>4</v>
      </c>
      <c r="S295" s="57">
        <f>VLOOKUP($I295,'Old Pricing - end 26-Jan-2026'!$A:$Q,16,FALSE)</f>
        <v>700</v>
      </c>
      <c r="T295" s="57">
        <f>VLOOKUP(I295,'Old Pricing - end 26-Jan-2026'!$A:$O,15,FALSE)</f>
        <v>7.53</v>
      </c>
      <c r="U295" s="57">
        <f t="shared" si="13"/>
        <v>27440.000000000004</v>
      </c>
      <c r="V295" s="111">
        <f t="shared" si="14"/>
        <v>27434.561040000004</v>
      </c>
      <c r="W295" s="55">
        <f>VLOOKUP($I295,'Old Pricing - end 26-Jan-2026'!$A:$R,18,FALSE)</f>
        <v>45</v>
      </c>
    </row>
    <row r="296" spans="1:23" ht="15" hidden="1" thickTop="1" x14ac:dyDescent="0.3">
      <c r="A296" s="55">
        <v>24160674</v>
      </c>
      <c r="B296" s="55">
        <v>0</v>
      </c>
      <c r="C296" s="55" t="str">
        <f>VLOOKUP(A296&amp;"-"&amp;B296,'Order Summary'!$D:$E,2,FALSE)</f>
        <v>Commercial Invoice Sent</v>
      </c>
      <c r="D296" s="216">
        <f>IF($A296="","",VLOOKUP($A296&amp;"-"&amp;$B296,'Order Summary'!$D:$U,3,FALSE))</f>
        <v>46022</v>
      </c>
      <c r="E296" s="55" t="str">
        <f>VLOOKUP(A296&amp;"-"&amp;B296,'Order Summary'!$D:$G,4,FALSE)</f>
        <v>Yes</v>
      </c>
      <c r="F296" s="55" t="str">
        <f>VLOOKUP($A296,'Order Summary'!$B:$I,8,FALSE)</f>
        <v>Savannah, GA</v>
      </c>
      <c r="G296" s="216">
        <f>IF($A296="","",VLOOKUP($A296&amp;"-"&amp;$B296,'Order Summary'!$D:$U,18,FALSE))</f>
        <v>46143</v>
      </c>
      <c r="H296" s="55">
        <v>2</v>
      </c>
      <c r="I296" s="55">
        <v>694438</v>
      </c>
      <c r="J296" s="55" t="str">
        <f>VLOOKUP($I296,'Old Pricing - end 26-Jan-2026'!$A:$R,2,FALSE)</f>
        <v>G1S 694438</v>
      </c>
      <c r="K296" s="55" t="str">
        <f>VLOOKUP($I296,'Old Pricing - end 26-Jan-2026'!$A:$R,6,FALSE)&amp;" "&amp;VLOOKUP($I296,'Old Pricing - end 26-Jan-2026'!$A:$R,7,FALSE)&amp;""" x "&amp;VLOOKUP($I296,'Old Pricing - end 26-Jan-2026'!$A:$R,9,FALSE)&amp;""" "&amp;VLOOKUP($I296,'Old Pricing - end 26-Jan-2026'!$A:$R,5,FALSE)</f>
        <v>2MM 49" x 144" ACP</v>
      </c>
      <c r="L296" s="55">
        <f>VLOOKUP($I296,'Old Pricing - end 26-Jan-2026'!$A:$K,8,FALSE)</f>
        <v>1245</v>
      </c>
      <c r="M296" s="55">
        <f>VLOOKUP($I296,'Old Pricing - end 26-Jan-2026'!$A:$K,10,FALSE)</f>
        <v>3658</v>
      </c>
      <c r="N296" s="55" t="str">
        <f>VLOOKUP($I296,'Old Pricing - end 26-Jan-2026'!$A:$R,13,FALSE)&amp;" "&amp;VLOOKUP($I296,'Old Pricing - end 26-Jan-2026'!$A:$R,12,FALSE)</f>
        <v>ASC 0069 GLOSSY WHITE</v>
      </c>
      <c r="O296" s="56">
        <v>49</v>
      </c>
      <c r="P296" s="55">
        <f>(VLOOKUP($I296,'Old Pricing - end 26-Jan-2026'!$A:$R,8,FALSE)/1000)*(VLOOKUP($I296,'Old Pricing - end 26-Jan-2026'!$A:$R,10,FALSE)/1000)*Q296</f>
        <v>4554.21</v>
      </c>
      <c r="Q296" s="55">
        <f>ROUND(('Order Details'!$O296*1000)/((VLOOKUP($I296,'Old Pricing - end 26-Jan-2026'!$A:$Q,7,FALSE)/12)*(VLOOKUP($I296,'Old Pricing - end 26-Jan-2026'!$A:$Q,9,FALSE)/12))/5,0)*5</f>
        <v>1000</v>
      </c>
      <c r="R296" s="71">
        <f>$Q296/IFERROR(VLOOKUP($F296&amp;RIGHT($K296,8),'Master Data'!$O$5:$P$10,2,FALSE),'Master Data'!$P$4)</f>
        <v>5</v>
      </c>
      <c r="S296" s="57">
        <f>VLOOKUP($I296,'Old Pricing - end 26-Jan-2026'!$A:$Q,16,FALSE)</f>
        <v>700</v>
      </c>
      <c r="T296" s="57">
        <f>VLOOKUP(I296,'Old Pricing - end 26-Jan-2026'!$A:$O,15,FALSE)</f>
        <v>7.53</v>
      </c>
      <c r="U296" s="57">
        <f t="shared" si="13"/>
        <v>34300</v>
      </c>
      <c r="V296" s="111">
        <f t="shared" si="14"/>
        <v>34293.201300000001</v>
      </c>
      <c r="W296" s="55">
        <f>VLOOKUP($I296,'Old Pricing - end 26-Jan-2026'!$A:$R,18,FALSE)</f>
        <v>45</v>
      </c>
    </row>
    <row r="297" spans="1:23" ht="15" hidden="1" thickTop="1" x14ac:dyDescent="0.3">
      <c r="A297" s="55">
        <v>24160677</v>
      </c>
      <c r="B297" s="55">
        <v>0</v>
      </c>
      <c r="C297" s="55" t="str">
        <f>VLOOKUP(A297&amp;"-"&amp;B297,'Order Summary'!$D:$E,2,FALSE)</f>
        <v>Container Loaded</v>
      </c>
      <c r="D297" s="216">
        <f>IF($A297="","",VLOOKUP($A297&amp;"-"&amp;$B297,'Order Summary'!$D:$U,3,FALSE))</f>
        <v>46022</v>
      </c>
      <c r="E297" s="55" t="str">
        <f>VLOOKUP(A297&amp;"-"&amp;B297,'Order Summary'!$D:$G,4,FALSE)</f>
        <v>Yes</v>
      </c>
      <c r="F297" s="55" t="str">
        <f>VLOOKUP($A297,'Order Summary'!$B:$I,8,FALSE)</f>
        <v>Savannah, GA</v>
      </c>
      <c r="G297" s="216">
        <f>IF($A297="","",VLOOKUP($A297&amp;"-"&amp;$B297,'Order Summary'!$D:$U,18,FALSE))</f>
        <v>46186</v>
      </c>
      <c r="H297" s="55">
        <v>1</v>
      </c>
      <c r="I297" s="55">
        <v>694434</v>
      </c>
      <c r="J297" s="55" t="str">
        <f>VLOOKUP($I297,'Old Pricing - end 26-Jan-2026'!$A:$R,2,FALSE)</f>
        <v>G1S 694434</v>
      </c>
      <c r="K297" s="55" t="str">
        <f>VLOOKUP($I297,'Old Pricing - end 26-Jan-2026'!$A:$R,6,FALSE)&amp;" "&amp;VLOOKUP($I297,'Old Pricing - end 26-Jan-2026'!$A:$R,7,FALSE)&amp;""" x "&amp;VLOOKUP($I297,'Old Pricing - end 26-Jan-2026'!$A:$R,9,FALSE)&amp;""" "&amp;VLOOKUP($I297,'Old Pricing - end 26-Jan-2026'!$A:$R,5,FALSE)</f>
        <v>2MM 49" x 144" ACP</v>
      </c>
      <c r="L297" s="55">
        <f>VLOOKUP($I297,'Old Pricing - end 26-Jan-2026'!$A:$K,8,FALSE)</f>
        <v>1245</v>
      </c>
      <c r="M297" s="55">
        <f>VLOOKUP($I297,'Old Pricing - end 26-Jan-2026'!$A:$K,10,FALSE)</f>
        <v>3658</v>
      </c>
      <c r="N297" s="55" t="str">
        <f>VLOOKUP($I297,'Old Pricing - end 26-Jan-2026'!$A:$R,13,FALSE)&amp;" "&amp;VLOOKUP($I297,'Old Pricing - end 26-Jan-2026'!$A:$R,12,FALSE)</f>
        <v>ASC 0096 GLOSSY BLACK</v>
      </c>
      <c r="O297" s="56">
        <v>9.8000000000000007</v>
      </c>
      <c r="P297" s="55">
        <f>(VLOOKUP($I297,'Old Pricing - end 26-Jan-2026'!$A:$R,8,FALSE)/1000)*(VLOOKUP($I297,'Old Pricing - end 26-Jan-2026'!$A:$R,10,FALSE)/1000)*Q297</f>
        <v>910.8420000000001</v>
      </c>
      <c r="Q297" s="55">
        <f>ROUND(('Order Details'!$O297*1000)/((VLOOKUP($I297,'Old Pricing - end 26-Jan-2026'!$A:$Q,7,FALSE)/12)*(VLOOKUP($I297,'Old Pricing - end 26-Jan-2026'!$A:$Q,9,FALSE)/12))/5,0)*5</f>
        <v>200</v>
      </c>
      <c r="R297" s="71">
        <f>$Q297/IFERROR(VLOOKUP($F297&amp;RIGHT($K297,8),'Master Data'!$O$5:$P$10,2,FALSE),'Master Data'!$P$4)</f>
        <v>1</v>
      </c>
      <c r="S297" s="123">
        <f>VLOOKUP($I297,'Old Pricing - end 26-Jan-2026'!$A:$Q,16,FALSE)</f>
        <v>700</v>
      </c>
      <c r="T297" s="123">
        <f>VLOOKUP(I297,'Old Pricing - end 26-Jan-2026'!$A:$O,15,FALSE)</f>
        <v>7.53</v>
      </c>
      <c r="U297" s="123">
        <f t="shared" ref="U297:U359" si="15">O297*S297</f>
        <v>6860.0000000000009</v>
      </c>
      <c r="V297" s="111">
        <f t="shared" si="14"/>
        <v>6858.640260000001</v>
      </c>
      <c r="W297" s="55">
        <f>VLOOKUP($I297,'Old Pricing - end 26-Jan-2026'!$A:$R,18,FALSE)</f>
        <v>45</v>
      </c>
    </row>
    <row r="298" spans="1:23" ht="15" hidden="1" thickTop="1" x14ac:dyDescent="0.3">
      <c r="A298" s="55">
        <v>24160677</v>
      </c>
      <c r="B298" s="55">
        <v>0</v>
      </c>
      <c r="C298" s="55" t="str">
        <f>VLOOKUP(A298&amp;"-"&amp;B298,'Order Summary'!$D:$E,2,FALSE)</f>
        <v>Container Loaded</v>
      </c>
      <c r="D298" s="216">
        <f>IF($A298="","",VLOOKUP($A298&amp;"-"&amp;$B298,'Order Summary'!$D:$U,3,FALSE))</f>
        <v>46022</v>
      </c>
      <c r="E298" s="55" t="str">
        <f>VLOOKUP(A298&amp;"-"&amp;B298,'Order Summary'!$D:$G,4,FALSE)</f>
        <v>Yes</v>
      </c>
      <c r="F298" s="55" t="str">
        <f>VLOOKUP($A298,'Order Summary'!$B:$I,8,FALSE)</f>
        <v>Savannah, GA</v>
      </c>
      <c r="G298" s="216">
        <f>IF($A298="","",VLOOKUP($A298&amp;"-"&amp;$B298,'Order Summary'!$D:$U,18,FALSE))</f>
        <v>46186</v>
      </c>
      <c r="H298" s="55">
        <v>2</v>
      </c>
      <c r="I298" s="55">
        <v>694442</v>
      </c>
      <c r="J298" s="55" t="str">
        <f>VLOOKUP($I298,'Old Pricing - end 26-Jan-2026'!$A:$R,2,FALSE)</f>
        <v>G1S 694442</v>
      </c>
      <c r="K298" s="55" t="str">
        <f>VLOOKUP($I298,'Old Pricing - end 26-Jan-2026'!$A:$R,6,FALSE)&amp;" "&amp;VLOOKUP($I298,'Old Pricing - end 26-Jan-2026'!$A:$R,7,FALSE)&amp;""" x "&amp;VLOOKUP($I298,'Old Pricing - end 26-Jan-2026'!$A:$R,9,FALSE)&amp;""" "&amp;VLOOKUP($I298,'Old Pricing - end 26-Jan-2026'!$A:$R,5,FALSE)</f>
        <v>2MM 49" x 144" ACP</v>
      </c>
      <c r="L298" s="55">
        <f>VLOOKUP($I298,'Old Pricing - end 26-Jan-2026'!$A:$K,8,FALSE)</f>
        <v>1245</v>
      </c>
      <c r="M298" s="55">
        <f>VLOOKUP($I298,'Old Pricing - end 26-Jan-2026'!$A:$K,10,FALSE)</f>
        <v>3658</v>
      </c>
      <c r="N298" s="55" t="str">
        <f>VLOOKUP($I298,'Old Pricing - end 26-Jan-2026'!$A:$R,13,FALSE)&amp;" "&amp;VLOOKUP($I298,'Old Pricing - end 26-Jan-2026'!$A:$R,12,FALSE)</f>
        <v>AMC 0103 SILVER FROST</v>
      </c>
      <c r="O298" s="56">
        <v>39.200000000000003</v>
      </c>
      <c r="P298" s="55">
        <f>(VLOOKUP($I298,'Old Pricing - end 26-Jan-2026'!$A:$R,8,FALSE)/1000)*(VLOOKUP($I298,'Old Pricing - end 26-Jan-2026'!$A:$R,10,FALSE)/1000)*Q298</f>
        <v>3643.3680000000004</v>
      </c>
      <c r="Q298" s="55">
        <f>ROUND(('Order Details'!$O298*1000)/((VLOOKUP($I298,'Old Pricing - end 26-Jan-2026'!$A:$Q,7,FALSE)/12)*(VLOOKUP($I298,'Old Pricing - end 26-Jan-2026'!$A:$Q,9,FALSE)/12))/5,0)*5</f>
        <v>800</v>
      </c>
      <c r="R298" s="71">
        <f>$Q298/IFERROR(VLOOKUP($F298&amp;RIGHT($K298,8),'Master Data'!$O$5:$P$10,2,FALSE),'Master Data'!$P$4)</f>
        <v>4</v>
      </c>
      <c r="S298" s="57">
        <f>VLOOKUP($I298,'Old Pricing - end 26-Jan-2026'!$A:$Q,16,FALSE)</f>
        <v>700</v>
      </c>
      <c r="T298" s="57">
        <f>VLOOKUP(I298,'Old Pricing - end 26-Jan-2026'!$A:$O,15,FALSE)</f>
        <v>7.53</v>
      </c>
      <c r="U298" s="57">
        <f t="shared" si="15"/>
        <v>27440.000000000004</v>
      </c>
      <c r="V298" s="111">
        <f t="shared" si="14"/>
        <v>27434.561040000004</v>
      </c>
      <c r="W298" s="55">
        <f>VLOOKUP($I298,'Old Pricing - end 26-Jan-2026'!$A:$R,18,FALSE)</f>
        <v>90</v>
      </c>
    </row>
    <row r="299" spans="1:23" ht="15" hidden="1" thickTop="1" x14ac:dyDescent="0.3">
      <c r="A299" s="55">
        <v>24160677</v>
      </c>
      <c r="B299" s="55">
        <v>0</v>
      </c>
      <c r="C299" s="55" t="str">
        <f>VLOOKUP(A299&amp;"-"&amp;B299,'Order Summary'!$D:$E,2,FALSE)</f>
        <v>Container Loaded</v>
      </c>
      <c r="D299" s="216">
        <f>IF($A299="","",VLOOKUP($A299&amp;"-"&amp;$B299,'Order Summary'!$D:$U,3,FALSE))</f>
        <v>46022</v>
      </c>
      <c r="E299" s="55" t="str">
        <f>VLOOKUP(A299&amp;"-"&amp;B299,'Order Summary'!$D:$G,4,FALSE)</f>
        <v>Yes</v>
      </c>
      <c r="F299" s="55" t="str">
        <f>VLOOKUP($A299,'Order Summary'!$B:$I,8,FALSE)</f>
        <v>Savannah, GA</v>
      </c>
      <c r="G299" s="216">
        <f>IF($A299="","",VLOOKUP($A299&amp;"-"&amp;$B299,'Order Summary'!$D:$U,18,FALSE))</f>
        <v>46186</v>
      </c>
      <c r="H299" s="55">
        <v>3</v>
      </c>
      <c r="I299" s="55">
        <v>694446</v>
      </c>
      <c r="J299" s="55" t="str">
        <f>VLOOKUP($I299,'Old Pricing - end 26-Jan-2026'!$A:$R,2,FALSE)</f>
        <v>G1S 694446</v>
      </c>
      <c r="K299" s="55" t="str">
        <f>VLOOKUP($I299,'Old Pricing - end 26-Jan-2026'!$A:$R,6,FALSE)&amp;" "&amp;VLOOKUP($I299,'Old Pricing - end 26-Jan-2026'!$A:$R,7,FALSE)&amp;""" x "&amp;VLOOKUP($I299,'Old Pricing - end 26-Jan-2026'!$A:$R,9,FALSE)&amp;""" "&amp;VLOOKUP($I299,'Old Pricing - end 26-Jan-2026'!$A:$R,5,FALSE)</f>
        <v>2MM 49" x 144" ACP</v>
      </c>
      <c r="L299" s="55">
        <f>VLOOKUP($I299,'Old Pricing - end 26-Jan-2026'!$A:$K,8,FALSE)</f>
        <v>1245</v>
      </c>
      <c r="M299" s="55">
        <f>VLOOKUP($I299,'Old Pricing - end 26-Jan-2026'!$A:$K,10,FALSE)</f>
        <v>3658</v>
      </c>
      <c r="N299" s="55" t="str">
        <f>VLOOKUP($I299,'Old Pricing - end 26-Jan-2026'!$A:$R,13,FALSE)&amp;" "&amp;VLOOKUP($I299,'Old Pricing - end 26-Jan-2026'!$A:$R,12,FALSE)</f>
        <v>AMC 0086 CHARCOAL METALLIC</v>
      </c>
      <c r="O299" s="56">
        <v>39.200000000000003</v>
      </c>
      <c r="P299" s="55">
        <f>(VLOOKUP($I299,'Old Pricing - end 26-Jan-2026'!$A:$R,8,FALSE)/1000)*(VLOOKUP($I299,'Old Pricing - end 26-Jan-2026'!$A:$R,10,FALSE)/1000)*Q299</f>
        <v>3643.3680000000004</v>
      </c>
      <c r="Q299" s="55">
        <f>ROUND(('Order Details'!$O299*1000)/((VLOOKUP($I299,'Old Pricing - end 26-Jan-2026'!$A:$Q,7,FALSE)/12)*(VLOOKUP($I299,'Old Pricing - end 26-Jan-2026'!$A:$Q,9,FALSE)/12))/5,0)*5</f>
        <v>800</v>
      </c>
      <c r="R299" s="71">
        <f>$Q299/IFERROR(VLOOKUP($F299&amp;RIGHT($K299,8),'Master Data'!$O$5:$P$10,2,FALSE),'Master Data'!$P$4)</f>
        <v>4</v>
      </c>
      <c r="S299" s="57">
        <f>VLOOKUP($I299,'Old Pricing - end 26-Jan-2026'!$A:$Q,16,FALSE)</f>
        <v>750</v>
      </c>
      <c r="T299" s="57">
        <f>VLOOKUP(I299,'Old Pricing - end 26-Jan-2026'!$A:$O,15,FALSE)</f>
        <v>8.07</v>
      </c>
      <c r="U299" s="57">
        <f t="shared" si="15"/>
        <v>29400.000000000004</v>
      </c>
      <c r="V299" s="111">
        <f t="shared" si="14"/>
        <v>29401.979760000006</v>
      </c>
      <c r="W299" s="55">
        <f>VLOOKUP($I299,'Old Pricing - end 26-Jan-2026'!$A:$R,18,FALSE)</f>
        <v>45</v>
      </c>
    </row>
    <row r="300" spans="1:23" ht="15" hidden="1" thickTop="1" x14ac:dyDescent="0.3">
      <c r="A300" s="55">
        <v>24160656</v>
      </c>
      <c r="B300" s="55">
        <v>0</v>
      </c>
      <c r="C300" s="55" t="str">
        <f>VLOOKUP(A300&amp;"-"&amp;B300,'Order Summary'!$D:$E,2,FALSE)</f>
        <v>In Production</v>
      </c>
      <c r="D300" s="216">
        <f>IF($A300="","",VLOOKUP($A300&amp;"-"&amp;$B300,'Order Summary'!$D:$U,3,FALSE))</f>
        <v>46022</v>
      </c>
      <c r="E300" s="55" t="str">
        <f>VLOOKUP(A300&amp;"-"&amp;B300,'Order Summary'!$D:$G,4,FALSE)</f>
        <v>Yes</v>
      </c>
      <c r="F300" s="55" t="str">
        <f>VLOOKUP($A300,'Order Summary'!$B:$I,8,FALSE)</f>
        <v>Savannah, GA</v>
      </c>
      <c r="G300" s="216">
        <f>IF($A300="","",VLOOKUP($A300&amp;"-"&amp;$B300,'Order Summary'!$D:$U,18,FALSE))</f>
        <v>46141</v>
      </c>
      <c r="H300" s="55">
        <v>1</v>
      </c>
      <c r="I300" s="55">
        <v>694432</v>
      </c>
      <c r="J300" s="55" t="str">
        <f>VLOOKUP($I300,'Old Pricing - end 26-Jan-2026'!$A:$R,2,FALSE)</f>
        <v>G1S 694432</v>
      </c>
      <c r="K300" s="55" t="str">
        <f>VLOOKUP($I300,'Old Pricing - end 26-Jan-2026'!$A:$R,6,FALSE)&amp;" "&amp;VLOOKUP($I300,'Old Pricing - end 26-Jan-2026'!$A:$R,7,FALSE)&amp;""" x "&amp;VLOOKUP($I300,'Old Pricing - end 26-Jan-2026'!$A:$R,9,FALSE)&amp;""" "&amp;VLOOKUP($I300,'Old Pricing - end 26-Jan-2026'!$A:$R,5,FALSE)</f>
        <v>2MM 49" x 96" ACP</v>
      </c>
      <c r="L300" s="55">
        <f>VLOOKUP($I300,'Old Pricing - end 26-Jan-2026'!$A:$K,8,FALSE)</f>
        <v>1245</v>
      </c>
      <c r="M300" s="55">
        <f>VLOOKUP($I300,'Old Pricing - end 26-Jan-2026'!$A:$K,10,FALSE)</f>
        <v>2440</v>
      </c>
      <c r="N300" s="55" t="str">
        <f>VLOOKUP($I300,'Old Pricing - end 26-Jan-2026'!$A:$R,13,FALSE)&amp;" "&amp;VLOOKUP($I300,'Old Pricing - end 26-Jan-2026'!$A:$R,12,FALSE)</f>
        <v>ASC 0096 GLOSSY BLACK</v>
      </c>
      <c r="O300" s="56">
        <v>91.466999999999999</v>
      </c>
      <c r="P300" s="55">
        <f>(VLOOKUP($I300,'Old Pricing - end 26-Jan-2026'!$A:$R,8,FALSE)/1000)*(VLOOKUP($I300,'Old Pricing - end 26-Jan-2026'!$A:$R,10,FALSE)/1000)*Q300</f>
        <v>8505.84</v>
      </c>
      <c r="Q300" s="55">
        <f>ROUND(('Order Details'!$O300*1000)/((VLOOKUP($I300,'Old Pricing - end 26-Jan-2026'!$A:$Q,7,FALSE)/12)*(VLOOKUP($I300,'Old Pricing - end 26-Jan-2026'!$A:$Q,9,FALSE)/12))/5,0)*5</f>
        <v>2800</v>
      </c>
      <c r="R300" s="71">
        <f>$Q300/IFERROR(VLOOKUP($F300&amp;RIGHT($K300,8),'Master Data'!$O$5:$P$10,2,FALSE),'Master Data'!$P$4)</f>
        <v>14</v>
      </c>
      <c r="S300" s="57">
        <f>VLOOKUP($I300,'Old Pricing - end 26-Jan-2026'!$A:$Q,16,FALSE)</f>
        <v>700</v>
      </c>
      <c r="T300" s="57">
        <f>VLOOKUP(I300,'Old Pricing - end 26-Jan-2026'!$A:$O,15,FALSE)</f>
        <v>7.53</v>
      </c>
      <c r="U300" s="57">
        <f t="shared" si="15"/>
        <v>64026.9</v>
      </c>
      <c r="V300" s="111">
        <f t="shared" si="14"/>
        <v>64048.975200000001</v>
      </c>
      <c r="W300" s="55">
        <f>VLOOKUP($I300,'Old Pricing - end 26-Jan-2026'!$A:$R,18,FALSE)</f>
        <v>45</v>
      </c>
    </row>
    <row r="301" spans="1:23" ht="15" hidden="1" thickTop="1" x14ac:dyDescent="0.3">
      <c r="A301" s="55">
        <v>24160596</v>
      </c>
      <c r="B301" s="55">
        <v>0</v>
      </c>
      <c r="C301" s="55" t="str">
        <f>VLOOKUP(A301&amp;"-"&amp;B301,'Order Summary'!$D:$E,2,FALSE)</f>
        <v>Balance Payment Received</v>
      </c>
      <c r="D301" s="216">
        <f>IF($A301="","",VLOOKUP($A301&amp;"-"&amp;$B301,'Order Summary'!$D:$U,3,FALSE))</f>
        <v>46022</v>
      </c>
      <c r="E301" s="55" t="str">
        <f>VLOOKUP(A301&amp;"-"&amp;B301,'Order Summary'!$D:$G,4,FALSE)</f>
        <v>Yes</v>
      </c>
      <c r="F301" s="55" t="str">
        <f>VLOOKUP($A301,'Order Summary'!$B:$I,8,FALSE)</f>
        <v>Ashburn, GA</v>
      </c>
      <c r="G301" s="216">
        <f>IF($A301="","",VLOOKUP($A301&amp;"-"&amp;$B301,'Order Summary'!$D:$U,18,FALSE))</f>
        <v>46141</v>
      </c>
      <c r="H301" s="55">
        <v>1</v>
      </c>
      <c r="I301" s="55">
        <v>704984</v>
      </c>
      <c r="J301" s="55" t="str">
        <f>VLOOKUP($I301,'Old Pricing - end 26-Jan-2026'!$A:$R,2,FALSE)</f>
        <v>G1S 704984</v>
      </c>
      <c r="K301" s="55" t="str">
        <f>VLOOKUP($I301,'Old Pricing - end 26-Jan-2026'!$A:$R,6,FALSE)&amp;" "&amp;VLOOKUP($I301,'Old Pricing - end 26-Jan-2026'!$A:$R,7,FALSE)&amp;""" x "&amp;VLOOKUP($I301,'Old Pricing - end 26-Jan-2026'!$A:$R,9,FALSE)&amp;""" "&amp;VLOOKUP($I301,'Old Pricing - end 26-Jan-2026'!$A:$R,5,FALSE)</f>
        <v>2MM 49" x 84" ACP</v>
      </c>
      <c r="L301" s="55">
        <f>VLOOKUP($I301,'Old Pricing - end 26-Jan-2026'!$A:$K,8,FALSE)</f>
        <v>1245</v>
      </c>
      <c r="M301" s="55">
        <f>VLOOKUP($I301,'Old Pricing - end 26-Jan-2026'!$A:$K,10,FALSE)</f>
        <v>2135</v>
      </c>
      <c r="N301" s="55" t="str">
        <f>VLOOKUP($I301,'Old Pricing - end 26-Jan-2026'!$A:$R,13,FALSE)&amp;" "&amp;VLOOKUP($I301,'Old Pricing - end 26-Jan-2026'!$A:$R,12,FALSE)</f>
        <v>ASC 0096 GLOSSY BLACK</v>
      </c>
      <c r="O301" s="56">
        <v>17.149999999999999</v>
      </c>
      <c r="P301" s="55">
        <f>(VLOOKUP($I301,'Old Pricing - end 26-Jan-2026'!$A:$R,8,FALSE)/1000)*(VLOOKUP($I301,'Old Pricing - end 26-Jan-2026'!$A:$R,10,FALSE)/1000)*Q301</f>
        <v>1594.8449999999998</v>
      </c>
      <c r="Q301" s="55">
        <f>ROUND(('Order Details'!$O301*1000)/((VLOOKUP($I301,'Old Pricing - end 26-Jan-2026'!$A:$Q,7,FALSE)/12)*(VLOOKUP($I301,'Old Pricing - end 26-Jan-2026'!$A:$Q,9,FALSE)/12))/5,0)*5</f>
        <v>600</v>
      </c>
      <c r="R301" s="71">
        <f>$Q301/IFERROR(VLOOKUP($F301&amp;RIGHT($K301,8),'Master Data'!$O$5:$P$10,2,FALSE),'Master Data'!$P$4)</f>
        <v>3</v>
      </c>
      <c r="S301" s="57">
        <f>VLOOKUP($I301,'Old Pricing - end 26-Jan-2026'!$A:$Q,16,FALSE)</f>
        <v>700</v>
      </c>
      <c r="T301" s="57">
        <f>VLOOKUP(I301,'Old Pricing - end 26-Jan-2026'!$A:$O,15,FALSE)</f>
        <v>7.53</v>
      </c>
      <c r="U301" s="57">
        <f t="shared" si="15"/>
        <v>12004.999999999998</v>
      </c>
      <c r="V301" s="111">
        <f t="shared" si="14"/>
        <v>12009.182849999999</v>
      </c>
      <c r="W301" s="55">
        <f>VLOOKUP($I301,'Old Pricing - end 26-Jan-2026'!$A:$R,18,FALSE)</f>
        <v>45</v>
      </c>
    </row>
    <row r="302" spans="1:23" ht="15" hidden="1" thickTop="1" x14ac:dyDescent="0.3">
      <c r="A302" s="55">
        <v>24160596</v>
      </c>
      <c r="B302" s="55">
        <v>0</v>
      </c>
      <c r="C302" s="55" t="str">
        <f>VLOOKUP(A302&amp;"-"&amp;B302,'Order Summary'!$D:$E,2,FALSE)</f>
        <v>Balance Payment Received</v>
      </c>
      <c r="D302" s="216">
        <f>IF($A302="","",VLOOKUP($A302&amp;"-"&amp;$B302,'Order Summary'!$D:$U,3,FALSE))</f>
        <v>46022</v>
      </c>
      <c r="E302" s="55" t="str">
        <f>VLOOKUP(A302&amp;"-"&amp;B302,'Order Summary'!$D:$G,4,FALSE)</f>
        <v>Yes</v>
      </c>
      <c r="F302" s="55" t="str">
        <f>VLOOKUP($A302,'Order Summary'!$B:$I,8,FALSE)</f>
        <v>Ashburn, GA</v>
      </c>
      <c r="G302" s="216">
        <f>IF($A302="","",VLOOKUP($A302&amp;"-"&amp;$B302,'Order Summary'!$D:$U,18,FALSE))</f>
        <v>46141</v>
      </c>
      <c r="H302" s="55">
        <v>2</v>
      </c>
      <c r="I302" s="55">
        <v>709354</v>
      </c>
      <c r="J302" s="55" t="str">
        <f>VLOOKUP($I302,'Old Pricing - end 26-Jan-2026'!$A:$R,2,FALSE)</f>
        <v>G1S 709354</v>
      </c>
      <c r="K302" s="55" t="str">
        <f>VLOOKUP($I302,'Old Pricing - end 26-Jan-2026'!$A:$R,6,FALSE)&amp;" "&amp;VLOOKUP($I302,'Old Pricing - end 26-Jan-2026'!$A:$R,7,FALSE)&amp;""" x "&amp;VLOOKUP($I302,'Old Pricing - end 26-Jan-2026'!$A:$R,9,FALSE)&amp;""" "&amp;VLOOKUP($I302,'Old Pricing - end 26-Jan-2026'!$A:$R,5,FALSE)</f>
        <v>2MM 49" x 90.5" ACP</v>
      </c>
      <c r="L302" s="55">
        <f>VLOOKUP($I302,'Old Pricing - end 26-Jan-2026'!$A:$K,8,FALSE)</f>
        <v>1245</v>
      </c>
      <c r="M302" s="55">
        <f>VLOOKUP($I302,'Old Pricing - end 26-Jan-2026'!$A:$K,10,FALSE)</f>
        <v>2300</v>
      </c>
      <c r="N302" s="55" t="str">
        <f>VLOOKUP($I302,'Old Pricing - end 26-Jan-2026'!$A:$R,13,FALSE)&amp;" "&amp;VLOOKUP($I302,'Old Pricing - end 26-Jan-2026'!$A:$R,12,FALSE)</f>
        <v>ASC 0096 GLOSSY BLACK</v>
      </c>
      <c r="O302" s="56">
        <v>36.954000000000001</v>
      </c>
      <c r="P302" s="55">
        <f>(VLOOKUP($I302,'Old Pricing - end 26-Jan-2026'!$A:$R,8,FALSE)/1000)*(VLOOKUP($I302,'Old Pricing - end 26-Jan-2026'!$A:$R,10,FALSE)/1000)*Q302</f>
        <v>3436.2000000000003</v>
      </c>
      <c r="Q302" s="55">
        <f>ROUND(('Order Details'!$O302*1000)/((VLOOKUP($I302,'Old Pricing - end 26-Jan-2026'!$A:$Q,7,FALSE)/12)*(VLOOKUP($I302,'Old Pricing - end 26-Jan-2026'!$A:$Q,9,FALSE)/12))/5,0)*5</f>
        <v>1200</v>
      </c>
      <c r="R302" s="71">
        <f>$Q302/IFERROR(VLOOKUP($F302&amp;RIGHT($K302,8),'Master Data'!$O$5:$P$10,2,FALSE),'Master Data'!$P$4)</f>
        <v>6</v>
      </c>
      <c r="S302" s="57">
        <f>VLOOKUP($I302,'Old Pricing - end 26-Jan-2026'!$A:$Q,16,FALSE)</f>
        <v>700</v>
      </c>
      <c r="T302" s="57">
        <f>VLOOKUP(I302,'Old Pricing - end 26-Jan-2026'!$A:$O,15,FALSE)</f>
        <v>7.53</v>
      </c>
      <c r="U302" s="57">
        <f t="shared" si="15"/>
        <v>25867.8</v>
      </c>
      <c r="V302" s="111">
        <f t="shared" si="14"/>
        <v>25874.586000000003</v>
      </c>
      <c r="W302" s="55">
        <f>VLOOKUP($I302,'Old Pricing - end 26-Jan-2026'!$A:$R,18,FALSE)</f>
        <v>45</v>
      </c>
    </row>
    <row r="303" spans="1:23" ht="15" hidden="1" thickTop="1" x14ac:dyDescent="0.3">
      <c r="A303" s="55">
        <v>24160596</v>
      </c>
      <c r="B303" s="55">
        <v>0</v>
      </c>
      <c r="C303" s="55" t="str">
        <f>VLOOKUP(A303&amp;"-"&amp;B303,'Order Summary'!$D:$E,2,FALSE)</f>
        <v>Balance Payment Received</v>
      </c>
      <c r="D303" s="216">
        <f>IF($A303="","",VLOOKUP($A303&amp;"-"&amp;$B303,'Order Summary'!$D:$U,3,FALSE))</f>
        <v>46022</v>
      </c>
      <c r="E303" s="55" t="str">
        <f>VLOOKUP(A303&amp;"-"&amp;B303,'Order Summary'!$D:$G,4,FALSE)</f>
        <v>Yes</v>
      </c>
      <c r="F303" s="55" t="str">
        <f>VLOOKUP($A303,'Order Summary'!$B:$I,8,FALSE)</f>
        <v>Ashburn, GA</v>
      </c>
      <c r="G303" s="216">
        <f>IF($A303="","",VLOOKUP($A303&amp;"-"&amp;$B303,'Order Summary'!$D:$U,18,FALSE))</f>
        <v>46141</v>
      </c>
      <c r="H303" s="55">
        <v>3</v>
      </c>
      <c r="I303" s="55">
        <v>694432</v>
      </c>
      <c r="J303" s="55" t="str">
        <f>VLOOKUP($I303,'Old Pricing - end 26-Jan-2026'!$A:$R,2,FALSE)</f>
        <v>G1S 694432</v>
      </c>
      <c r="K303" s="55" t="str">
        <f>VLOOKUP($I303,'Old Pricing - end 26-Jan-2026'!$A:$R,6,FALSE)&amp;" "&amp;VLOOKUP($I303,'Old Pricing - end 26-Jan-2026'!$A:$R,7,FALSE)&amp;""" x "&amp;VLOOKUP($I303,'Old Pricing - end 26-Jan-2026'!$A:$R,9,FALSE)&amp;""" "&amp;VLOOKUP($I303,'Old Pricing - end 26-Jan-2026'!$A:$R,5,FALSE)</f>
        <v>2MM 49" x 96" ACP</v>
      </c>
      <c r="L303" s="55">
        <f>VLOOKUP($I303,'Old Pricing - end 26-Jan-2026'!$A:$K,8,FALSE)</f>
        <v>1245</v>
      </c>
      <c r="M303" s="55">
        <f>VLOOKUP($I303,'Old Pricing - end 26-Jan-2026'!$A:$K,10,FALSE)</f>
        <v>2440</v>
      </c>
      <c r="N303" s="55" t="str">
        <f>VLOOKUP($I303,'Old Pricing - end 26-Jan-2026'!$A:$R,13,FALSE)&amp;" "&amp;VLOOKUP($I303,'Old Pricing - end 26-Jan-2026'!$A:$R,12,FALSE)</f>
        <v>ASC 0096 GLOSSY BLACK</v>
      </c>
      <c r="O303" s="56">
        <v>19.600000000000001</v>
      </c>
      <c r="P303" s="55">
        <f>(VLOOKUP($I303,'Old Pricing - end 26-Jan-2026'!$A:$R,8,FALSE)/1000)*(VLOOKUP($I303,'Old Pricing - end 26-Jan-2026'!$A:$R,10,FALSE)/1000)*Q303</f>
        <v>1822.68</v>
      </c>
      <c r="Q303" s="55">
        <f>ROUND(('Order Details'!$O303*1000)/((VLOOKUP($I303,'Old Pricing - end 26-Jan-2026'!$A:$Q,7,FALSE)/12)*(VLOOKUP($I303,'Old Pricing - end 26-Jan-2026'!$A:$Q,9,FALSE)/12))/5,0)*5</f>
        <v>600</v>
      </c>
      <c r="R303" s="71">
        <f>$Q303/IFERROR(VLOOKUP($F303&amp;RIGHT($K303,8),'Master Data'!$O$5:$P$10,2,FALSE),'Master Data'!$P$4)</f>
        <v>3</v>
      </c>
      <c r="S303" s="57">
        <f>VLOOKUP($I303,'Old Pricing - end 26-Jan-2026'!$A:$Q,16,FALSE)</f>
        <v>700</v>
      </c>
      <c r="T303" s="57">
        <f>VLOOKUP(I303,'Old Pricing - end 26-Jan-2026'!$A:$O,15,FALSE)</f>
        <v>7.53</v>
      </c>
      <c r="U303" s="57">
        <f t="shared" si="15"/>
        <v>13720.000000000002</v>
      </c>
      <c r="V303" s="111">
        <f t="shared" si="14"/>
        <v>13724.780400000001</v>
      </c>
      <c r="W303" s="55">
        <f>VLOOKUP($I303,'Old Pricing - end 26-Jan-2026'!$A:$R,18,FALSE)</f>
        <v>45</v>
      </c>
    </row>
    <row r="304" spans="1:23" ht="15" hidden="1" thickTop="1" x14ac:dyDescent="0.3">
      <c r="A304" s="55">
        <v>24160596</v>
      </c>
      <c r="B304" s="55">
        <v>0</v>
      </c>
      <c r="C304" s="55" t="str">
        <f>VLOOKUP(A304&amp;"-"&amp;B304,'Order Summary'!$D:$E,2,FALSE)</f>
        <v>Balance Payment Received</v>
      </c>
      <c r="D304" s="216">
        <f>IF($A304="","",VLOOKUP($A304&amp;"-"&amp;$B304,'Order Summary'!$D:$U,3,FALSE))</f>
        <v>46022</v>
      </c>
      <c r="E304" s="55" t="str">
        <f>VLOOKUP(A304&amp;"-"&amp;B304,'Order Summary'!$D:$G,4,FALSE)</f>
        <v>Yes</v>
      </c>
      <c r="F304" s="55" t="str">
        <f>VLOOKUP($A304,'Order Summary'!$B:$I,8,FALSE)</f>
        <v>Ashburn, GA</v>
      </c>
      <c r="G304" s="216">
        <f>IF($A304="","",VLOOKUP($A304&amp;"-"&amp;$B304,'Order Summary'!$D:$U,18,FALSE))</f>
        <v>46141</v>
      </c>
      <c r="H304" s="55">
        <v>4</v>
      </c>
      <c r="I304" s="55">
        <v>694440</v>
      </c>
      <c r="J304" s="55" t="str">
        <f>VLOOKUP($I304,'Old Pricing - end 26-Jan-2026'!$A:$R,2,FALSE)</f>
        <v>G1S 694440</v>
      </c>
      <c r="K304" s="55" t="str">
        <f>VLOOKUP($I304,'Old Pricing - end 26-Jan-2026'!$A:$R,6,FALSE)&amp;" "&amp;VLOOKUP($I304,'Old Pricing - end 26-Jan-2026'!$A:$R,7,FALSE)&amp;""" x "&amp;VLOOKUP($I304,'Old Pricing - end 26-Jan-2026'!$A:$R,9,FALSE)&amp;""" "&amp;VLOOKUP($I304,'Old Pricing - end 26-Jan-2026'!$A:$R,5,FALSE)</f>
        <v>2MM 49" x 96" ACP</v>
      </c>
      <c r="L304" s="55">
        <f>VLOOKUP($I304,'Old Pricing - end 26-Jan-2026'!$A:$K,8,FALSE)</f>
        <v>1245</v>
      </c>
      <c r="M304" s="55">
        <f>VLOOKUP($I304,'Old Pricing - end 26-Jan-2026'!$A:$K,10,FALSE)</f>
        <v>2440</v>
      </c>
      <c r="N304" s="55" t="str">
        <f>VLOOKUP($I304,'Old Pricing - end 26-Jan-2026'!$A:$R,13,FALSE)&amp;" "&amp;VLOOKUP($I304,'Old Pricing - end 26-Jan-2026'!$A:$R,12,FALSE)</f>
        <v>AMC 0103 SILVER FROST</v>
      </c>
      <c r="O304" s="56">
        <v>6.5330000000000004</v>
      </c>
      <c r="P304" s="55">
        <f>(VLOOKUP($I304,'Old Pricing - end 26-Jan-2026'!$A:$R,8,FALSE)/1000)*(VLOOKUP($I304,'Old Pricing - end 26-Jan-2026'!$A:$R,10,FALSE)/1000)*Q304</f>
        <v>607.56000000000006</v>
      </c>
      <c r="Q304" s="55">
        <f>ROUND(('Order Details'!$O304*1000)/((VLOOKUP($I304,'Old Pricing - end 26-Jan-2026'!$A:$Q,7,FALSE)/12)*(VLOOKUP($I304,'Old Pricing - end 26-Jan-2026'!$A:$Q,9,FALSE)/12))/5,0)*5</f>
        <v>200</v>
      </c>
      <c r="R304" s="71">
        <f>$Q304/IFERROR(VLOOKUP($F304&amp;RIGHT($K304,8),'Master Data'!$O$5:$P$10,2,FALSE),'Master Data'!$P$4)</f>
        <v>1</v>
      </c>
      <c r="S304" s="57">
        <f>VLOOKUP($I304,'Old Pricing - end 26-Jan-2026'!$A:$Q,16,FALSE)</f>
        <v>700</v>
      </c>
      <c r="T304" s="57">
        <f>VLOOKUP(I304,'Old Pricing - end 26-Jan-2026'!$A:$O,15,FALSE)</f>
        <v>7.53</v>
      </c>
      <c r="U304" s="57">
        <f t="shared" si="15"/>
        <v>4573.1000000000004</v>
      </c>
      <c r="V304" s="111">
        <f t="shared" si="14"/>
        <v>4574.9268000000002</v>
      </c>
      <c r="W304" s="55">
        <f>VLOOKUP($I304,'Old Pricing - end 26-Jan-2026'!$A:$R,18,FALSE)</f>
        <v>90</v>
      </c>
    </row>
    <row r="305" spans="1:23" ht="15" hidden="1" thickTop="1" x14ac:dyDescent="0.3">
      <c r="A305" s="55">
        <v>24160605</v>
      </c>
      <c r="B305" s="55">
        <v>0</v>
      </c>
      <c r="C305" s="55" t="str">
        <f>VLOOKUP(A305&amp;"-"&amp;B305,'Order Summary'!$D:$E,2,FALSE)</f>
        <v>Balance Payment Received</v>
      </c>
      <c r="D305" s="216">
        <f>IF($A305="","",VLOOKUP($A305&amp;"-"&amp;$B305,'Order Summary'!$D:$U,3,FALSE))</f>
        <v>46022</v>
      </c>
      <c r="E305" s="55" t="str">
        <f>VLOOKUP(A305&amp;"-"&amp;B305,'Order Summary'!$D:$G,4,FALSE)</f>
        <v>Yes</v>
      </c>
      <c r="F305" s="55" t="str">
        <f>VLOOKUP($A305,'Order Summary'!$B:$I,8,FALSE)</f>
        <v>Ashburn, GA</v>
      </c>
      <c r="G305" s="216">
        <f>IF($A305="","",VLOOKUP($A305&amp;"-"&amp;$B305,'Order Summary'!$D:$U,18,FALSE))</f>
        <v>46141</v>
      </c>
      <c r="H305" s="55">
        <v>1</v>
      </c>
      <c r="I305" s="55">
        <v>704985</v>
      </c>
      <c r="J305" s="55" t="str">
        <f>VLOOKUP($I305,'Old Pricing - end 26-Jan-2026'!$A:$R,2,FALSE)</f>
        <v>G1S 704985</v>
      </c>
      <c r="K305" s="55" t="str">
        <f>VLOOKUP($I305,'Old Pricing - end 26-Jan-2026'!$A:$R,6,FALSE)&amp;" "&amp;VLOOKUP($I305,'Old Pricing - end 26-Jan-2026'!$A:$R,7,FALSE)&amp;""" x "&amp;VLOOKUP($I305,'Old Pricing - end 26-Jan-2026'!$A:$R,9,FALSE)&amp;""" "&amp;VLOOKUP($I305,'Old Pricing - end 26-Jan-2026'!$A:$R,5,FALSE)</f>
        <v>2MM 49" x 84" ACP</v>
      </c>
      <c r="L305" s="55">
        <f>VLOOKUP($I305,'Old Pricing - end 26-Jan-2026'!$A:$K,8,FALSE)</f>
        <v>1245</v>
      </c>
      <c r="M305" s="55">
        <f>VLOOKUP($I305,'Old Pricing - end 26-Jan-2026'!$A:$K,10,FALSE)</f>
        <v>2135</v>
      </c>
      <c r="N305" s="55" t="str">
        <f>VLOOKUP($I305,'Old Pricing - end 26-Jan-2026'!$A:$R,13,FALSE)&amp;" "&amp;VLOOKUP($I305,'Old Pricing - end 26-Jan-2026'!$A:$R,12,FALSE)</f>
        <v>ASC 0069 GLOSSY WHITE</v>
      </c>
      <c r="O305" s="56">
        <v>17.149999999999999</v>
      </c>
      <c r="P305" s="55">
        <f>(VLOOKUP($I305,'Old Pricing - end 26-Jan-2026'!$A:$R,8,FALSE)/1000)*(VLOOKUP($I305,'Old Pricing - end 26-Jan-2026'!$A:$R,10,FALSE)/1000)*Q305</f>
        <v>1594.8449999999998</v>
      </c>
      <c r="Q305" s="55">
        <f>ROUND(('Order Details'!$O305*1000)/((VLOOKUP($I305,'Old Pricing - end 26-Jan-2026'!$A:$Q,7,FALSE)/12)*(VLOOKUP($I305,'Old Pricing - end 26-Jan-2026'!$A:$Q,9,FALSE)/12))/5,0)*5</f>
        <v>600</v>
      </c>
      <c r="R305" s="71">
        <f>$Q305/IFERROR(VLOOKUP($F305&amp;RIGHT($K305,8),'Master Data'!$O$5:$P$10,2,FALSE),'Master Data'!$P$4)</f>
        <v>3</v>
      </c>
      <c r="S305" s="57">
        <f>VLOOKUP($I305,'Old Pricing - end 26-Jan-2026'!$A:$Q,16,FALSE)</f>
        <v>700</v>
      </c>
      <c r="T305" s="57">
        <f>VLOOKUP(I305,'Old Pricing - end 26-Jan-2026'!$A:$O,15,FALSE)</f>
        <v>7.53</v>
      </c>
      <c r="U305" s="57">
        <f t="shared" si="15"/>
        <v>12004.999999999998</v>
      </c>
      <c r="V305" s="111">
        <f t="shared" si="14"/>
        <v>12009.182849999999</v>
      </c>
      <c r="W305" s="55">
        <f>VLOOKUP($I305,'Old Pricing - end 26-Jan-2026'!$A:$R,18,FALSE)</f>
        <v>45</v>
      </c>
    </row>
    <row r="306" spans="1:23" ht="15" hidden="1" thickTop="1" x14ac:dyDescent="0.3">
      <c r="A306" s="55">
        <v>24160605</v>
      </c>
      <c r="B306" s="55">
        <v>0</v>
      </c>
      <c r="C306" s="55" t="str">
        <f>VLOOKUP(A306&amp;"-"&amp;B306,'Order Summary'!$D:$E,2,FALSE)</f>
        <v>Balance Payment Received</v>
      </c>
      <c r="D306" s="216">
        <f>IF($A306="","",VLOOKUP($A306&amp;"-"&amp;$B306,'Order Summary'!$D:$U,3,FALSE))</f>
        <v>46022</v>
      </c>
      <c r="E306" s="55" t="str">
        <f>VLOOKUP(A306&amp;"-"&amp;B306,'Order Summary'!$D:$G,4,FALSE)</f>
        <v>Yes</v>
      </c>
      <c r="F306" s="55" t="str">
        <f>VLOOKUP($A306,'Order Summary'!$B:$I,8,FALSE)</f>
        <v>Ashburn, GA</v>
      </c>
      <c r="G306" s="216">
        <f>IF($A306="","",VLOOKUP($A306&amp;"-"&amp;$B306,'Order Summary'!$D:$U,18,FALSE))</f>
        <v>46141</v>
      </c>
      <c r="H306" s="55">
        <v>2</v>
      </c>
      <c r="I306" s="55">
        <v>709355</v>
      </c>
      <c r="J306" s="55" t="str">
        <f>VLOOKUP($I306,'Old Pricing - end 26-Jan-2026'!$A:$R,2,FALSE)</f>
        <v>G1S 709355</v>
      </c>
      <c r="K306" s="55" t="str">
        <f>VLOOKUP($I306,'Old Pricing - end 26-Jan-2026'!$A:$R,6,FALSE)&amp;" "&amp;VLOOKUP($I306,'Old Pricing - end 26-Jan-2026'!$A:$R,7,FALSE)&amp;""" x "&amp;VLOOKUP($I306,'Old Pricing - end 26-Jan-2026'!$A:$R,9,FALSE)&amp;""" "&amp;VLOOKUP($I306,'Old Pricing - end 26-Jan-2026'!$A:$R,5,FALSE)</f>
        <v>2MM 49" x 90.5" ACP</v>
      </c>
      <c r="L306" s="55">
        <f>VLOOKUP($I306,'Old Pricing - end 26-Jan-2026'!$A:$K,8,FALSE)</f>
        <v>1245</v>
      </c>
      <c r="M306" s="55">
        <f>VLOOKUP($I306,'Old Pricing - end 26-Jan-2026'!$A:$K,10,FALSE)</f>
        <v>2300</v>
      </c>
      <c r="N306" s="55" t="str">
        <f>VLOOKUP($I306,'Old Pricing - end 26-Jan-2026'!$A:$R,13,FALSE)&amp;" "&amp;VLOOKUP($I306,'Old Pricing - end 26-Jan-2026'!$A:$R,12,FALSE)</f>
        <v>ASC 0069 GLOSSY WHITE</v>
      </c>
      <c r="O306" s="56">
        <v>36.954000000000001</v>
      </c>
      <c r="P306" s="55">
        <f>(VLOOKUP($I306,'Old Pricing - end 26-Jan-2026'!$A:$R,8,FALSE)/1000)*(VLOOKUP($I306,'Old Pricing - end 26-Jan-2026'!$A:$R,10,FALSE)/1000)*Q306</f>
        <v>3436.2000000000003</v>
      </c>
      <c r="Q306" s="55">
        <f>ROUND(('Order Details'!$O306*1000)/((VLOOKUP($I306,'Old Pricing - end 26-Jan-2026'!$A:$Q,7,FALSE)/12)*(VLOOKUP($I306,'Old Pricing - end 26-Jan-2026'!$A:$Q,9,FALSE)/12))/5,0)*5</f>
        <v>1200</v>
      </c>
      <c r="R306" s="71">
        <f>$Q306/IFERROR(VLOOKUP($F306&amp;RIGHT($K306,8),'Master Data'!$O$5:$P$10,2,FALSE),'Master Data'!$P$4)</f>
        <v>6</v>
      </c>
      <c r="S306" s="57">
        <f>VLOOKUP($I306,'Old Pricing - end 26-Jan-2026'!$A:$Q,16,FALSE)</f>
        <v>700</v>
      </c>
      <c r="T306" s="57">
        <f>VLOOKUP(I306,'Old Pricing - end 26-Jan-2026'!$A:$O,15,FALSE)</f>
        <v>7.53</v>
      </c>
      <c r="U306" s="57">
        <f t="shared" si="15"/>
        <v>25867.8</v>
      </c>
      <c r="V306" s="111">
        <f t="shared" si="14"/>
        <v>25874.586000000003</v>
      </c>
      <c r="W306" s="55">
        <f>VLOOKUP($I306,'Old Pricing - end 26-Jan-2026'!$A:$R,18,FALSE)</f>
        <v>45</v>
      </c>
    </row>
    <row r="307" spans="1:23" ht="15" hidden="1" thickTop="1" x14ac:dyDescent="0.3">
      <c r="A307" s="55">
        <v>24160605</v>
      </c>
      <c r="B307" s="55">
        <v>0</v>
      </c>
      <c r="C307" s="55" t="str">
        <f>VLOOKUP(A307&amp;"-"&amp;B307,'Order Summary'!$D:$E,2,FALSE)</f>
        <v>Balance Payment Received</v>
      </c>
      <c r="D307" s="216">
        <f>IF($A307="","",VLOOKUP($A307&amp;"-"&amp;$B307,'Order Summary'!$D:$U,3,FALSE))</f>
        <v>46022</v>
      </c>
      <c r="E307" s="55" t="str">
        <f>VLOOKUP(A307&amp;"-"&amp;B307,'Order Summary'!$D:$G,4,FALSE)</f>
        <v>Yes</v>
      </c>
      <c r="F307" s="55" t="str">
        <f>VLOOKUP($A307,'Order Summary'!$B:$I,8,FALSE)</f>
        <v>Ashburn, GA</v>
      </c>
      <c r="G307" s="216">
        <f>IF($A307="","",VLOOKUP($A307&amp;"-"&amp;$B307,'Order Summary'!$D:$U,18,FALSE))</f>
        <v>46141</v>
      </c>
      <c r="H307" s="55">
        <v>3</v>
      </c>
      <c r="I307" s="55">
        <v>694436</v>
      </c>
      <c r="J307" s="55" t="str">
        <f>VLOOKUP($I307,'Old Pricing - end 26-Jan-2026'!$A:$R,2,FALSE)</f>
        <v>G1S 694436</v>
      </c>
      <c r="K307" s="55" t="str">
        <f>VLOOKUP($I307,'Old Pricing - end 26-Jan-2026'!$A:$R,6,FALSE)&amp;" "&amp;VLOOKUP($I307,'Old Pricing - end 26-Jan-2026'!$A:$R,7,FALSE)&amp;""" x "&amp;VLOOKUP($I307,'Old Pricing - end 26-Jan-2026'!$A:$R,9,FALSE)&amp;""" "&amp;VLOOKUP($I307,'Old Pricing - end 26-Jan-2026'!$A:$R,5,FALSE)</f>
        <v>2MM 49" x 96" ACP</v>
      </c>
      <c r="L307" s="55">
        <f>VLOOKUP($I307,'Old Pricing - end 26-Jan-2026'!$A:$K,8,FALSE)</f>
        <v>1245</v>
      </c>
      <c r="M307" s="55">
        <f>VLOOKUP($I307,'Old Pricing - end 26-Jan-2026'!$A:$K,10,FALSE)</f>
        <v>2440</v>
      </c>
      <c r="N307" s="55" t="str">
        <f>VLOOKUP($I307,'Old Pricing - end 26-Jan-2026'!$A:$R,13,FALSE)&amp;" "&amp;VLOOKUP($I307,'Old Pricing - end 26-Jan-2026'!$A:$R,12,FALSE)</f>
        <v>ASC 0069 GLOSSY WHITE</v>
      </c>
      <c r="O307" s="56">
        <v>19.600000000000001</v>
      </c>
      <c r="P307" s="55">
        <f>(VLOOKUP($I307,'Old Pricing - end 26-Jan-2026'!$A:$R,8,FALSE)/1000)*(VLOOKUP($I307,'Old Pricing - end 26-Jan-2026'!$A:$R,10,FALSE)/1000)*Q307</f>
        <v>1822.68</v>
      </c>
      <c r="Q307" s="55">
        <f>ROUND(('Order Details'!$O307*1000)/((VLOOKUP($I307,'Old Pricing - end 26-Jan-2026'!$A:$Q,7,FALSE)/12)*(VLOOKUP($I307,'Old Pricing - end 26-Jan-2026'!$A:$Q,9,FALSE)/12))/5,0)*5</f>
        <v>600</v>
      </c>
      <c r="R307" s="71">
        <f>$Q307/IFERROR(VLOOKUP($F307&amp;RIGHT($K307,8),'Master Data'!$O$5:$P$10,2,FALSE),'Master Data'!$P$4)</f>
        <v>3</v>
      </c>
      <c r="S307" s="57">
        <f>VLOOKUP($I307,'Old Pricing - end 26-Jan-2026'!$A:$Q,16,FALSE)</f>
        <v>700</v>
      </c>
      <c r="T307" s="57">
        <f>VLOOKUP(I307,'Old Pricing - end 26-Jan-2026'!$A:$O,15,FALSE)</f>
        <v>7.53</v>
      </c>
      <c r="U307" s="57">
        <f t="shared" si="15"/>
        <v>13720.000000000002</v>
      </c>
      <c r="V307" s="111">
        <f t="shared" si="14"/>
        <v>13724.780400000001</v>
      </c>
      <c r="W307" s="55">
        <f>VLOOKUP($I307,'Old Pricing - end 26-Jan-2026'!$A:$R,18,FALSE)</f>
        <v>45</v>
      </c>
    </row>
    <row r="308" spans="1:23" ht="15" hidden="1" thickTop="1" x14ac:dyDescent="0.3">
      <c r="A308" s="55">
        <v>24160605</v>
      </c>
      <c r="B308" s="55">
        <v>0</v>
      </c>
      <c r="C308" s="55" t="str">
        <f>VLOOKUP(A308&amp;"-"&amp;B308,'Order Summary'!$D:$E,2,FALSE)</f>
        <v>Balance Payment Received</v>
      </c>
      <c r="D308" s="216">
        <f>IF($A308="","",VLOOKUP($A308&amp;"-"&amp;$B308,'Order Summary'!$D:$U,3,FALSE))</f>
        <v>46022</v>
      </c>
      <c r="E308" s="55" t="str">
        <f>VLOOKUP(A308&amp;"-"&amp;B308,'Order Summary'!$D:$G,4,FALSE)</f>
        <v>Yes</v>
      </c>
      <c r="F308" s="55" t="str">
        <f>VLOOKUP($A308,'Order Summary'!$B:$I,8,FALSE)</f>
        <v>Ashburn, GA</v>
      </c>
      <c r="G308" s="216">
        <f>IF($A308="","",VLOOKUP($A308&amp;"-"&amp;$B308,'Order Summary'!$D:$U,18,FALSE))</f>
        <v>46141</v>
      </c>
      <c r="H308" s="55">
        <v>4</v>
      </c>
      <c r="I308" s="55">
        <v>694444</v>
      </c>
      <c r="J308" s="55" t="str">
        <f>VLOOKUP($I308,'Old Pricing - end 26-Jan-2026'!$A:$R,2,FALSE)</f>
        <v>G1S 694444</v>
      </c>
      <c r="K308" s="55" t="str">
        <f>VLOOKUP($I308,'Old Pricing - end 26-Jan-2026'!$A:$R,6,FALSE)&amp;" "&amp;VLOOKUP($I308,'Old Pricing - end 26-Jan-2026'!$A:$R,7,FALSE)&amp;""" x "&amp;VLOOKUP($I308,'Old Pricing - end 26-Jan-2026'!$A:$R,9,FALSE)&amp;""" "&amp;VLOOKUP($I308,'Old Pricing - end 26-Jan-2026'!$A:$R,5,FALSE)</f>
        <v>2MM 49" x 96" ACP</v>
      </c>
      <c r="L308" s="55">
        <f>VLOOKUP($I308,'Old Pricing - end 26-Jan-2026'!$A:$K,8,FALSE)</f>
        <v>1245</v>
      </c>
      <c r="M308" s="55">
        <f>VLOOKUP($I308,'Old Pricing - end 26-Jan-2026'!$A:$K,10,FALSE)</f>
        <v>2440</v>
      </c>
      <c r="N308" s="55" t="str">
        <f>VLOOKUP($I308,'Old Pricing - end 26-Jan-2026'!$A:$R,13,FALSE)&amp;" "&amp;VLOOKUP($I308,'Old Pricing - end 26-Jan-2026'!$A:$R,12,FALSE)</f>
        <v>AMC 0086 CHARCOAL METALLIC</v>
      </c>
      <c r="O308" s="56">
        <v>6.5330000000000004</v>
      </c>
      <c r="P308" s="55">
        <f>(VLOOKUP($I308,'Old Pricing - end 26-Jan-2026'!$A:$R,8,FALSE)/1000)*(VLOOKUP($I308,'Old Pricing - end 26-Jan-2026'!$A:$R,10,FALSE)/1000)*Q308</f>
        <v>607.56000000000006</v>
      </c>
      <c r="Q308" s="55">
        <f>ROUND(('Order Details'!$O308*1000)/((VLOOKUP($I308,'Old Pricing - end 26-Jan-2026'!$A:$Q,7,FALSE)/12)*(VLOOKUP($I308,'Old Pricing - end 26-Jan-2026'!$A:$Q,9,FALSE)/12))/5,0)*5</f>
        <v>200</v>
      </c>
      <c r="R308" s="71">
        <f>$Q308/IFERROR(VLOOKUP($F308&amp;RIGHT($K308,8),'Master Data'!$O$5:$P$10,2,FALSE),'Master Data'!$P$4)</f>
        <v>1</v>
      </c>
      <c r="S308" s="57">
        <f>VLOOKUP($I308,'Old Pricing - end 26-Jan-2026'!$A:$Q,16,FALSE)</f>
        <v>750</v>
      </c>
      <c r="T308" s="57">
        <f>VLOOKUP(I308,'Old Pricing - end 26-Jan-2026'!$A:$O,15,FALSE)</f>
        <v>8.07</v>
      </c>
      <c r="U308" s="57">
        <f t="shared" si="15"/>
        <v>4899.75</v>
      </c>
      <c r="V308" s="111">
        <f t="shared" si="14"/>
        <v>4903.0092000000004</v>
      </c>
      <c r="W308" s="55">
        <f>VLOOKUP($I308,'Old Pricing - end 26-Jan-2026'!$A:$R,18,FALSE)</f>
        <v>45</v>
      </c>
    </row>
    <row r="309" spans="1:23" ht="15" hidden="1" thickTop="1" x14ac:dyDescent="0.3">
      <c r="A309" s="55">
        <v>24160553</v>
      </c>
      <c r="B309" s="55">
        <v>0</v>
      </c>
      <c r="C309" s="55" t="str">
        <f>VLOOKUP(A309&amp;"-"&amp;B309,'Order Summary'!$D:$E,2,FALSE)</f>
        <v>Balance Payment Received</v>
      </c>
      <c r="D309" s="216">
        <f>IF($A309="","",VLOOKUP($A309&amp;"-"&amp;$B309,'Order Summary'!$D:$U,3,FALSE))</f>
        <v>46022</v>
      </c>
      <c r="E309" s="55" t="str">
        <f>VLOOKUP(A309&amp;"-"&amp;B309,'Order Summary'!$D:$G,4,FALSE)</f>
        <v>Yes</v>
      </c>
      <c r="F309" s="55" t="str">
        <f>VLOOKUP($A309,'Order Summary'!$B:$I,8,FALSE)</f>
        <v>Ashburn, GA</v>
      </c>
      <c r="G309" s="216">
        <f>IF($A309="","",VLOOKUP($A309&amp;"-"&amp;$B309,'Order Summary'!$D:$U,18,FALSE))</f>
        <v>46141</v>
      </c>
      <c r="H309" s="55">
        <v>1</v>
      </c>
      <c r="I309" s="55">
        <v>704985</v>
      </c>
      <c r="J309" s="55" t="str">
        <f>VLOOKUP($I309,'Old Pricing - end 26-Jan-2026'!$A:$R,2,FALSE)</f>
        <v>G1S 704985</v>
      </c>
      <c r="K309" s="55" t="str">
        <f>VLOOKUP($I309,'Old Pricing - end 26-Jan-2026'!$A:$R,6,FALSE)&amp;" "&amp;VLOOKUP($I309,'Old Pricing - end 26-Jan-2026'!$A:$R,7,FALSE)&amp;""" x "&amp;VLOOKUP($I309,'Old Pricing - end 26-Jan-2026'!$A:$R,9,FALSE)&amp;""" "&amp;VLOOKUP($I309,'Old Pricing - end 26-Jan-2026'!$A:$R,5,FALSE)</f>
        <v>2MM 49" x 84" ACP</v>
      </c>
      <c r="L309" s="55">
        <f>VLOOKUP($I309,'Old Pricing - end 26-Jan-2026'!$A:$K,8,FALSE)</f>
        <v>1245</v>
      </c>
      <c r="M309" s="55">
        <f>VLOOKUP($I309,'Old Pricing - end 26-Jan-2026'!$A:$K,10,FALSE)</f>
        <v>2135</v>
      </c>
      <c r="N309" s="55" t="str">
        <f>VLOOKUP($I309,'Old Pricing - end 26-Jan-2026'!$A:$R,13,FALSE)&amp;" "&amp;VLOOKUP($I309,'Old Pricing - end 26-Jan-2026'!$A:$R,12,FALSE)</f>
        <v>ASC 0069 GLOSSY WHITE</v>
      </c>
      <c r="O309" s="56">
        <v>17.149999999999999</v>
      </c>
      <c r="P309" s="55">
        <f>(VLOOKUP($I309,'Old Pricing - end 26-Jan-2026'!$A:$R,8,FALSE)/1000)*(VLOOKUP($I309,'Old Pricing - end 26-Jan-2026'!$A:$R,10,FALSE)/1000)*Q309</f>
        <v>1594.8449999999998</v>
      </c>
      <c r="Q309" s="55">
        <f>ROUND(('Order Details'!$O309*1000)/((VLOOKUP($I309,'Old Pricing - end 26-Jan-2026'!$A:$Q,7,FALSE)/12)*(VLOOKUP($I309,'Old Pricing - end 26-Jan-2026'!$A:$Q,9,FALSE)/12))/5,0)*5</f>
        <v>600</v>
      </c>
      <c r="R309" s="71">
        <f>$Q309/IFERROR(VLOOKUP($F309&amp;RIGHT($K309,8),'Master Data'!$O$5:$P$10,2,FALSE),'Master Data'!$P$4)</f>
        <v>3</v>
      </c>
      <c r="S309" s="57">
        <f>VLOOKUP($I309,'Old Pricing - end 26-Jan-2026'!$A:$Q,16,FALSE)</f>
        <v>700</v>
      </c>
      <c r="T309" s="57">
        <f>VLOOKUP(I309,'Old Pricing - end 26-Jan-2026'!$A:$O,15,FALSE)</f>
        <v>7.53</v>
      </c>
      <c r="U309" s="57">
        <f t="shared" si="15"/>
        <v>12004.999999999998</v>
      </c>
      <c r="V309" s="111">
        <f t="shared" si="14"/>
        <v>12009.182849999999</v>
      </c>
      <c r="W309" s="55">
        <f>VLOOKUP($I309,'Old Pricing - end 26-Jan-2026'!$A:$R,18,FALSE)</f>
        <v>45</v>
      </c>
    </row>
    <row r="310" spans="1:23" ht="15" hidden="1" thickTop="1" x14ac:dyDescent="0.3">
      <c r="A310" s="55">
        <v>24160553</v>
      </c>
      <c r="B310" s="55">
        <v>0</v>
      </c>
      <c r="C310" s="55" t="str">
        <f>VLOOKUP(A310&amp;"-"&amp;B310,'Order Summary'!$D:$E,2,FALSE)</f>
        <v>Balance Payment Received</v>
      </c>
      <c r="D310" s="216">
        <f>IF($A310="","",VLOOKUP($A310&amp;"-"&amp;$B310,'Order Summary'!$D:$U,3,FALSE))</f>
        <v>46022</v>
      </c>
      <c r="E310" s="55" t="str">
        <f>VLOOKUP(A310&amp;"-"&amp;B310,'Order Summary'!$D:$G,4,FALSE)</f>
        <v>Yes</v>
      </c>
      <c r="F310" s="55" t="str">
        <f>VLOOKUP($A310,'Order Summary'!$B:$I,8,FALSE)</f>
        <v>Ashburn, GA</v>
      </c>
      <c r="G310" s="216">
        <f>IF($A310="","",VLOOKUP($A310&amp;"-"&amp;$B310,'Order Summary'!$D:$U,18,FALSE))</f>
        <v>46141</v>
      </c>
      <c r="H310" s="55">
        <v>2</v>
      </c>
      <c r="I310" s="55">
        <v>709355</v>
      </c>
      <c r="J310" s="55" t="str">
        <f>VLOOKUP($I310,'Old Pricing - end 26-Jan-2026'!$A:$R,2,FALSE)</f>
        <v>G1S 709355</v>
      </c>
      <c r="K310" s="55" t="str">
        <f>VLOOKUP($I310,'Old Pricing - end 26-Jan-2026'!$A:$R,6,FALSE)&amp;" "&amp;VLOOKUP($I310,'Old Pricing - end 26-Jan-2026'!$A:$R,7,FALSE)&amp;""" x "&amp;VLOOKUP($I310,'Old Pricing - end 26-Jan-2026'!$A:$R,9,FALSE)&amp;""" "&amp;VLOOKUP($I310,'Old Pricing - end 26-Jan-2026'!$A:$R,5,FALSE)</f>
        <v>2MM 49" x 90.5" ACP</v>
      </c>
      <c r="L310" s="55">
        <f>VLOOKUP($I310,'Old Pricing - end 26-Jan-2026'!$A:$K,8,FALSE)</f>
        <v>1245</v>
      </c>
      <c r="M310" s="55">
        <f>VLOOKUP($I310,'Old Pricing - end 26-Jan-2026'!$A:$K,10,FALSE)</f>
        <v>2300</v>
      </c>
      <c r="N310" s="55" t="str">
        <f>VLOOKUP($I310,'Old Pricing - end 26-Jan-2026'!$A:$R,13,FALSE)&amp;" "&amp;VLOOKUP($I310,'Old Pricing - end 26-Jan-2026'!$A:$R,12,FALSE)</f>
        <v>ASC 0069 GLOSSY WHITE</v>
      </c>
      <c r="O310" s="56">
        <v>36.954000000000001</v>
      </c>
      <c r="P310" s="55">
        <f>(VLOOKUP($I310,'Old Pricing - end 26-Jan-2026'!$A:$R,8,FALSE)/1000)*(VLOOKUP($I310,'Old Pricing - end 26-Jan-2026'!$A:$R,10,FALSE)/1000)*Q310</f>
        <v>3436.2000000000003</v>
      </c>
      <c r="Q310" s="55">
        <f>ROUND(('Order Details'!$O310*1000)/((VLOOKUP($I310,'Old Pricing - end 26-Jan-2026'!$A:$Q,7,FALSE)/12)*(VLOOKUP($I310,'Old Pricing - end 26-Jan-2026'!$A:$Q,9,FALSE)/12))/5,0)*5</f>
        <v>1200</v>
      </c>
      <c r="R310" s="71">
        <f>$Q310/IFERROR(VLOOKUP($F310&amp;RIGHT($K310,8),'Master Data'!$O$5:$P$10,2,FALSE),'Master Data'!$P$4)</f>
        <v>6</v>
      </c>
      <c r="S310" s="57">
        <f>VLOOKUP($I310,'Old Pricing - end 26-Jan-2026'!$A:$Q,16,FALSE)</f>
        <v>700</v>
      </c>
      <c r="T310" s="57">
        <f>VLOOKUP(I310,'Old Pricing - end 26-Jan-2026'!$A:$O,15,FALSE)</f>
        <v>7.53</v>
      </c>
      <c r="U310" s="57">
        <f t="shared" si="15"/>
        <v>25867.8</v>
      </c>
      <c r="V310" s="111">
        <f t="shared" si="14"/>
        <v>25874.586000000003</v>
      </c>
      <c r="W310" s="55">
        <f>VLOOKUP($I310,'Old Pricing - end 26-Jan-2026'!$A:$R,18,FALSE)</f>
        <v>45</v>
      </c>
    </row>
    <row r="311" spans="1:23" ht="15" hidden="1" thickTop="1" x14ac:dyDescent="0.3">
      <c r="A311" s="55">
        <v>24160553</v>
      </c>
      <c r="B311" s="55">
        <v>0</v>
      </c>
      <c r="C311" s="55" t="str">
        <f>VLOOKUP(A311&amp;"-"&amp;B311,'Order Summary'!$D:$E,2,FALSE)</f>
        <v>Balance Payment Received</v>
      </c>
      <c r="D311" s="216">
        <f>IF($A311="","",VLOOKUP($A311&amp;"-"&amp;$B311,'Order Summary'!$D:$U,3,FALSE))</f>
        <v>46022</v>
      </c>
      <c r="E311" s="55" t="str">
        <f>VLOOKUP(A311&amp;"-"&amp;B311,'Order Summary'!$D:$G,4,FALSE)</f>
        <v>Yes</v>
      </c>
      <c r="F311" s="55" t="str">
        <f>VLOOKUP($A311,'Order Summary'!$B:$I,8,FALSE)</f>
        <v>Ashburn, GA</v>
      </c>
      <c r="G311" s="216">
        <f>IF($A311="","",VLOOKUP($A311&amp;"-"&amp;$B311,'Order Summary'!$D:$U,18,FALSE))</f>
        <v>46141</v>
      </c>
      <c r="H311" s="55">
        <v>3</v>
      </c>
      <c r="I311" s="55">
        <v>694436</v>
      </c>
      <c r="J311" s="55" t="str">
        <f>VLOOKUP($I311,'Old Pricing - end 26-Jan-2026'!$A:$R,2,FALSE)</f>
        <v>G1S 694436</v>
      </c>
      <c r="K311" s="55" t="str">
        <f>VLOOKUP($I311,'Old Pricing - end 26-Jan-2026'!$A:$R,6,FALSE)&amp;" "&amp;VLOOKUP($I311,'Old Pricing - end 26-Jan-2026'!$A:$R,7,FALSE)&amp;""" x "&amp;VLOOKUP($I311,'Old Pricing - end 26-Jan-2026'!$A:$R,9,FALSE)&amp;""" "&amp;VLOOKUP($I311,'Old Pricing - end 26-Jan-2026'!$A:$R,5,FALSE)</f>
        <v>2MM 49" x 96" ACP</v>
      </c>
      <c r="L311" s="55">
        <f>VLOOKUP($I311,'Old Pricing - end 26-Jan-2026'!$A:$K,8,FALSE)</f>
        <v>1245</v>
      </c>
      <c r="M311" s="55">
        <f>VLOOKUP($I311,'Old Pricing - end 26-Jan-2026'!$A:$K,10,FALSE)</f>
        <v>2440</v>
      </c>
      <c r="N311" s="55" t="str">
        <f>VLOOKUP($I311,'Old Pricing - end 26-Jan-2026'!$A:$R,13,FALSE)&amp;" "&amp;VLOOKUP($I311,'Old Pricing - end 26-Jan-2026'!$A:$R,12,FALSE)</f>
        <v>ASC 0069 GLOSSY WHITE</v>
      </c>
      <c r="O311" s="56">
        <v>19.600000000000001</v>
      </c>
      <c r="P311" s="55">
        <f>(VLOOKUP($I311,'Old Pricing - end 26-Jan-2026'!$A:$R,8,FALSE)/1000)*(VLOOKUP($I311,'Old Pricing - end 26-Jan-2026'!$A:$R,10,FALSE)/1000)*Q311</f>
        <v>1822.68</v>
      </c>
      <c r="Q311" s="55">
        <f>ROUND(('Order Details'!$O311*1000)/((VLOOKUP($I311,'Old Pricing - end 26-Jan-2026'!$A:$Q,7,FALSE)/12)*(VLOOKUP($I311,'Old Pricing - end 26-Jan-2026'!$A:$Q,9,FALSE)/12))/5,0)*5</f>
        <v>600</v>
      </c>
      <c r="R311" s="71">
        <f>$Q311/IFERROR(VLOOKUP($F311&amp;RIGHT($K311,8),'Master Data'!$O$5:$P$10,2,FALSE),'Master Data'!$P$4)</f>
        <v>3</v>
      </c>
      <c r="S311" s="57">
        <f>VLOOKUP($I311,'Old Pricing - end 26-Jan-2026'!$A:$Q,16,FALSE)</f>
        <v>700</v>
      </c>
      <c r="T311" s="57">
        <f>VLOOKUP(I311,'Old Pricing - end 26-Jan-2026'!$A:$O,15,FALSE)</f>
        <v>7.53</v>
      </c>
      <c r="U311" s="57">
        <f t="shared" si="15"/>
        <v>13720.000000000002</v>
      </c>
      <c r="V311" s="111">
        <f t="shared" si="14"/>
        <v>13724.780400000001</v>
      </c>
      <c r="W311" s="55">
        <f>VLOOKUP($I311,'Old Pricing - end 26-Jan-2026'!$A:$R,18,FALSE)</f>
        <v>45</v>
      </c>
    </row>
    <row r="312" spans="1:23" ht="15" hidden="1" thickTop="1" x14ac:dyDescent="0.3">
      <c r="A312" s="55">
        <v>24160553</v>
      </c>
      <c r="B312" s="55">
        <v>0</v>
      </c>
      <c r="C312" s="55" t="str">
        <f>VLOOKUP(A312&amp;"-"&amp;B312,'Order Summary'!$D:$E,2,FALSE)</f>
        <v>Balance Payment Received</v>
      </c>
      <c r="D312" s="216">
        <f>IF($A312="","",VLOOKUP($A312&amp;"-"&amp;$B312,'Order Summary'!$D:$U,3,FALSE))</f>
        <v>46022</v>
      </c>
      <c r="E312" s="55" t="str">
        <f>VLOOKUP(A312&amp;"-"&amp;B312,'Order Summary'!$D:$G,4,FALSE)</f>
        <v>Yes</v>
      </c>
      <c r="F312" s="55" t="str">
        <f>VLOOKUP($A312,'Order Summary'!$B:$I,8,FALSE)</f>
        <v>Ashburn, GA</v>
      </c>
      <c r="G312" s="216">
        <f>IF($A312="","",VLOOKUP($A312&amp;"-"&amp;$B312,'Order Summary'!$D:$U,18,FALSE))</f>
        <v>46141</v>
      </c>
      <c r="H312" s="55">
        <v>4</v>
      </c>
      <c r="I312" s="55">
        <v>694444</v>
      </c>
      <c r="J312" s="55" t="str">
        <f>VLOOKUP($I312,'Old Pricing - end 26-Jan-2026'!$A:$R,2,FALSE)</f>
        <v>G1S 694444</v>
      </c>
      <c r="K312" s="55" t="str">
        <f>VLOOKUP($I312,'Old Pricing - end 26-Jan-2026'!$A:$R,6,FALSE)&amp;" "&amp;VLOOKUP($I312,'Old Pricing - end 26-Jan-2026'!$A:$R,7,FALSE)&amp;""" x "&amp;VLOOKUP($I312,'Old Pricing - end 26-Jan-2026'!$A:$R,9,FALSE)&amp;""" "&amp;VLOOKUP($I312,'Old Pricing - end 26-Jan-2026'!$A:$R,5,FALSE)</f>
        <v>2MM 49" x 96" ACP</v>
      </c>
      <c r="L312" s="55">
        <f>VLOOKUP($I312,'Old Pricing - end 26-Jan-2026'!$A:$K,8,FALSE)</f>
        <v>1245</v>
      </c>
      <c r="M312" s="55">
        <f>VLOOKUP($I312,'Old Pricing - end 26-Jan-2026'!$A:$K,10,FALSE)</f>
        <v>2440</v>
      </c>
      <c r="N312" s="55" t="str">
        <f>VLOOKUP($I312,'Old Pricing - end 26-Jan-2026'!$A:$R,13,FALSE)&amp;" "&amp;VLOOKUP($I312,'Old Pricing - end 26-Jan-2026'!$A:$R,12,FALSE)</f>
        <v>AMC 0086 CHARCOAL METALLIC</v>
      </c>
      <c r="O312" s="56">
        <v>6.5330000000000004</v>
      </c>
      <c r="P312" s="55">
        <f>(VLOOKUP($I312,'Old Pricing - end 26-Jan-2026'!$A:$R,8,FALSE)/1000)*(VLOOKUP($I312,'Old Pricing - end 26-Jan-2026'!$A:$R,10,FALSE)/1000)*Q312</f>
        <v>607.56000000000006</v>
      </c>
      <c r="Q312" s="55">
        <f>ROUND(('Order Details'!$O312*1000)/((VLOOKUP($I312,'Old Pricing - end 26-Jan-2026'!$A:$Q,7,FALSE)/12)*(VLOOKUP($I312,'Old Pricing - end 26-Jan-2026'!$A:$Q,9,FALSE)/12))/5,0)*5</f>
        <v>200</v>
      </c>
      <c r="R312" s="71">
        <f>$Q312/IFERROR(VLOOKUP($F312&amp;RIGHT($K312,8),'Master Data'!$O$5:$P$10,2,FALSE),'Master Data'!$P$4)</f>
        <v>1</v>
      </c>
      <c r="S312" s="57">
        <f>VLOOKUP($I312,'Old Pricing - end 26-Jan-2026'!$A:$Q,16,FALSE)</f>
        <v>750</v>
      </c>
      <c r="T312" s="57">
        <f>VLOOKUP(I312,'Old Pricing - end 26-Jan-2026'!$A:$O,15,FALSE)</f>
        <v>8.07</v>
      </c>
      <c r="U312" s="57">
        <f t="shared" si="15"/>
        <v>4899.75</v>
      </c>
      <c r="V312" s="111">
        <f t="shared" si="14"/>
        <v>4903.0092000000004</v>
      </c>
      <c r="W312" s="55">
        <f>VLOOKUP($I312,'Old Pricing - end 26-Jan-2026'!$A:$R,18,FALSE)</f>
        <v>45</v>
      </c>
    </row>
    <row r="313" spans="1:23" ht="15" hidden="1" thickTop="1" x14ac:dyDescent="0.3">
      <c r="A313" s="55">
        <v>24160610</v>
      </c>
      <c r="B313" s="55">
        <v>0</v>
      </c>
      <c r="C313" s="55" t="str">
        <f>VLOOKUP(A313&amp;"-"&amp;B313,'Order Summary'!$D:$E,2,FALSE)</f>
        <v>Balance Payment Received</v>
      </c>
      <c r="D313" s="216">
        <f>IF($A313="","",VLOOKUP($A313&amp;"-"&amp;$B313,'Order Summary'!$D:$U,3,FALSE))</f>
        <v>46022</v>
      </c>
      <c r="E313" s="55" t="str">
        <f>VLOOKUP(A313&amp;"-"&amp;B313,'Order Summary'!$D:$G,4,FALSE)</f>
        <v>Yes</v>
      </c>
      <c r="F313" s="55" t="str">
        <f>VLOOKUP($A313,'Order Summary'!$B:$I,8,FALSE)</f>
        <v>Ashburn, GA</v>
      </c>
      <c r="G313" s="216">
        <f>IF($A313="","",VLOOKUP($A313&amp;"-"&amp;$B313,'Order Summary'!$D:$U,18,FALSE))</f>
        <v>46141</v>
      </c>
      <c r="H313" s="55">
        <v>1</v>
      </c>
      <c r="I313" s="55">
        <v>704984</v>
      </c>
      <c r="J313" s="55" t="str">
        <f>VLOOKUP($I313,'Old Pricing - end 26-Jan-2026'!$A:$R,2,FALSE)</f>
        <v>G1S 704984</v>
      </c>
      <c r="K313" s="55" t="str">
        <f>VLOOKUP($I313,'Old Pricing - end 26-Jan-2026'!$A:$R,6,FALSE)&amp;" "&amp;VLOOKUP($I313,'Old Pricing - end 26-Jan-2026'!$A:$R,7,FALSE)&amp;""" x "&amp;VLOOKUP($I313,'Old Pricing - end 26-Jan-2026'!$A:$R,9,FALSE)&amp;""" "&amp;VLOOKUP($I313,'Old Pricing - end 26-Jan-2026'!$A:$R,5,FALSE)</f>
        <v>2MM 49" x 84" ACP</v>
      </c>
      <c r="L313" s="55">
        <f>VLOOKUP($I313,'Old Pricing - end 26-Jan-2026'!$A:$K,8,FALSE)</f>
        <v>1245</v>
      </c>
      <c r="M313" s="55">
        <f>VLOOKUP($I313,'Old Pricing - end 26-Jan-2026'!$A:$K,10,FALSE)</f>
        <v>2135</v>
      </c>
      <c r="N313" s="55" t="str">
        <f>VLOOKUP($I313,'Old Pricing - end 26-Jan-2026'!$A:$R,13,FALSE)&amp;" "&amp;VLOOKUP($I313,'Old Pricing - end 26-Jan-2026'!$A:$R,12,FALSE)</f>
        <v>ASC 0096 GLOSSY BLACK</v>
      </c>
      <c r="O313" s="56">
        <v>17.149999999999999</v>
      </c>
      <c r="P313" s="55">
        <f>(VLOOKUP($I313,'Old Pricing - end 26-Jan-2026'!$A:$R,8,FALSE)/1000)*(VLOOKUP($I313,'Old Pricing - end 26-Jan-2026'!$A:$R,10,FALSE)/1000)*Q313</f>
        <v>1594.8449999999998</v>
      </c>
      <c r="Q313" s="55">
        <f>ROUND(('Order Details'!$O313*1000)/((VLOOKUP($I313,'Old Pricing - end 26-Jan-2026'!$A:$Q,7,FALSE)/12)*(VLOOKUP($I313,'Old Pricing - end 26-Jan-2026'!$A:$Q,9,FALSE)/12))/5,0)*5</f>
        <v>600</v>
      </c>
      <c r="R313" s="71">
        <f>$Q313/IFERROR(VLOOKUP($F313&amp;RIGHT($K313,8),'Master Data'!$O$5:$P$10,2,FALSE),'Master Data'!$P$4)</f>
        <v>3</v>
      </c>
      <c r="S313" s="57">
        <f>VLOOKUP($I313,'Old Pricing - end 26-Jan-2026'!$A:$Q,16,FALSE)</f>
        <v>700</v>
      </c>
      <c r="T313" s="57">
        <f>VLOOKUP(I313,'Old Pricing - end 26-Jan-2026'!$A:$O,15,FALSE)</f>
        <v>7.53</v>
      </c>
      <c r="U313" s="57">
        <f t="shared" si="15"/>
        <v>12004.999999999998</v>
      </c>
      <c r="V313" s="111">
        <f t="shared" si="14"/>
        <v>12009.182849999999</v>
      </c>
      <c r="W313" s="55">
        <f>VLOOKUP($I313,'Old Pricing - end 26-Jan-2026'!$A:$R,18,FALSE)</f>
        <v>45</v>
      </c>
    </row>
    <row r="314" spans="1:23" ht="15" hidden="1" thickTop="1" x14ac:dyDescent="0.3">
      <c r="A314" s="55">
        <v>24160610</v>
      </c>
      <c r="B314" s="55">
        <v>0</v>
      </c>
      <c r="C314" s="55" t="str">
        <f>VLOOKUP(A314&amp;"-"&amp;B314,'Order Summary'!$D:$E,2,FALSE)</f>
        <v>Balance Payment Received</v>
      </c>
      <c r="D314" s="216">
        <f>IF($A314="","",VLOOKUP($A314&amp;"-"&amp;$B314,'Order Summary'!$D:$U,3,FALSE))</f>
        <v>46022</v>
      </c>
      <c r="E314" s="55" t="str">
        <f>VLOOKUP(A314&amp;"-"&amp;B314,'Order Summary'!$D:$G,4,FALSE)</f>
        <v>Yes</v>
      </c>
      <c r="F314" s="55" t="str">
        <f>VLOOKUP($A314,'Order Summary'!$B:$I,8,FALSE)</f>
        <v>Ashburn, GA</v>
      </c>
      <c r="G314" s="216">
        <f>IF($A314="","",VLOOKUP($A314&amp;"-"&amp;$B314,'Order Summary'!$D:$U,18,FALSE))</f>
        <v>46141</v>
      </c>
      <c r="H314" s="55">
        <v>2</v>
      </c>
      <c r="I314" s="55">
        <v>709354</v>
      </c>
      <c r="J314" s="55" t="str">
        <f>VLOOKUP($I314,'Old Pricing - end 26-Jan-2026'!$A:$R,2,FALSE)</f>
        <v>G1S 709354</v>
      </c>
      <c r="K314" s="55" t="str">
        <f>VLOOKUP($I314,'Old Pricing - end 26-Jan-2026'!$A:$R,6,FALSE)&amp;" "&amp;VLOOKUP($I314,'Old Pricing - end 26-Jan-2026'!$A:$R,7,FALSE)&amp;""" x "&amp;VLOOKUP($I314,'Old Pricing - end 26-Jan-2026'!$A:$R,9,FALSE)&amp;""" "&amp;VLOOKUP($I314,'Old Pricing - end 26-Jan-2026'!$A:$R,5,FALSE)</f>
        <v>2MM 49" x 90.5" ACP</v>
      </c>
      <c r="L314" s="55">
        <f>VLOOKUP($I314,'Old Pricing - end 26-Jan-2026'!$A:$K,8,FALSE)</f>
        <v>1245</v>
      </c>
      <c r="M314" s="55">
        <f>VLOOKUP($I314,'Old Pricing - end 26-Jan-2026'!$A:$K,10,FALSE)</f>
        <v>2300</v>
      </c>
      <c r="N314" s="55" t="str">
        <f>VLOOKUP($I314,'Old Pricing - end 26-Jan-2026'!$A:$R,13,FALSE)&amp;" "&amp;VLOOKUP($I314,'Old Pricing - end 26-Jan-2026'!$A:$R,12,FALSE)</f>
        <v>ASC 0096 GLOSSY BLACK</v>
      </c>
      <c r="O314" s="56">
        <v>36.954000000000001</v>
      </c>
      <c r="P314" s="55">
        <f>(VLOOKUP($I314,'Old Pricing - end 26-Jan-2026'!$A:$R,8,FALSE)/1000)*(VLOOKUP($I314,'Old Pricing - end 26-Jan-2026'!$A:$R,10,FALSE)/1000)*Q314</f>
        <v>3436.2000000000003</v>
      </c>
      <c r="Q314" s="55">
        <f>ROUND(('Order Details'!$O314*1000)/((VLOOKUP($I314,'Old Pricing - end 26-Jan-2026'!$A:$Q,7,FALSE)/12)*(VLOOKUP($I314,'Old Pricing - end 26-Jan-2026'!$A:$Q,9,FALSE)/12))/5,0)*5</f>
        <v>1200</v>
      </c>
      <c r="R314" s="71">
        <f>$Q314/IFERROR(VLOOKUP($F314&amp;RIGHT($K314,8),'Master Data'!$O$5:$P$10,2,FALSE),'Master Data'!$P$4)</f>
        <v>6</v>
      </c>
      <c r="S314" s="57">
        <f>VLOOKUP($I314,'Old Pricing - end 26-Jan-2026'!$A:$Q,16,FALSE)</f>
        <v>700</v>
      </c>
      <c r="T314" s="57">
        <f>VLOOKUP(I314,'Old Pricing - end 26-Jan-2026'!$A:$O,15,FALSE)</f>
        <v>7.53</v>
      </c>
      <c r="U314" s="57">
        <f t="shared" si="15"/>
        <v>25867.8</v>
      </c>
      <c r="V314" s="111">
        <f t="shared" si="14"/>
        <v>25874.586000000003</v>
      </c>
      <c r="W314" s="55">
        <f>VLOOKUP($I314,'Old Pricing - end 26-Jan-2026'!$A:$R,18,FALSE)</f>
        <v>45</v>
      </c>
    </row>
    <row r="315" spans="1:23" ht="15" hidden="1" thickTop="1" x14ac:dyDescent="0.3">
      <c r="A315" s="55">
        <v>24160610</v>
      </c>
      <c r="B315" s="55">
        <v>0</v>
      </c>
      <c r="C315" s="55" t="str">
        <f>VLOOKUP(A315&amp;"-"&amp;B315,'Order Summary'!$D:$E,2,FALSE)</f>
        <v>Balance Payment Received</v>
      </c>
      <c r="D315" s="216">
        <f>IF($A315="","",VLOOKUP($A315&amp;"-"&amp;$B315,'Order Summary'!$D:$U,3,FALSE))</f>
        <v>46022</v>
      </c>
      <c r="E315" s="55" t="str">
        <f>VLOOKUP(A315&amp;"-"&amp;B315,'Order Summary'!$D:$G,4,FALSE)</f>
        <v>Yes</v>
      </c>
      <c r="F315" s="55" t="str">
        <f>VLOOKUP($A315,'Order Summary'!$B:$I,8,FALSE)</f>
        <v>Ashburn, GA</v>
      </c>
      <c r="G315" s="216">
        <f>IF($A315="","",VLOOKUP($A315&amp;"-"&amp;$B315,'Order Summary'!$D:$U,18,FALSE))</f>
        <v>46141</v>
      </c>
      <c r="H315" s="55">
        <v>3</v>
      </c>
      <c r="I315" s="55">
        <v>694432</v>
      </c>
      <c r="J315" s="55" t="str">
        <f>VLOOKUP($I315,'Old Pricing - end 26-Jan-2026'!$A:$R,2,FALSE)</f>
        <v>G1S 694432</v>
      </c>
      <c r="K315" s="55" t="str">
        <f>VLOOKUP($I315,'Old Pricing - end 26-Jan-2026'!$A:$R,6,FALSE)&amp;" "&amp;VLOOKUP($I315,'Old Pricing - end 26-Jan-2026'!$A:$R,7,FALSE)&amp;""" x "&amp;VLOOKUP($I315,'Old Pricing - end 26-Jan-2026'!$A:$R,9,FALSE)&amp;""" "&amp;VLOOKUP($I315,'Old Pricing - end 26-Jan-2026'!$A:$R,5,FALSE)</f>
        <v>2MM 49" x 96" ACP</v>
      </c>
      <c r="L315" s="55">
        <f>VLOOKUP($I315,'Old Pricing - end 26-Jan-2026'!$A:$K,8,FALSE)</f>
        <v>1245</v>
      </c>
      <c r="M315" s="55">
        <f>VLOOKUP($I315,'Old Pricing - end 26-Jan-2026'!$A:$K,10,FALSE)</f>
        <v>2440</v>
      </c>
      <c r="N315" s="55" t="str">
        <f>VLOOKUP($I315,'Old Pricing - end 26-Jan-2026'!$A:$R,13,FALSE)&amp;" "&amp;VLOOKUP($I315,'Old Pricing - end 26-Jan-2026'!$A:$R,12,FALSE)</f>
        <v>ASC 0096 GLOSSY BLACK</v>
      </c>
      <c r="O315" s="56">
        <v>19.600000000000001</v>
      </c>
      <c r="P315" s="55">
        <f>(VLOOKUP($I315,'Old Pricing - end 26-Jan-2026'!$A:$R,8,FALSE)/1000)*(VLOOKUP($I315,'Old Pricing - end 26-Jan-2026'!$A:$R,10,FALSE)/1000)*Q315</f>
        <v>1822.68</v>
      </c>
      <c r="Q315" s="55">
        <f>ROUND(('Order Details'!$O315*1000)/((VLOOKUP($I315,'Old Pricing - end 26-Jan-2026'!$A:$Q,7,FALSE)/12)*(VLOOKUP($I315,'Old Pricing - end 26-Jan-2026'!$A:$Q,9,FALSE)/12))/5,0)*5</f>
        <v>600</v>
      </c>
      <c r="R315" s="71">
        <f>$Q315/IFERROR(VLOOKUP($F315&amp;RIGHT($K315,8),'Master Data'!$O$5:$P$10,2,FALSE),'Master Data'!$P$4)</f>
        <v>3</v>
      </c>
      <c r="S315" s="57">
        <f>VLOOKUP($I315,'Old Pricing - end 26-Jan-2026'!$A:$Q,16,FALSE)</f>
        <v>700</v>
      </c>
      <c r="T315" s="57">
        <f>VLOOKUP(I315,'Old Pricing - end 26-Jan-2026'!$A:$O,15,FALSE)</f>
        <v>7.53</v>
      </c>
      <c r="U315" s="57">
        <f t="shared" si="15"/>
        <v>13720.000000000002</v>
      </c>
      <c r="V315" s="111">
        <f t="shared" si="14"/>
        <v>13724.780400000001</v>
      </c>
      <c r="W315" s="55">
        <f>VLOOKUP($I315,'Old Pricing - end 26-Jan-2026'!$A:$R,18,FALSE)</f>
        <v>45</v>
      </c>
    </row>
    <row r="316" spans="1:23" ht="15" hidden="1" thickTop="1" x14ac:dyDescent="0.3">
      <c r="A316" s="55">
        <v>24160610</v>
      </c>
      <c r="B316" s="55">
        <v>0</v>
      </c>
      <c r="C316" s="55" t="str">
        <f>VLOOKUP(A316&amp;"-"&amp;B316,'Order Summary'!$D:$E,2,FALSE)</f>
        <v>Balance Payment Received</v>
      </c>
      <c r="D316" s="216">
        <f>IF($A316="","",VLOOKUP($A316&amp;"-"&amp;$B316,'Order Summary'!$D:$U,3,FALSE))</f>
        <v>46022</v>
      </c>
      <c r="E316" s="55" t="str">
        <f>VLOOKUP(A316&amp;"-"&amp;B316,'Order Summary'!$D:$G,4,FALSE)</f>
        <v>Yes</v>
      </c>
      <c r="F316" s="55" t="str">
        <f>VLOOKUP($A316,'Order Summary'!$B:$I,8,FALSE)</f>
        <v>Ashburn, GA</v>
      </c>
      <c r="G316" s="216">
        <f>IF($A316="","",VLOOKUP($A316&amp;"-"&amp;$B316,'Order Summary'!$D:$U,18,FALSE))</f>
        <v>46141</v>
      </c>
      <c r="H316" s="55">
        <v>4</v>
      </c>
      <c r="I316" s="55">
        <v>694440</v>
      </c>
      <c r="J316" s="55" t="str">
        <f>VLOOKUP($I316,'Old Pricing - end 26-Jan-2026'!$A:$R,2,FALSE)</f>
        <v>G1S 694440</v>
      </c>
      <c r="K316" s="55" t="str">
        <f>VLOOKUP($I316,'Old Pricing - end 26-Jan-2026'!$A:$R,6,FALSE)&amp;" "&amp;VLOOKUP($I316,'Old Pricing - end 26-Jan-2026'!$A:$R,7,FALSE)&amp;""" x "&amp;VLOOKUP($I316,'Old Pricing - end 26-Jan-2026'!$A:$R,9,FALSE)&amp;""" "&amp;VLOOKUP($I316,'Old Pricing - end 26-Jan-2026'!$A:$R,5,FALSE)</f>
        <v>2MM 49" x 96" ACP</v>
      </c>
      <c r="L316" s="55">
        <f>VLOOKUP($I316,'Old Pricing - end 26-Jan-2026'!$A:$K,8,FALSE)</f>
        <v>1245</v>
      </c>
      <c r="M316" s="55">
        <f>VLOOKUP($I316,'Old Pricing - end 26-Jan-2026'!$A:$K,10,FALSE)</f>
        <v>2440</v>
      </c>
      <c r="N316" s="55" t="str">
        <f>VLOOKUP($I316,'Old Pricing - end 26-Jan-2026'!$A:$R,13,FALSE)&amp;" "&amp;VLOOKUP($I316,'Old Pricing - end 26-Jan-2026'!$A:$R,12,FALSE)</f>
        <v>AMC 0103 SILVER FROST</v>
      </c>
      <c r="O316" s="56">
        <v>6.5330000000000004</v>
      </c>
      <c r="P316" s="55">
        <f>(VLOOKUP($I316,'Old Pricing - end 26-Jan-2026'!$A:$R,8,FALSE)/1000)*(VLOOKUP($I316,'Old Pricing - end 26-Jan-2026'!$A:$R,10,FALSE)/1000)*Q316</f>
        <v>607.56000000000006</v>
      </c>
      <c r="Q316" s="55">
        <f>ROUND(('Order Details'!$O316*1000)/((VLOOKUP($I316,'Old Pricing - end 26-Jan-2026'!$A:$Q,7,FALSE)/12)*(VLOOKUP($I316,'Old Pricing - end 26-Jan-2026'!$A:$Q,9,FALSE)/12))/5,0)*5</f>
        <v>200</v>
      </c>
      <c r="R316" s="71">
        <f>$Q316/IFERROR(VLOOKUP($F316&amp;RIGHT($K316,8),'Master Data'!$O$5:$P$10,2,FALSE),'Master Data'!$P$4)</f>
        <v>1</v>
      </c>
      <c r="S316" s="57">
        <f>VLOOKUP($I316,'Old Pricing - end 26-Jan-2026'!$A:$Q,16,FALSE)</f>
        <v>700</v>
      </c>
      <c r="T316" s="57">
        <f>VLOOKUP(I316,'Old Pricing - end 26-Jan-2026'!$A:$O,15,FALSE)</f>
        <v>7.53</v>
      </c>
      <c r="U316" s="57">
        <f t="shared" si="15"/>
        <v>4573.1000000000004</v>
      </c>
      <c r="V316" s="111">
        <f t="shared" si="14"/>
        <v>4574.9268000000002</v>
      </c>
      <c r="W316" s="55">
        <f>VLOOKUP($I316,'Old Pricing - end 26-Jan-2026'!$A:$R,18,FALSE)</f>
        <v>90</v>
      </c>
    </row>
    <row r="317" spans="1:23" s="222" customFormat="1" ht="15" hidden="1" thickTop="1" x14ac:dyDescent="0.3">
      <c r="A317" s="217">
        <v>24160612</v>
      </c>
      <c r="B317" s="218">
        <v>0</v>
      </c>
      <c r="C317" s="218" t="str">
        <f>VLOOKUP(A317&amp;"-"&amp;B317,'Order Summary'!$D:$E,2,FALSE)</f>
        <v>Telex / Seaway Released</v>
      </c>
      <c r="D317" s="216">
        <f>IF($A317="","",VLOOKUP($A317&amp;"-"&amp;$B317,'Order Summary'!$D:$U,3,FALSE))</f>
        <v>46022</v>
      </c>
      <c r="E317" s="218" t="str">
        <f>VLOOKUP(A317&amp;"-"&amp;B317,'Order Summary'!$D:$G,4,FALSE)</f>
        <v>Yes</v>
      </c>
      <c r="F317" s="218" t="str">
        <f>VLOOKUP($A317,'Order Summary'!$B:$I,8,FALSE)</f>
        <v>Ashburn, GA</v>
      </c>
      <c r="G317" s="216">
        <f>IF($A317="","",VLOOKUP($A317&amp;"-"&amp;$B317,'Order Summary'!$D:$U,18,FALSE))</f>
        <v>46109</v>
      </c>
      <c r="H317" s="218">
        <v>1</v>
      </c>
      <c r="I317" s="218">
        <v>714953</v>
      </c>
      <c r="J317" s="218" t="str">
        <f>VLOOKUP($I317,'Old Pricing - end 26-Jan-2026'!$A:$R,2,FALSE)</f>
        <v>G1S 714953</v>
      </c>
      <c r="K317" s="218" t="str">
        <f>VLOOKUP($I317,'Old Pricing - end 26-Jan-2026'!$A:$R,6,FALSE)&amp;" "&amp;VLOOKUP($I317,'Old Pricing - end 26-Jan-2026'!$A:$R,7,FALSE)&amp;""" x "&amp;VLOOKUP($I317,'Old Pricing - end 26-Jan-2026'!$A:$R,9,FALSE)&amp;""" "&amp;VLOOKUP($I317,'Old Pricing - end 26-Jan-2026'!$A:$R,5,FALSE)</f>
        <v>2MM 49" x 84" ACP</v>
      </c>
      <c r="L317" s="218">
        <f>VLOOKUP($I317,'Old Pricing - end 26-Jan-2026'!$A:$K,8,FALSE)</f>
        <v>1245</v>
      </c>
      <c r="M317" s="218">
        <f>VLOOKUP($I317,'Old Pricing - end 26-Jan-2026'!$A:$K,10,FALSE)</f>
        <v>2135</v>
      </c>
      <c r="N317" s="218" t="str">
        <f>VLOOKUP($I317,'Old Pricing - end 26-Jan-2026'!$A:$R,13,FALSE)&amp;" "&amp;VLOOKUP($I317,'Old Pricing - end 26-Jan-2026'!$A:$R,12,FALSE)</f>
        <v>AMC 0086 CHARCOAL METALLIC</v>
      </c>
      <c r="O317" s="219">
        <v>11.433</v>
      </c>
      <c r="P317" s="218">
        <f>(VLOOKUP($I317,'Old Pricing - end 26-Jan-2026'!$A:$R,8,FALSE)/1000)*(VLOOKUP($I317,'Old Pricing - end 26-Jan-2026'!$A:$R,10,FALSE)/1000)*Q317</f>
        <v>1063.2299999999998</v>
      </c>
      <c r="Q317" s="218">
        <f>ROUND(('Order Details'!$O317*1000)/((VLOOKUP($I317,'Old Pricing - end 26-Jan-2026'!$A:$Q,7,FALSE)/12)*(VLOOKUP($I317,'Old Pricing - end 26-Jan-2026'!$A:$Q,9,FALSE)/12))/5,0)*5</f>
        <v>400</v>
      </c>
      <c r="R317" s="220">
        <f>$Q317/IFERROR(VLOOKUP($F317&amp;RIGHT($K317,8),'Master Data'!$O$5:$P$10,2,FALSE),'Master Data'!$P$4)</f>
        <v>2</v>
      </c>
      <c r="S317" s="214">
        <f>VLOOKUP($I317,'Old Pricing - end 26-Jan-2026'!$A:$Q,16,FALSE)</f>
        <v>750</v>
      </c>
      <c r="T317" s="214">
        <f>VLOOKUP(I317,'Old Pricing - end 26-Jan-2026'!$A:$O,15,FALSE)</f>
        <v>8.07</v>
      </c>
      <c r="U317" s="214">
        <f>O317*S317</f>
        <v>8574.75</v>
      </c>
      <c r="V317" s="221">
        <f t="shared" si="14"/>
        <v>8580.2660999999989</v>
      </c>
      <c r="W317" s="218">
        <f>VLOOKUP($I317,'Old Pricing - end 26-Jan-2026'!$A:$R,18,FALSE)</f>
        <v>45</v>
      </c>
    </row>
    <row r="318" spans="1:23" s="226" customFormat="1" ht="15" hidden="1" thickTop="1" x14ac:dyDescent="0.3">
      <c r="A318" s="98">
        <v>24160612</v>
      </c>
      <c r="B318" s="98">
        <v>0</v>
      </c>
      <c r="C318" s="98" t="str">
        <f>VLOOKUP(A318&amp;"-"&amp;B318,'Order Summary'!$D:$E,2,FALSE)</f>
        <v>Telex / Seaway Released</v>
      </c>
      <c r="D318" s="216">
        <f>IF($A318="","",VLOOKUP($A318&amp;"-"&amp;$B318,'Order Summary'!$D:$U,3,FALSE))</f>
        <v>46022</v>
      </c>
      <c r="E318" s="98" t="str">
        <f>VLOOKUP(A318&amp;"-"&amp;B318,'Order Summary'!$D:$G,4,FALSE)</f>
        <v>Yes</v>
      </c>
      <c r="F318" s="98" t="str">
        <f>VLOOKUP($A318,'Order Summary'!$B:$I,8,FALSE)</f>
        <v>Ashburn, GA</v>
      </c>
      <c r="G318" s="216">
        <f>IF($A318="","",VLOOKUP($A318&amp;"-"&amp;$B318,'Order Summary'!$D:$U,18,FALSE))</f>
        <v>46109</v>
      </c>
      <c r="H318" s="98">
        <v>2</v>
      </c>
      <c r="I318" s="98">
        <v>709356</v>
      </c>
      <c r="J318" s="98" t="str">
        <f>VLOOKUP($I318,'Old Pricing - end 26-Jan-2026'!$A:$R,2,FALSE)</f>
        <v>G1S 709356</v>
      </c>
      <c r="K318" s="98" t="str">
        <f>VLOOKUP($I318,'Old Pricing - end 26-Jan-2026'!$A:$R,6,FALSE)&amp;" "&amp;VLOOKUP($I318,'Old Pricing - end 26-Jan-2026'!$A:$R,7,FALSE)&amp;""" x "&amp;VLOOKUP($I318,'Old Pricing - end 26-Jan-2026'!$A:$R,9,FALSE)&amp;""" "&amp;VLOOKUP($I318,'Old Pricing - end 26-Jan-2026'!$A:$R,5,FALSE)</f>
        <v>2MM 49" x 90.5" ACP</v>
      </c>
      <c r="L318" s="98">
        <f>VLOOKUP($I318,'Old Pricing - end 26-Jan-2026'!$A:$K,8,FALSE)</f>
        <v>1245</v>
      </c>
      <c r="M318" s="98">
        <f>VLOOKUP($I318,'Old Pricing - end 26-Jan-2026'!$A:$K,10,FALSE)</f>
        <v>2300</v>
      </c>
      <c r="N318" s="98" t="str">
        <f>VLOOKUP($I318,'Old Pricing - end 26-Jan-2026'!$A:$R,13,FALSE)&amp;" "&amp;VLOOKUP($I318,'Old Pricing - end 26-Jan-2026'!$A:$R,12,FALSE)</f>
        <v>AMC 0086 CHARCOAL METALLIC</v>
      </c>
      <c r="O318" s="223">
        <v>24.635999999999999</v>
      </c>
      <c r="P318" s="98">
        <f>(VLOOKUP($I318,'Old Pricing - end 26-Jan-2026'!$A:$R,8,FALSE)/1000)*(VLOOKUP($I318,'Old Pricing - end 26-Jan-2026'!$A:$R,10,FALSE)/1000)*Q318</f>
        <v>2290.8000000000002</v>
      </c>
      <c r="Q318" s="98">
        <f>ROUND(('Order Details'!$O318*1000)/((VLOOKUP($I318,'Old Pricing - end 26-Jan-2026'!$A:$Q,7,FALSE)/12)*(VLOOKUP($I318,'Old Pricing - end 26-Jan-2026'!$A:$Q,9,FALSE)/12))/5,0)*5</f>
        <v>800</v>
      </c>
      <c r="R318" s="224">
        <f>$Q318/IFERROR(VLOOKUP($F318&amp;RIGHT($K318,8),'Master Data'!$O$5:$P$10,2,FALSE),'Master Data'!$P$4)</f>
        <v>4</v>
      </c>
      <c r="S318" s="215">
        <f>VLOOKUP($I318,'Old Pricing - end 26-Jan-2026'!$A:$Q,16,FALSE)</f>
        <v>750</v>
      </c>
      <c r="T318" s="215">
        <f>VLOOKUP(I318,'Old Pricing - end 26-Jan-2026'!$A:$O,15,FALSE)</f>
        <v>8.07</v>
      </c>
      <c r="U318" s="215">
        <f t="shared" si="15"/>
        <v>18477</v>
      </c>
      <c r="V318" s="225">
        <f t="shared" si="14"/>
        <v>18486.756000000001</v>
      </c>
      <c r="W318" s="98">
        <f>VLOOKUP($I318,'Old Pricing - end 26-Jan-2026'!$A:$R,18,FALSE)</f>
        <v>45</v>
      </c>
    </row>
    <row r="319" spans="1:23" s="226" customFormat="1" ht="15" hidden="1" thickTop="1" x14ac:dyDescent="0.3">
      <c r="A319" s="98">
        <v>24160612</v>
      </c>
      <c r="B319" s="98">
        <v>0</v>
      </c>
      <c r="C319" s="98" t="str">
        <f>VLOOKUP(A319&amp;"-"&amp;B319,'Order Summary'!$D:$E,2,FALSE)</f>
        <v>Telex / Seaway Released</v>
      </c>
      <c r="D319" s="216">
        <f>IF($A319="","",VLOOKUP($A319&amp;"-"&amp;$B319,'Order Summary'!$D:$U,3,FALSE))</f>
        <v>46022</v>
      </c>
      <c r="E319" s="98" t="str">
        <f>VLOOKUP(A319&amp;"-"&amp;B319,'Order Summary'!$D:$G,4,FALSE)</f>
        <v>Yes</v>
      </c>
      <c r="F319" s="98" t="str">
        <f>VLOOKUP($A319,'Order Summary'!$B:$I,8,FALSE)</f>
        <v>Ashburn, GA</v>
      </c>
      <c r="G319" s="216">
        <f>IF($A319="","",VLOOKUP($A319&amp;"-"&amp;$B319,'Order Summary'!$D:$U,18,FALSE))</f>
        <v>46109</v>
      </c>
      <c r="H319" s="98">
        <v>3</v>
      </c>
      <c r="I319" s="98">
        <v>694444</v>
      </c>
      <c r="J319" s="98" t="str">
        <f>VLOOKUP($I319,'Old Pricing - end 26-Jan-2026'!$A:$R,2,FALSE)</f>
        <v>G1S 694444</v>
      </c>
      <c r="K319" s="98" t="str">
        <f>VLOOKUP($I319,'Old Pricing - end 26-Jan-2026'!$A:$R,6,FALSE)&amp;" "&amp;VLOOKUP($I319,'Old Pricing - end 26-Jan-2026'!$A:$R,7,FALSE)&amp;""" x "&amp;VLOOKUP($I319,'Old Pricing - end 26-Jan-2026'!$A:$R,9,FALSE)&amp;""" "&amp;VLOOKUP($I319,'Old Pricing - end 26-Jan-2026'!$A:$R,5,FALSE)</f>
        <v>2MM 49" x 96" ACP</v>
      </c>
      <c r="L319" s="98">
        <f>VLOOKUP($I319,'Old Pricing - end 26-Jan-2026'!$A:$K,8,FALSE)</f>
        <v>1245</v>
      </c>
      <c r="M319" s="98">
        <f>VLOOKUP($I319,'Old Pricing - end 26-Jan-2026'!$A:$K,10,FALSE)</f>
        <v>2440</v>
      </c>
      <c r="N319" s="98" t="str">
        <f>VLOOKUP($I319,'Old Pricing - end 26-Jan-2026'!$A:$R,13,FALSE)&amp;" "&amp;VLOOKUP($I319,'Old Pricing - end 26-Jan-2026'!$A:$R,12,FALSE)</f>
        <v>AMC 0086 CHARCOAL METALLIC</v>
      </c>
      <c r="O319" s="223">
        <v>6.5330000000000004</v>
      </c>
      <c r="P319" s="98">
        <f>(VLOOKUP($I319,'Old Pricing - end 26-Jan-2026'!$A:$R,8,FALSE)/1000)*(VLOOKUP($I319,'Old Pricing - end 26-Jan-2026'!$A:$R,10,FALSE)/1000)*Q319</f>
        <v>607.56000000000006</v>
      </c>
      <c r="Q319" s="98">
        <f>ROUND(('Order Details'!$O319*1000)/((VLOOKUP($I319,'Old Pricing - end 26-Jan-2026'!$A:$Q,7,FALSE)/12)*(VLOOKUP($I319,'Old Pricing - end 26-Jan-2026'!$A:$Q,9,FALSE)/12))/5,0)*5</f>
        <v>200</v>
      </c>
      <c r="R319" s="224">
        <f>$Q319/IFERROR(VLOOKUP($F319&amp;RIGHT($K319,8),'Master Data'!$O$5:$P$10,2,FALSE),'Master Data'!$P$4)</f>
        <v>1</v>
      </c>
      <c r="S319" s="215">
        <f>VLOOKUP($I319,'Old Pricing - end 26-Jan-2026'!$A:$Q,16,FALSE)</f>
        <v>750</v>
      </c>
      <c r="T319" s="215">
        <f>VLOOKUP(I319,'Old Pricing - end 26-Jan-2026'!$A:$O,15,FALSE)</f>
        <v>8.07</v>
      </c>
      <c r="U319" s="215">
        <f t="shared" si="15"/>
        <v>4899.75</v>
      </c>
      <c r="V319" s="225">
        <f t="shared" si="14"/>
        <v>4903.0092000000004</v>
      </c>
      <c r="W319" s="98">
        <f>VLOOKUP($I319,'Old Pricing - end 26-Jan-2026'!$A:$R,18,FALSE)</f>
        <v>45</v>
      </c>
    </row>
    <row r="320" spans="1:23" s="222" customFormat="1" ht="15" hidden="1" thickTop="1" x14ac:dyDescent="0.3">
      <c r="A320" s="217">
        <v>24160612</v>
      </c>
      <c r="B320" s="218">
        <v>0</v>
      </c>
      <c r="C320" s="218" t="str">
        <f>VLOOKUP(A320&amp;"-"&amp;B320,'Order Summary'!$D:$E,2,FALSE)</f>
        <v>Telex / Seaway Released</v>
      </c>
      <c r="D320" s="216">
        <f>IF($A320="","",VLOOKUP($A320&amp;"-"&amp;$B320,'Order Summary'!$D:$U,3,FALSE))</f>
        <v>46022</v>
      </c>
      <c r="E320" s="218" t="str">
        <f>VLOOKUP(A320&amp;"-"&amp;B320,'Order Summary'!$D:$G,4,FALSE)</f>
        <v>Yes</v>
      </c>
      <c r="F320" s="218" t="str">
        <f>VLOOKUP($A320,'Order Summary'!$B:$I,8,FALSE)</f>
        <v>Ashburn, GA</v>
      </c>
      <c r="G320" s="216">
        <f>IF($A320="","",VLOOKUP($A320&amp;"-"&amp;$B320,'Order Summary'!$D:$U,18,FALSE))</f>
        <v>46109</v>
      </c>
      <c r="H320" s="218">
        <v>4</v>
      </c>
      <c r="I320" s="218">
        <v>714952</v>
      </c>
      <c r="J320" s="218" t="str">
        <f>VLOOKUP($I320,'Old Pricing - end 26-Jan-2026'!$A:$R,2,FALSE)</f>
        <v>G1S 714952</v>
      </c>
      <c r="K320" s="218" t="str">
        <f>VLOOKUP($I320,'Old Pricing - end 26-Jan-2026'!$A:$R,6,FALSE)&amp;" "&amp;VLOOKUP($I320,'Old Pricing - end 26-Jan-2026'!$A:$R,7,FALSE)&amp;""" x "&amp;VLOOKUP($I320,'Old Pricing - end 26-Jan-2026'!$A:$R,9,FALSE)&amp;""" "&amp;VLOOKUP($I320,'Old Pricing - end 26-Jan-2026'!$A:$R,5,FALSE)</f>
        <v>2MM 49" x 84" ACP</v>
      </c>
      <c r="L320" s="218">
        <f>VLOOKUP($I320,'Old Pricing - end 26-Jan-2026'!$A:$K,8,FALSE)</f>
        <v>1245</v>
      </c>
      <c r="M320" s="218">
        <f>VLOOKUP($I320,'Old Pricing - end 26-Jan-2026'!$A:$K,10,FALSE)</f>
        <v>2135</v>
      </c>
      <c r="N320" s="218" t="str">
        <f>VLOOKUP($I320,'Old Pricing - end 26-Jan-2026'!$A:$R,13,FALSE)&amp;" "&amp;VLOOKUP($I320,'Old Pricing - end 26-Jan-2026'!$A:$R,12,FALSE)</f>
        <v>AMC 0103 SILVER FROST</v>
      </c>
      <c r="O320" s="219">
        <v>11.433</v>
      </c>
      <c r="P320" s="218">
        <f>(VLOOKUP($I320,'Old Pricing - end 26-Jan-2026'!$A:$R,8,FALSE)/1000)*(VLOOKUP($I320,'Old Pricing - end 26-Jan-2026'!$A:$R,10,FALSE)/1000)*Q320</f>
        <v>1063.2299999999998</v>
      </c>
      <c r="Q320" s="218">
        <f>ROUND(('Order Details'!$O320*1000)/((VLOOKUP($I320,'Old Pricing - end 26-Jan-2026'!$A:$Q,7,FALSE)/12)*(VLOOKUP($I320,'Old Pricing - end 26-Jan-2026'!$A:$Q,9,FALSE)/12))/5,0)*5</f>
        <v>400</v>
      </c>
      <c r="R320" s="220">
        <f>$Q320/IFERROR(VLOOKUP($F320&amp;RIGHT($K320,8),'Master Data'!$O$5:$P$10,2,FALSE),'Master Data'!$P$4)</f>
        <v>2</v>
      </c>
      <c r="S320" s="214">
        <f>VLOOKUP($I320,'Old Pricing - end 26-Jan-2026'!$A:$Q,16,FALSE)</f>
        <v>700</v>
      </c>
      <c r="T320" s="214">
        <f>VLOOKUP(I320,'Old Pricing - end 26-Jan-2026'!$A:$O,15,FALSE)</f>
        <v>7.53</v>
      </c>
      <c r="U320" s="214">
        <f t="shared" si="15"/>
        <v>8003.0999999999995</v>
      </c>
      <c r="V320" s="221">
        <f t="shared" ref="V320:V382" si="16">P320*T320</f>
        <v>8006.1218999999983</v>
      </c>
      <c r="W320" s="218">
        <f>VLOOKUP($I320,'Old Pricing - end 26-Jan-2026'!$A:$R,18,FALSE)</f>
        <v>90</v>
      </c>
    </row>
    <row r="321" spans="1:23" s="226" customFormat="1" ht="15" hidden="1" thickTop="1" x14ac:dyDescent="0.3">
      <c r="A321" s="98">
        <v>24160612</v>
      </c>
      <c r="B321" s="98">
        <v>0</v>
      </c>
      <c r="C321" s="98" t="str">
        <f>VLOOKUP(A321&amp;"-"&amp;B321,'Order Summary'!$D:$E,2,FALSE)</f>
        <v>Telex / Seaway Released</v>
      </c>
      <c r="D321" s="216">
        <f>IF($A321="","",VLOOKUP($A321&amp;"-"&amp;$B321,'Order Summary'!$D:$U,3,FALSE))</f>
        <v>46022</v>
      </c>
      <c r="E321" s="98" t="str">
        <f>VLOOKUP(A321&amp;"-"&amp;B321,'Order Summary'!$D:$G,4,FALSE)</f>
        <v>Yes</v>
      </c>
      <c r="F321" s="98" t="str">
        <f>VLOOKUP($A321,'Order Summary'!$B:$I,8,FALSE)</f>
        <v>Ashburn, GA</v>
      </c>
      <c r="G321" s="216">
        <f>IF($A321="","",VLOOKUP($A321&amp;"-"&amp;$B321,'Order Summary'!$D:$U,18,FALSE))</f>
        <v>46109</v>
      </c>
      <c r="H321" s="98">
        <v>5</v>
      </c>
      <c r="I321" s="98">
        <v>709525</v>
      </c>
      <c r="J321" s="98" t="str">
        <f>VLOOKUP($I321,'Old Pricing - end 26-Jan-2026'!$A:$R,2,FALSE)</f>
        <v>G1S 709525</v>
      </c>
      <c r="K321" s="98" t="str">
        <f>VLOOKUP($I321,'Old Pricing - end 26-Jan-2026'!$A:$R,6,FALSE)&amp;" "&amp;VLOOKUP($I321,'Old Pricing - end 26-Jan-2026'!$A:$R,7,FALSE)&amp;""" x "&amp;VLOOKUP($I321,'Old Pricing - end 26-Jan-2026'!$A:$R,9,FALSE)&amp;""" "&amp;VLOOKUP($I321,'Old Pricing - end 26-Jan-2026'!$A:$R,5,FALSE)</f>
        <v>2MM 49" x 90.5" ACP</v>
      </c>
      <c r="L321" s="98">
        <f>VLOOKUP($I321,'Old Pricing - end 26-Jan-2026'!$A:$K,8,FALSE)</f>
        <v>1245</v>
      </c>
      <c r="M321" s="98">
        <f>VLOOKUP($I321,'Old Pricing - end 26-Jan-2026'!$A:$K,10,FALSE)</f>
        <v>2300</v>
      </c>
      <c r="N321" s="98" t="str">
        <f>VLOOKUP($I321,'Old Pricing - end 26-Jan-2026'!$A:$R,13,FALSE)&amp;" "&amp;VLOOKUP($I321,'Old Pricing - end 26-Jan-2026'!$A:$R,12,FALSE)</f>
        <v>AMC 0103 SILVER FROST</v>
      </c>
      <c r="O321" s="223">
        <v>18.477</v>
      </c>
      <c r="P321" s="98">
        <f>(VLOOKUP($I321,'Old Pricing - end 26-Jan-2026'!$A:$R,8,FALSE)/1000)*(VLOOKUP($I321,'Old Pricing - end 26-Jan-2026'!$A:$R,10,FALSE)/1000)*Q321</f>
        <v>1718.1000000000001</v>
      </c>
      <c r="Q321" s="98">
        <f>ROUND(('Order Details'!$O321*1000)/((VLOOKUP($I321,'Old Pricing - end 26-Jan-2026'!$A:$Q,7,FALSE)/12)*(VLOOKUP($I321,'Old Pricing - end 26-Jan-2026'!$A:$Q,9,FALSE)/12))/5,0)*5</f>
        <v>600</v>
      </c>
      <c r="R321" s="224">
        <f>$Q321/IFERROR(VLOOKUP($F321&amp;RIGHT($K321,8),'Master Data'!$O$5:$P$10,2,FALSE),'Master Data'!$P$4)</f>
        <v>3</v>
      </c>
      <c r="S321" s="215">
        <f>VLOOKUP($I321,'Old Pricing - end 26-Jan-2026'!$A:$Q,16,FALSE)</f>
        <v>700</v>
      </c>
      <c r="T321" s="215">
        <f>VLOOKUP(I321,'Old Pricing - end 26-Jan-2026'!$A:$O,15,FALSE)</f>
        <v>7.53</v>
      </c>
      <c r="U321" s="215">
        <f t="shared" si="15"/>
        <v>12933.9</v>
      </c>
      <c r="V321" s="225">
        <f t="shared" si="16"/>
        <v>12937.293000000001</v>
      </c>
      <c r="W321" s="98">
        <f>VLOOKUP($I321,'Old Pricing - end 26-Jan-2026'!$A:$R,18,FALSE)</f>
        <v>90</v>
      </c>
    </row>
    <row r="322" spans="1:23" s="226" customFormat="1" ht="15" hidden="1" thickTop="1" x14ac:dyDescent="0.3">
      <c r="A322" s="98">
        <v>24160612</v>
      </c>
      <c r="B322" s="98">
        <v>0</v>
      </c>
      <c r="C322" s="98" t="str">
        <f>VLOOKUP(A322&amp;"-"&amp;B322,'Order Summary'!$D:$E,2,FALSE)</f>
        <v>Telex / Seaway Released</v>
      </c>
      <c r="D322" s="216">
        <f>IF($A322="","",VLOOKUP($A322&amp;"-"&amp;$B322,'Order Summary'!$D:$U,3,FALSE))</f>
        <v>46022</v>
      </c>
      <c r="E322" s="98" t="str">
        <f>VLOOKUP(A322&amp;"-"&amp;B322,'Order Summary'!$D:$G,4,FALSE)</f>
        <v>Yes</v>
      </c>
      <c r="F322" s="98" t="str">
        <f>VLOOKUP($A322,'Order Summary'!$B:$I,8,FALSE)</f>
        <v>Ashburn, GA</v>
      </c>
      <c r="G322" s="216">
        <f>IF($A322="","",VLOOKUP($A322&amp;"-"&amp;$B322,'Order Summary'!$D:$U,18,FALSE))</f>
        <v>46109</v>
      </c>
      <c r="H322" s="98">
        <v>6</v>
      </c>
      <c r="I322" s="98">
        <v>694440</v>
      </c>
      <c r="J322" s="98" t="str">
        <f>VLOOKUP($I322,'Old Pricing - end 26-Jan-2026'!$A:$R,2,FALSE)</f>
        <v>G1S 694440</v>
      </c>
      <c r="K322" s="98" t="str">
        <f>VLOOKUP($I322,'Old Pricing - end 26-Jan-2026'!$A:$R,6,FALSE)&amp;" "&amp;VLOOKUP($I322,'Old Pricing - end 26-Jan-2026'!$A:$R,7,FALSE)&amp;""" x "&amp;VLOOKUP($I322,'Old Pricing - end 26-Jan-2026'!$A:$R,9,FALSE)&amp;""" "&amp;VLOOKUP($I322,'Old Pricing - end 26-Jan-2026'!$A:$R,5,FALSE)</f>
        <v>2MM 49" x 96" ACP</v>
      </c>
      <c r="L322" s="98">
        <f>VLOOKUP($I322,'Old Pricing - end 26-Jan-2026'!$A:$K,8,FALSE)</f>
        <v>1245</v>
      </c>
      <c r="M322" s="98">
        <f>VLOOKUP($I322,'Old Pricing - end 26-Jan-2026'!$A:$K,10,FALSE)</f>
        <v>2440</v>
      </c>
      <c r="N322" s="98" t="str">
        <f>VLOOKUP($I322,'Old Pricing - end 26-Jan-2026'!$A:$R,13,FALSE)&amp;" "&amp;VLOOKUP($I322,'Old Pricing - end 26-Jan-2026'!$A:$R,12,FALSE)</f>
        <v>AMC 0103 SILVER FROST</v>
      </c>
      <c r="O322" s="223">
        <v>6.5330000000000004</v>
      </c>
      <c r="P322" s="98">
        <f>(VLOOKUP($I322,'Old Pricing - end 26-Jan-2026'!$A:$R,8,FALSE)/1000)*(VLOOKUP($I322,'Old Pricing - end 26-Jan-2026'!$A:$R,10,FALSE)/1000)*Q322</f>
        <v>607.56000000000006</v>
      </c>
      <c r="Q322" s="98">
        <f>ROUND(('Order Details'!$O322*1000)/((VLOOKUP($I322,'Old Pricing - end 26-Jan-2026'!$A:$Q,7,FALSE)/12)*(VLOOKUP($I322,'Old Pricing - end 26-Jan-2026'!$A:$Q,9,FALSE)/12))/5,0)*5</f>
        <v>200</v>
      </c>
      <c r="R322" s="224">
        <f>$Q322/IFERROR(VLOOKUP($F322&amp;RIGHT($K322,8),'Master Data'!$O$5:$P$10,2,FALSE),'Master Data'!$P$4)</f>
        <v>1</v>
      </c>
      <c r="S322" s="215">
        <f>VLOOKUP($I322,'Old Pricing - end 26-Jan-2026'!$A:$Q,16,FALSE)</f>
        <v>700</v>
      </c>
      <c r="T322" s="215">
        <f>VLOOKUP(I322,'Old Pricing - end 26-Jan-2026'!$A:$O,15,FALSE)</f>
        <v>7.53</v>
      </c>
      <c r="U322" s="215">
        <f t="shared" si="15"/>
        <v>4573.1000000000004</v>
      </c>
      <c r="V322" s="225">
        <f t="shared" si="16"/>
        <v>4574.9268000000002</v>
      </c>
      <c r="W322" s="98">
        <f>VLOOKUP($I322,'Old Pricing - end 26-Jan-2026'!$A:$R,18,FALSE)</f>
        <v>90</v>
      </c>
    </row>
    <row r="323" spans="1:23" s="226" customFormat="1" ht="15" hidden="1" thickTop="1" x14ac:dyDescent="0.3">
      <c r="A323" s="98">
        <v>24160600</v>
      </c>
      <c r="B323" s="98">
        <v>0</v>
      </c>
      <c r="C323" s="98" t="str">
        <f>VLOOKUP(A323&amp;"-"&amp;B323,'Order Summary'!$D:$E,2,FALSE)</f>
        <v>Telex / Seaway Released</v>
      </c>
      <c r="D323" s="216">
        <f>IF($A323="","",VLOOKUP($A323&amp;"-"&amp;$B323,'Order Summary'!$D:$U,3,FALSE))</f>
        <v>46022</v>
      </c>
      <c r="E323" s="98" t="str">
        <f>VLOOKUP(A323&amp;"-"&amp;B323,'Order Summary'!$D:$G,4,FALSE)</f>
        <v>Yes</v>
      </c>
      <c r="F323" s="98" t="str">
        <f>VLOOKUP($A323,'Order Summary'!$B:$I,8,FALSE)</f>
        <v>Ashburn, GA</v>
      </c>
      <c r="G323" s="216">
        <f>IF($A323="","",VLOOKUP($A323&amp;"-"&amp;$B323,'Order Summary'!$D:$U,18,FALSE))</f>
        <v>46109</v>
      </c>
      <c r="H323" s="98">
        <v>1</v>
      </c>
      <c r="I323" s="98">
        <v>714953</v>
      </c>
      <c r="J323" s="98" t="str">
        <f>VLOOKUP($I323,'Old Pricing - end 26-Jan-2026'!$A:$R,2,FALSE)</f>
        <v>G1S 714953</v>
      </c>
      <c r="K323" s="98" t="str">
        <f>VLOOKUP($I323,'Old Pricing - end 26-Jan-2026'!$A:$R,6,FALSE)&amp;" "&amp;VLOOKUP($I323,'Old Pricing - end 26-Jan-2026'!$A:$R,7,FALSE)&amp;""" x "&amp;VLOOKUP($I323,'Old Pricing - end 26-Jan-2026'!$A:$R,9,FALSE)&amp;""" "&amp;VLOOKUP($I323,'Old Pricing - end 26-Jan-2026'!$A:$R,5,FALSE)</f>
        <v>2MM 49" x 84" ACP</v>
      </c>
      <c r="L323" s="98">
        <f>VLOOKUP($I323,'Old Pricing - end 26-Jan-2026'!$A:$K,8,FALSE)</f>
        <v>1245</v>
      </c>
      <c r="M323" s="98">
        <f>VLOOKUP($I323,'Old Pricing - end 26-Jan-2026'!$A:$K,10,FALSE)</f>
        <v>2135</v>
      </c>
      <c r="N323" s="98" t="str">
        <f>VLOOKUP($I323,'Old Pricing - end 26-Jan-2026'!$A:$R,13,FALSE)&amp;" "&amp;VLOOKUP($I323,'Old Pricing - end 26-Jan-2026'!$A:$R,12,FALSE)</f>
        <v>AMC 0086 CHARCOAL METALLIC</v>
      </c>
      <c r="O323" s="223">
        <v>11.433</v>
      </c>
      <c r="P323" s="98">
        <f>(VLOOKUP($I323,'Old Pricing - end 26-Jan-2026'!$A:$R,8,FALSE)/1000)*(VLOOKUP($I323,'Old Pricing - end 26-Jan-2026'!$A:$R,10,FALSE)/1000)*Q323</f>
        <v>1063.2299999999998</v>
      </c>
      <c r="Q323" s="98">
        <f>ROUND(('Order Details'!$O323*1000)/((VLOOKUP($I323,'Old Pricing - end 26-Jan-2026'!$A:$Q,7,FALSE)/12)*(VLOOKUP($I323,'Old Pricing - end 26-Jan-2026'!$A:$Q,9,FALSE)/12))/5,0)*5</f>
        <v>400</v>
      </c>
      <c r="R323" s="224">
        <f>$Q323/IFERROR(VLOOKUP($F323&amp;RIGHT($K323,8),'Master Data'!$O$5:$P$10,2,FALSE),'Master Data'!$P$4)</f>
        <v>2</v>
      </c>
      <c r="S323" s="215">
        <f>VLOOKUP($I323,'Old Pricing - end 26-Jan-2026'!$A:$Q,16,FALSE)</f>
        <v>750</v>
      </c>
      <c r="T323" s="215">
        <f>VLOOKUP(I323,'Old Pricing - end 26-Jan-2026'!$A:$O,15,FALSE)</f>
        <v>8.07</v>
      </c>
      <c r="U323" s="215">
        <f t="shared" si="15"/>
        <v>8574.75</v>
      </c>
      <c r="V323" s="225">
        <f t="shared" si="16"/>
        <v>8580.2660999999989</v>
      </c>
      <c r="W323" s="98">
        <f>VLOOKUP($I323,'Old Pricing - end 26-Jan-2026'!$A:$R,18,FALSE)</f>
        <v>45</v>
      </c>
    </row>
    <row r="324" spans="1:23" s="226" customFormat="1" ht="15" hidden="1" thickTop="1" x14ac:dyDescent="0.3">
      <c r="A324" s="98">
        <v>24160600</v>
      </c>
      <c r="B324" s="98">
        <v>0</v>
      </c>
      <c r="C324" s="98" t="str">
        <f>VLOOKUP(A324&amp;"-"&amp;B324,'Order Summary'!$D:$E,2,FALSE)</f>
        <v>Telex / Seaway Released</v>
      </c>
      <c r="D324" s="216">
        <f>IF($A324="","",VLOOKUP($A324&amp;"-"&amp;$B324,'Order Summary'!$D:$U,3,FALSE))</f>
        <v>46022</v>
      </c>
      <c r="E324" s="98" t="str">
        <f>VLOOKUP(A324&amp;"-"&amp;B324,'Order Summary'!$D:$G,4,FALSE)</f>
        <v>Yes</v>
      </c>
      <c r="F324" s="98" t="str">
        <f>VLOOKUP($A324,'Order Summary'!$B:$I,8,FALSE)</f>
        <v>Ashburn, GA</v>
      </c>
      <c r="G324" s="216">
        <f>IF($A324="","",VLOOKUP($A324&amp;"-"&amp;$B324,'Order Summary'!$D:$U,18,FALSE))</f>
        <v>46109</v>
      </c>
      <c r="H324" s="98">
        <v>2</v>
      </c>
      <c r="I324" s="98">
        <v>709356</v>
      </c>
      <c r="J324" s="98" t="str">
        <f>VLOOKUP($I324,'Old Pricing - end 26-Jan-2026'!$A:$R,2,FALSE)</f>
        <v>G1S 709356</v>
      </c>
      <c r="K324" s="98" t="str">
        <f>VLOOKUP($I324,'Old Pricing - end 26-Jan-2026'!$A:$R,6,FALSE)&amp;" "&amp;VLOOKUP($I324,'Old Pricing - end 26-Jan-2026'!$A:$R,7,FALSE)&amp;""" x "&amp;VLOOKUP($I324,'Old Pricing - end 26-Jan-2026'!$A:$R,9,FALSE)&amp;""" "&amp;VLOOKUP($I324,'Old Pricing - end 26-Jan-2026'!$A:$R,5,FALSE)</f>
        <v>2MM 49" x 90.5" ACP</v>
      </c>
      <c r="L324" s="98">
        <f>VLOOKUP($I324,'Old Pricing - end 26-Jan-2026'!$A:$K,8,FALSE)</f>
        <v>1245</v>
      </c>
      <c r="M324" s="98">
        <f>VLOOKUP($I324,'Old Pricing - end 26-Jan-2026'!$A:$K,10,FALSE)</f>
        <v>2300</v>
      </c>
      <c r="N324" s="98" t="str">
        <f>VLOOKUP($I324,'Old Pricing - end 26-Jan-2026'!$A:$R,13,FALSE)&amp;" "&amp;VLOOKUP($I324,'Old Pricing - end 26-Jan-2026'!$A:$R,12,FALSE)</f>
        <v>AMC 0086 CHARCOAL METALLIC</v>
      </c>
      <c r="O324" s="223">
        <v>24.635999999999999</v>
      </c>
      <c r="P324" s="98">
        <f>(VLOOKUP($I324,'Old Pricing - end 26-Jan-2026'!$A:$R,8,FALSE)/1000)*(VLOOKUP($I324,'Old Pricing - end 26-Jan-2026'!$A:$R,10,FALSE)/1000)*Q324</f>
        <v>2290.8000000000002</v>
      </c>
      <c r="Q324" s="98">
        <f>ROUND(('Order Details'!$O324*1000)/((VLOOKUP($I324,'Old Pricing - end 26-Jan-2026'!$A:$Q,7,FALSE)/12)*(VLOOKUP($I324,'Old Pricing - end 26-Jan-2026'!$A:$Q,9,FALSE)/12))/5,0)*5</f>
        <v>800</v>
      </c>
      <c r="R324" s="224">
        <f>$Q324/IFERROR(VLOOKUP($F324&amp;RIGHT($K324,8),'Master Data'!$O$5:$P$10,2,FALSE),'Master Data'!$P$4)</f>
        <v>4</v>
      </c>
      <c r="S324" s="215">
        <f>VLOOKUP($I324,'Old Pricing - end 26-Jan-2026'!$A:$Q,16,FALSE)</f>
        <v>750</v>
      </c>
      <c r="T324" s="215">
        <f>VLOOKUP(I324,'Old Pricing - end 26-Jan-2026'!$A:$O,15,FALSE)</f>
        <v>8.07</v>
      </c>
      <c r="U324" s="215">
        <f t="shared" si="15"/>
        <v>18477</v>
      </c>
      <c r="V324" s="225">
        <f t="shared" si="16"/>
        <v>18486.756000000001</v>
      </c>
      <c r="W324" s="98">
        <f>VLOOKUP($I324,'Old Pricing - end 26-Jan-2026'!$A:$R,18,FALSE)</f>
        <v>45</v>
      </c>
    </row>
    <row r="325" spans="1:23" s="226" customFormat="1" ht="15" hidden="1" thickTop="1" x14ac:dyDescent="0.3">
      <c r="A325" s="98">
        <v>24160600</v>
      </c>
      <c r="B325" s="98">
        <v>0</v>
      </c>
      <c r="C325" s="98" t="str">
        <f>VLOOKUP(A325&amp;"-"&amp;B325,'Order Summary'!$D:$E,2,FALSE)</f>
        <v>Telex / Seaway Released</v>
      </c>
      <c r="D325" s="216">
        <f>IF($A325="","",VLOOKUP($A325&amp;"-"&amp;$B325,'Order Summary'!$D:$U,3,FALSE))</f>
        <v>46022</v>
      </c>
      <c r="E325" s="98" t="str">
        <f>VLOOKUP(A325&amp;"-"&amp;B325,'Order Summary'!$D:$G,4,FALSE)</f>
        <v>Yes</v>
      </c>
      <c r="F325" s="98" t="str">
        <f>VLOOKUP($A325,'Order Summary'!$B:$I,8,FALSE)</f>
        <v>Ashburn, GA</v>
      </c>
      <c r="G325" s="216">
        <f>IF($A325="","",VLOOKUP($A325&amp;"-"&amp;$B325,'Order Summary'!$D:$U,18,FALSE))</f>
        <v>46109</v>
      </c>
      <c r="H325" s="98">
        <v>3</v>
      </c>
      <c r="I325" s="98">
        <v>694444</v>
      </c>
      <c r="J325" s="98" t="str">
        <f>VLOOKUP($I325,'Old Pricing - end 26-Jan-2026'!$A:$R,2,FALSE)</f>
        <v>G1S 694444</v>
      </c>
      <c r="K325" s="98" t="str">
        <f>VLOOKUP($I325,'Old Pricing - end 26-Jan-2026'!$A:$R,6,FALSE)&amp;" "&amp;VLOOKUP($I325,'Old Pricing - end 26-Jan-2026'!$A:$R,7,FALSE)&amp;""" x "&amp;VLOOKUP($I325,'Old Pricing - end 26-Jan-2026'!$A:$R,9,FALSE)&amp;""" "&amp;VLOOKUP($I325,'Old Pricing - end 26-Jan-2026'!$A:$R,5,FALSE)</f>
        <v>2MM 49" x 96" ACP</v>
      </c>
      <c r="L325" s="98">
        <f>VLOOKUP($I325,'Old Pricing - end 26-Jan-2026'!$A:$K,8,FALSE)</f>
        <v>1245</v>
      </c>
      <c r="M325" s="98">
        <f>VLOOKUP($I325,'Old Pricing - end 26-Jan-2026'!$A:$K,10,FALSE)</f>
        <v>2440</v>
      </c>
      <c r="N325" s="98" t="str">
        <f>VLOOKUP($I325,'Old Pricing - end 26-Jan-2026'!$A:$R,13,FALSE)&amp;" "&amp;VLOOKUP($I325,'Old Pricing - end 26-Jan-2026'!$A:$R,12,FALSE)</f>
        <v>AMC 0086 CHARCOAL METALLIC</v>
      </c>
      <c r="O325" s="223">
        <v>6.5330000000000004</v>
      </c>
      <c r="P325" s="98">
        <f>(VLOOKUP($I325,'Old Pricing - end 26-Jan-2026'!$A:$R,8,FALSE)/1000)*(VLOOKUP($I325,'Old Pricing - end 26-Jan-2026'!$A:$R,10,FALSE)/1000)*Q325</f>
        <v>607.56000000000006</v>
      </c>
      <c r="Q325" s="98">
        <f>ROUND(('Order Details'!$O325*1000)/((VLOOKUP($I325,'Old Pricing - end 26-Jan-2026'!$A:$Q,7,FALSE)/12)*(VLOOKUP($I325,'Old Pricing - end 26-Jan-2026'!$A:$Q,9,FALSE)/12))/5,0)*5</f>
        <v>200</v>
      </c>
      <c r="R325" s="224">
        <f>$Q325/IFERROR(VLOOKUP($F325&amp;RIGHT($K325,8),'Master Data'!$O$5:$P$10,2,FALSE),'Master Data'!$P$4)</f>
        <v>1</v>
      </c>
      <c r="S325" s="215">
        <f>VLOOKUP($I325,'Old Pricing - end 26-Jan-2026'!$A:$Q,16,FALSE)</f>
        <v>750</v>
      </c>
      <c r="T325" s="215">
        <f>VLOOKUP(I325,'Old Pricing - end 26-Jan-2026'!$A:$O,15,FALSE)</f>
        <v>8.07</v>
      </c>
      <c r="U325" s="215">
        <f t="shared" si="15"/>
        <v>4899.75</v>
      </c>
      <c r="V325" s="225">
        <f t="shared" si="16"/>
        <v>4903.0092000000004</v>
      </c>
      <c r="W325" s="98">
        <f>VLOOKUP($I325,'Old Pricing - end 26-Jan-2026'!$A:$R,18,FALSE)</f>
        <v>45</v>
      </c>
    </row>
    <row r="326" spans="1:23" s="226" customFormat="1" ht="15" hidden="1" thickTop="1" x14ac:dyDescent="0.3">
      <c r="A326" s="98">
        <v>24160600</v>
      </c>
      <c r="B326" s="98">
        <v>0</v>
      </c>
      <c r="C326" s="98" t="str">
        <f>VLOOKUP(A326&amp;"-"&amp;B326,'Order Summary'!$D:$E,2,FALSE)</f>
        <v>Telex / Seaway Released</v>
      </c>
      <c r="D326" s="216">
        <f>IF($A326="","",VLOOKUP($A326&amp;"-"&amp;$B326,'Order Summary'!$D:$U,3,FALSE))</f>
        <v>46022</v>
      </c>
      <c r="E326" s="98" t="str">
        <f>VLOOKUP(A326&amp;"-"&amp;B326,'Order Summary'!$D:$G,4,FALSE)</f>
        <v>Yes</v>
      </c>
      <c r="F326" s="98" t="str">
        <f>VLOOKUP($A326,'Order Summary'!$B:$I,8,FALSE)</f>
        <v>Ashburn, GA</v>
      </c>
      <c r="G326" s="216">
        <f>IF($A326="","",VLOOKUP($A326&amp;"-"&amp;$B326,'Order Summary'!$D:$U,18,FALSE))</f>
        <v>46109</v>
      </c>
      <c r="H326" s="98">
        <v>4</v>
      </c>
      <c r="I326" s="98">
        <v>714952</v>
      </c>
      <c r="J326" s="98" t="str">
        <f>VLOOKUP($I326,'Old Pricing - end 26-Jan-2026'!$A:$R,2,FALSE)</f>
        <v>G1S 714952</v>
      </c>
      <c r="K326" s="98" t="str">
        <f>VLOOKUP($I326,'Old Pricing - end 26-Jan-2026'!$A:$R,6,FALSE)&amp;" "&amp;VLOOKUP($I326,'Old Pricing - end 26-Jan-2026'!$A:$R,7,FALSE)&amp;""" x "&amp;VLOOKUP($I326,'Old Pricing - end 26-Jan-2026'!$A:$R,9,FALSE)&amp;""" "&amp;VLOOKUP($I326,'Old Pricing - end 26-Jan-2026'!$A:$R,5,FALSE)</f>
        <v>2MM 49" x 84" ACP</v>
      </c>
      <c r="L326" s="98">
        <f>VLOOKUP($I326,'Old Pricing - end 26-Jan-2026'!$A:$K,8,FALSE)</f>
        <v>1245</v>
      </c>
      <c r="M326" s="98">
        <f>VLOOKUP($I326,'Old Pricing - end 26-Jan-2026'!$A:$K,10,FALSE)</f>
        <v>2135</v>
      </c>
      <c r="N326" s="98" t="str">
        <f>VLOOKUP($I326,'Old Pricing - end 26-Jan-2026'!$A:$R,13,FALSE)&amp;" "&amp;VLOOKUP($I326,'Old Pricing - end 26-Jan-2026'!$A:$R,12,FALSE)</f>
        <v>AMC 0103 SILVER FROST</v>
      </c>
      <c r="O326" s="223">
        <v>11.433</v>
      </c>
      <c r="P326" s="98">
        <f>(VLOOKUP($I326,'Old Pricing - end 26-Jan-2026'!$A:$R,8,FALSE)/1000)*(VLOOKUP($I326,'Old Pricing - end 26-Jan-2026'!$A:$R,10,FALSE)/1000)*Q326</f>
        <v>1063.2299999999998</v>
      </c>
      <c r="Q326" s="98">
        <f>ROUND(('Order Details'!$O326*1000)/((VLOOKUP($I326,'Old Pricing - end 26-Jan-2026'!$A:$Q,7,FALSE)/12)*(VLOOKUP($I326,'Old Pricing - end 26-Jan-2026'!$A:$Q,9,FALSE)/12))/5,0)*5</f>
        <v>400</v>
      </c>
      <c r="R326" s="224">
        <f>$Q326/IFERROR(VLOOKUP($F326&amp;RIGHT($K326,8),'Master Data'!$O$5:$P$10,2,FALSE),'Master Data'!$P$4)</f>
        <v>2</v>
      </c>
      <c r="S326" s="215">
        <f>VLOOKUP($I326,'Old Pricing - end 26-Jan-2026'!$A:$Q,16,FALSE)</f>
        <v>700</v>
      </c>
      <c r="T326" s="215">
        <f>VLOOKUP(I326,'Old Pricing - end 26-Jan-2026'!$A:$O,15,FALSE)</f>
        <v>7.53</v>
      </c>
      <c r="U326" s="215">
        <f t="shared" si="15"/>
        <v>8003.0999999999995</v>
      </c>
      <c r="V326" s="225">
        <f t="shared" si="16"/>
        <v>8006.1218999999983</v>
      </c>
      <c r="W326" s="98">
        <f>VLOOKUP($I326,'Old Pricing - end 26-Jan-2026'!$A:$R,18,FALSE)</f>
        <v>90</v>
      </c>
    </row>
    <row r="327" spans="1:23" ht="15" hidden="1" thickTop="1" x14ac:dyDescent="0.3">
      <c r="A327" s="55">
        <v>24160600</v>
      </c>
      <c r="B327" s="55">
        <v>0</v>
      </c>
      <c r="C327" s="55" t="str">
        <f>VLOOKUP(A327&amp;"-"&amp;B327,'Order Summary'!$D:$E,2,FALSE)</f>
        <v>Telex / Seaway Released</v>
      </c>
      <c r="D327" s="216">
        <f>IF($A327="","",VLOOKUP($A327&amp;"-"&amp;$B327,'Order Summary'!$D:$U,3,FALSE))</f>
        <v>46022</v>
      </c>
      <c r="E327" s="55" t="str">
        <f>VLOOKUP(A327&amp;"-"&amp;B327,'Order Summary'!$D:$G,4,FALSE)</f>
        <v>Yes</v>
      </c>
      <c r="F327" s="55" t="str">
        <f>VLOOKUP($A327,'Order Summary'!$B:$I,8,FALSE)</f>
        <v>Ashburn, GA</v>
      </c>
      <c r="G327" s="216">
        <f>IF($A327="","",VLOOKUP($A327&amp;"-"&amp;$B327,'Order Summary'!$D:$U,18,FALSE))</f>
        <v>46109</v>
      </c>
      <c r="H327" s="55">
        <v>5</v>
      </c>
      <c r="I327" s="55">
        <v>709525</v>
      </c>
      <c r="J327" s="55" t="str">
        <f>VLOOKUP($I327,'Old Pricing - end 26-Jan-2026'!$A:$R,2,FALSE)</f>
        <v>G1S 709525</v>
      </c>
      <c r="K327" s="55" t="str">
        <f>VLOOKUP($I327,'Old Pricing - end 26-Jan-2026'!$A:$R,6,FALSE)&amp;" "&amp;VLOOKUP($I327,'Old Pricing - end 26-Jan-2026'!$A:$R,7,FALSE)&amp;""" x "&amp;VLOOKUP($I327,'Old Pricing - end 26-Jan-2026'!$A:$R,9,FALSE)&amp;""" "&amp;VLOOKUP($I327,'Old Pricing - end 26-Jan-2026'!$A:$R,5,FALSE)</f>
        <v>2MM 49" x 90.5" ACP</v>
      </c>
      <c r="L327" s="55">
        <f>VLOOKUP($I327,'Old Pricing - end 26-Jan-2026'!$A:$K,8,FALSE)</f>
        <v>1245</v>
      </c>
      <c r="M327" s="55">
        <f>VLOOKUP($I327,'Old Pricing - end 26-Jan-2026'!$A:$K,10,FALSE)</f>
        <v>2300</v>
      </c>
      <c r="N327" s="55" t="str">
        <f>VLOOKUP($I327,'Old Pricing - end 26-Jan-2026'!$A:$R,13,FALSE)&amp;" "&amp;VLOOKUP($I327,'Old Pricing - end 26-Jan-2026'!$A:$R,12,FALSE)</f>
        <v>AMC 0103 SILVER FROST</v>
      </c>
      <c r="O327" s="56">
        <v>18.477</v>
      </c>
      <c r="P327" s="55">
        <f>(VLOOKUP($I327,'Old Pricing - end 26-Jan-2026'!$A:$R,8,FALSE)/1000)*(VLOOKUP($I327,'Old Pricing - end 26-Jan-2026'!$A:$R,10,FALSE)/1000)*Q327</f>
        <v>1718.1000000000001</v>
      </c>
      <c r="Q327" s="55">
        <f>ROUND(('Order Details'!$O327*1000)/((VLOOKUP($I327,'Old Pricing - end 26-Jan-2026'!$A:$Q,7,FALSE)/12)*(VLOOKUP($I327,'Old Pricing - end 26-Jan-2026'!$A:$Q,9,FALSE)/12))/5,0)*5</f>
        <v>600</v>
      </c>
      <c r="R327" s="71">
        <f>$Q327/IFERROR(VLOOKUP($F327&amp;RIGHT($K327,8),'Master Data'!$O$5:$P$10,2,FALSE),'Master Data'!$P$4)</f>
        <v>3</v>
      </c>
      <c r="S327" s="123">
        <f>VLOOKUP($I327,'Old Pricing - end 26-Jan-2026'!$A:$Q,16,FALSE)</f>
        <v>700</v>
      </c>
      <c r="T327" s="123">
        <f>VLOOKUP(I327,'Old Pricing - end 26-Jan-2026'!$A:$O,15,FALSE)</f>
        <v>7.53</v>
      </c>
      <c r="U327" s="123">
        <f t="shared" si="15"/>
        <v>12933.9</v>
      </c>
      <c r="V327" s="111">
        <f t="shared" si="16"/>
        <v>12937.293000000001</v>
      </c>
      <c r="W327" s="55">
        <f>VLOOKUP($I327,'Old Pricing - end 26-Jan-2026'!$A:$R,18,FALSE)</f>
        <v>90</v>
      </c>
    </row>
    <row r="328" spans="1:23" ht="15" hidden="1" thickTop="1" x14ac:dyDescent="0.3">
      <c r="A328" s="55">
        <v>24160600</v>
      </c>
      <c r="B328" s="55">
        <v>0</v>
      </c>
      <c r="C328" s="55" t="str">
        <f>VLOOKUP(A328&amp;"-"&amp;B328,'Order Summary'!$D:$E,2,FALSE)</f>
        <v>Telex / Seaway Released</v>
      </c>
      <c r="D328" s="216">
        <f>IF($A328="","",VLOOKUP($A328&amp;"-"&amp;$B328,'Order Summary'!$D:$U,3,FALSE))</f>
        <v>46022</v>
      </c>
      <c r="E328" s="55" t="str">
        <f>VLOOKUP(A328&amp;"-"&amp;B328,'Order Summary'!$D:$G,4,FALSE)</f>
        <v>Yes</v>
      </c>
      <c r="F328" s="55" t="str">
        <f>VLOOKUP($A328,'Order Summary'!$B:$I,8,FALSE)</f>
        <v>Ashburn, GA</v>
      </c>
      <c r="G328" s="216">
        <f>IF($A328="","",VLOOKUP($A328&amp;"-"&amp;$B328,'Order Summary'!$D:$U,18,FALSE))</f>
        <v>46109</v>
      </c>
      <c r="H328" s="55">
        <v>6</v>
      </c>
      <c r="I328" s="55">
        <v>694440</v>
      </c>
      <c r="J328" s="55" t="str">
        <f>VLOOKUP($I328,'Old Pricing - end 26-Jan-2026'!$A:$R,2,FALSE)</f>
        <v>G1S 694440</v>
      </c>
      <c r="K328" s="55" t="str">
        <f>VLOOKUP($I328,'Old Pricing - end 26-Jan-2026'!$A:$R,6,FALSE)&amp;" "&amp;VLOOKUP($I328,'Old Pricing - end 26-Jan-2026'!$A:$R,7,FALSE)&amp;""" x "&amp;VLOOKUP($I328,'Old Pricing - end 26-Jan-2026'!$A:$R,9,FALSE)&amp;""" "&amp;VLOOKUP($I328,'Old Pricing - end 26-Jan-2026'!$A:$R,5,FALSE)</f>
        <v>2MM 49" x 96" ACP</v>
      </c>
      <c r="L328" s="55">
        <f>VLOOKUP($I328,'Old Pricing - end 26-Jan-2026'!$A:$K,8,FALSE)</f>
        <v>1245</v>
      </c>
      <c r="M328" s="55">
        <f>VLOOKUP($I328,'Old Pricing - end 26-Jan-2026'!$A:$K,10,FALSE)</f>
        <v>2440</v>
      </c>
      <c r="N328" s="55" t="str">
        <f>VLOOKUP($I328,'Old Pricing - end 26-Jan-2026'!$A:$R,13,FALSE)&amp;" "&amp;VLOOKUP($I328,'Old Pricing - end 26-Jan-2026'!$A:$R,12,FALSE)</f>
        <v>AMC 0103 SILVER FROST</v>
      </c>
      <c r="O328" s="56">
        <v>6.5330000000000004</v>
      </c>
      <c r="P328" s="55">
        <f>(VLOOKUP($I328,'Old Pricing - end 26-Jan-2026'!$A:$R,8,FALSE)/1000)*(VLOOKUP($I328,'Old Pricing - end 26-Jan-2026'!$A:$R,10,FALSE)/1000)*Q328</f>
        <v>607.56000000000006</v>
      </c>
      <c r="Q328" s="55">
        <f>ROUND(('Order Details'!$O328*1000)/((VLOOKUP($I328,'Old Pricing - end 26-Jan-2026'!$A:$Q,7,FALSE)/12)*(VLOOKUP($I328,'Old Pricing - end 26-Jan-2026'!$A:$Q,9,FALSE)/12))/5,0)*5</f>
        <v>200</v>
      </c>
      <c r="R328" s="71">
        <f>$Q328/IFERROR(VLOOKUP($F328&amp;RIGHT($K328,8),'Master Data'!$O$5:$P$10,2,FALSE),'Master Data'!$P$4)</f>
        <v>1</v>
      </c>
      <c r="S328" s="123">
        <f>VLOOKUP($I328,'Old Pricing - end 26-Jan-2026'!$A:$Q,16,FALSE)</f>
        <v>700</v>
      </c>
      <c r="T328" s="123">
        <f>VLOOKUP(I328,'Old Pricing - end 26-Jan-2026'!$A:$O,15,FALSE)</f>
        <v>7.53</v>
      </c>
      <c r="U328" s="123">
        <f t="shared" si="15"/>
        <v>4573.1000000000004</v>
      </c>
      <c r="V328" s="111">
        <f t="shared" si="16"/>
        <v>4574.9268000000002</v>
      </c>
      <c r="W328" s="55">
        <f>VLOOKUP($I328,'Old Pricing - end 26-Jan-2026'!$A:$R,18,FALSE)</f>
        <v>90</v>
      </c>
    </row>
    <row r="329" spans="1:23" ht="15" hidden="1" thickTop="1" x14ac:dyDescent="0.3">
      <c r="A329" s="55">
        <v>52954705</v>
      </c>
      <c r="B329" s="55">
        <v>1</v>
      </c>
      <c r="C329" s="55" t="str">
        <f>VLOOKUP(A329&amp;"-"&amp;B329,'Order Summary'!$D:$E,2,FALSE)</f>
        <v>Telex / Seaway Released</v>
      </c>
      <c r="D329" s="216">
        <f>IF($A329="","",VLOOKUP($A329&amp;"-"&amp;$B329,'Order Summary'!$D:$U,3,FALSE))</f>
        <v>45961</v>
      </c>
      <c r="E329" s="55" t="str">
        <f>VLOOKUP(A329&amp;"-"&amp;B329,'Order Summary'!$D:$G,4,FALSE)</f>
        <v>Yes</v>
      </c>
      <c r="F329" s="55" t="str">
        <f>VLOOKUP($A329,'Order Summary'!$B:$I,8,FALSE)</f>
        <v>Hillsboro, TX</v>
      </c>
      <c r="G329" s="216">
        <f>IF($A329="","",VLOOKUP($A329&amp;"-"&amp;$B329,'Order Summary'!$D:$U,18,FALSE))</f>
        <v>46079</v>
      </c>
      <c r="H329" s="55">
        <v>1</v>
      </c>
      <c r="I329" s="55">
        <v>694432</v>
      </c>
      <c r="J329" s="55" t="str">
        <f>VLOOKUP($I329,'Old Pricing - end 26-Jan-2026'!$A:$R,2,FALSE)</f>
        <v>G1S 694432</v>
      </c>
      <c r="K329" s="55" t="str">
        <f>VLOOKUP($I329,'Old Pricing - end 26-Jan-2026'!$A:$R,6,FALSE)&amp;" "&amp;VLOOKUP($I329,'Old Pricing - end 26-Jan-2026'!$A:$R,7,FALSE)&amp;""" x "&amp;VLOOKUP($I329,'Old Pricing - end 26-Jan-2026'!$A:$R,9,FALSE)&amp;""" "&amp;VLOOKUP($I329,'Old Pricing - end 26-Jan-2026'!$A:$R,5,FALSE)</f>
        <v>2MM 49" x 96" ACP</v>
      </c>
      <c r="L329" s="55">
        <f>VLOOKUP($I329,'Old Pricing - end 26-Jan-2026'!$A:$K,8,FALSE)</f>
        <v>1245</v>
      </c>
      <c r="M329" s="55">
        <f>VLOOKUP($I329,'Old Pricing - end 26-Jan-2026'!$A:$K,10,FALSE)</f>
        <v>2440</v>
      </c>
      <c r="N329" s="55" t="str">
        <f>VLOOKUP($I329,'Old Pricing - end 26-Jan-2026'!$A:$R,13,FALSE)&amp;" "&amp;VLOOKUP($I329,'Old Pricing - end 26-Jan-2026'!$A:$R,12,FALSE)</f>
        <v>ASC 0096 GLOSSY BLACK</v>
      </c>
      <c r="O329" s="56">
        <v>6.5330000000000004</v>
      </c>
      <c r="P329" s="55">
        <f>(VLOOKUP($I329,'Old Pricing - end 26-Jan-2026'!$A:$R,8,FALSE)/1000)*(VLOOKUP($I329,'Old Pricing - end 26-Jan-2026'!$A:$R,10,FALSE)/1000)*Q329</f>
        <v>607.56000000000006</v>
      </c>
      <c r="Q329" s="55">
        <f>ROUND(('Order Details'!$O329*1000)/((VLOOKUP($I329,'Old Pricing - end 26-Jan-2026'!$A:$Q,7,FALSE)/12)*(VLOOKUP($I329,'Old Pricing - end 26-Jan-2026'!$A:$Q,9,FALSE)/12))/5,0)*5</f>
        <v>200</v>
      </c>
      <c r="R329" s="71">
        <f>$Q329/IFERROR(VLOOKUP($F329&amp;RIGHT($K329,8),'Master Data'!$O$5:$P$10,2,FALSE),'Master Data'!$P$4)</f>
        <v>1</v>
      </c>
      <c r="S329" s="123">
        <f>VLOOKUP($I329,'Old Pricing - end 26-Jan-2026'!$A:$Q,16,FALSE)</f>
        <v>700</v>
      </c>
      <c r="T329" s="123">
        <f>VLOOKUP(I329,'Old Pricing - end 26-Jan-2026'!$A:$O,15,FALSE)</f>
        <v>7.53</v>
      </c>
      <c r="U329" s="123">
        <f t="shared" si="15"/>
        <v>4573.1000000000004</v>
      </c>
      <c r="V329" s="111">
        <f t="shared" si="16"/>
        <v>4574.9268000000002</v>
      </c>
      <c r="W329" s="55">
        <f>VLOOKUP($I329,'Old Pricing - end 26-Jan-2026'!$A:$R,18,FALSE)</f>
        <v>45</v>
      </c>
    </row>
    <row r="330" spans="1:23" ht="15" hidden="1" thickTop="1" x14ac:dyDescent="0.3">
      <c r="A330" s="55">
        <v>52954705</v>
      </c>
      <c r="B330" s="55">
        <v>1</v>
      </c>
      <c r="C330" s="55" t="str">
        <f>VLOOKUP(A330&amp;"-"&amp;B330,'Order Summary'!$D:$E,2,FALSE)</f>
        <v>Telex / Seaway Released</v>
      </c>
      <c r="D330" s="216">
        <f>IF($A330="","",VLOOKUP($A330&amp;"-"&amp;$B330,'Order Summary'!$D:$U,3,FALSE))</f>
        <v>45961</v>
      </c>
      <c r="E330" s="55" t="str">
        <f>VLOOKUP(A330&amp;"-"&amp;B330,'Order Summary'!$D:$G,4,FALSE)</f>
        <v>Yes</v>
      </c>
      <c r="F330" s="55" t="str">
        <f>VLOOKUP($A330,'Order Summary'!$B:$I,8,FALSE)</f>
        <v>Hillsboro, TX</v>
      </c>
      <c r="G330" s="216">
        <f>IF($A330="","",VLOOKUP($A330&amp;"-"&amp;$B330,'Order Summary'!$D:$U,18,FALSE))</f>
        <v>46079</v>
      </c>
      <c r="H330" s="55">
        <v>2</v>
      </c>
      <c r="I330" s="55">
        <v>694433</v>
      </c>
      <c r="J330" s="55" t="str">
        <f>VLOOKUP($I330,'Old Pricing - end 26-Jan-2026'!$A:$R,2,FALSE)</f>
        <v>G1S 694433</v>
      </c>
      <c r="K330" s="55" t="str">
        <f>VLOOKUP($I330,'Old Pricing - end 26-Jan-2026'!$A:$R,6,FALSE)&amp;" "&amp;VLOOKUP($I330,'Old Pricing - end 26-Jan-2026'!$A:$R,7,FALSE)&amp;""" x "&amp;VLOOKUP($I330,'Old Pricing - end 26-Jan-2026'!$A:$R,9,FALSE)&amp;""" "&amp;VLOOKUP($I330,'Old Pricing - end 26-Jan-2026'!$A:$R,5,FALSE)</f>
        <v>2MM 49" x 108" ACP</v>
      </c>
      <c r="L330" s="55">
        <f>VLOOKUP($I330,'Old Pricing - end 26-Jan-2026'!$A:$K,8,FALSE)</f>
        <v>1245</v>
      </c>
      <c r="M330" s="55">
        <f>VLOOKUP($I330,'Old Pricing - end 26-Jan-2026'!$A:$K,10,FALSE)</f>
        <v>2745</v>
      </c>
      <c r="N330" s="55" t="str">
        <f>VLOOKUP($I330,'Old Pricing - end 26-Jan-2026'!$A:$R,13,FALSE)&amp;" "&amp;VLOOKUP($I330,'Old Pricing - end 26-Jan-2026'!$A:$R,12,FALSE)</f>
        <v>ASC 0096 GLOSSY BLACK</v>
      </c>
      <c r="O330" s="56">
        <v>5.5129999999999999</v>
      </c>
      <c r="P330" s="55">
        <f>(VLOOKUP($I330,'Old Pricing - end 26-Jan-2026'!$A:$R,8,FALSE)/1000)*(VLOOKUP($I330,'Old Pricing - end 26-Jan-2026'!$A:$R,10,FALSE)/1000)*Q330</f>
        <v>512.62875000000008</v>
      </c>
      <c r="Q330" s="55">
        <f>ROUND(('Order Details'!$O330*1000)/((VLOOKUP($I330,'Old Pricing - end 26-Jan-2026'!$A:$Q,7,FALSE)/12)*(VLOOKUP($I330,'Old Pricing - end 26-Jan-2026'!$A:$Q,9,FALSE)/12))/5,0)*5</f>
        <v>150</v>
      </c>
      <c r="R330" s="71">
        <f>Q330/150</f>
        <v>1</v>
      </c>
      <c r="S330" s="123">
        <f>VLOOKUP($I330,'Old Pricing - end 26-Jan-2026'!$A:$Q,16,FALSE)</f>
        <v>700</v>
      </c>
      <c r="T330" s="123">
        <f>VLOOKUP(I330,'Old Pricing - end 26-Jan-2026'!$A:$O,15,FALSE)</f>
        <v>7.53</v>
      </c>
      <c r="U330" s="123">
        <f t="shared" si="15"/>
        <v>3859.1</v>
      </c>
      <c r="V330" s="111">
        <f t="shared" si="16"/>
        <v>3860.0944875000009</v>
      </c>
      <c r="W330" s="55">
        <f>VLOOKUP($I330,'Old Pricing - end 26-Jan-2026'!$A:$R,18,FALSE)</f>
        <v>45</v>
      </c>
    </row>
    <row r="331" spans="1:23" ht="15" hidden="1" thickTop="1" x14ac:dyDescent="0.3">
      <c r="A331" s="55">
        <v>52954705</v>
      </c>
      <c r="B331" s="55">
        <v>1</v>
      </c>
      <c r="C331" s="55" t="str">
        <f>VLOOKUP(A331&amp;"-"&amp;B331,'Order Summary'!$D:$E,2,FALSE)</f>
        <v>Telex / Seaway Released</v>
      </c>
      <c r="D331" s="216">
        <f>IF($A331="","",VLOOKUP($A331&amp;"-"&amp;$B331,'Order Summary'!$D:$U,3,FALSE))</f>
        <v>45961</v>
      </c>
      <c r="E331" s="55" t="str">
        <f>VLOOKUP(A331&amp;"-"&amp;B331,'Order Summary'!$D:$G,4,FALSE)</f>
        <v>Yes</v>
      </c>
      <c r="F331" s="55" t="str">
        <f>VLOOKUP($A331,'Order Summary'!$B:$I,8,FALSE)</f>
        <v>Hillsboro, TX</v>
      </c>
      <c r="G331" s="216">
        <f>IF($A331="","",VLOOKUP($A331&amp;"-"&amp;$B331,'Order Summary'!$D:$U,18,FALSE))</f>
        <v>46079</v>
      </c>
      <c r="H331" s="55">
        <v>3</v>
      </c>
      <c r="I331" s="55">
        <v>694436</v>
      </c>
      <c r="J331" s="55" t="str">
        <f>VLOOKUP($I331,'Old Pricing - end 26-Jan-2026'!$A:$R,2,FALSE)</f>
        <v>G1S 694436</v>
      </c>
      <c r="K331" s="55" t="str">
        <f>VLOOKUP($I331,'Old Pricing - end 26-Jan-2026'!$A:$R,6,FALSE)&amp;" "&amp;VLOOKUP($I331,'Old Pricing - end 26-Jan-2026'!$A:$R,7,FALSE)&amp;""" x "&amp;VLOOKUP($I331,'Old Pricing - end 26-Jan-2026'!$A:$R,9,FALSE)&amp;""" "&amp;VLOOKUP($I331,'Old Pricing - end 26-Jan-2026'!$A:$R,5,FALSE)</f>
        <v>2MM 49" x 96" ACP</v>
      </c>
      <c r="L331" s="55">
        <f>VLOOKUP($I331,'Old Pricing - end 26-Jan-2026'!$A:$K,8,FALSE)</f>
        <v>1245</v>
      </c>
      <c r="M331" s="55">
        <f>VLOOKUP($I331,'Old Pricing - end 26-Jan-2026'!$A:$K,10,FALSE)</f>
        <v>2440</v>
      </c>
      <c r="N331" s="55" t="str">
        <f>VLOOKUP($I331,'Old Pricing - end 26-Jan-2026'!$A:$R,13,FALSE)&amp;" "&amp;VLOOKUP($I331,'Old Pricing - end 26-Jan-2026'!$A:$R,12,FALSE)</f>
        <v>ASC 0069 GLOSSY WHITE</v>
      </c>
      <c r="O331" s="56">
        <v>6.5330000000000004</v>
      </c>
      <c r="P331" s="55">
        <f>(VLOOKUP($I331,'Old Pricing - end 26-Jan-2026'!$A:$R,8,FALSE)/1000)*(VLOOKUP($I331,'Old Pricing - end 26-Jan-2026'!$A:$R,10,FALSE)/1000)*Q331</f>
        <v>607.56000000000006</v>
      </c>
      <c r="Q331" s="55">
        <f>ROUND(('Order Details'!$O331*1000)/((VLOOKUP($I331,'Old Pricing - end 26-Jan-2026'!$A:$Q,7,FALSE)/12)*(VLOOKUP($I331,'Old Pricing - end 26-Jan-2026'!$A:$Q,9,FALSE)/12))/5,0)*5</f>
        <v>200</v>
      </c>
      <c r="R331" s="71">
        <f>$Q331/IFERROR(VLOOKUP($F331&amp;RIGHT($K331,8),'Master Data'!$O$5:$P$10,2,FALSE),'Master Data'!$P$4)</f>
        <v>1</v>
      </c>
      <c r="S331" s="123">
        <f>VLOOKUP($I331,'Old Pricing - end 26-Jan-2026'!$A:$Q,16,FALSE)</f>
        <v>700</v>
      </c>
      <c r="T331" s="123">
        <f>VLOOKUP(I331,'Old Pricing - end 26-Jan-2026'!$A:$O,15,FALSE)</f>
        <v>7.53</v>
      </c>
      <c r="U331" s="123">
        <f t="shared" si="15"/>
        <v>4573.1000000000004</v>
      </c>
      <c r="V331" s="111">
        <f t="shared" si="16"/>
        <v>4574.9268000000002</v>
      </c>
      <c r="W331" s="55">
        <f>VLOOKUP($I331,'Old Pricing - end 26-Jan-2026'!$A:$R,18,FALSE)</f>
        <v>45</v>
      </c>
    </row>
    <row r="332" spans="1:23" ht="15" hidden="1" thickTop="1" x14ac:dyDescent="0.3">
      <c r="A332" s="55">
        <v>52954705</v>
      </c>
      <c r="B332" s="55">
        <v>1</v>
      </c>
      <c r="C332" s="55" t="str">
        <f>VLOOKUP(A332&amp;"-"&amp;B332,'Order Summary'!$D:$E,2,FALSE)</f>
        <v>Telex / Seaway Released</v>
      </c>
      <c r="D332" s="216">
        <f>IF($A332="","",VLOOKUP($A332&amp;"-"&amp;$B332,'Order Summary'!$D:$U,3,FALSE))</f>
        <v>45961</v>
      </c>
      <c r="E332" s="55" t="str">
        <f>VLOOKUP(A332&amp;"-"&amp;B332,'Order Summary'!$D:$G,4,FALSE)</f>
        <v>Yes</v>
      </c>
      <c r="F332" s="55" t="str">
        <f>VLOOKUP($A332,'Order Summary'!$B:$I,8,FALSE)</f>
        <v>Hillsboro, TX</v>
      </c>
      <c r="G332" s="216">
        <f>IF($A332="","",VLOOKUP($A332&amp;"-"&amp;$B332,'Order Summary'!$D:$U,18,FALSE))</f>
        <v>46079</v>
      </c>
      <c r="H332" s="55">
        <v>4</v>
      </c>
      <c r="I332" s="55">
        <v>694437</v>
      </c>
      <c r="J332" s="55" t="str">
        <f>VLOOKUP($I332,'Old Pricing - end 26-Jan-2026'!$A:$R,2,FALSE)</f>
        <v>G1S 694437</v>
      </c>
      <c r="K332" s="55" t="str">
        <f>VLOOKUP($I332,'Old Pricing - end 26-Jan-2026'!$A:$R,6,FALSE)&amp;" "&amp;VLOOKUP($I332,'Old Pricing - end 26-Jan-2026'!$A:$R,7,FALSE)&amp;""" x "&amp;VLOOKUP($I332,'Old Pricing - end 26-Jan-2026'!$A:$R,9,FALSE)&amp;""" "&amp;VLOOKUP($I332,'Old Pricing - end 26-Jan-2026'!$A:$R,5,FALSE)</f>
        <v>2MM 49" x 108" ACP</v>
      </c>
      <c r="L332" s="55">
        <f>VLOOKUP($I332,'Old Pricing - end 26-Jan-2026'!$A:$K,8,FALSE)</f>
        <v>1245</v>
      </c>
      <c r="M332" s="55">
        <f>VLOOKUP($I332,'Old Pricing - end 26-Jan-2026'!$A:$K,10,FALSE)</f>
        <v>2745</v>
      </c>
      <c r="N332" s="55" t="str">
        <f>VLOOKUP($I332,'Old Pricing - end 26-Jan-2026'!$A:$R,13,FALSE)&amp;" "&amp;VLOOKUP($I332,'Old Pricing - end 26-Jan-2026'!$A:$R,12,FALSE)</f>
        <v>ASC 0069 GLOSSY WHITE</v>
      </c>
      <c r="O332" s="56">
        <v>11.025</v>
      </c>
      <c r="P332" s="55">
        <f>(VLOOKUP($I332,'Old Pricing - end 26-Jan-2026'!$A:$R,8,FALSE)/1000)*(VLOOKUP($I332,'Old Pricing - end 26-Jan-2026'!$A:$R,10,FALSE)/1000)*Q332</f>
        <v>1025.2575000000002</v>
      </c>
      <c r="Q332" s="55">
        <f>ROUND(('Order Details'!$O332*1000)/((VLOOKUP($I332,'Old Pricing - end 26-Jan-2026'!$A:$Q,7,FALSE)/12)*(VLOOKUP($I332,'Old Pricing - end 26-Jan-2026'!$A:$Q,9,FALSE)/12))/5,0)*5</f>
        <v>300</v>
      </c>
      <c r="R332" s="71">
        <f t="shared" ref="R332:R333" si="17">Q332/150</f>
        <v>2</v>
      </c>
      <c r="S332" s="123">
        <f>VLOOKUP($I332,'Old Pricing - end 26-Jan-2026'!$A:$Q,16,FALSE)</f>
        <v>700</v>
      </c>
      <c r="T332" s="123">
        <f>VLOOKUP(I332,'Old Pricing - end 26-Jan-2026'!$A:$O,15,FALSE)</f>
        <v>7.53</v>
      </c>
      <c r="U332" s="123">
        <f t="shared" si="15"/>
        <v>7717.5</v>
      </c>
      <c r="V332" s="111">
        <f t="shared" si="16"/>
        <v>7720.1889750000018</v>
      </c>
      <c r="W332" s="55">
        <f>VLOOKUP($I332,'Old Pricing - end 26-Jan-2026'!$A:$R,18,FALSE)</f>
        <v>45</v>
      </c>
    </row>
    <row r="333" spans="1:23" ht="15" hidden="1" thickTop="1" x14ac:dyDescent="0.3">
      <c r="A333" s="55">
        <v>52954705</v>
      </c>
      <c r="B333" s="55">
        <v>1</v>
      </c>
      <c r="C333" s="55" t="str">
        <f>VLOOKUP(A333&amp;"-"&amp;B333,'Order Summary'!$D:$E,2,FALSE)</f>
        <v>Telex / Seaway Released</v>
      </c>
      <c r="D333" s="216">
        <f>IF($A333="","",VLOOKUP($A333&amp;"-"&amp;$B333,'Order Summary'!$D:$U,3,FALSE))</f>
        <v>45961</v>
      </c>
      <c r="E333" s="55" t="str">
        <f>VLOOKUP(A333&amp;"-"&amp;B333,'Order Summary'!$D:$G,4,FALSE)</f>
        <v>Yes</v>
      </c>
      <c r="F333" s="55" t="str">
        <f>VLOOKUP($A333,'Order Summary'!$B:$I,8,FALSE)</f>
        <v>Hillsboro, TX</v>
      </c>
      <c r="G333" s="216">
        <f>IF($A333="","",VLOOKUP($A333&amp;"-"&amp;$B333,'Order Summary'!$D:$U,18,FALSE))</f>
        <v>46079</v>
      </c>
      <c r="H333" s="55">
        <v>5</v>
      </c>
      <c r="I333" s="55">
        <v>694441</v>
      </c>
      <c r="J333" s="55" t="str">
        <f>VLOOKUP($I333,'Old Pricing - end 26-Jan-2026'!$A:$R,2,FALSE)</f>
        <v>G1S 694441</v>
      </c>
      <c r="K333" s="55" t="str">
        <f>VLOOKUP($I333,'Old Pricing - end 26-Jan-2026'!$A:$R,6,FALSE)&amp;" "&amp;VLOOKUP($I333,'Old Pricing - end 26-Jan-2026'!$A:$R,7,FALSE)&amp;""" x "&amp;VLOOKUP($I333,'Old Pricing - end 26-Jan-2026'!$A:$R,9,FALSE)&amp;""" "&amp;VLOOKUP($I333,'Old Pricing - end 26-Jan-2026'!$A:$R,5,FALSE)</f>
        <v>2MM 49" x 108" ACP</v>
      </c>
      <c r="L333" s="55">
        <f>VLOOKUP($I333,'Old Pricing - end 26-Jan-2026'!$A:$K,8,FALSE)</f>
        <v>1245</v>
      </c>
      <c r="M333" s="55">
        <f>VLOOKUP($I333,'Old Pricing - end 26-Jan-2026'!$A:$K,10,FALSE)</f>
        <v>2745</v>
      </c>
      <c r="N333" s="55" t="str">
        <f>VLOOKUP($I333,'Old Pricing - end 26-Jan-2026'!$A:$R,13,FALSE)&amp;" "&amp;VLOOKUP($I333,'Old Pricing - end 26-Jan-2026'!$A:$R,12,FALSE)</f>
        <v>AMC 0103 SILVER FROST</v>
      </c>
      <c r="O333" s="56">
        <v>5.5129999999999999</v>
      </c>
      <c r="P333" s="55">
        <f>(VLOOKUP($I333,'Old Pricing - end 26-Jan-2026'!$A:$R,8,FALSE)/1000)*(VLOOKUP($I333,'Old Pricing - end 26-Jan-2026'!$A:$R,10,FALSE)/1000)*Q333</f>
        <v>512.62875000000008</v>
      </c>
      <c r="Q333" s="55">
        <f>ROUND(('Order Details'!$O333*1000)/((VLOOKUP($I333,'Old Pricing - end 26-Jan-2026'!$A:$Q,7,FALSE)/12)*(VLOOKUP($I333,'Old Pricing - end 26-Jan-2026'!$A:$Q,9,FALSE)/12))/5,0)*5</f>
        <v>150</v>
      </c>
      <c r="R333" s="71">
        <f t="shared" si="17"/>
        <v>1</v>
      </c>
      <c r="S333" s="123">
        <f>VLOOKUP($I333,'Old Pricing - end 26-Jan-2026'!$A:$Q,16,FALSE)</f>
        <v>700</v>
      </c>
      <c r="T333" s="123">
        <f>VLOOKUP(I333,'Old Pricing - end 26-Jan-2026'!$A:$O,15,FALSE)</f>
        <v>7.53</v>
      </c>
      <c r="U333" s="123">
        <f t="shared" si="15"/>
        <v>3859.1</v>
      </c>
      <c r="V333" s="111">
        <f t="shared" si="16"/>
        <v>3860.0944875000009</v>
      </c>
      <c r="W333" s="55">
        <f>VLOOKUP($I333,'Old Pricing - end 26-Jan-2026'!$A:$R,18,FALSE)</f>
        <v>90</v>
      </c>
    </row>
    <row r="334" spans="1:23" ht="15" hidden="1" thickTop="1" x14ac:dyDescent="0.3">
      <c r="A334" s="55">
        <v>52954705</v>
      </c>
      <c r="B334" s="55">
        <v>1</v>
      </c>
      <c r="C334" s="55" t="str">
        <f>VLOOKUP(A334&amp;"-"&amp;B334,'Order Summary'!$D:$E,2,FALSE)</f>
        <v>Telex / Seaway Released</v>
      </c>
      <c r="D334" s="216">
        <f>IF($A334="","",VLOOKUP($A334&amp;"-"&amp;$B334,'Order Summary'!$D:$U,3,FALSE))</f>
        <v>45961</v>
      </c>
      <c r="E334" s="55" t="str">
        <f>VLOOKUP(A334&amp;"-"&amp;B334,'Order Summary'!$D:$G,4,FALSE)</f>
        <v>Yes</v>
      </c>
      <c r="F334" s="55" t="str">
        <f>VLOOKUP($A334,'Order Summary'!$B:$I,8,FALSE)</f>
        <v>Hillsboro, TX</v>
      </c>
      <c r="G334" s="216">
        <f>IF($A334="","",VLOOKUP($A334&amp;"-"&amp;$B334,'Order Summary'!$D:$U,18,FALSE))</f>
        <v>46079</v>
      </c>
      <c r="H334" s="55">
        <v>6</v>
      </c>
      <c r="I334" s="55">
        <v>694442</v>
      </c>
      <c r="J334" s="55" t="str">
        <f>VLOOKUP($I334,'Old Pricing - end 26-Jan-2026'!$A:$R,2,FALSE)</f>
        <v>G1S 694442</v>
      </c>
      <c r="K334" s="55" t="str">
        <f>VLOOKUP($I334,'Old Pricing - end 26-Jan-2026'!$A:$R,6,FALSE)&amp;" "&amp;VLOOKUP($I334,'Old Pricing - end 26-Jan-2026'!$A:$R,7,FALSE)&amp;""" x "&amp;VLOOKUP($I334,'Old Pricing - end 26-Jan-2026'!$A:$R,9,FALSE)&amp;""" "&amp;VLOOKUP($I334,'Old Pricing - end 26-Jan-2026'!$A:$R,5,FALSE)</f>
        <v>2MM 49" x 144" ACP</v>
      </c>
      <c r="L334" s="55">
        <f>VLOOKUP($I334,'Old Pricing - end 26-Jan-2026'!$A:$K,8,FALSE)</f>
        <v>1245</v>
      </c>
      <c r="M334" s="55">
        <f>VLOOKUP($I334,'Old Pricing - end 26-Jan-2026'!$A:$K,10,FALSE)</f>
        <v>3658</v>
      </c>
      <c r="N334" s="55" t="str">
        <f>VLOOKUP($I334,'Old Pricing - end 26-Jan-2026'!$A:$R,13,FALSE)&amp;" "&amp;VLOOKUP($I334,'Old Pricing - end 26-Jan-2026'!$A:$R,12,FALSE)</f>
        <v>AMC 0103 SILVER FROST</v>
      </c>
      <c r="O334" s="56">
        <v>9.8000000000000007</v>
      </c>
      <c r="P334" s="55">
        <f>(VLOOKUP($I334,'Old Pricing - end 26-Jan-2026'!$A:$R,8,FALSE)/1000)*(VLOOKUP($I334,'Old Pricing - end 26-Jan-2026'!$A:$R,10,FALSE)/1000)*Q334</f>
        <v>910.8420000000001</v>
      </c>
      <c r="Q334" s="55">
        <f>ROUND(('Order Details'!$O334*1000)/((VLOOKUP($I334,'Old Pricing - end 26-Jan-2026'!$A:$Q,7,FALSE)/12)*(VLOOKUP($I334,'Old Pricing - end 26-Jan-2026'!$A:$Q,9,FALSE)/12))/5,0)*5</f>
        <v>200</v>
      </c>
      <c r="R334" s="71">
        <f>$Q334/IFERROR(VLOOKUP($F334&amp;RIGHT($K334,8),'Master Data'!$O$5:$P$10,2,FALSE),'Master Data'!$P$4)</f>
        <v>1</v>
      </c>
      <c r="S334" s="123">
        <f>VLOOKUP($I334,'Old Pricing - end 26-Jan-2026'!$A:$Q,16,FALSE)</f>
        <v>700</v>
      </c>
      <c r="T334" s="123">
        <f>VLOOKUP(I334,'Old Pricing - end 26-Jan-2026'!$A:$O,15,FALSE)</f>
        <v>7.53</v>
      </c>
      <c r="U334" s="123">
        <f t="shared" si="15"/>
        <v>6860.0000000000009</v>
      </c>
      <c r="V334" s="111">
        <f t="shared" si="16"/>
        <v>6858.640260000001</v>
      </c>
      <c r="W334" s="55">
        <f>VLOOKUP($I334,'Old Pricing - end 26-Jan-2026'!$A:$R,18,FALSE)</f>
        <v>90</v>
      </c>
    </row>
    <row r="335" spans="1:23" ht="15" hidden="1" thickTop="1" x14ac:dyDescent="0.3">
      <c r="A335" s="55">
        <v>52954705</v>
      </c>
      <c r="B335" s="55">
        <v>1</v>
      </c>
      <c r="C335" s="55" t="str">
        <f>VLOOKUP(A335&amp;"-"&amp;B335,'Order Summary'!$D:$E,2,FALSE)</f>
        <v>Telex / Seaway Released</v>
      </c>
      <c r="D335" s="216">
        <f>IF($A335="","",VLOOKUP($A335&amp;"-"&amp;$B335,'Order Summary'!$D:$U,3,FALSE))</f>
        <v>45961</v>
      </c>
      <c r="E335" s="55" t="str">
        <f>VLOOKUP(A335&amp;"-"&amp;B335,'Order Summary'!$D:$G,4,FALSE)</f>
        <v>Yes</v>
      </c>
      <c r="F335" s="55" t="str">
        <f>VLOOKUP($A335,'Order Summary'!$B:$I,8,FALSE)</f>
        <v>Hillsboro, TX</v>
      </c>
      <c r="G335" s="216">
        <f>IF($A335="","",VLOOKUP($A335&amp;"-"&amp;$B335,'Order Summary'!$D:$U,18,FALSE))</f>
        <v>46079</v>
      </c>
      <c r="H335" s="55">
        <v>7</v>
      </c>
      <c r="I335" s="55">
        <v>694446</v>
      </c>
      <c r="J335" s="55" t="str">
        <f>VLOOKUP($I335,'Old Pricing - end 26-Jan-2026'!$A:$R,2,FALSE)</f>
        <v>G1S 694446</v>
      </c>
      <c r="K335" s="55" t="str">
        <f>VLOOKUP($I335,'Old Pricing - end 26-Jan-2026'!$A:$R,6,FALSE)&amp;" "&amp;VLOOKUP($I335,'Old Pricing - end 26-Jan-2026'!$A:$R,7,FALSE)&amp;""" x "&amp;VLOOKUP($I335,'Old Pricing - end 26-Jan-2026'!$A:$R,9,FALSE)&amp;""" "&amp;VLOOKUP($I335,'Old Pricing - end 26-Jan-2026'!$A:$R,5,FALSE)</f>
        <v>2MM 49" x 144" ACP</v>
      </c>
      <c r="L335" s="55">
        <f>VLOOKUP($I335,'Old Pricing - end 26-Jan-2026'!$A:$K,8,FALSE)</f>
        <v>1245</v>
      </c>
      <c r="M335" s="55">
        <f>VLOOKUP($I335,'Old Pricing - end 26-Jan-2026'!$A:$K,10,FALSE)</f>
        <v>3658</v>
      </c>
      <c r="N335" s="55" t="str">
        <f>VLOOKUP($I335,'Old Pricing - end 26-Jan-2026'!$A:$R,13,FALSE)&amp;" "&amp;VLOOKUP($I335,'Old Pricing - end 26-Jan-2026'!$A:$R,12,FALSE)</f>
        <v>AMC 0086 CHARCOAL METALLIC</v>
      </c>
      <c r="O335" s="56">
        <v>9.8000000000000007</v>
      </c>
      <c r="P335" s="55">
        <f>(VLOOKUP($I335,'Old Pricing - end 26-Jan-2026'!$A:$R,8,FALSE)/1000)*(VLOOKUP($I335,'Old Pricing - end 26-Jan-2026'!$A:$R,10,FALSE)/1000)*Q335</f>
        <v>910.8420000000001</v>
      </c>
      <c r="Q335" s="55">
        <f>ROUND(('Order Details'!$O335*1000)/((VLOOKUP($I335,'Old Pricing - end 26-Jan-2026'!$A:$Q,7,FALSE)/12)*(VLOOKUP($I335,'Old Pricing - end 26-Jan-2026'!$A:$Q,9,FALSE)/12))/5,0)*5</f>
        <v>200</v>
      </c>
      <c r="R335" s="71">
        <f>$Q335/IFERROR(VLOOKUP($F335&amp;RIGHT($K335,8),'Master Data'!$O$5:$P$10,2,FALSE),'Master Data'!$P$4)</f>
        <v>1</v>
      </c>
      <c r="S335" s="123">
        <f>VLOOKUP($I335,'Old Pricing - end 26-Jan-2026'!$A:$Q,16,FALSE)</f>
        <v>750</v>
      </c>
      <c r="T335" s="123">
        <f>VLOOKUP(I335,'Old Pricing - end 26-Jan-2026'!$A:$O,15,FALSE)</f>
        <v>8.07</v>
      </c>
      <c r="U335" s="123">
        <f t="shared" si="15"/>
        <v>7350.0000000000009</v>
      </c>
      <c r="V335" s="111">
        <f t="shared" si="16"/>
        <v>7350.4949400000014</v>
      </c>
      <c r="W335" s="55">
        <f>VLOOKUP($I335,'Old Pricing - end 26-Jan-2026'!$A:$R,18,FALSE)</f>
        <v>45</v>
      </c>
    </row>
    <row r="336" spans="1:23" ht="15" hidden="1" thickTop="1" x14ac:dyDescent="0.3">
      <c r="A336" s="55">
        <v>52954705</v>
      </c>
      <c r="B336" s="55">
        <v>1</v>
      </c>
      <c r="C336" s="55" t="str">
        <f>VLOOKUP(A336&amp;"-"&amp;B336,'Order Summary'!$D:$E,2,FALSE)</f>
        <v>Telex / Seaway Released</v>
      </c>
      <c r="D336" s="216">
        <f>IF($A336="","",VLOOKUP($A336&amp;"-"&amp;$B336,'Order Summary'!$D:$U,3,FALSE))</f>
        <v>45961</v>
      </c>
      <c r="E336" s="55" t="str">
        <f>VLOOKUP(A336&amp;"-"&amp;B336,'Order Summary'!$D:$G,4,FALSE)</f>
        <v>Yes</v>
      </c>
      <c r="F336" s="55" t="str">
        <f>VLOOKUP($A336,'Order Summary'!$B:$I,8,FALSE)</f>
        <v>Hillsboro, TX</v>
      </c>
      <c r="G336" s="216">
        <f>IF($A336="","",VLOOKUP($A336&amp;"-"&amp;$B336,'Order Summary'!$D:$U,18,FALSE))</f>
        <v>46079</v>
      </c>
      <c r="H336" s="55">
        <v>8</v>
      </c>
      <c r="I336" s="98">
        <v>709354</v>
      </c>
      <c r="J336" s="55" t="str">
        <f>VLOOKUP($I336,'Old Pricing - end 26-Jan-2026'!$A:$R,2,FALSE)</f>
        <v>G1S 709354</v>
      </c>
      <c r="K336" s="55" t="str">
        <f>VLOOKUP($I336,'Old Pricing - end 26-Jan-2026'!$A:$R,6,FALSE)&amp;" "&amp;VLOOKUP($I336,'Old Pricing - end 26-Jan-2026'!$A:$R,7,FALSE)&amp;""" x "&amp;VLOOKUP($I336,'Old Pricing - end 26-Jan-2026'!$A:$R,9,FALSE)&amp;""" "&amp;VLOOKUP($I336,'Old Pricing - end 26-Jan-2026'!$A:$R,5,FALSE)</f>
        <v>2MM 49" x 90.5" ACP</v>
      </c>
      <c r="L336" s="55">
        <f>VLOOKUP($I336,'Old Pricing - end 26-Jan-2026'!$A:$K,8,FALSE)</f>
        <v>1245</v>
      </c>
      <c r="M336" s="104">
        <f>VLOOKUP($I336,'Old Pricing - end 26-Jan-2026'!$A:$K,10,FALSE)</f>
        <v>2300</v>
      </c>
      <c r="N336" s="55" t="str">
        <f>VLOOKUP($I336,'Old Pricing - end 26-Jan-2026'!$A:$R,13,FALSE)&amp;" "&amp;VLOOKUP($I336,'Old Pricing - end 26-Jan-2026'!$A:$R,12,FALSE)</f>
        <v>ASC 0096 GLOSSY BLACK</v>
      </c>
      <c r="O336" s="56">
        <v>6.1589999999999998</v>
      </c>
      <c r="P336" s="55">
        <f>(VLOOKUP($I336,'Old Pricing - end 26-Jan-2026'!$A:$R,8,FALSE)/1000)*(VLOOKUP($I336,'Old Pricing - end 26-Jan-2026'!$A:$R,10,FALSE)/1000)*Q336</f>
        <v>572.70000000000005</v>
      </c>
      <c r="Q336" s="55">
        <f>ROUND(('Order Details'!$O336*1000)/((VLOOKUP($I336,'Old Pricing - end 26-Jan-2026'!$A:$Q,7,FALSE)/12)*(VLOOKUP($I336,'Old Pricing - end 26-Jan-2026'!$A:$Q,9,FALSE)/12))/5,0)*5</f>
        <v>200</v>
      </c>
      <c r="R336" s="71">
        <f>$Q336/IFERROR(VLOOKUP($F336&amp;RIGHT($K336,8),'Master Data'!$O$5:$P$10,2,FALSE),'Master Data'!$P$4)</f>
        <v>1</v>
      </c>
      <c r="S336" s="123">
        <f>VLOOKUP($I336,'Old Pricing - end 26-Jan-2026'!$A:$Q,16,FALSE)</f>
        <v>700</v>
      </c>
      <c r="T336" s="123">
        <f>VLOOKUP(I336,'Old Pricing - end 26-Jan-2026'!$A:$O,15,FALSE)</f>
        <v>7.53</v>
      </c>
      <c r="U336" s="123">
        <f t="shared" si="15"/>
        <v>4311.3</v>
      </c>
      <c r="V336" s="111">
        <f t="shared" si="16"/>
        <v>4312.4310000000005</v>
      </c>
      <c r="W336" s="55">
        <f>VLOOKUP($I336,'Old Pricing - end 26-Jan-2026'!$A:$R,18,FALSE)</f>
        <v>45</v>
      </c>
    </row>
    <row r="337" spans="1:23" ht="15" hidden="1" thickTop="1" x14ac:dyDescent="0.3">
      <c r="A337" s="55">
        <v>52954705</v>
      </c>
      <c r="B337" s="55">
        <v>1</v>
      </c>
      <c r="C337" s="55" t="str">
        <f>VLOOKUP(A337&amp;"-"&amp;B337,'Order Summary'!$D:$E,2,FALSE)</f>
        <v>Telex / Seaway Released</v>
      </c>
      <c r="D337" s="216">
        <f>IF($A337="","",VLOOKUP($A337&amp;"-"&amp;$B337,'Order Summary'!$D:$U,3,FALSE))</f>
        <v>45961</v>
      </c>
      <c r="E337" s="55" t="str">
        <f>VLOOKUP(A337&amp;"-"&amp;B337,'Order Summary'!$D:$G,4,FALSE)</f>
        <v>Yes</v>
      </c>
      <c r="F337" s="55" t="str">
        <f>VLOOKUP($A337,'Order Summary'!$B:$I,8,FALSE)</f>
        <v>Hillsboro, TX</v>
      </c>
      <c r="G337" s="216">
        <f>IF($A337="","",VLOOKUP($A337&amp;"-"&amp;$B337,'Order Summary'!$D:$U,18,FALSE))</f>
        <v>46079</v>
      </c>
      <c r="H337" s="55">
        <v>9</v>
      </c>
      <c r="I337" s="98">
        <v>709356</v>
      </c>
      <c r="J337" s="55" t="str">
        <f>VLOOKUP($I337,'Old Pricing - end 26-Jan-2026'!$A:$R,2,FALSE)</f>
        <v>G1S 709356</v>
      </c>
      <c r="K337" s="55" t="str">
        <f>VLOOKUP($I337,'Old Pricing - end 26-Jan-2026'!$A:$R,6,FALSE)&amp;" "&amp;VLOOKUP($I337,'Old Pricing - end 26-Jan-2026'!$A:$R,7,FALSE)&amp;""" x "&amp;VLOOKUP($I337,'Old Pricing - end 26-Jan-2026'!$A:$R,9,FALSE)&amp;""" "&amp;VLOOKUP($I337,'Old Pricing - end 26-Jan-2026'!$A:$R,5,FALSE)</f>
        <v>2MM 49" x 90.5" ACP</v>
      </c>
      <c r="L337" s="55">
        <f>VLOOKUP($I337,'Old Pricing - end 26-Jan-2026'!$A:$K,8,FALSE)</f>
        <v>1245</v>
      </c>
      <c r="M337" s="104">
        <f>VLOOKUP($I337,'Old Pricing - end 26-Jan-2026'!$A:$K,10,FALSE)</f>
        <v>2300</v>
      </c>
      <c r="N337" s="55" t="str">
        <f>VLOOKUP($I337,'Old Pricing - end 26-Jan-2026'!$A:$R,13,FALSE)&amp;" "&amp;VLOOKUP($I337,'Old Pricing - end 26-Jan-2026'!$A:$R,12,FALSE)</f>
        <v>AMC 0086 CHARCOAL METALLIC</v>
      </c>
      <c r="O337" s="56">
        <v>6.1589999999999998</v>
      </c>
      <c r="P337" s="55">
        <f>(VLOOKUP($I337,'Old Pricing - end 26-Jan-2026'!$A:$R,8,FALSE)/1000)*(VLOOKUP($I337,'Old Pricing - end 26-Jan-2026'!$A:$R,10,FALSE)/1000)*Q337</f>
        <v>572.70000000000005</v>
      </c>
      <c r="Q337" s="55">
        <f>ROUND(('Order Details'!$O337*1000)/((VLOOKUP($I337,'Old Pricing - end 26-Jan-2026'!$A:$Q,7,FALSE)/12)*(VLOOKUP($I337,'Old Pricing - end 26-Jan-2026'!$A:$Q,9,FALSE)/12))/5,0)*5</f>
        <v>200</v>
      </c>
      <c r="R337" s="71">
        <f>$Q337/IFERROR(VLOOKUP($F337&amp;RIGHT($K337,8),'Master Data'!$O$5:$P$10,2,FALSE),'Master Data'!$P$4)</f>
        <v>1</v>
      </c>
      <c r="S337" s="123">
        <f>VLOOKUP($I337,'Old Pricing - end 26-Jan-2026'!$A:$Q,16,FALSE)</f>
        <v>750</v>
      </c>
      <c r="T337" s="123">
        <f>VLOOKUP(I337,'Old Pricing - end 26-Jan-2026'!$A:$O,15,FALSE)</f>
        <v>8.07</v>
      </c>
      <c r="U337" s="123">
        <f t="shared" si="15"/>
        <v>4619.25</v>
      </c>
      <c r="V337" s="111">
        <f t="shared" si="16"/>
        <v>4621.6890000000003</v>
      </c>
      <c r="W337" s="55">
        <f>VLOOKUP($I337,'Old Pricing - end 26-Jan-2026'!$A:$R,18,FALSE)</f>
        <v>45</v>
      </c>
    </row>
    <row r="338" spans="1:23" ht="15" hidden="1" thickTop="1" x14ac:dyDescent="0.3">
      <c r="A338" s="55">
        <v>52963980</v>
      </c>
      <c r="B338" s="55">
        <v>1</v>
      </c>
      <c r="C338" s="55" t="str">
        <f>VLOOKUP(A338&amp;"-"&amp;B338,'Order Summary'!$D:$E,2,FALSE)</f>
        <v>Telex / Seaway Released</v>
      </c>
      <c r="D338" s="216">
        <f>IF($A338="","",VLOOKUP($A338&amp;"-"&amp;$B338,'Order Summary'!$D:$U,3,FALSE))</f>
        <v>45965</v>
      </c>
      <c r="E338" s="55" t="str">
        <f>VLOOKUP(A338&amp;"-"&amp;B338,'Order Summary'!$D:$G,4,FALSE)</f>
        <v>Yes</v>
      </c>
      <c r="F338" s="55" t="str">
        <f>VLOOKUP($A338,'Order Summary'!$B:$I,8,FALSE)</f>
        <v>Hillsboro, TX</v>
      </c>
      <c r="G338" s="216">
        <f>IF($A338="","",VLOOKUP($A338&amp;"-"&amp;$B338,'Order Summary'!$D:$U,18,FALSE))</f>
        <v>46100</v>
      </c>
      <c r="H338" s="55">
        <v>1</v>
      </c>
      <c r="I338" s="55">
        <v>709354</v>
      </c>
      <c r="J338" s="55" t="str">
        <f>VLOOKUP($I338,'Old Pricing - end 26-Jan-2026'!$A:$R,2,FALSE)</f>
        <v>G1S 709354</v>
      </c>
      <c r="K338" s="55" t="str">
        <f>VLOOKUP($I338,'Old Pricing - end 26-Jan-2026'!$A:$R,6,FALSE)&amp;" "&amp;VLOOKUP($I338,'Old Pricing - end 26-Jan-2026'!$A:$R,7,FALSE)&amp;""" x "&amp;VLOOKUP($I338,'Old Pricing - end 26-Jan-2026'!$A:$R,9,FALSE)&amp;""" "&amp;VLOOKUP($I338,'Old Pricing - end 26-Jan-2026'!$A:$R,5,FALSE)</f>
        <v>2MM 49" x 90.5" ACP</v>
      </c>
      <c r="L338" s="55">
        <f>VLOOKUP($I338,'Old Pricing - end 26-Jan-2026'!$A:$K,8,FALSE)</f>
        <v>1245</v>
      </c>
      <c r="M338" s="55">
        <f>VLOOKUP($I338,'Old Pricing - end 26-Jan-2026'!$A:$K,10,FALSE)</f>
        <v>2300</v>
      </c>
      <c r="N338" s="55" t="str">
        <f>VLOOKUP($I338,'Old Pricing - end 26-Jan-2026'!$A:$R,13,FALSE)&amp;" "&amp;VLOOKUP($I338,'Old Pricing - end 26-Jan-2026'!$A:$R,12,FALSE)</f>
        <v>ASC 0096 GLOSSY BLACK</v>
      </c>
      <c r="O338" s="56">
        <v>18.477</v>
      </c>
      <c r="P338" s="55">
        <f>(VLOOKUP($I338,'Old Pricing - end 26-Jan-2026'!$A:$R,8,FALSE)/1000)*(VLOOKUP($I338,'Old Pricing - end 26-Jan-2026'!$A:$R,10,FALSE)/1000)*Q338</f>
        <v>1718.1000000000001</v>
      </c>
      <c r="Q338" s="55">
        <f>ROUND(('Order Details'!$O338*1000)/((VLOOKUP($I338,'Old Pricing - end 26-Jan-2026'!$A:$Q,7,FALSE)/12)*(VLOOKUP($I338,'Old Pricing - end 26-Jan-2026'!$A:$Q,9,FALSE)/12))/5,0)*5</f>
        <v>600</v>
      </c>
      <c r="R338" s="71">
        <f>$Q338/IFERROR(VLOOKUP($F338&amp;RIGHT($K338,8),'Master Data'!$O$5:$P$10,2,FALSE),'Master Data'!$P$4)</f>
        <v>3</v>
      </c>
      <c r="S338" s="57">
        <f>VLOOKUP($I338,'Old Pricing - end 26-Jan-2026'!$A:$Q,16,FALSE)</f>
        <v>700</v>
      </c>
      <c r="T338" s="57">
        <f>VLOOKUP(I338,'Old Pricing - end 26-Jan-2026'!$A:$O,15,FALSE)</f>
        <v>7.53</v>
      </c>
      <c r="U338" s="57">
        <f t="shared" si="15"/>
        <v>12933.9</v>
      </c>
      <c r="V338" s="111">
        <f t="shared" si="16"/>
        <v>12937.293000000001</v>
      </c>
      <c r="W338" s="55">
        <f>VLOOKUP($I338,'Old Pricing - end 26-Jan-2026'!$A:$R,18,FALSE)</f>
        <v>45</v>
      </c>
    </row>
    <row r="339" spans="1:23" ht="15" hidden="1" thickTop="1" x14ac:dyDescent="0.3">
      <c r="A339" s="55">
        <v>52963980</v>
      </c>
      <c r="B339" s="55">
        <v>1</v>
      </c>
      <c r="C339" s="55" t="str">
        <f>VLOOKUP(A339&amp;"-"&amp;B339,'Order Summary'!$D:$E,2,FALSE)</f>
        <v>Telex / Seaway Released</v>
      </c>
      <c r="D339" s="216">
        <f>IF($A339="","",VLOOKUP($A339&amp;"-"&amp;$B339,'Order Summary'!$D:$U,3,FALSE))</f>
        <v>45965</v>
      </c>
      <c r="E339" s="55" t="str">
        <f>VLOOKUP(A339&amp;"-"&amp;B339,'Order Summary'!$D:$G,4,FALSE)</f>
        <v>Yes</v>
      </c>
      <c r="F339" s="55" t="str">
        <f>VLOOKUP($A339,'Order Summary'!$B:$I,8,FALSE)</f>
        <v>Hillsboro, TX</v>
      </c>
      <c r="G339" s="216">
        <f>IF($A339="","",VLOOKUP($A339&amp;"-"&amp;$B339,'Order Summary'!$D:$U,18,FALSE))</f>
        <v>46100</v>
      </c>
      <c r="H339" s="55">
        <v>2</v>
      </c>
      <c r="I339" s="55">
        <v>709355</v>
      </c>
      <c r="J339" s="55" t="str">
        <f>VLOOKUP($I339,'Old Pricing - end 26-Jan-2026'!$A:$R,2,FALSE)</f>
        <v>G1S 709355</v>
      </c>
      <c r="K339" s="55" t="str">
        <f>VLOOKUP($I339,'Old Pricing - end 26-Jan-2026'!$A:$R,6,FALSE)&amp;" "&amp;VLOOKUP($I339,'Old Pricing - end 26-Jan-2026'!$A:$R,7,FALSE)&amp;""" x "&amp;VLOOKUP($I339,'Old Pricing - end 26-Jan-2026'!$A:$R,9,FALSE)&amp;""" "&amp;VLOOKUP($I339,'Old Pricing - end 26-Jan-2026'!$A:$R,5,FALSE)</f>
        <v>2MM 49" x 90.5" ACP</v>
      </c>
      <c r="L339" s="55">
        <f>VLOOKUP($I339,'Old Pricing - end 26-Jan-2026'!$A:$K,8,FALSE)</f>
        <v>1245</v>
      </c>
      <c r="M339" s="55">
        <f>VLOOKUP($I339,'Old Pricing - end 26-Jan-2026'!$A:$K,10,FALSE)</f>
        <v>2300</v>
      </c>
      <c r="N339" s="55" t="str">
        <f>VLOOKUP($I339,'Old Pricing - end 26-Jan-2026'!$A:$R,13,FALSE)&amp;" "&amp;VLOOKUP($I339,'Old Pricing - end 26-Jan-2026'!$A:$R,12,FALSE)</f>
        <v>ASC 0069 GLOSSY WHITE</v>
      </c>
      <c r="O339" s="56">
        <v>18.477</v>
      </c>
      <c r="P339" s="55">
        <f>(VLOOKUP($I339,'Old Pricing - end 26-Jan-2026'!$A:$R,8,FALSE)/1000)*(VLOOKUP($I339,'Old Pricing - end 26-Jan-2026'!$A:$R,10,FALSE)/1000)*Q339</f>
        <v>1718.1000000000001</v>
      </c>
      <c r="Q339" s="55">
        <f>ROUND(('Order Details'!$O339*1000)/((VLOOKUP($I339,'Old Pricing - end 26-Jan-2026'!$A:$Q,7,FALSE)/12)*(VLOOKUP($I339,'Old Pricing - end 26-Jan-2026'!$A:$Q,9,FALSE)/12))/5,0)*5</f>
        <v>600</v>
      </c>
      <c r="R339" s="71">
        <f>$Q339/IFERROR(VLOOKUP($F339&amp;RIGHT($K339,8),'Master Data'!$O$5:$P$10,2,FALSE),'Master Data'!$P$4)</f>
        <v>3</v>
      </c>
      <c r="S339" s="57">
        <f>VLOOKUP($I339,'Old Pricing - end 26-Jan-2026'!$A:$Q,16,FALSE)</f>
        <v>700</v>
      </c>
      <c r="T339" s="57">
        <f>VLOOKUP(I339,'Old Pricing - end 26-Jan-2026'!$A:$O,15,FALSE)</f>
        <v>7.53</v>
      </c>
      <c r="U339" s="57">
        <f t="shared" si="15"/>
        <v>12933.9</v>
      </c>
      <c r="V339" s="111">
        <f t="shared" si="16"/>
        <v>12937.293000000001</v>
      </c>
      <c r="W339" s="55">
        <f>VLOOKUP($I339,'Old Pricing - end 26-Jan-2026'!$A:$R,18,FALSE)</f>
        <v>45</v>
      </c>
    </row>
    <row r="340" spans="1:23" ht="15" hidden="1" thickTop="1" x14ac:dyDescent="0.3">
      <c r="A340" s="55">
        <v>52963980</v>
      </c>
      <c r="B340" s="55">
        <v>1</v>
      </c>
      <c r="C340" s="55" t="str">
        <f>VLOOKUP(A340&amp;"-"&amp;B340,'Order Summary'!$D:$E,2,FALSE)</f>
        <v>Telex / Seaway Released</v>
      </c>
      <c r="D340" s="216">
        <f>IF($A340="","",VLOOKUP($A340&amp;"-"&amp;$B340,'Order Summary'!$D:$U,3,FALSE))</f>
        <v>45965</v>
      </c>
      <c r="E340" s="55" t="str">
        <f>VLOOKUP(A340&amp;"-"&amp;B340,'Order Summary'!$D:$G,4,FALSE)</f>
        <v>Yes</v>
      </c>
      <c r="F340" s="55" t="str">
        <f>VLOOKUP($A340,'Order Summary'!$B:$I,8,FALSE)</f>
        <v>Hillsboro, TX</v>
      </c>
      <c r="G340" s="216">
        <f>IF($A340="","",VLOOKUP($A340&amp;"-"&amp;$B340,'Order Summary'!$D:$U,18,FALSE))</f>
        <v>46100</v>
      </c>
      <c r="H340" s="55">
        <v>3</v>
      </c>
      <c r="I340" s="55">
        <v>709525</v>
      </c>
      <c r="J340" s="55" t="str">
        <f>VLOOKUP($I340,'Old Pricing - end 26-Jan-2026'!$A:$R,2,FALSE)</f>
        <v>G1S 709525</v>
      </c>
      <c r="K340" s="55" t="str">
        <f>VLOOKUP($I340,'Old Pricing - end 26-Jan-2026'!$A:$R,6,FALSE)&amp;" "&amp;VLOOKUP($I340,'Old Pricing - end 26-Jan-2026'!$A:$R,7,FALSE)&amp;""" x "&amp;VLOOKUP($I340,'Old Pricing - end 26-Jan-2026'!$A:$R,9,FALSE)&amp;""" "&amp;VLOOKUP($I340,'Old Pricing - end 26-Jan-2026'!$A:$R,5,FALSE)</f>
        <v>2MM 49" x 90.5" ACP</v>
      </c>
      <c r="L340" s="55">
        <f>VLOOKUP($I340,'Old Pricing - end 26-Jan-2026'!$A:$K,8,FALSE)</f>
        <v>1245</v>
      </c>
      <c r="M340" s="55">
        <f>VLOOKUP($I340,'Old Pricing - end 26-Jan-2026'!$A:$K,10,FALSE)</f>
        <v>2300</v>
      </c>
      <c r="N340" s="55" t="str">
        <f>VLOOKUP($I340,'Old Pricing - end 26-Jan-2026'!$A:$R,13,FALSE)&amp;" "&amp;VLOOKUP($I340,'Old Pricing - end 26-Jan-2026'!$A:$R,12,FALSE)</f>
        <v>AMC 0103 SILVER FROST</v>
      </c>
      <c r="O340" s="56">
        <v>18.477</v>
      </c>
      <c r="P340" s="55">
        <f>(VLOOKUP($I340,'Old Pricing - end 26-Jan-2026'!$A:$R,8,FALSE)/1000)*(VLOOKUP($I340,'Old Pricing - end 26-Jan-2026'!$A:$R,10,FALSE)/1000)*Q340</f>
        <v>1718.1000000000001</v>
      </c>
      <c r="Q340" s="55">
        <f>ROUND(('Order Details'!$O340*1000)/((VLOOKUP($I340,'Old Pricing - end 26-Jan-2026'!$A:$Q,7,FALSE)/12)*(VLOOKUP($I340,'Old Pricing - end 26-Jan-2026'!$A:$Q,9,FALSE)/12))/5,0)*5</f>
        <v>600</v>
      </c>
      <c r="R340" s="71">
        <f>$Q340/IFERROR(VLOOKUP($F340&amp;RIGHT($K340,8),'Master Data'!$O$5:$P$10,2,FALSE),'Master Data'!$P$4)</f>
        <v>3</v>
      </c>
      <c r="S340" s="57">
        <f>VLOOKUP($I340,'Old Pricing - end 26-Jan-2026'!$A:$Q,16,FALSE)</f>
        <v>700</v>
      </c>
      <c r="T340" s="57">
        <f>VLOOKUP(I340,'Old Pricing - end 26-Jan-2026'!$A:$O,15,FALSE)</f>
        <v>7.53</v>
      </c>
      <c r="U340" s="57">
        <f t="shared" si="15"/>
        <v>12933.9</v>
      </c>
      <c r="V340" s="111">
        <f t="shared" si="16"/>
        <v>12937.293000000001</v>
      </c>
      <c r="W340" s="55">
        <f>VLOOKUP($I340,'Old Pricing - end 26-Jan-2026'!$A:$R,18,FALSE)</f>
        <v>90</v>
      </c>
    </row>
    <row r="341" spans="1:23" ht="15" hidden="1" thickTop="1" x14ac:dyDescent="0.3">
      <c r="A341" s="55">
        <v>52963980</v>
      </c>
      <c r="B341" s="55">
        <v>1</v>
      </c>
      <c r="C341" s="55" t="str">
        <f>VLOOKUP(A341&amp;"-"&amp;B341,'Order Summary'!$D:$E,2,FALSE)</f>
        <v>Telex / Seaway Released</v>
      </c>
      <c r="D341" s="216">
        <f>IF($A341="","",VLOOKUP($A341&amp;"-"&amp;$B341,'Order Summary'!$D:$U,3,FALSE))</f>
        <v>45965</v>
      </c>
      <c r="E341" s="55" t="str">
        <f>VLOOKUP(A341&amp;"-"&amp;B341,'Order Summary'!$D:$G,4,FALSE)</f>
        <v>Yes</v>
      </c>
      <c r="F341" s="55" t="str">
        <f>VLOOKUP($A341,'Order Summary'!$B:$I,8,FALSE)</f>
        <v>Hillsboro, TX</v>
      </c>
      <c r="G341" s="216">
        <f>IF($A341="","",VLOOKUP($A341&amp;"-"&amp;$B341,'Order Summary'!$D:$U,18,FALSE))</f>
        <v>46100</v>
      </c>
      <c r="H341" s="55">
        <v>4</v>
      </c>
      <c r="I341" s="55">
        <v>709356</v>
      </c>
      <c r="J341" s="55" t="str">
        <f>VLOOKUP($I341,'Old Pricing - end 26-Jan-2026'!$A:$R,2,FALSE)</f>
        <v>G1S 709356</v>
      </c>
      <c r="K341" s="55" t="str">
        <f>VLOOKUP($I341,'Old Pricing - end 26-Jan-2026'!$A:$R,6,FALSE)&amp;" "&amp;VLOOKUP($I341,'Old Pricing - end 26-Jan-2026'!$A:$R,7,FALSE)&amp;""" x "&amp;VLOOKUP($I341,'Old Pricing - end 26-Jan-2026'!$A:$R,9,FALSE)&amp;""" "&amp;VLOOKUP($I341,'Old Pricing - end 26-Jan-2026'!$A:$R,5,FALSE)</f>
        <v>2MM 49" x 90.5" ACP</v>
      </c>
      <c r="L341" s="55">
        <f>VLOOKUP($I341,'Old Pricing - end 26-Jan-2026'!$A:$K,8,FALSE)</f>
        <v>1245</v>
      </c>
      <c r="M341" s="55">
        <f>VLOOKUP($I341,'Old Pricing - end 26-Jan-2026'!$A:$K,10,FALSE)</f>
        <v>2300</v>
      </c>
      <c r="N341" s="55" t="str">
        <f>VLOOKUP($I341,'Old Pricing - end 26-Jan-2026'!$A:$R,13,FALSE)&amp;" "&amp;VLOOKUP($I341,'Old Pricing - end 26-Jan-2026'!$A:$R,12,FALSE)</f>
        <v>AMC 0086 CHARCOAL METALLIC</v>
      </c>
      <c r="O341" s="56">
        <v>18.477</v>
      </c>
      <c r="P341" s="55">
        <f>(VLOOKUP($I341,'Old Pricing - end 26-Jan-2026'!$A:$R,8,FALSE)/1000)*(VLOOKUP($I341,'Old Pricing - end 26-Jan-2026'!$A:$R,10,FALSE)/1000)*Q341</f>
        <v>1718.1000000000001</v>
      </c>
      <c r="Q341" s="55">
        <f>ROUND(('Order Details'!$O341*1000)/((VLOOKUP($I341,'Old Pricing - end 26-Jan-2026'!$A:$Q,7,FALSE)/12)*(VLOOKUP($I341,'Old Pricing - end 26-Jan-2026'!$A:$Q,9,FALSE)/12))/5,0)*5</f>
        <v>600</v>
      </c>
      <c r="R341" s="71">
        <f>$Q341/IFERROR(VLOOKUP($F341&amp;RIGHT($K341,8),'Master Data'!$O$5:$P$10,2,FALSE),'Master Data'!$P$4)</f>
        <v>3</v>
      </c>
      <c r="S341" s="57">
        <f>VLOOKUP($I341,'Old Pricing - end 26-Jan-2026'!$A:$Q,16,FALSE)</f>
        <v>750</v>
      </c>
      <c r="T341" s="57">
        <f>VLOOKUP(I341,'Old Pricing - end 26-Jan-2026'!$A:$O,15,FALSE)</f>
        <v>8.07</v>
      </c>
      <c r="U341" s="57">
        <f t="shared" si="15"/>
        <v>13857.75</v>
      </c>
      <c r="V341" s="111">
        <f t="shared" si="16"/>
        <v>13865.067000000001</v>
      </c>
      <c r="W341" s="55">
        <f>VLOOKUP($I341,'Old Pricing - end 26-Jan-2026'!$A:$R,18,FALSE)</f>
        <v>45</v>
      </c>
    </row>
    <row r="342" spans="1:23" ht="15" hidden="1" thickTop="1" x14ac:dyDescent="0.3">
      <c r="A342" s="55">
        <v>52963980</v>
      </c>
      <c r="B342" s="55">
        <v>1</v>
      </c>
      <c r="C342" s="55" t="str">
        <f>VLOOKUP(A342&amp;"-"&amp;B342,'Order Summary'!$D:$E,2,FALSE)</f>
        <v>Telex / Seaway Released</v>
      </c>
      <c r="D342" s="216">
        <f>IF($A342="","",VLOOKUP($A342&amp;"-"&amp;$B342,'Order Summary'!$D:$U,3,FALSE))</f>
        <v>45965</v>
      </c>
      <c r="E342" s="55" t="str">
        <f>VLOOKUP(A342&amp;"-"&amp;B342,'Order Summary'!$D:$G,4,FALSE)</f>
        <v>Yes</v>
      </c>
      <c r="F342" s="55" t="str">
        <f>VLOOKUP($A342,'Order Summary'!$B:$I,8,FALSE)</f>
        <v>Hillsboro, TX</v>
      </c>
      <c r="G342" s="216">
        <f>IF($A342="","",VLOOKUP($A342&amp;"-"&amp;$B342,'Order Summary'!$D:$U,18,FALSE))</f>
        <v>46100</v>
      </c>
      <c r="H342" s="55">
        <v>5</v>
      </c>
      <c r="I342" s="55">
        <v>710940</v>
      </c>
      <c r="J342" s="55" t="str">
        <f>VLOOKUP($I342,'Old Pricing - end 26-Jan-2026'!$A:$R,2,FALSE)</f>
        <v>G1S 710940</v>
      </c>
      <c r="K342" s="55" t="str">
        <f>VLOOKUP($I342,'Old Pricing - end 26-Jan-2026'!$A:$R,6,FALSE)&amp;" "&amp;VLOOKUP($I342,'Old Pricing - end 26-Jan-2026'!$A:$R,7,FALSE)&amp;""" x "&amp;VLOOKUP($I342,'Old Pricing - end 26-Jan-2026'!$A:$R,9,FALSE)&amp;""" "&amp;VLOOKUP($I342,'Old Pricing - end 26-Jan-2026'!$A:$R,5,FALSE)</f>
        <v>2MM 49" x 90.5" ACP</v>
      </c>
      <c r="L342" s="55">
        <f>VLOOKUP($I342,'Old Pricing - end 26-Jan-2026'!$A:$K,8,FALSE)</f>
        <v>1245</v>
      </c>
      <c r="M342" s="55">
        <f>VLOOKUP($I342,'Old Pricing - end 26-Jan-2026'!$A:$K,10,FALSE)</f>
        <v>2300</v>
      </c>
      <c r="N342" s="55" t="str">
        <f>VLOOKUP($I342,'Old Pricing - end 26-Jan-2026'!$A:$R,13,FALSE)&amp;" "&amp;VLOOKUP($I342,'Old Pricing - end 26-Jan-2026'!$A:$R,12,FALSE)</f>
        <v>ASC 0092 PEPSI BLUE</v>
      </c>
      <c r="O342" s="56">
        <v>6.1589999999999998</v>
      </c>
      <c r="P342" s="55">
        <f>(VLOOKUP($I342,'Old Pricing - end 26-Jan-2026'!$A:$R,8,FALSE)/1000)*(VLOOKUP($I342,'Old Pricing - end 26-Jan-2026'!$A:$R,10,FALSE)/1000)*Q342</f>
        <v>572.70000000000005</v>
      </c>
      <c r="Q342" s="55">
        <f>ROUND(('Order Details'!$O342*1000)/((VLOOKUP($I342,'Old Pricing - end 26-Jan-2026'!$A:$Q,7,FALSE)/12)*(VLOOKUP($I342,'Old Pricing - end 26-Jan-2026'!$A:$Q,9,FALSE)/12))/5,0)*5</f>
        <v>200</v>
      </c>
      <c r="R342" s="71">
        <f>$Q342/IFERROR(VLOOKUP($F342&amp;RIGHT($K342,8),'Master Data'!$O$5:$P$10,2,FALSE),'Master Data'!$P$4)</f>
        <v>1</v>
      </c>
      <c r="S342" s="57">
        <f>VLOOKUP($I342,'Old Pricing - end 26-Jan-2026'!$A:$Q,16,FALSE)</f>
        <v>700</v>
      </c>
      <c r="T342" s="57">
        <f>VLOOKUP(I342,'Old Pricing - end 26-Jan-2026'!$A:$O,15,FALSE)</f>
        <v>7.53</v>
      </c>
      <c r="U342" s="57">
        <f t="shared" si="15"/>
        <v>4311.3</v>
      </c>
      <c r="V342" s="111">
        <f t="shared" si="16"/>
        <v>4312.4310000000005</v>
      </c>
      <c r="W342" s="55">
        <f>VLOOKUP($I342,'Old Pricing - end 26-Jan-2026'!$A:$R,18,FALSE)</f>
        <v>90</v>
      </c>
    </row>
    <row r="343" spans="1:23" ht="15" hidden="1" thickTop="1" x14ac:dyDescent="0.3">
      <c r="A343" s="55">
        <v>52963980</v>
      </c>
      <c r="B343" s="55">
        <v>1</v>
      </c>
      <c r="C343" s="55" t="str">
        <f>VLOOKUP(A343&amp;"-"&amp;B343,'Order Summary'!$D:$E,2,FALSE)</f>
        <v>Telex / Seaway Released</v>
      </c>
      <c r="D343" s="216">
        <f>IF($A343="","",VLOOKUP($A343&amp;"-"&amp;$B343,'Order Summary'!$D:$U,3,FALSE))</f>
        <v>45965</v>
      </c>
      <c r="E343" s="55" t="str">
        <f>VLOOKUP(A343&amp;"-"&amp;B343,'Order Summary'!$D:$G,4,FALSE)</f>
        <v>Yes</v>
      </c>
      <c r="F343" s="55" t="str">
        <f>VLOOKUP($A343,'Order Summary'!$B:$I,8,FALSE)</f>
        <v>Hillsboro, TX</v>
      </c>
      <c r="G343" s="216">
        <f>IF($A343="","",VLOOKUP($A343&amp;"-"&amp;$B343,'Order Summary'!$D:$U,18,FALSE))</f>
        <v>46100</v>
      </c>
      <c r="H343" s="55">
        <v>6</v>
      </c>
      <c r="I343" s="55">
        <v>694445</v>
      </c>
      <c r="J343" s="55" t="s">
        <v>336</v>
      </c>
      <c r="K343" s="55" t="s">
        <v>337</v>
      </c>
      <c r="L343" s="55">
        <v>1245</v>
      </c>
      <c r="M343" s="55">
        <v>2745</v>
      </c>
      <c r="N343" s="55" t="s">
        <v>338</v>
      </c>
      <c r="O343" s="56">
        <v>16.538</v>
      </c>
      <c r="P343" s="55">
        <v>1537.8862500000002</v>
      </c>
      <c r="Q343" s="55">
        <v>450</v>
      </c>
      <c r="R343" s="71">
        <f>Q343/150</f>
        <v>3</v>
      </c>
      <c r="S343" s="123">
        <v>750</v>
      </c>
      <c r="T343" s="123">
        <v>8.07</v>
      </c>
      <c r="U343" s="123">
        <v>12403.5</v>
      </c>
      <c r="V343" s="111">
        <v>12410.742037500002</v>
      </c>
      <c r="W343" s="55">
        <v>45</v>
      </c>
    </row>
    <row r="344" spans="1:23" ht="15" hidden="1" thickTop="1" x14ac:dyDescent="0.3">
      <c r="A344" s="55">
        <v>24169131</v>
      </c>
      <c r="B344" s="55">
        <v>0</v>
      </c>
      <c r="C344" s="55" t="str">
        <f>VLOOKUP(A344&amp;"-"&amp;B344,'Order Summary'!$D:$E,2,FALSE)</f>
        <v>PO Revised</v>
      </c>
      <c r="D344" s="216">
        <f>IF($A344="","",VLOOKUP($A344&amp;"-"&amp;$B344,'Order Summary'!$D:$U,3,FALSE))</f>
        <v>46032</v>
      </c>
      <c r="E344" s="55" t="str">
        <f>VLOOKUP(A344&amp;"-"&amp;B344,'Order Summary'!$D:$G,4,FALSE)</f>
        <v>No</v>
      </c>
      <c r="F344" s="55" t="str">
        <f>VLOOKUP($A344,'Order Summary'!$B:$I,8,FALSE)</f>
        <v>Granger, IN</v>
      </c>
      <c r="G344" s="216">
        <f>IF($A344="","",VLOOKUP($A344&amp;"-"&amp;$B344,'Order Summary'!$D:$U,18,FALSE))</f>
        <v>0</v>
      </c>
      <c r="H344" s="55">
        <v>1</v>
      </c>
      <c r="I344" s="55">
        <v>694673</v>
      </c>
      <c r="J344" s="55" t="str">
        <f>VLOOKUP($I344,'Old Pricing - end 26-Jan-2026'!$A:$R,2,FALSE)</f>
        <v>G1S 694673</v>
      </c>
      <c r="K344" s="55" t="str">
        <f>VLOOKUP($I344,'Old Pricing - end 26-Jan-2026'!$A:$R,6,FALSE)&amp;" "&amp;VLOOKUP($I344,'Old Pricing - end 26-Jan-2026'!$A:$R,7,FALSE)&amp;""" x "&amp;VLOOKUP($I344,'Old Pricing - end 26-Jan-2026'!$A:$R,9,FALSE)&amp;""" "&amp;VLOOKUP($I344,'Old Pricing - end 26-Jan-2026'!$A:$R,5,FALSE)</f>
        <v>2MM 49" x 108" ACP</v>
      </c>
      <c r="L344" s="55">
        <f>VLOOKUP($I344,'Old Pricing - end 26-Jan-2026'!$A:$K,8,FALSE)</f>
        <v>1245</v>
      </c>
      <c r="M344" s="55">
        <f>VLOOKUP($I344,'Old Pricing - end 26-Jan-2026'!$A:$K,10,FALSE)</f>
        <v>2745</v>
      </c>
      <c r="N344" s="55" t="str">
        <f>VLOOKUP($I344,'Old Pricing - end 26-Jan-2026'!$A:$R,13,FALSE)&amp;" "&amp;VLOOKUP($I344,'Old Pricing - end 26-Jan-2026'!$A:$R,12,FALSE)</f>
        <v>ASC 0089 VICTORY RED</v>
      </c>
      <c r="O344" s="56">
        <v>58.8</v>
      </c>
      <c r="P344" s="55">
        <f>(VLOOKUP($I344,'Old Pricing - end 26-Jan-2026'!$A:$R,8,FALSE)/1000)*(VLOOKUP($I344,'Old Pricing - end 26-Jan-2026'!$A:$R,10,FALSE)/1000)*Q344</f>
        <v>5468.0400000000009</v>
      </c>
      <c r="Q344" s="55">
        <f>ROUND(('Order Details'!$O344*1000)/((VLOOKUP($I344,'Old Pricing - end 26-Jan-2026'!$A:$Q,7,FALSE)/12)*(VLOOKUP($I344,'Old Pricing - end 26-Jan-2026'!$A:$Q,9,FALSE)/12))/5,0)*5</f>
        <v>1600</v>
      </c>
      <c r="R344" s="71">
        <f>$Q344/IFERROR(VLOOKUP($F344&amp;RIGHT($K344,8),'Master Data'!$O$5:$P$10,2,FALSE),'Master Data'!$P$4)</f>
        <v>8</v>
      </c>
      <c r="S344" s="57">
        <f>VLOOKUP($I344,'Old Pricing - end 26-Jan-2026'!$A:$Q,16,FALSE)</f>
        <v>700</v>
      </c>
      <c r="T344" s="57">
        <f>VLOOKUP(I344,'Old Pricing - end 26-Jan-2026'!$A:$O,15,FALSE)</f>
        <v>7.53</v>
      </c>
      <c r="U344" s="57">
        <f t="shared" si="15"/>
        <v>41160</v>
      </c>
      <c r="V344" s="111">
        <f t="shared" si="16"/>
        <v>41174.34120000001</v>
      </c>
      <c r="W344" s="55">
        <f>VLOOKUP($I344,'Old Pricing - end 26-Jan-2026'!$A:$R,18,FALSE)</f>
        <v>45</v>
      </c>
    </row>
    <row r="345" spans="1:23" ht="15" hidden="1" thickTop="1" x14ac:dyDescent="0.3">
      <c r="A345" s="55">
        <v>24169131</v>
      </c>
      <c r="B345" s="55">
        <v>0</v>
      </c>
      <c r="C345" s="55" t="str">
        <f>VLOOKUP(A345&amp;"-"&amp;B345,'Order Summary'!$D:$E,2,FALSE)</f>
        <v>PO Revised</v>
      </c>
      <c r="D345" s="216">
        <f>IF($A345="","",VLOOKUP($A345&amp;"-"&amp;$B345,'Order Summary'!$D:$U,3,FALSE))</f>
        <v>46032</v>
      </c>
      <c r="E345" s="55" t="str">
        <f>VLOOKUP(A345&amp;"-"&amp;B345,'Order Summary'!$D:$G,4,FALSE)</f>
        <v>No</v>
      </c>
      <c r="F345" s="55" t="str">
        <f>VLOOKUP($A345,'Order Summary'!$B:$I,8,FALSE)</f>
        <v>Granger, IN</v>
      </c>
      <c r="G345" s="216">
        <f>IF($A345="","",VLOOKUP($A345&amp;"-"&amp;$B345,'Order Summary'!$D:$U,18,FALSE))</f>
        <v>0</v>
      </c>
      <c r="H345" s="55">
        <v>2</v>
      </c>
      <c r="I345" s="55">
        <v>695621</v>
      </c>
      <c r="J345" s="55" t="str">
        <f>VLOOKUP($I345,'Old Pricing - end 26-Jan-2026'!$A:$R,2,FALSE)</f>
        <v>G1S 695621</v>
      </c>
      <c r="K345" s="55" t="str">
        <f>VLOOKUP($I345,'Old Pricing - end 26-Jan-2026'!$A:$R,6,FALSE)&amp;" "&amp;VLOOKUP($I345,'Old Pricing - end 26-Jan-2026'!$A:$R,7,FALSE)&amp;""" x "&amp;VLOOKUP($I345,'Old Pricing - end 26-Jan-2026'!$A:$R,9,FALSE)&amp;""" "&amp;VLOOKUP($I345,'Old Pricing - end 26-Jan-2026'!$A:$R,5,FALSE)</f>
        <v>2MM 49" x 108" ACP</v>
      </c>
      <c r="L345" s="55">
        <f>VLOOKUP($I345,'Old Pricing - end 26-Jan-2026'!$A:$K,8,FALSE)</f>
        <v>1245</v>
      </c>
      <c r="M345" s="55">
        <f>VLOOKUP($I345,'Old Pricing - end 26-Jan-2026'!$A:$K,10,FALSE)</f>
        <v>2745</v>
      </c>
      <c r="N345" s="55" t="str">
        <f>VLOOKUP($I345,'Old Pricing - end 26-Jan-2026'!$A:$R,13,FALSE)&amp;" "&amp;VLOOKUP($I345,'Old Pricing - end 26-Jan-2026'!$A:$R,12,FALSE)</f>
        <v>ASC 0105 INDIGO BLUE</v>
      </c>
      <c r="O345" s="56">
        <v>29.4</v>
      </c>
      <c r="P345" s="55">
        <f>(VLOOKUP($I345,'Old Pricing - end 26-Jan-2026'!$A:$R,8,FALSE)/1000)*(VLOOKUP($I345,'Old Pricing - end 26-Jan-2026'!$A:$R,10,FALSE)/1000)*Q345</f>
        <v>2734.0200000000004</v>
      </c>
      <c r="Q345" s="55">
        <f>ROUND(('Order Details'!$O345*1000)/((VLOOKUP($I345,'Old Pricing - end 26-Jan-2026'!$A:$Q,7,FALSE)/12)*(VLOOKUP($I345,'Old Pricing - end 26-Jan-2026'!$A:$Q,9,FALSE)/12))/5,0)*5</f>
        <v>800</v>
      </c>
      <c r="R345" s="71">
        <f>$Q345/IFERROR(VLOOKUP($F345&amp;RIGHT($K345,8),'Master Data'!$O$5:$P$10,2,FALSE),'Master Data'!$P$4)</f>
        <v>4</v>
      </c>
      <c r="S345" s="57">
        <f>VLOOKUP($I345,'Old Pricing - end 26-Jan-2026'!$A:$Q,16,FALSE)</f>
        <v>750</v>
      </c>
      <c r="T345" s="57">
        <f>VLOOKUP(I345,'Old Pricing - end 26-Jan-2026'!$A:$O,15,FALSE)</f>
        <v>8.07</v>
      </c>
      <c r="U345" s="57">
        <f t="shared" si="15"/>
        <v>22050</v>
      </c>
      <c r="V345" s="111">
        <f t="shared" si="16"/>
        <v>22063.541400000006</v>
      </c>
      <c r="W345" s="55">
        <f>VLOOKUP($I345,'Old Pricing - end 26-Jan-2026'!$A:$R,18,FALSE)</f>
        <v>45</v>
      </c>
    </row>
    <row r="346" spans="1:23" ht="15" hidden="1" thickTop="1" x14ac:dyDescent="0.3">
      <c r="A346" s="55">
        <v>24169135</v>
      </c>
      <c r="B346" s="55">
        <v>0</v>
      </c>
      <c r="C346" s="55" t="str">
        <f>VLOOKUP(A346&amp;"-"&amp;B346,'Order Summary'!$D:$E,2,FALSE)</f>
        <v>Downpayment Received</v>
      </c>
      <c r="D346" s="216">
        <f>IF($A346="","",VLOOKUP($A346&amp;"-"&amp;$B346,'Order Summary'!$D:$U,3,FALSE))</f>
        <v>46032</v>
      </c>
      <c r="E346" s="55" t="str">
        <f>VLOOKUP(A346&amp;"-"&amp;B346,'Order Summary'!$D:$G,4,FALSE)</f>
        <v>Yes</v>
      </c>
      <c r="F346" s="55" t="str">
        <f>VLOOKUP($A346,'Order Summary'!$B:$I,8,FALSE)</f>
        <v>Granger, IN</v>
      </c>
      <c r="G346" s="216">
        <f>IF($A346="","",VLOOKUP($A346&amp;"-"&amp;$B346,'Order Summary'!$D:$U,18,FALSE))</f>
        <v>46140</v>
      </c>
      <c r="H346" s="55">
        <v>1</v>
      </c>
      <c r="I346" s="55">
        <v>694444</v>
      </c>
      <c r="J346" s="55" t="str">
        <f>VLOOKUP($I346,'Old Pricing - end 26-Jan-2026'!$A:$R,2,FALSE)</f>
        <v>G1S 694444</v>
      </c>
      <c r="K346" s="55" t="str">
        <f>VLOOKUP($I346,'Old Pricing - end 26-Jan-2026'!$A:$R,6,FALSE)&amp;" "&amp;VLOOKUP($I346,'Old Pricing - end 26-Jan-2026'!$A:$R,7,FALSE)&amp;""" x "&amp;VLOOKUP($I346,'Old Pricing - end 26-Jan-2026'!$A:$R,9,FALSE)&amp;""" "&amp;VLOOKUP($I346,'Old Pricing - end 26-Jan-2026'!$A:$R,5,FALSE)</f>
        <v>2MM 49" x 96" ACP</v>
      </c>
      <c r="L346" s="55">
        <f>VLOOKUP($I346,'Old Pricing - end 26-Jan-2026'!$A:$K,8,FALSE)</f>
        <v>1245</v>
      </c>
      <c r="M346" s="55">
        <f>VLOOKUP($I346,'Old Pricing - end 26-Jan-2026'!$A:$K,10,FALSE)</f>
        <v>2440</v>
      </c>
      <c r="N346" s="55" t="str">
        <f>VLOOKUP($I346,'Old Pricing - end 26-Jan-2026'!$A:$R,13,FALSE)&amp;" "&amp;VLOOKUP($I346,'Old Pricing - end 26-Jan-2026'!$A:$R,12,FALSE)</f>
        <v>AMC 0086 CHARCOAL METALLIC</v>
      </c>
      <c r="O346" s="56">
        <v>13.067</v>
      </c>
      <c r="P346" s="55">
        <f>(VLOOKUP($I346,'Old Pricing - end 26-Jan-2026'!$A:$R,8,FALSE)/1000)*(VLOOKUP($I346,'Old Pricing - end 26-Jan-2026'!$A:$R,10,FALSE)/1000)*Q346</f>
        <v>1215.1200000000001</v>
      </c>
      <c r="Q346" s="55">
        <f>ROUND(('Order Details'!$O346*1000)/((VLOOKUP($I346,'Old Pricing - end 26-Jan-2026'!$A:$Q,7,FALSE)/12)*(VLOOKUP($I346,'Old Pricing - end 26-Jan-2026'!$A:$Q,9,FALSE)/12))/5,0)*5</f>
        <v>400</v>
      </c>
      <c r="R346" s="71">
        <f>$Q346/IFERROR(VLOOKUP($F346&amp;RIGHT($K346,8),'Master Data'!$O$5:$P$10,2,FALSE),'Master Data'!$P$4)</f>
        <v>2</v>
      </c>
      <c r="S346" s="57">
        <f>VLOOKUP($I346,'Old Pricing - end 26-Jan-2026'!$A:$Q,16,FALSE)</f>
        <v>750</v>
      </c>
      <c r="T346" s="57">
        <f>VLOOKUP(I346,'Old Pricing - end 26-Jan-2026'!$A:$O,15,FALSE)</f>
        <v>8.07</v>
      </c>
      <c r="U346" s="57">
        <f t="shared" si="15"/>
        <v>9800.25</v>
      </c>
      <c r="V346" s="111">
        <f t="shared" si="16"/>
        <v>9806.0184000000008</v>
      </c>
      <c r="W346" s="55">
        <f>VLOOKUP($I346,'Old Pricing - end 26-Jan-2026'!$A:$R,18,FALSE)</f>
        <v>45</v>
      </c>
    </row>
    <row r="347" spans="1:23" ht="15" hidden="1" thickTop="1" x14ac:dyDescent="0.3">
      <c r="A347" s="55">
        <v>24169135</v>
      </c>
      <c r="B347" s="55">
        <v>0</v>
      </c>
      <c r="C347" s="55" t="str">
        <f>VLOOKUP(A347&amp;"-"&amp;B347,'Order Summary'!$D:$E,2,FALSE)</f>
        <v>Downpayment Received</v>
      </c>
      <c r="D347" s="216">
        <f>IF($A347="","",VLOOKUP($A347&amp;"-"&amp;$B347,'Order Summary'!$D:$U,3,FALSE))</f>
        <v>46032</v>
      </c>
      <c r="E347" s="55" t="str">
        <f>VLOOKUP(A347&amp;"-"&amp;B347,'Order Summary'!$D:$G,4,FALSE)</f>
        <v>Yes</v>
      </c>
      <c r="F347" s="55" t="str">
        <f>VLOOKUP($A347,'Order Summary'!$B:$I,8,FALSE)</f>
        <v>Granger, IN</v>
      </c>
      <c r="G347" s="216">
        <f>IF($A347="","",VLOOKUP($A347&amp;"-"&amp;$B347,'Order Summary'!$D:$U,18,FALSE))</f>
        <v>46140</v>
      </c>
      <c r="H347" s="55">
        <v>2</v>
      </c>
      <c r="I347" s="55">
        <v>694672</v>
      </c>
      <c r="J347" s="55" t="str">
        <f>VLOOKUP($I347,'Old Pricing - end 26-Jan-2026'!$A:$R,2,FALSE)</f>
        <v>G1S 694672</v>
      </c>
      <c r="K347" s="55" t="str">
        <f>VLOOKUP($I347,'Old Pricing - end 26-Jan-2026'!$A:$R,6,FALSE)&amp;" "&amp;VLOOKUP($I347,'Old Pricing - end 26-Jan-2026'!$A:$R,7,FALSE)&amp;""" x "&amp;VLOOKUP($I347,'Old Pricing - end 26-Jan-2026'!$A:$R,9,FALSE)&amp;""" "&amp;VLOOKUP($I347,'Old Pricing - end 26-Jan-2026'!$A:$R,5,FALSE)</f>
        <v>2MM 49" x 96" ACP</v>
      </c>
      <c r="L347" s="55">
        <f>VLOOKUP($I347,'Old Pricing - end 26-Jan-2026'!$A:$K,8,FALSE)</f>
        <v>1245</v>
      </c>
      <c r="M347" s="55">
        <f>VLOOKUP($I347,'Old Pricing - end 26-Jan-2026'!$A:$K,10,FALSE)</f>
        <v>2440</v>
      </c>
      <c r="N347" s="55" t="str">
        <f>VLOOKUP($I347,'Old Pricing - end 26-Jan-2026'!$A:$R,13,FALSE)&amp;" "&amp;VLOOKUP($I347,'Old Pricing - end 26-Jan-2026'!$A:$R,12,FALSE)</f>
        <v>ASC 0089 VICTORY RED</v>
      </c>
      <c r="O347" s="56">
        <v>19.600000000000001</v>
      </c>
      <c r="P347" s="55">
        <f>(VLOOKUP($I347,'Old Pricing - end 26-Jan-2026'!$A:$R,8,FALSE)/1000)*(VLOOKUP($I347,'Old Pricing - end 26-Jan-2026'!$A:$R,10,FALSE)/1000)*Q347</f>
        <v>1822.68</v>
      </c>
      <c r="Q347" s="55">
        <f>ROUND(('Order Details'!$O347*1000)/((VLOOKUP($I347,'Old Pricing - end 26-Jan-2026'!$A:$Q,7,FALSE)/12)*(VLOOKUP($I347,'Old Pricing - end 26-Jan-2026'!$A:$Q,9,FALSE)/12))/5,0)*5</f>
        <v>600</v>
      </c>
      <c r="R347" s="71">
        <f>$Q347/IFERROR(VLOOKUP($F347&amp;RIGHT($K347,8),'Master Data'!$O$5:$P$10,2,FALSE),'Master Data'!$P$4)</f>
        <v>3</v>
      </c>
      <c r="S347" s="57">
        <f>VLOOKUP($I347,'Old Pricing - end 26-Jan-2026'!$A:$Q,16,FALSE)</f>
        <v>700</v>
      </c>
      <c r="T347" s="57">
        <f>VLOOKUP(I347,'Old Pricing - end 26-Jan-2026'!$A:$O,15,FALSE)</f>
        <v>7.53</v>
      </c>
      <c r="U347" s="57">
        <f t="shared" si="15"/>
        <v>13720.000000000002</v>
      </c>
      <c r="V347" s="111">
        <f t="shared" si="16"/>
        <v>13724.780400000001</v>
      </c>
      <c r="W347" s="55">
        <f>VLOOKUP($I347,'Old Pricing - end 26-Jan-2026'!$A:$R,18,FALSE)</f>
        <v>45</v>
      </c>
    </row>
    <row r="348" spans="1:23" ht="15" hidden="1" thickTop="1" x14ac:dyDescent="0.3">
      <c r="A348" s="55">
        <v>24169135</v>
      </c>
      <c r="B348" s="55">
        <v>0</v>
      </c>
      <c r="C348" s="55" t="str">
        <f>VLOOKUP(A348&amp;"-"&amp;B348,'Order Summary'!$D:$E,2,FALSE)</f>
        <v>Downpayment Received</v>
      </c>
      <c r="D348" s="216">
        <f>IF($A348="","",VLOOKUP($A348&amp;"-"&amp;$B348,'Order Summary'!$D:$U,3,FALSE))</f>
        <v>46032</v>
      </c>
      <c r="E348" s="55" t="str">
        <f>VLOOKUP(A348&amp;"-"&amp;B348,'Order Summary'!$D:$G,4,FALSE)</f>
        <v>Yes</v>
      </c>
      <c r="F348" s="55" t="str">
        <f>VLOOKUP($A348,'Order Summary'!$B:$I,8,FALSE)</f>
        <v>Granger, IN</v>
      </c>
      <c r="G348" s="216">
        <f>IF($A348="","",VLOOKUP($A348&amp;"-"&amp;$B348,'Order Summary'!$D:$U,18,FALSE))</f>
        <v>46140</v>
      </c>
      <c r="H348" s="55">
        <v>3</v>
      </c>
      <c r="I348" s="55">
        <v>694673</v>
      </c>
      <c r="J348" s="55" t="str">
        <f>VLOOKUP($I348,'Old Pricing - end 26-Jan-2026'!$A:$R,2,FALSE)</f>
        <v>G1S 694673</v>
      </c>
      <c r="K348" s="55" t="str">
        <f>VLOOKUP($I348,'Old Pricing - end 26-Jan-2026'!$A:$R,6,FALSE)&amp;" "&amp;VLOOKUP($I348,'Old Pricing - end 26-Jan-2026'!$A:$R,7,FALSE)&amp;""" x "&amp;VLOOKUP($I348,'Old Pricing - end 26-Jan-2026'!$A:$R,9,FALSE)&amp;""" "&amp;VLOOKUP($I348,'Old Pricing - end 26-Jan-2026'!$A:$R,5,FALSE)</f>
        <v>2MM 49" x 108" ACP</v>
      </c>
      <c r="L348" s="55">
        <f>VLOOKUP($I348,'Old Pricing - end 26-Jan-2026'!$A:$K,8,FALSE)</f>
        <v>1245</v>
      </c>
      <c r="M348" s="55">
        <f>VLOOKUP($I348,'Old Pricing - end 26-Jan-2026'!$A:$K,10,FALSE)</f>
        <v>2745</v>
      </c>
      <c r="N348" s="55" t="str">
        <f>VLOOKUP($I348,'Old Pricing - end 26-Jan-2026'!$A:$R,13,FALSE)&amp;" "&amp;VLOOKUP($I348,'Old Pricing - end 26-Jan-2026'!$A:$R,12,FALSE)</f>
        <v>ASC 0089 VICTORY RED</v>
      </c>
      <c r="O348" s="56">
        <v>14.7</v>
      </c>
      <c r="P348" s="55">
        <f>(VLOOKUP($I348,'Old Pricing - end 26-Jan-2026'!$A:$R,8,FALSE)/1000)*(VLOOKUP($I348,'Old Pricing - end 26-Jan-2026'!$A:$R,10,FALSE)/1000)*Q348</f>
        <v>1367.0100000000002</v>
      </c>
      <c r="Q348" s="55">
        <f>ROUND(('Order Details'!$O348*1000)/((VLOOKUP($I348,'Old Pricing - end 26-Jan-2026'!$A:$Q,7,FALSE)/12)*(VLOOKUP($I348,'Old Pricing - end 26-Jan-2026'!$A:$Q,9,FALSE)/12))/5,0)*5</f>
        <v>400</v>
      </c>
      <c r="R348" s="71">
        <f>$Q348/IFERROR(VLOOKUP($F348&amp;RIGHT($K348,8),'Master Data'!$O$5:$P$10,2,FALSE),'Master Data'!$P$4)</f>
        <v>2</v>
      </c>
      <c r="S348" s="57">
        <f>VLOOKUP($I348,'Old Pricing - end 26-Jan-2026'!$A:$Q,16,FALSE)</f>
        <v>700</v>
      </c>
      <c r="T348" s="57">
        <f>VLOOKUP(I348,'Old Pricing - end 26-Jan-2026'!$A:$O,15,FALSE)</f>
        <v>7.53</v>
      </c>
      <c r="U348" s="57">
        <f t="shared" si="15"/>
        <v>10290</v>
      </c>
      <c r="V348" s="111">
        <f t="shared" si="16"/>
        <v>10293.585300000002</v>
      </c>
      <c r="W348" s="55">
        <f>VLOOKUP($I348,'Old Pricing - end 26-Jan-2026'!$A:$R,18,FALSE)</f>
        <v>45</v>
      </c>
    </row>
    <row r="349" spans="1:23" ht="15" hidden="1" thickTop="1" x14ac:dyDescent="0.3">
      <c r="A349" s="55">
        <v>24169135</v>
      </c>
      <c r="B349" s="55">
        <v>0</v>
      </c>
      <c r="C349" s="55" t="str">
        <f>VLOOKUP(A349&amp;"-"&amp;B349,'Order Summary'!$D:$E,2,FALSE)</f>
        <v>Downpayment Received</v>
      </c>
      <c r="D349" s="216">
        <f>IF($A349="","",VLOOKUP($A349&amp;"-"&amp;$B349,'Order Summary'!$D:$U,3,FALSE))</f>
        <v>46032</v>
      </c>
      <c r="E349" s="55" t="str">
        <f>VLOOKUP(A349&amp;"-"&amp;B349,'Order Summary'!$D:$G,4,FALSE)</f>
        <v>Yes</v>
      </c>
      <c r="F349" s="55" t="str">
        <f>VLOOKUP($A349,'Order Summary'!$B:$I,8,FALSE)</f>
        <v>Granger, IN</v>
      </c>
      <c r="G349" s="216">
        <f>IF($A349="","",VLOOKUP($A349&amp;"-"&amp;$B349,'Order Summary'!$D:$U,18,FALSE))</f>
        <v>46140</v>
      </c>
      <c r="H349" s="55">
        <v>4</v>
      </c>
      <c r="I349" s="55">
        <v>695620</v>
      </c>
      <c r="J349" s="55" t="str">
        <f>VLOOKUP($I349,'Old Pricing - end 26-Jan-2026'!$A:$R,2,FALSE)</f>
        <v>G1S 695620</v>
      </c>
      <c r="K349" s="55" t="str">
        <f>VLOOKUP($I349,'Old Pricing - end 26-Jan-2026'!$A:$R,6,FALSE)&amp;" "&amp;VLOOKUP($I349,'Old Pricing - end 26-Jan-2026'!$A:$R,7,FALSE)&amp;""" x "&amp;VLOOKUP($I349,'Old Pricing - end 26-Jan-2026'!$A:$R,9,FALSE)&amp;""" "&amp;VLOOKUP($I349,'Old Pricing - end 26-Jan-2026'!$A:$R,5,FALSE)</f>
        <v>2MM 49" x 96" ACP</v>
      </c>
      <c r="L349" s="55">
        <f>VLOOKUP($I349,'Old Pricing - end 26-Jan-2026'!$A:$K,8,FALSE)</f>
        <v>1245</v>
      </c>
      <c r="M349" s="55">
        <f>VLOOKUP($I349,'Old Pricing - end 26-Jan-2026'!$A:$K,10,FALSE)</f>
        <v>2440</v>
      </c>
      <c r="N349" s="55" t="str">
        <f>VLOOKUP($I349,'Old Pricing - end 26-Jan-2026'!$A:$R,13,FALSE)&amp;" "&amp;VLOOKUP($I349,'Old Pricing - end 26-Jan-2026'!$A:$R,12,FALSE)</f>
        <v>ASC 0105 INDIGO BLUE</v>
      </c>
      <c r="O349" s="56">
        <v>26.132999999999999</v>
      </c>
      <c r="P349" s="55">
        <f>(VLOOKUP($I349,'Old Pricing - end 26-Jan-2026'!$A:$R,8,FALSE)/1000)*(VLOOKUP($I349,'Old Pricing - end 26-Jan-2026'!$A:$R,10,FALSE)/1000)*Q349</f>
        <v>2430.2400000000002</v>
      </c>
      <c r="Q349" s="55">
        <f>ROUND(('Order Details'!$O349*1000)/((VLOOKUP($I349,'Old Pricing - end 26-Jan-2026'!$A:$Q,7,FALSE)/12)*(VLOOKUP($I349,'Old Pricing - end 26-Jan-2026'!$A:$Q,9,FALSE)/12))/5,0)*5</f>
        <v>800</v>
      </c>
      <c r="R349" s="71">
        <f>$Q349/IFERROR(VLOOKUP($F349&amp;RIGHT($K349,8),'Master Data'!$O$5:$P$10,2,FALSE),'Master Data'!$P$4)</f>
        <v>4</v>
      </c>
      <c r="S349" s="57">
        <f>VLOOKUP($I349,'Old Pricing - end 26-Jan-2026'!$A:$Q,16,FALSE)</f>
        <v>750</v>
      </c>
      <c r="T349" s="57">
        <f>VLOOKUP(I349,'Old Pricing - end 26-Jan-2026'!$A:$O,15,FALSE)</f>
        <v>8.07</v>
      </c>
      <c r="U349" s="57">
        <f t="shared" si="15"/>
        <v>19599.75</v>
      </c>
      <c r="V349" s="111">
        <f t="shared" si="16"/>
        <v>19612.036800000002</v>
      </c>
      <c r="W349" s="55">
        <f>VLOOKUP($I349,'Old Pricing - end 26-Jan-2026'!$A:$R,18,FALSE)</f>
        <v>45</v>
      </c>
    </row>
    <row r="350" spans="1:23" ht="15" hidden="1" thickTop="1" x14ac:dyDescent="0.3">
      <c r="A350" s="55">
        <v>24169135</v>
      </c>
      <c r="B350" s="55">
        <v>0</v>
      </c>
      <c r="C350" s="55" t="str">
        <f>VLOOKUP(A350&amp;"-"&amp;B350,'Order Summary'!$D:$E,2,FALSE)</f>
        <v>Downpayment Received</v>
      </c>
      <c r="D350" s="216">
        <f>IF($A350="","",VLOOKUP($A350&amp;"-"&amp;$B350,'Order Summary'!$D:$U,3,FALSE))</f>
        <v>46032</v>
      </c>
      <c r="E350" s="55" t="str">
        <f>VLOOKUP(A350&amp;"-"&amp;B350,'Order Summary'!$D:$G,4,FALSE)</f>
        <v>Yes</v>
      </c>
      <c r="F350" s="55" t="str">
        <f>VLOOKUP($A350,'Order Summary'!$B:$I,8,FALSE)</f>
        <v>Granger, IN</v>
      </c>
      <c r="G350" s="216">
        <f>IF($A350="","",VLOOKUP($A350&amp;"-"&amp;$B350,'Order Summary'!$D:$U,18,FALSE))</f>
        <v>46140</v>
      </c>
      <c r="H350" s="55">
        <v>5</v>
      </c>
      <c r="I350" s="55">
        <v>695621</v>
      </c>
      <c r="J350" s="55" t="str">
        <f>VLOOKUP($I350,'Old Pricing - end 26-Jan-2026'!$A:$R,2,FALSE)</f>
        <v>G1S 695621</v>
      </c>
      <c r="K350" s="55" t="str">
        <f>VLOOKUP($I350,'Old Pricing - end 26-Jan-2026'!$A:$R,6,FALSE)&amp;" "&amp;VLOOKUP($I350,'Old Pricing - end 26-Jan-2026'!$A:$R,7,FALSE)&amp;""" x "&amp;VLOOKUP($I350,'Old Pricing - end 26-Jan-2026'!$A:$R,9,FALSE)&amp;""" "&amp;VLOOKUP($I350,'Old Pricing - end 26-Jan-2026'!$A:$R,5,FALSE)</f>
        <v>2MM 49" x 108" ACP</v>
      </c>
      <c r="L350" s="55">
        <f>VLOOKUP($I350,'Old Pricing - end 26-Jan-2026'!$A:$K,8,FALSE)</f>
        <v>1245</v>
      </c>
      <c r="M350" s="55">
        <f>VLOOKUP($I350,'Old Pricing - end 26-Jan-2026'!$A:$K,10,FALSE)</f>
        <v>2745</v>
      </c>
      <c r="N350" s="55" t="str">
        <f>VLOOKUP($I350,'Old Pricing - end 26-Jan-2026'!$A:$R,13,FALSE)&amp;" "&amp;VLOOKUP($I350,'Old Pricing - end 26-Jan-2026'!$A:$R,12,FALSE)</f>
        <v>ASC 0105 INDIGO BLUE</v>
      </c>
      <c r="O350" s="56">
        <v>14.7</v>
      </c>
      <c r="P350" s="55">
        <f>(VLOOKUP($I350,'Old Pricing - end 26-Jan-2026'!$A:$R,8,FALSE)/1000)*(VLOOKUP($I350,'Old Pricing - end 26-Jan-2026'!$A:$R,10,FALSE)/1000)*Q350</f>
        <v>1367.0100000000002</v>
      </c>
      <c r="Q350" s="55">
        <f>ROUND(('Order Details'!$O350*1000)/((VLOOKUP($I350,'Old Pricing - end 26-Jan-2026'!$A:$Q,7,FALSE)/12)*(VLOOKUP($I350,'Old Pricing - end 26-Jan-2026'!$A:$Q,9,FALSE)/12))/5,0)*5</f>
        <v>400</v>
      </c>
      <c r="R350" s="71">
        <f>$Q350/IFERROR(VLOOKUP($F350&amp;RIGHT($K350,8),'Master Data'!$O$5:$P$10,2,FALSE),'Master Data'!$P$4)</f>
        <v>2</v>
      </c>
      <c r="S350" s="57">
        <f>VLOOKUP($I350,'Old Pricing - end 26-Jan-2026'!$A:$Q,16,FALSE)</f>
        <v>750</v>
      </c>
      <c r="T350" s="57">
        <f>VLOOKUP(I350,'Old Pricing - end 26-Jan-2026'!$A:$O,15,FALSE)</f>
        <v>8.07</v>
      </c>
      <c r="U350" s="57">
        <f t="shared" si="15"/>
        <v>11025</v>
      </c>
      <c r="V350" s="111">
        <f t="shared" si="16"/>
        <v>11031.770700000003</v>
      </c>
      <c r="W350" s="55">
        <f>VLOOKUP($I350,'Old Pricing - end 26-Jan-2026'!$A:$R,18,FALSE)</f>
        <v>45</v>
      </c>
    </row>
    <row r="351" spans="1:23" ht="15" hidden="1" thickTop="1" x14ac:dyDescent="0.3">
      <c r="A351" s="55">
        <v>24174768</v>
      </c>
      <c r="B351" s="55">
        <v>0</v>
      </c>
      <c r="C351" s="55" t="str">
        <f>VLOOKUP(A351&amp;"-"&amp;B351,'Order Summary'!$D:$E,2,FALSE)</f>
        <v>Balance Payment Received</v>
      </c>
      <c r="D351" s="216">
        <f>IF($A351="","",VLOOKUP($A351&amp;"-"&amp;$B351,'Order Summary'!$D:$U,3,FALSE))</f>
        <v>46042</v>
      </c>
      <c r="E351" s="55" t="str">
        <f>VLOOKUP(A351&amp;"-"&amp;B351,'Order Summary'!$D:$G,4,FALSE)</f>
        <v>Yes</v>
      </c>
      <c r="F351" s="55" t="str">
        <f>VLOOKUP($A351,'Order Summary'!$B:$I,8,FALSE)</f>
        <v>Houston, TX</v>
      </c>
      <c r="G351" s="216">
        <f>IF($A351="","",VLOOKUP($A351&amp;"-"&amp;$B351,'Order Summary'!$D:$U,18,FALSE))</f>
        <v>46191</v>
      </c>
      <c r="H351" s="55">
        <v>1</v>
      </c>
      <c r="I351" s="55">
        <v>694444</v>
      </c>
      <c r="J351" s="55" t="str">
        <f>VLOOKUP($I351,'Old Pricing - end 26-Jan-2026'!$A:$R,2,FALSE)</f>
        <v>G1S 694444</v>
      </c>
      <c r="K351" s="55" t="str">
        <f>VLOOKUP($I351,'Old Pricing - end 26-Jan-2026'!$A:$R,6,FALSE)&amp;" "&amp;VLOOKUP($I351,'Old Pricing - end 26-Jan-2026'!$A:$R,7,FALSE)&amp;""" x "&amp;VLOOKUP($I351,'Old Pricing - end 26-Jan-2026'!$A:$R,9,FALSE)&amp;""" "&amp;VLOOKUP($I351,'Old Pricing - end 26-Jan-2026'!$A:$R,5,FALSE)</f>
        <v>2MM 49" x 96" ACP</v>
      </c>
      <c r="L351" s="55">
        <f>VLOOKUP($I351,'Old Pricing - end 26-Jan-2026'!$A:$K,8,FALSE)</f>
        <v>1245</v>
      </c>
      <c r="M351" s="55">
        <f>VLOOKUP($I351,'Old Pricing - end 26-Jan-2026'!$A:$K,10,FALSE)</f>
        <v>2440</v>
      </c>
      <c r="N351" s="55" t="str">
        <f>VLOOKUP($I351,'Old Pricing - end 26-Jan-2026'!$A:$R,13,FALSE)&amp;" "&amp;VLOOKUP($I351,'Old Pricing - end 26-Jan-2026'!$A:$R,12,FALSE)</f>
        <v>AMC 0086 CHARCOAL METALLIC</v>
      </c>
      <c r="O351" s="56">
        <v>91.466999999999999</v>
      </c>
      <c r="P351" s="55">
        <f>(VLOOKUP($I351,'Old Pricing - end 26-Jan-2026'!$A:$R,8,FALSE)/1000)*(VLOOKUP($I351,'Old Pricing - end 26-Jan-2026'!$A:$R,10,FALSE)/1000)*Q351</f>
        <v>8505.84</v>
      </c>
      <c r="Q351" s="55">
        <f>ROUND(('Order Details'!$O351*1000)/((VLOOKUP($I351,'Old Pricing - end 26-Jan-2026'!$A:$Q,7,FALSE)/12)*(VLOOKUP($I351,'Old Pricing - end 26-Jan-2026'!$A:$Q,9,FALSE)/12))/5,0)*5</f>
        <v>2800</v>
      </c>
      <c r="R351" s="71">
        <f>$Q351/IFERROR(VLOOKUP($F351&amp;RIGHT($K351,8),'Master Data'!$O$5:$P$10,2,FALSE),'Master Data'!$P$4)</f>
        <v>14</v>
      </c>
      <c r="S351" s="57">
        <f>VLOOKUP($I351,'Old Pricing - end 26-Jan-2026'!$A:$Q,16,FALSE)</f>
        <v>750</v>
      </c>
      <c r="T351" s="57">
        <f>VLOOKUP(I351,'Old Pricing - end 26-Jan-2026'!$A:$O,15,FALSE)</f>
        <v>8.07</v>
      </c>
      <c r="U351" s="57">
        <f t="shared" si="15"/>
        <v>68600.25</v>
      </c>
      <c r="V351" s="111">
        <f t="shared" si="16"/>
        <v>68642.128800000006</v>
      </c>
      <c r="W351" s="55">
        <f>VLOOKUP($I351,'Old Pricing - end 26-Jan-2026'!$A:$R,18,FALSE)</f>
        <v>45</v>
      </c>
    </row>
    <row r="352" spans="1:23" ht="15" hidden="1" thickTop="1" x14ac:dyDescent="0.3">
      <c r="A352" s="55">
        <v>24174773</v>
      </c>
      <c r="B352" s="55">
        <v>0</v>
      </c>
      <c r="C352" s="55" t="str">
        <f>VLOOKUP(A352&amp;"-"&amp;B352,'Order Summary'!$D:$E,2,FALSE)</f>
        <v>Balance Payment Received</v>
      </c>
      <c r="D352" s="216">
        <f>IF($A352="","",VLOOKUP($A352&amp;"-"&amp;$B352,'Order Summary'!$D:$U,3,FALSE))</f>
        <v>46042</v>
      </c>
      <c r="E352" s="55" t="str">
        <f>VLOOKUP(A352&amp;"-"&amp;B352,'Order Summary'!$D:$G,4,FALSE)</f>
        <v>Yes</v>
      </c>
      <c r="F352" s="55" t="str">
        <f>VLOOKUP($A352,'Order Summary'!$B:$I,8,FALSE)</f>
        <v>Houston, TX</v>
      </c>
      <c r="G352" s="216">
        <f>IF($A352="","",VLOOKUP($A352&amp;"-"&amp;$B352,'Order Summary'!$D:$U,18,FALSE))</f>
        <v>46184</v>
      </c>
      <c r="H352" s="55">
        <v>1</v>
      </c>
      <c r="I352" s="55">
        <v>694432</v>
      </c>
      <c r="J352" s="55" t="str">
        <f>VLOOKUP($I352,'Old Pricing - end 26-Jan-2026'!$A:$R,2,FALSE)</f>
        <v>G1S 694432</v>
      </c>
      <c r="K352" s="55" t="str">
        <f>VLOOKUP($I352,'Old Pricing - end 26-Jan-2026'!$A:$R,6,FALSE)&amp;" "&amp;VLOOKUP($I352,'Old Pricing - end 26-Jan-2026'!$A:$R,7,FALSE)&amp;""" x "&amp;VLOOKUP($I352,'Old Pricing - end 26-Jan-2026'!$A:$R,9,FALSE)&amp;""" "&amp;VLOOKUP($I352,'Old Pricing - end 26-Jan-2026'!$A:$R,5,FALSE)</f>
        <v>2MM 49" x 96" ACP</v>
      </c>
      <c r="L352" s="55">
        <f>VLOOKUP($I352,'Old Pricing - end 26-Jan-2026'!$A:$K,8,FALSE)</f>
        <v>1245</v>
      </c>
      <c r="M352" s="55">
        <f>VLOOKUP($I352,'Old Pricing - end 26-Jan-2026'!$A:$K,10,FALSE)</f>
        <v>2440</v>
      </c>
      <c r="N352" s="55" t="str">
        <f>VLOOKUP($I352,'Old Pricing - end 26-Jan-2026'!$A:$R,13,FALSE)&amp;" "&amp;VLOOKUP($I352,'Old Pricing - end 26-Jan-2026'!$A:$R,12,FALSE)</f>
        <v>ASC 0096 GLOSSY BLACK</v>
      </c>
      <c r="O352" s="56">
        <v>91.466999999999999</v>
      </c>
      <c r="P352" s="55">
        <f>(VLOOKUP($I352,'Old Pricing - end 26-Jan-2026'!$A:$R,8,FALSE)/1000)*(VLOOKUP($I352,'Old Pricing - end 26-Jan-2026'!$A:$R,10,FALSE)/1000)*Q352</f>
        <v>8505.84</v>
      </c>
      <c r="Q352" s="55">
        <f>ROUND(('Order Details'!$O352*1000)/((VLOOKUP($I352,'Old Pricing - end 26-Jan-2026'!$A:$Q,7,FALSE)/12)*(VLOOKUP($I352,'Old Pricing - end 26-Jan-2026'!$A:$Q,9,FALSE)/12))/5,0)*5</f>
        <v>2800</v>
      </c>
      <c r="R352" s="71">
        <f>$Q352/IFERROR(VLOOKUP($F352&amp;RIGHT($K352,8),'Master Data'!$O$5:$P$10,2,FALSE),'Master Data'!$P$4)</f>
        <v>14</v>
      </c>
      <c r="S352" s="57">
        <f>VLOOKUP($I352,'Old Pricing - end 26-Jan-2026'!$A:$Q,16,FALSE)</f>
        <v>700</v>
      </c>
      <c r="T352" s="57">
        <f>VLOOKUP(I352,'Old Pricing - end 26-Jan-2026'!$A:$O,15,FALSE)</f>
        <v>7.53</v>
      </c>
      <c r="U352" s="57">
        <f t="shared" si="15"/>
        <v>64026.9</v>
      </c>
      <c r="V352" s="111">
        <f t="shared" si="16"/>
        <v>64048.975200000001</v>
      </c>
      <c r="W352" s="55">
        <f>VLOOKUP($I352,'Old Pricing - end 26-Jan-2026'!$A:$R,18,FALSE)</f>
        <v>45</v>
      </c>
    </row>
    <row r="353" spans="1:23" ht="15" hidden="1" thickTop="1" x14ac:dyDescent="0.3">
      <c r="A353" s="55">
        <v>24174777</v>
      </c>
      <c r="B353" s="55">
        <v>0</v>
      </c>
      <c r="C353" s="55" t="str">
        <f>VLOOKUP(A353&amp;"-"&amp;B353,'Order Summary'!$D:$E,2,FALSE)</f>
        <v>Commercial Invoice Sent</v>
      </c>
      <c r="D353" s="216">
        <f>IF($A353="","",VLOOKUP($A353&amp;"-"&amp;$B353,'Order Summary'!$D:$U,3,FALSE))</f>
        <v>46042</v>
      </c>
      <c r="E353" s="55" t="str">
        <f>VLOOKUP(A353&amp;"-"&amp;B353,'Order Summary'!$D:$G,4,FALSE)</f>
        <v>Yes</v>
      </c>
      <c r="F353" s="55" t="str">
        <f>VLOOKUP($A353,'Order Summary'!$B:$I,8,FALSE)</f>
        <v>Houston, TX</v>
      </c>
      <c r="G353" s="216">
        <f>IF($A353="","",VLOOKUP($A353&amp;"-"&amp;$B353,'Order Summary'!$D:$U,18,FALSE))</f>
        <v>46198</v>
      </c>
      <c r="H353" s="55">
        <v>1</v>
      </c>
      <c r="I353" s="55">
        <v>694432</v>
      </c>
      <c r="J353" s="55" t="str">
        <f>VLOOKUP($I353,'Old Pricing - end 26-Jan-2026'!$A:$R,2,FALSE)</f>
        <v>G1S 694432</v>
      </c>
      <c r="K353" s="55" t="str">
        <f>VLOOKUP($I353,'Old Pricing - end 26-Jan-2026'!$A:$R,6,FALSE)&amp;" "&amp;VLOOKUP($I353,'Old Pricing - end 26-Jan-2026'!$A:$R,7,FALSE)&amp;""" x "&amp;VLOOKUP($I353,'Old Pricing - end 26-Jan-2026'!$A:$R,9,FALSE)&amp;""" "&amp;VLOOKUP($I353,'Old Pricing - end 26-Jan-2026'!$A:$R,5,FALSE)</f>
        <v>2MM 49" x 96" ACP</v>
      </c>
      <c r="L353" s="55">
        <f>VLOOKUP($I353,'Old Pricing - end 26-Jan-2026'!$A:$K,8,FALSE)</f>
        <v>1245</v>
      </c>
      <c r="M353" s="55">
        <f>VLOOKUP($I353,'Old Pricing - end 26-Jan-2026'!$A:$K,10,FALSE)</f>
        <v>2440</v>
      </c>
      <c r="N353" s="55" t="str">
        <f>VLOOKUP($I353,'Old Pricing - end 26-Jan-2026'!$A:$R,13,FALSE)&amp;" "&amp;VLOOKUP($I353,'Old Pricing - end 26-Jan-2026'!$A:$R,12,FALSE)</f>
        <v>ASC 0096 GLOSSY BLACK</v>
      </c>
      <c r="O353" s="56">
        <v>91.466999999999999</v>
      </c>
      <c r="P353" s="55">
        <f>(VLOOKUP($I353,'Old Pricing - end 26-Jan-2026'!$A:$R,8,FALSE)/1000)*(VLOOKUP($I353,'Old Pricing - end 26-Jan-2026'!$A:$R,10,FALSE)/1000)*Q353</f>
        <v>8505.84</v>
      </c>
      <c r="Q353" s="55">
        <f>ROUND(('Order Details'!$O353*1000)/((VLOOKUP($I353,'Old Pricing - end 26-Jan-2026'!$A:$Q,7,FALSE)/12)*(VLOOKUP($I353,'Old Pricing - end 26-Jan-2026'!$A:$Q,9,FALSE)/12))/5,0)*5</f>
        <v>2800</v>
      </c>
      <c r="R353" s="71">
        <f>$Q353/IFERROR(VLOOKUP($F353&amp;RIGHT($K353,8),'Master Data'!$O$5:$P$10,2,FALSE),'Master Data'!$P$4)</f>
        <v>14</v>
      </c>
      <c r="S353" s="57">
        <f>VLOOKUP($I353,'Old Pricing - end 26-Jan-2026'!$A:$Q,16,FALSE)</f>
        <v>700</v>
      </c>
      <c r="T353" s="57">
        <f>VLOOKUP(I353,'Old Pricing - end 26-Jan-2026'!$A:$O,15,FALSE)</f>
        <v>7.53</v>
      </c>
      <c r="U353" s="57">
        <f t="shared" si="15"/>
        <v>64026.9</v>
      </c>
      <c r="V353" s="111">
        <f t="shared" si="16"/>
        <v>64048.975200000001</v>
      </c>
      <c r="W353" s="55">
        <f>VLOOKUP($I353,'Old Pricing - end 26-Jan-2026'!$A:$R,18,FALSE)</f>
        <v>45</v>
      </c>
    </row>
    <row r="354" spans="1:23" ht="15" hidden="1" thickTop="1" x14ac:dyDescent="0.3">
      <c r="A354" s="55">
        <v>24174780</v>
      </c>
      <c r="B354" s="55">
        <v>0</v>
      </c>
      <c r="C354" s="55" t="str">
        <f>VLOOKUP(A354&amp;"-"&amp;B354,'Order Summary'!$D:$E,2,FALSE)</f>
        <v>Commercial Invoice Sent</v>
      </c>
      <c r="D354" s="216">
        <f>IF($A354="","",VLOOKUP($A354&amp;"-"&amp;$B354,'Order Summary'!$D:$U,3,FALSE))</f>
        <v>46042</v>
      </c>
      <c r="E354" s="55" t="str">
        <f>VLOOKUP(A354&amp;"-"&amp;B354,'Order Summary'!$D:$G,4,FALSE)</f>
        <v>Yes</v>
      </c>
      <c r="F354" s="55" t="str">
        <f>VLOOKUP($A354,'Order Summary'!$B:$I,8,FALSE)</f>
        <v>Houston, TX</v>
      </c>
      <c r="G354" s="216">
        <f>IF($A354="","",VLOOKUP($A354&amp;"-"&amp;$B354,'Order Summary'!$D:$U,18,FALSE))</f>
        <v>46199</v>
      </c>
      <c r="H354" s="55">
        <v>1</v>
      </c>
      <c r="I354" s="55">
        <v>694436</v>
      </c>
      <c r="J354" s="55" t="str">
        <f>VLOOKUP($I354,'Old Pricing - end 26-Jan-2026'!$A:$R,2,FALSE)</f>
        <v>G1S 694436</v>
      </c>
      <c r="K354" s="55" t="str">
        <f>VLOOKUP($I354,'Old Pricing - end 26-Jan-2026'!$A:$R,6,FALSE)&amp;" "&amp;VLOOKUP($I354,'Old Pricing - end 26-Jan-2026'!$A:$R,7,FALSE)&amp;""" x "&amp;VLOOKUP($I354,'Old Pricing - end 26-Jan-2026'!$A:$R,9,FALSE)&amp;""" "&amp;VLOOKUP($I354,'Old Pricing - end 26-Jan-2026'!$A:$R,5,FALSE)</f>
        <v>2MM 49" x 96" ACP</v>
      </c>
      <c r="L354" s="55">
        <f>VLOOKUP($I354,'Old Pricing - end 26-Jan-2026'!$A:$K,8,FALSE)</f>
        <v>1245</v>
      </c>
      <c r="M354" s="55">
        <f>VLOOKUP($I354,'Old Pricing - end 26-Jan-2026'!$A:$K,10,FALSE)</f>
        <v>2440</v>
      </c>
      <c r="N354" s="55" t="str">
        <f>VLOOKUP($I354,'Old Pricing - end 26-Jan-2026'!$A:$R,13,FALSE)&amp;" "&amp;VLOOKUP($I354,'Old Pricing - end 26-Jan-2026'!$A:$R,12,FALSE)</f>
        <v>ASC 0069 GLOSSY WHITE</v>
      </c>
      <c r="O354" s="56">
        <v>91.466999999999999</v>
      </c>
      <c r="P354" s="55">
        <f>(VLOOKUP($I354,'Old Pricing - end 26-Jan-2026'!$A:$R,8,FALSE)/1000)*(VLOOKUP($I354,'Old Pricing - end 26-Jan-2026'!$A:$R,10,FALSE)/1000)*Q354</f>
        <v>8505.84</v>
      </c>
      <c r="Q354" s="55">
        <f>ROUND(('Order Details'!$O354*1000)/((VLOOKUP($I354,'Old Pricing - end 26-Jan-2026'!$A:$Q,7,FALSE)/12)*(VLOOKUP($I354,'Old Pricing - end 26-Jan-2026'!$A:$Q,9,FALSE)/12))/5,0)*5</f>
        <v>2800</v>
      </c>
      <c r="R354" s="71">
        <f>$Q354/IFERROR(VLOOKUP($F354&amp;RIGHT($K354,8),'Master Data'!$O$5:$P$10,2,FALSE),'Master Data'!$P$4)</f>
        <v>14</v>
      </c>
      <c r="S354" s="57">
        <f>VLOOKUP($I354,'Old Pricing - end 26-Jan-2026'!$A:$Q,16,FALSE)</f>
        <v>700</v>
      </c>
      <c r="T354" s="57">
        <f>VLOOKUP(I354,'Old Pricing - end 26-Jan-2026'!$A:$O,15,FALSE)</f>
        <v>7.53</v>
      </c>
      <c r="U354" s="57">
        <f t="shared" si="15"/>
        <v>64026.9</v>
      </c>
      <c r="V354" s="111">
        <f t="shared" si="16"/>
        <v>64048.975200000001</v>
      </c>
      <c r="W354" s="55">
        <f>VLOOKUP($I354,'Old Pricing - end 26-Jan-2026'!$A:$R,18,FALSE)</f>
        <v>45</v>
      </c>
    </row>
    <row r="355" spans="1:23" ht="15" hidden="1" thickTop="1" x14ac:dyDescent="0.3">
      <c r="A355" s="55">
        <v>24174781</v>
      </c>
      <c r="B355" s="55">
        <v>0</v>
      </c>
      <c r="C355" s="55" t="str">
        <f>VLOOKUP(A355&amp;"-"&amp;B355,'Order Summary'!$D:$E,2,FALSE)</f>
        <v>Balance Payment Received</v>
      </c>
      <c r="D355" s="216">
        <f>IF($A355="","",VLOOKUP($A355&amp;"-"&amp;$B355,'Order Summary'!$D:$U,3,FALSE))</f>
        <v>46042</v>
      </c>
      <c r="E355" s="55" t="str">
        <f>VLOOKUP(A355&amp;"-"&amp;B355,'Order Summary'!$D:$G,4,FALSE)</f>
        <v>Yes</v>
      </c>
      <c r="F355" s="55" t="str">
        <f>VLOOKUP($A355,'Order Summary'!$B:$I,8,FALSE)</f>
        <v>Houston, TX</v>
      </c>
      <c r="G355" s="216">
        <f>IF($A355="","",VLOOKUP($A355&amp;"-"&amp;$B355,'Order Summary'!$D:$U,18,FALSE))</f>
        <v>46184</v>
      </c>
      <c r="H355" s="55">
        <v>1</v>
      </c>
      <c r="I355" s="55">
        <v>694436</v>
      </c>
      <c r="J355" s="55" t="str">
        <f>VLOOKUP($I355,'Old Pricing - end 26-Jan-2026'!$A:$R,2,FALSE)</f>
        <v>G1S 694436</v>
      </c>
      <c r="K355" s="55" t="str">
        <f>VLOOKUP($I355,'Old Pricing - end 26-Jan-2026'!$A:$R,6,FALSE)&amp;" "&amp;VLOOKUP($I355,'Old Pricing - end 26-Jan-2026'!$A:$R,7,FALSE)&amp;""" x "&amp;VLOOKUP($I355,'Old Pricing - end 26-Jan-2026'!$A:$R,9,FALSE)&amp;""" "&amp;VLOOKUP($I355,'Old Pricing - end 26-Jan-2026'!$A:$R,5,FALSE)</f>
        <v>2MM 49" x 96" ACP</v>
      </c>
      <c r="L355" s="55">
        <f>VLOOKUP($I355,'Old Pricing - end 26-Jan-2026'!$A:$K,8,FALSE)</f>
        <v>1245</v>
      </c>
      <c r="M355" s="55">
        <f>VLOOKUP($I355,'Old Pricing - end 26-Jan-2026'!$A:$K,10,FALSE)</f>
        <v>2440</v>
      </c>
      <c r="N355" s="55" t="str">
        <f>VLOOKUP($I355,'Old Pricing - end 26-Jan-2026'!$A:$R,13,FALSE)&amp;" "&amp;VLOOKUP($I355,'Old Pricing - end 26-Jan-2026'!$A:$R,12,FALSE)</f>
        <v>ASC 0069 GLOSSY WHITE</v>
      </c>
      <c r="O355" s="56">
        <v>91.466999999999999</v>
      </c>
      <c r="P355" s="55">
        <f>(VLOOKUP($I355,'Old Pricing - end 26-Jan-2026'!$A:$R,8,FALSE)/1000)*(VLOOKUP($I355,'Old Pricing - end 26-Jan-2026'!$A:$R,10,FALSE)/1000)*Q355</f>
        <v>8505.84</v>
      </c>
      <c r="Q355" s="55">
        <f>ROUND(('Order Details'!$O355*1000)/((VLOOKUP($I355,'Old Pricing - end 26-Jan-2026'!$A:$Q,7,FALSE)/12)*(VLOOKUP($I355,'Old Pricing - end 26-Jan-2026'!$A:$Q,9,FALSE)/12))/5,0)*5</f>
        <v>2800</v>
      </c>
      <c r="R355" s="71">
        <f>$Q355/IFERROR(VLOOKUP($F355&amp;RIGHT($K355,8),'Master Data'!$O$5:$P$10,2,FALSE),'Master Data'!$P$4)</f>
        <v>14</v>
      </c>
      <c r="S355" s="57">
        <f>VLOOKUP($I355,'Old Pricing - end 26-Jan-2026'!$A:$Q,16,FALSE)</f>
        <v>700</v>
      </c>
      <c r="T355" s="57">
        <f>VLOOKUP(I355,'Old Pricing - end 26-Jan-2026'!$A:$O,15,FALSE)</f>
        <v>7.53</v>
      </c>
      <c r="U355" s="57">
        <f t="shared" si="15"/>
        <v>64026.9</v>
      </c>
      <c r="V355" s="111">
        <f t="shared" si="16"/>
        <v>64048.975200000001</v>
      </c>
      <c r="W355" s="55">
        <f>VLOOKUP($I355,'Old Pricing - end 26-Jan-2026'!$A:$R,18,FALSE)</f>
        <v>45</v>
      </c>
    </row>
    <row r="356" spans="1:23" ht="15" hidden="1" thickTop="1" x14ac:dyDescent="0.3">
      <c r="A356" s="55">
        <v>24174783</v>
      </c>
      <c r="B356" s="55">
        <v>0</v>
      </c>
      <c r="C356" s="55" t="str">
        <f>VLOOKUP(A356&amp;"-"&amp;B356,'Order Summary'!$D:$E,2,FALSE)</f>
        <v>Balance Payment Received</v>
      </c>
      <c r="D356" s="216">
        <f>IF($A356="","",VLOOKUP($A356&amp;"-"&amp;$B356,'Order Summary'!$D:$U,3,FALSE))</f>
        <v>46042</v>
      </c>
      <c r="E356" s="55" t="str">
        <f>VLOOKUP(A356&amp;"-"&amp;B356,'Order Summary'!$D:$G,4,FALSE)</f>
        <v>Yes</v>
      </c>
      <c r="F356" s="55" t="str">
        <f>VLOOKUP($A356,'Order Summary'!$B:$I,8,FALSE)</f>
        <v>Houston, TX</v>
      </c>
      <c r="G356" s="216">
        <f>IF($A356="","",VLOOKUP($A356&amp;"-"&amp;$B356,'Order Summary'!$D:$U,18,FALSE))</f>
        <v>46191</v>
      </c>
      <c r="H356" s="55">
        <v>1</v>
      </c>
      <c r="I356" s="55">
        <v>694440</v>
      </c>
      <c r="J356" s="55" t="str">
        <f>VLOOKUP($I356,'Old Pricing - end 26-Jan-2026'!$A:$R,2,FALSE)</f>
        <v>G1S 694440</v>
      </c>
      <c r="K356" s="55" t="str">
        <f>VLOOKUP($I356,'Old Pricing - end 26-Jan-2026'!$A:$R,6,FALSE)&amp;" "&amp;VLOOKUP($I356,'Old Pricing - end 26-Jan-2026'!$A:$R,7,FALSE)&amp;""" x "&amp;VLOOKUP($I356,'Old Pricing - end 26-Jan-2026'!$A:$R,9,FALSE)&amp;""" "&amp;VLOOKUP($I356,'Old Pricing - end 26-Jan-2026'!$A:$R,5,FALSE)</f>
        <v>2MM 49" x 96" ACP</v>
      </c>
      <c r="L356" s="55">
        <f>VLOOKUP($I356,'Old Pricing - end 26-Jan-2026'!$A:$K,8,FALSE)</f>
        <v>1245</v>
      </c>
      <c r="M356" s="55">
        <f>VLOOKUP($I356,'Old Pricing - end 26-Jan-2026'!$A:$K,10,FALSE)</f>
        <v>2440</v>
      </c>
      <c r="N356" s="55" t="str">
        <f>VLOOKUP($I356,'Old Pricing - end 26-Jan-2026'!$A:$R,13,FALSE)&amp;" "&amp;VLOOKUP($I356,'Old Pricing - end 26-Jan-2026'!$A:$R,12,FALSE)</f>
        <v>AMC 0103 SILVER FROST</v>
      </c>
      <c r="O356" s="56">
        <v>91.466999999999999</v>
      </c>
      <c r="P356" s="55">
        <f>(VLOOKUP($I356,'Old Pricing - end 26-Jan-2026'!$A:$R,8,FALSE)/1000)*(VLOOKUP($I356,'Old Pricing - end 26-Jan-2026'!$A:$R,10,FALSE)/1000)*Q356</f>
        <v>8505.84</v>
      </c>
      <c r="Q356" s="55">
        <f>ROUND(('Order Details'!$O356*1000)/((VLOOKUP($I356,'Old Pricing - end 26-Jan-2026'!$A:$Q,7,FALSE)/12)*(VLOOKUP($I356,'Old Pricing - end 26-Jan-2026'!$A:$Q,9,FALSE)/12))/5,0)*5</f>
        <v>2800</v>
      </c>
      <c r="R356" s="71">
        <f>$Q356/IFERROR(VLOOKUP($F356&amp;RIGHT($K356,8),'Master Data'!$O$5:$P$10,2,FALSE),'Master Data'!$P$4)</f>
        <v>14</v>
      </c>
      <c r="S356" s="57">
        <f>VLOOKUP($I356,'Old Pricing - end 26-Jan-2026'!$A:$Q,16,FALSE)</f>
        <v>700</v>
      </c>
      <c r="T356" s="57">
        <f>VLOOKUP(I356,'Old Pricing - end 26-Jan-2026'!$A:$O,15,FALSE)</f>
        <v>7.53</v>
      </c>
      <c r="U356" s="57">
        <f t="shared" si="15"/>
        <v>64026.9</v>
      </c>
      <c r="V356" s="111">
        <f t="shared" si="16"/>
        <v>64048.975200000001</v>
      </c>
      <c r="W356" s="55">
        <f>VLOOKUP($I356,'Old Pricing - end 26-Jan-2026'!$A:$R,18,FALSE)</f>
        <v>90</v>
      </c>
    </row>
    <row r="357" spans="1:23" ht="15" hidden="1" thickTop="1" x14ac:dyDescent="0.3">
      <c r="A357" s="55">
        <v>24174787</v>
      </c>
      <c r="B357" s="55">
        <v>0</v>
      </c>
      <c r="C357" s="55" t="str">
        <f>VLOOKUP(A357&amp;"-"&amp;B357,'Order Summary'!$D:$E,2,FALSE)</f>
        <v>Balance Payment Received</v>
      </c>
      <c r="D357" s="216">
        <f>IF($A357="","",VLOOKUP($A357&amp;"-"&amp;$B357,'Order Summary'!$D:$U,3,FALSE))</f>
        <v>46042</v>
      </c>
      <c r="E357" s="55" t="str">
        <f>VLOOKUP(A357&amp;"-"&amp;B357,'Order Summary'!$D:$G,4,FALSE)</f>
        <v>Yes</v>
      </c>
      <c r="F357" s="55" t="str">
        <f>VLOOKUP($A357,'Order Summary'!$B:$I,8,FALSE)</f>
        <v>Houston, TX</v>
      </c>
      <c r="G357" s="216">
        <f>IF($A357="","",VLOOKUP($A357&amp;"-"&amp;$B357,'Order Summary'!$D:$U,18,FALSE))</f>
        <v>46184</v>
      </c>
      <c r="H357" s="55">
        <v>1</v>
      </c>
      <c r="I357" s="55">
        <v>694440</v>
      </c>
      <c r="J357" s="55" t="str">
        <f>VLOOKUP($I357,'Old Pricing - end 26-Jan-2026'!$A:$R,2,FALSE)</f>
        <v>G1S 694440</v>
      </c>
      <c r="K357" s="55" t="str">
        <f>VLOOKUP($I357,'Old Pricing - end 26-Jan-2026'!$A:$R,6,FALSE)&amp;" "&amp;VLOOKUP($I357,'Old Pricing - end 26-Jan-2026'!$A:$R,7,FALSE)&amp;""" x "&amp;VLOOKUP($I357,'Old Pricing - end 26-Jan-2026'!$A:$R,9,FALSE)&amp;""" "&amp;VLOOKUP($I357,'Old Pricing - end 26-Jan-2026'!$A:$R,5,FALSE)</f>
        <v>2MM 49" x 96" ACP</v>
      </c>
      <c r="L357" s="55">
        <f>VLOOKUP($I357,'Old Pricing - end 26-Jan-2026'!$A:$K,8,FALSE)</f>
        <v>1245</v>
      </c>
      <c r="M357" s="55">
        <f>VLOOKUP($I357,'Old Pricing - end 26-Jan-2026'!$A:$K,10,FALSE)</f>
        <v>2440</v>
      </c>
      <c r="N357" s="55" t="str">
        <f>VLOOKUP($I357,'Old Pricing - end 26-Jan-2026'!$A:$R,13,FALSE)&amp;" "&amp;VLOOKUP($I357,'Old Pricing - end 26-Jan-2026'!$A:$R,12,FALSE)</f>
        <v>AMC 0103 SILVER FROST</v>
      </c>
      <c r="O357" s="56">
        <v>91.466999999999999</v>
      </c>
      <c r="P357" s="55">
        <f>(VLOOKUP($I357,'Old Pricing - end 26-Jan-2026'!$A:$R,8,FALSE)/1000)*(VLOOKUP($I357,'Old Pricing - end 26-Jan-2026'!$A:$R,10,FALSE)/1000)*Q357</f>
        <v>8505.84</v>
      </c>
      <c r="Q357" s="55">
        <f>ROUND(('Order Details'!$O357*1000)/((VLOOKUP($I357,'Old Pricing - end 26-Jan-2026'!$A:$Q,7,FALSE)/12)*(VLOOKUP($I357,'Old Pricing - end 26-Jan-2026'!$A:$Q,9,FALSE)/12))/5,0)*5</f>
        <v>2800</v>
      </c>
      <c r="R357" s="71">
        <f>$Q357/IFERROR(VLOOKUP($F357&amp;RIGHT($K357,8),'Master Data'!$O$5:$P$10,2,FALSE),'Master Data'!$P$4)</f>
        <v>14</v>
      </c>
      <c r="S357" s="57">
        <f>VLOOKUP($I357,'Old Pricing - end 26-Jan-2026'!$A:$Q,16,FALSE)</f>
        <v>700</v>
      </c>
      <c r="T357" s="57">
        <f>VLOOKUP(I357,'Old Pricing - end 26-Jan-2026'!$A:$O,15,FALSE)</f>
        <v>7.53</v>
      </c>
      <c r="U357" s="57">
        <f t="shared" si="15"/>
        <v>64026.9</v>
      </c>
      <c r="V357" s="111">
        <f t="shared" si="16"/>
        <v>64048.975200000001</v>
      </c>
      <c r="W357" s="55">
        <f>VLOOKUP($I357,'Old Pricing - end 26-Jan-2026'!$A:$R,18,FALSE)</f>
        <v>90</v>
      </c>
    </row>
    <row r="358" spans="1:23" ht="15" hidden="1" thickTop="1" x14ac:dyDescent="0.3">
      <c r="A358" s="55">
        <v>24174788</v>
      </c>
      <c r="B358" s="55">
        <v>0</v>
      </c>
      <c r="C358" s="55" t="str">
        <f>VLOOKUP(A358&amp;"-"&amp;B358,'Order Summary'!$D:$E,2,FALSE)</f>
        <v>Balance Payment Received</v>
      </c>
      <c r="D358" s="216">
        <f>IF($A358="","",VLOOKUP($A358&amp;"-"&amp;$B358,'Order Summary'!$D:$U,3,FALSE))</f>
        <v>46042</v>
      </c>
      <c r="E358" s="55" t="str">
        <f>VLOOKUP(A358&amp;"-"&amp;B358,'Order Summary'!$D:$G,4,FALSE)</f>
        <v>Yes</v>
      </c>
      <c r="F358" s="55" t="str">
        <f>VLOOKUP($A358,'Order Summary'!$B:$I,8,FALSE)</f>
        <v>Houston, TX</v>
      </c>
      <c r="G358" s="216">
        <f>IF($A358="","",VLOOKUP($A358&amp;"-"&amp;$B358,'Order Summary'!$D:$U,18,FALSE))</f>
        <v>46184</v>
      </c>
      <c r="H358" s="55">
        <v>1</v>
      </c>
      <c r="I358" s="55">
        <v>694444</v>
      </c>
      <c r="J358" s="55" t="str">
        <f>VLOOKUP($I358,'Old Pricing - end 26-Jan-2026'!$A:$R,2,FALSE)</f>
        <v>G1S 694444</v>
      </c>
      <c r="K358" s="55" t="str">
        <f>VLOOKUP($I358,'Old Pricing - end 26-Jan-2026'!$A:$R,6,FALSE)&amp;" "&amp;VLOOKUP($I358,'Old Pricing - end 26-Jan-2026'!$A:$R,7,FALSE)&amp;""" x "&amp;VLOOKUP($I358,'Old Pricing - end 26-Jan-2026'!$A:$R,9,FALSE)&amp;""" "&amp;VLOOKUP($I358,'Old Pricing - end 26-Jan-2026'!$A:$R,5,FALSE)</f>
        <v>2MM 49" x 96" ACP</v>
      </c>
      <c r="L358" s="55">
        <f>VLOOKUP($I358,'Old Pricing - end 26-Jan-2026'!$A:$K,8,FALSE)</f>
        <v>1245</v>
      </c>
      <c r="M358" s="55">
        <f>VLOOKUP($I358,'Old Pricing - end 26-Jan-2026'!$A:$K,10,FALSE)</f>
        <v>2440</v>
      </c>
      <c r="N358" s="55" t="str">
        <f>VLOOKUP($I358,'Old Pricing - end 26-Jan-2026'!$A:$R,13,FALSE)&amp;" "&amp;VLOOKUP($I358,'Old Pricing - end 26-Jan-2026'!$A:$R,12,FALSE)</f>
        <v>AMC 0086 CHARCOAL METALLIC</v>
      </c>
      <c r="O358" s="56">
        <v>91.466999999999999</v>
      </c>
      <c r="P358" s="55">
        <f>(VLOOKUP($I358,'Old Pricing - end 26-Jan-2026'!$A:$R,8,FALSE)/1000)*(VLOOKUP($I358,'Old Pricing - end 26-Jan-2026'!$A:$R,10,FALSE)/1000)*Q358</f>
        <v>8505.84</v>
      </c>
      <c r="Q358" s="55">
        <f>ROUND(('Order Details'!$O358*1000)/((VLOOKUP($I358,'Old Pricing - end 26-Jan-2026'!$A:$Q,7,FALSE)/12)*(VLOOKUP($I358,'Old Pricing - end 26-Jan-2026'!$A:$Q,9,FALSE)/12))/5,0)*5</f>
        <v>2800</v>
      </c>
      <c r="R358" s="71">
        <f>$Q358/IFERROR(VLOOKUP($F358&amp;RIGHT($K358,8),'Master Data'!$O$5:$P$10,2,FALSE),'Master Data'!$P$4)</f>
        <v>14</v>
      </c>
      <c r="S358" s="57">
        <f>VLOOKUP($I358,'Old Pricing - end 26-Jan-2026'!$A:$Q,16,FALSE)</f>
        <v>750</v>
      </c>
      <c r="T358" s="57">
        <f>VLOOKUP(I358,'Old Pricing - end 26-Jan-2026'!$A:$O,15,FALSE)</f>
        <v>8.07</v>
      </c>
      <c r="U358" s="57">
        <f t="shared" si="15"/>
        <v>68600.25</v>
      </c>
      <c r="V358" s="111">
        <f t="shared" si="16"/>
        <v>68642.128800000006</v>
      </c>
      <c r="W358" s="55">
        <f>VLOOKUP($I358,'Old Pricing - end 26-Jan-2026'!$A:$R,18,FALSE)</f>
        <v>45</v>
      </c>
    </row>
    <row r="359" spans="1:23" ht="15" hidden="1" thickTop="1" x14ac:dyDescent="0.3">
      <c r="A359" s="55">
        <v>24174791</v>
      </c>
      <c r="B359" s="55">
        <v>0</v>
      </c>
      <c r="C359" s="55" t="str">
        <f>VLOOKUP(A359&amp;"-"&amp;B359,'Order Summary'!$D:$E,2,FALSE)</f>
        <v>Commercial Invoice Sent</v>
      </c>
      <c r="D359" s="216">
        <f>IF($A359="","",VLOOKUP($A359&amp;"-"&amp;$B359,'Order Summary'!$D:$U,3,FALSE))</f>
        <v>46042</v>
      </c>
      <c r="E359" s="55" t="str">
        <f>VLOOKUP(A359&amp;"-"&amp;B359,'Order Summary'!$D:$G,4,FALSE)</f>
        <v>Yes</v>
      </c>
      <c r="F359" s="55" t="str">
        <f>VLOOKUP($A359,'Order Summary'!$B:$I,8,FALSE)</f>
        <v>Houston, TX</v>
      </c>
      <c r="G359" s="216">
        <f>IF($A359="","",VLOOKUP($A359&amp;"-"&amp;$B359,'Order Summary'!$D:$U,18,FALSE))</f>
        <v>46171</v>
      </c>
      <c r="H359" s="55">
        <v>1</v>
      </c>
      <c r="I359" s="55">
        <v>694433</v>
      </c>
      <c r="J359" s="55" t="str">
        <f>VLOOKUP($I359,'Old Pricing - end 26-Jan-2026'!$A:$R,2,FALSE)</f>
        <v>G1S 694433</v>
      </c>
      <c r="K359" s="55" t="str">
        <f>VLOOKUP($I359,'Old Pricing - end 26-Jan-2026'!$A:$R,6,FALSE)&amp;" "&amp;VLOOKUP($I359,'Old Pricing - end 26-Jan-2026'!$A:$R,7,FALSE)&amp;""" x "&amp;VLOOKUP($I359,'Old Pricing - end 26-Jan-2026'!$A:$R,9,FALSE)&amp;""" "&amp;VLOOKUP($I359,'Old Pricing - end 26-Jan-2026'!$A:$R,5,FALSE)</f>
        <v>2MM 49" x 108" ACP</v>
      </c>
      <c r="L359" s="55">
        <f>VLOOKUP($I359,'Old Pricing - end 26-Jan-2026'!$A:$K,8,FALSE)</f>
        <v>1245</v>
      </c>
      <c r="M359" s="55">
        <f>VLOOKUP($I359,'Old Pricing - end 26-Jan-2026'!$A:$K,10,FALSE)</f>
        <v>2745</v>
      </c>
      <c r="N359" s="55" t="str">
        <f>VLOOKUP($I359,'Old Pricing - end 26-Jan-2026'!$A:$R,13,FALSE)&amp;" "&amp;VLOOKUP($I359,'Old Pricing - end 26-Jan-2026'!$A:$R,12,FALSE)</f>
        <v>ASC 0096 GLOSSY BLACK</v>
      </c>
      <c r="O359" s="56">
        <v>88.2</v>
      </c>
      <c r="P359" s="55">
        <f>(VLOOKUP($I359,'Old Pricing - end 26-Jan-2026'!$A:$R,8,FALSE)/1000)*(VLOOKUP($I359,'Old Pricing - end 26-Jan-2026'!$A:$R,10,FALSE)/1000)*Q359</f>
        <v>8202.0600000000013</v>
      </c>
      <c r="Q359" s="55">
        <f>ROUND(('Order Details'!$O359*1000)/((VLOOKUP($I359,'Old Pricing - end 26-Jan-2026'!$A:$Q,7,FALSE)/12)*(VLOOKUP($I359,'Old Pricing - end 26-Jan-2026'!$A:$Q,9,FALSE)/12))/5,0)*5</f>
        <v>2400</v>
      </c>
      <c r="R359" s="71">
        <f>$Q359/IFERROR(VLOOKUP($F359&amp;RIGHT($K359,8),'Master Data'!$O$5:$P$10,2,FALSE),'Master Data'!$P$4)</f>
        <v>12</v>
      </c>
      <c r="S359" s="57">
        <f>VLOOKUP($I359,'Old Pricing - end 26-Jan-2026'!$A:$Q,16,FALSE)</f>
        <v>700</v>
      </c>
      <c r="T359" s="57">
        <f>VLOOKUP(I359,'Old Pricing - end 26-Jan-2026'!$A:$O,15,FALSE)</f>
        <v>7.53</v>
      </c>
      <c r="U359" s="57">
        <f t="shared" si="15"/>
        <v>61740</v>
      </c>
      <c r="V359" s="111">
        <f t="shared" si="16"/>
        <v>61761.511800000015</v>
      </c>
      <c r="W359" s="55">
        <f>VLOOKUP($I359,'Old Pricing - end 26-Jan-2026'!$A:$R,18,FALSE)</f>
        <v>45</v>
      </c>
    </row>
    <row r="360" spans="1:23" ht="15" hidden="1" thickTop="1" x14ac:dyDescent="0.3">
      <c r="A360" s="55">
        <v>24174793</v>
      </c>
      <c r="B360" s="55">
        <v>0</v>
      </c>
      <c r="C360" s="55" t="str">
        <f>VLOOKUP(A360&amp;"-"&amp;B360,'Order Summary'!$D:$E,2,FALSE)</f>
        <v>Commercial Invoice Sent</v>
      </c>
      <c r="D360" s="216">
        <f>IF($A360="","",VLOOKUP($A360&amp;"-"&amp;$B360,'Order Summary'!$D:$U,3,FALSE))</f>
        <v>46042</v>
      </c>
      <c r="E360" s="55" t="str">
        <f>VLOOKUP(A360&amp;"-"&amp;B360,'Order Summary'!$D:$G,4,FALSE)</f>
        <v>Yes</v>
      </c>
      <c r="F360" s="55" t="str">
        <f>VLOOKUP($A360,'Order Summary'!$B:$I,8,FALSE)</f>
        <v>Houston, TX</v>
      </c>
      <c r="G360" s="216">
        <f>IF($A360="","",VLOOKUP($A360&amp;"-"&amp;$B360,'Order Summary'!$D:$U,18,FALSE))</f>
        <v>46198</v>
      </c>
      <c r="H360" s="55">
        <v>1</v>
      </c>
      <c r="I360" s="55">
        <v>694437</v>
      </c>
      <c r="J360" s="55" t="str">
        <f>VLOOKUP($I360,'Old Pricing - end 26-Jan-2026'!$A:$R,2,FALSE)</f>
        <v>G1S 694437</v>
      </c>
      <c r="K360" s="55" t="str">
        <f>VLOOKUP($I360,'Old Pricing - end 26-Jan-2026'!$A:$R,6,FALSE)&amp;" "&amp;VLOOKUP($I360,'Old Pricing - end 26-Jan-2026'!$A:$R,7,FALSE)&amp;""" x "&amp;VLOOKUP($I360,'Old Pricing - end 26-Jan-2026'!$A:$R,9,FALSE)&amp;""" "&amp;VLOOKUP($I360,'Old Pricing - end 26-Jan-2026'!$A:$R,5,FALSE)</f>
        <v>2MM 49" x 108" ACP</v>
      </c>
      <c r="L360" s="55">
        <f>VLOOKUP($I360,'Old Pricing - end 26-Jan-2026'!$A:$K,8,FALSE)</f>
        <v>1245</v>
      </c>
      <c r="M360" s="55">
        <f>VLOOKUP($I360,'Old Pricing - end 26-Jan-2026'!$A:$K,10,FALSE)</f>
        <v>2745</v>
      </c>
      <c r="N360" s="55" t="str">
        <f>VLOOKUP($I360,'Old Pricing - end 26-Jan-2026'!$A:$R,13,FALSE)&amp;" "&amp;VLOOKUP($I360,'Old Pricing - end 26-Jan-2026'!$A:$R,12,FALSE)</f>
        <v>ASC 0069 GLOSSY WHITE</v>
      </c>
      <c r="O360" s="56">
        <v>88.2</v>
      </c>
      <c r="P360" s="55">
        <f>(VLOOKUP($I360,'Old Pricing - end 26-Jan-2026'!$A:$R,8,FALSE)/1000)*(VLOOKUP($I360,'Old Pricing - end 26-Jan-2026'!$A:$R,10,FALSE)/1000)*Q360</f>
        <v>8202.0600000000013</v>
      </c>
      <c r="Q360" s="55">
        <f>ROUND(('Order Details'!$O360*1000)/((VLOOKUP($I360,'Old Pricing - end 26-Jan-2026'!$A:$Q,7,FALSE)/12)*(VLOOKUP($I360,'Old Pricing - end 26-Jan-2026'!$A:$Q,9,FALSE)/12))/5,0)*5</f>
        <v>2400</v>
      </c>
      <c r="R360" s="71">
        <f>$Q360/IFERROR(VLOOKUP($F360&amp;RIGHT($K360,8),'Master Data'!$O$5:$P$10,2,FALSE),'Master Data'!$P$4)</f>
        <v>12</v>
      </c>
      <c r="S360" s="57">
        <f>VLOOKUP($I360,'Old Pricing - end 26-Jan-2026'!$A:$Q,16,FALSE)</f>
        <v>700</v>
      </c>
      <c r="T360" s="57">
        <f>VLOOKUP(I360,'Old Pricing - end 26-Jan-2026'!$A:$O,15,FALSE)</f>
        <v>7.53</v>
      </c>
      <c r="U360" s="57">
        <f t="shared" ref="U360:U423" si="18">O360*S360</f>
        <v>61740</v>
      </c>
      <c r="V360" s="111">
        <f t="shared" si="16"/>
        <v>61761.511800000015</v>
      </c>
      <c r="W360" s="55">
        <f>VLOOKUP($I360,'Old Pricing - end 26-Jan-2026'!$A:$R,18,FALSE)</f>
        <v>45</v>
      </c>
    </row>
    <row r="361" spans="1:23" ht="15" hidden="1" thickTop="1" x14ac:dyDescent="0.3">
      <c r="A361" s="55">
        <v>24174794</v>
      </c>
      <c r="B361" s="55">
        <v>0</v>
      </c>
      <c r="C361" s="55" t="str">
        <f>VLOOKUP(A361&amp;"-"&amp;B361,'Order Summary'!$D:$E,2,FALSE)</f>
        <v>Balance Payment Received</v>
      </c>
      <c r="D361" s="216">
        <f>IF($A361="","",VLOOKUP($A361&amp;"-"&amp;$B361,'Order Summary'!$D:$U,3,FALSE))</f>
        <v>46042</v>
      </c>
      <c r="E361" s="55" t="str">
        <f>VLOOKUP(A361&amp;"-"&amp;B361,'Order Summary'!$D:$G,4,FALSE)</f>
        <v>Yes</v>
      </c>
      <c r="F361" s="55" t="str">
        <f>VLOOKUP($A361,'Order Summary'!$B:$I,8,FALSE)</f>
        <v>Houston, TX</v>
      </c>
      <c r="G361" s="216">
        <f>IF($A361="","",VLOOKUP($A361&amp;"-"&amp;$B361,'Order Summary'!$D:$U,18,FALSE))</f>
        <v>46191</v>
      </c>
      <c r="H361" s="55">
        <v>1</v>
      </c>
      <c r="I361" s="55">
        <v>694441</v>
      </c>
      <c r="J361" s="55" t="str">
        <f>VLOOKUP($I361,'Old Pricing - end 26-Jan-2026'!$A:$R,2,FALSE)</f>
        <v>G1S 694441</v>
      </c>
      <c r="K361" s="55" t="str">
        <f>VLOOKUP($I361,'Old Pricing - end 26-Jan-2026'!$A:$R,6,FALSE)&amp;" "&amp;VLOOKUP($I361,'Old Pricing - end 26-Jan-2026'!$A:$R,7,FALSE)&amp;""" x "&amp;VLOOKUP($I361,'Old Pricing - end 26-Jan-2026'!$A:$R,9,FALSE)&amp;""" "&amp;VLOOKUP($I361,'Old Pricing - end 26-Jan-2026'!$A:$R,5,FALSE)</f>
        <v>2MM 49" x 108" ACP</v>
      </c>
      <c r="L361" s="55">
        <f>VLOOKUP($I361,'Old Pricing - end 26-Jan-2026'!$A:$K,8,FALSE)</f>
        <v>1245</v>
      </c>
      <c r="M361" s="55">
        <f>VLOOKUP($I361,'Old Pricing - end 26-Jan-2026'!$A:$K,10,FALSE)</f>
        <v>2745</v>
      </c>
      <c r="N361" s="55" t="str">
        <f>VLOOKUP($I361,'Old Pricing - end 26-Jan-2026'!$A:$R,13,FALSE)&amp;" "&amp;VLOOKUP($I361,'Old Pricing - end 26-Jan-2026'!$A:$R,12,FALSE)</f>
        <v>AMC 0103 SILVER FROST</v>
      </c>
      <c r="O361" s="56">
        <v>88.2</v>
      </c>
      <c r="P361" s="55">
        <f>(VLOOKUP($I361,'Old Pricing - end 26-Jan-2026'!$A:$R,8,FALSE)/1000)*(VLOOKUP($I361,'Old Pricing - end 26-Jan-2026'!$A:$R,10,FALSE)/1000)*Q361</f>
        <v>8202.0600000000013</v>
      </c>
      <c r="Q361" s="55">
        <f>ROUND(('Order Details'!$O361*1000)/((VLOOKUP($I361,'Old Pricing - end 26-Jan-2026'!$A:$Q,7,FALSE)/12)*(VLOOKUP($I361,'Old Pricing - end 26-Jan-2026'!$A:$Q,9,FALSE)/12))/5,0)*5</f>
        <v>2400</v>
      </c>
      <c r="R361" s="71">
        <f>$Q361/IFERROR(VLOOKUP($F361&amp;RIGHT($K361,8),'Master Data'!$O$5:$P$10,2,FALSE),'Master Data'!$P$4)</f>
        <v>12</v>
      </c>
      <c r="S361" s="57">
        <f>VLOOKUP($I361,'Old Pricing - end 26-Jan-2026'!$A:$Q,16,FALSE)</f>
        <v>700</v>
      </c>
      <c r="T361" s="57">
        <f>VLOOKUP(I361,'Old Pricing - end 26-Jan-2026'!$A:$O,15,FALSE)</f>
        <v>7.53</v>
      </c>
      <c r="U361" s="57">
        <f t="shared" si="18"/>
        <v>61740</v>
      </c>
      <c r="V361" s="111">
        <f t="shared" si="16"/>
        <v>61761.511800000015</v>
      </c>
      <c r="W361" s="55">
        <f>VLOOKUP($I361,'Old Pricing - end 26-Jan-2026'!$A:$R,18,FALSE)</f>
        <v>90</v>
      </c>
    </row>
    <row r="362" spans="1:23" ht="15" hidden="1" thickTop="1" x14ac:dyDescent="0.3">
      <c r="A362" s="55">
        <v>24174796</v>
      </c>
      <c r="B362" s="55">
        <v>0</v>
      </c>
      <c r="C362" s="55" t="str">
        <f>VLOOKUP(A362&amp;"-"&amp;B362,'Order Summary'!$D:$E,2,FALSE)</f>
        <v>Balance Payment Received</v>
      </c>
      <c r="D362" s="216">
        <f>IF($A362="","",VLOOKUP($A362&amp;"-"&amp;$B362,'Order Summary'!$D:$U,3,FALSE))</f>
        <v>46042</v>
      </c>
      <c r="E362" s="55" t="str">
        <f>VLOOKUP(A362&amp;"-"&amp;B362,'Order Summary'!$D:$G,4,FALSE)</f>
        <v>Yes</v>
      </c>
      <c r="F362" s="55" t="str">
        <f>VLOOKUP($A362,'Order Summary'!$B:$I,8,FALSE)</f>
        <v>Houston, TX</v>
      </c>
      <c r="G362" s="216">
        <f>IF($A362="","",VLOOKUP($A362&amp;"-"&amp;$B362,'Order Summary'!$D:$U,18,FALSE))</f>
        <v>46191</v>
      </c>
      <c r="H362" s="55">
        <v>1</v>
      </c>
      <c r="I362" s="55">
        <v>694445</v>
      </c>
      <c r="J362" s="55" t="str">
        <f>VLOOKUP($I362,'Old Pricing - end 26-Jan-2026'!$A:$R,2,FALSE)</f>
        <v>G1S 694445</v>
      </c>
      <c r="K362" s="55" t="str">
        <f>VLOOKUP($I362,'Old Pricing - end 26-Jan-2026'!$A:$R,6,FALSE)&amp;" "&amp;VLOOKUP($I362,'Old Pricing - end 26-Jan-2026'!$A:$R,7,FALSE)&amp;""" x "&amp;VLOOKUP($I362,'Old Pricing - end 26-Jan-2026'!$A:$R,9,FALSE)&amp;""" "&amp;VLOOKUP($I362,'Old Pricing - end 26-Jan-2026'!$A:$R,5,FALSE)</f>
        <v>2MM 49" x 108" ACP</v>
      </c>
      <c r="L362" s="55">
        <f>VLOOKUP($I362,'Old Pricing - end 26-Jan-2026'!$A:$K,8,FALSE)</f>
        <v>1245</v>
      </c>
      <c r="M362" s="55">
        <f>VLOOKUP($I362,'Old Pricing - end 26-Jan-2026'!$A:$K,10,FALSE)</f>
        <v>2745</v>
      </c>
      <c r="N362" s="55" t="str">
        <f>VLOOKUP($I362,'Old Pricing - end 26-Jan-2026'!$A:$R,13,FALSE)&amp;" "&amp;VLOOKUP($I362,'Old Pricing - end 26-Jan-2026'!$A:$R,12,FALSE)</f>
        <v>AMC 0086 CHARCOAL METALLIC</v>
      </c>
      <c r="O362" s="56">
        <v>88.2</v>
      </c>
      <c r="P362" s="55">
        <f>(VLOOKUP($I362,'Old Pricing - end 26-Jan-2026'!$A:$R,8,FALSE)/1000)*(VLOOKUP($I362,'Old Pricing - end 26-Jan-2026'!$A:$R,10,FALSE)/1000)*Q362</f>
        <v>8202.0600000000013</v>
      </c>
      <c r="Q362" s="55">
        <f>ROUND(('Order Details'!$O362*1000)/((VLOOKUP($I362,'Old Pricing - end 26-Jan-2026'!$A:$Q,7,FALSE)/12)*(VLOOKUP($I362,'Old Pricing - end 26-Jan-2026'!$A:$Q,9,FALSE)/12))/5,0)*5</f>
        <v>2400</v>
      </c>
      <c r="R362" s="71">
        <f>$Q362/IFERROR(VLOOKUP($F362&amp;RIGHT($K362,8),'Master Data'!$O$5:$P$10,2,FALSE),'Master Data'!$P$4)</f>
        <v>12</v>
      </c>
      <c r="S362" s="57">
        <f>VLOOKUP($I362,'Old Pricing - end 26-Jan-2026'!$A:$Q,16,FALSE)</f>
        <v>750</v>
      </c>
      <c r="T362" s="57">
        <f>VLOOKUP(I362,'Old Pricing - end 26-Jan-2026'!$A:$O,15,FALSE)</f>
        <v>8.07</v>
      </c>
      <c r="U362" s="57">
        <f t="shared" si="18"/>
        <v>66150</v>
      </c>
      <c r="V362" s="111">
        <f t="shared" si="16"/>
        <v>66190.624200000006</v>
      </c>
      <c r="W362" s="55">
        <f>VLOOKUP($I362,'Old Pricing - end 26-Jan-2026'!$A:$R,18,FALSE)</f>
        <v>45</v>
      </c>
    </row>
    <row r="363" spans="1:23" ht="15" hidden="1" thickTop="1" x14ac:dyDescent="0.3">
      <c r="A363" s="55">
        <v>24174797</v>
      </c>
      <c r="B363" s="55">
        <v>0</v>
      </c>
      <c r="C363" s="55" t="str">
        <f>VLOOKUP(A363&amp;"-"&amp;B363,'Order Summary'!$D:$E,2,FALSE)</f>
        <v>Commercial Invoice Sent</v>
      </c>
      <c r="D363" s="216">
        <f>IF($A363="","",VLOOKUP($A363&amp;"-"&amp;$B363,'Order Summary'!$D:$U,3,FALSE))</f>
        <v>46042</v>
      </c>
      <c r="E363" s="55" t="str">
        <f>VLOOKUP(A363&amp;"-"&amp;B363,'Order Summary'!$D:$G,4,FALSE)</f>
        <v>Yes</v>
      </c>
      <c r="F363" s="55" t="str">
        <f>VLOOKUP($A363,'Order Summary'!$B:$I,8,FALSE)</f>
        <v>Houston, TX</v>
      </c>
      <c r="G363" s="216">
        <f>IF($A363="","",VLOOKUP($A363&amp;"-"&amp;$B363,'Order Summary'!$D:$U,18,FALSE))</f>
        <v>46171</v>
      </c>
      <c r="H363" s="55">
        <v>1</v>
      </c>
      <c r="I363" s="55">
        <v>694434</v>
      </c>
      <c r="J363" s="55" t="str">
        <f>VLOOKUP($I363,'Old Pricing - end 26-Jan-2026'!$A:$R,2,FALSE)</f>
        <v>G1S 694434</v>
      </c>
      <c r="K363" s="55" t="str">
        <f>VLOOKUP($I363,'Old Pricing - end 26-Jan-2026'!$A:$R,6,FALSE)&amp;" "&amp;VLOOKUP($I363,'Old Pricing - end 26-Jan-2026'!$A:$R,7,FALSE)&amp;""" x "&amp;VLOOKUP($I363,'Old Pricing - end 26-Jan-2026'!$A:$R,9,FALSE)&amp;""" "&amp;VLOOKUP($I363,'Old Pricing - end 26-Jan-2026'!$A:$R,5,FALSE)</f>
        <v>2MM 49" x 144" ACP</v>
      </c>
      <c r="L363" s="55">
        <f>VLOOKUP($I363,'Old Pricing - end 26-Jan-2026'!$A:$K,8,FALSE)</f>
        <v>1245</v>
      </c>
      <c r="M363" s="55">
        <f>VLOOKUP($I363,'Old Pricing - end 26-Jan-2026'!$A:$K,10,FALSE)</f>
        <v>3658</v>
      </c>
      <c r="N363" s="55" t="str">
        <f>VLOOKUP($I363,'Old Pricing - end 26-Jan-2026'!$A:$R,13,FALSE)&amp;" "&amp;VLOOKUP($I363,'Old Pricing - end 26-Jan-2026'!$A:$R,12,FALSE)</f>
        <v>ASC 0096 GLOSSY BLACK</v>
      </c>
      <c r="O363" s="56">
        <v>39.200000000000003</v>
      </c>
      <c r="P363" s="55">
        <f>(VLOOKUP($I363,'Old Pricing - end 26-Jan-2026'!$A:$R,8,FALSE)/1000)*(VLOOKUP($I363,'Old Pricing - end 26-Jan-2026'!$A:$R,10,FALSE)/1000)*Q363</f>
        <v>3643.3680000000004</v>
      </c>
      <c r="Q363" s="55">
        <f>ROUND(('Order Details'!$O363*1000)/((VLOOKUP($I363,'Old Pricing - end 26-Jan-2026'!$A:$Q,7,FALSE)/12)*(VLOOKUP($I363,'Old Pricing - end 26-Jan-2026'!$A:$Q,9,FALSE)/12))/5,0)*5</f>
        <v>800</v>
      </c>
      <c r="R363" s="71">
        <f>$Q363/IFERROR(VLOOKUP($F363&amp;RIGHT($K363,8),'Master Data'!$O$5:$P$10,2,FALSE),'Master Data'!$P$4)</f>
        <v>4</v>
      </c>
      <c r="S363" s="57">
        <f>VLOOKUP($I363,'Old Pricing - end 26-Jan-2026'!$A:$Q,16,FALSE)</f>
        <v>700</v>
      </c>
      <c r="T363" s="57">
        <f>VLOOKUP(I363,'Old Pricing - end 26-Jan-2026'!$A:$O,15,FALSE)</f>
        <v>7.53</v>
      </c>
      <c r="U363" s="57">
        <f t="shared" si="18"/>
        <v>27440.000000000004</v>
      </c>
      <c r="V363" s="111">
        <f t="shared" si="16"/>
        <v>27434.561040000004</v>
      </c>
      <c r="W363" s="55">
        <f>VLOOKUP($I363,'Old Pricing - end 26-Jan-2026'!$A:$R,18,FALSE)</f>
        <v>45</v>
      </c>
    </row>
    <row r="364" spans="1:23" ht="15" hidden="1" thickTop="1" x14ac:dyDescent="0.3">
      <c r="A364" s="55">
        <v>24174797</v>
      </c>
      <c r="B364" s="55">
        <v>0</v>
      </c>
      <c r="C364" s="55" t="str">
        <f>VLOOKUP(A364&amp;"-"&amp;B364,'Order Summary'!$D:$E,2,FALSE)</f>
        <v>Commercial Invoice Sent</v>
      </c>
      <c r="D364" s="216">
        <f>IF($A364="","",VLOOKUP($A364&amp;"-"&amp;$B364,'Order Summary'!$D:$U,3,FALSE))</f>
        <v>46042</v>
      </c>
      <c r="E364" s="55" t="str">
        <f>VLOOKUP(A364&amp;"-"&amp;B364,'Order Summary'!$D:$G,4,FALSE)</f>
        <v>Yes</v>
      </c>
      <c r="F364" s="55" t="str">
        <f>VLOOKUP($A364,'Order Summary'!$B:$I,8,FALSE)</f>
        <v>Houston, TX</v>
      </c>
      <c r="G364" s="216">
        <f>IF($A364="","",VLOOKUP($A364&amp;"-"&amp;$B364,'Order Summary'!$D:$U,18,FALSE))</f>
        <v>46171</v>
      </c>
      <c r="H364" s="55">
        <v>2</v>
      </c>
      <c r="I364" s="55">
        <v>694438</v>
      </c>
      <c r="J364" s="55" t="str">
        <f>VLOOKUP($I364,'Old Pricing - end 26-Jan-2026'!$A:$R,2,FALSE)</f>
        <v>G1S 694438</v>
      </c>
      <c r="K364" s="55" t="str">
        <f>VLOOKUP($I364,'Old Pricing - end 26-Jan-2026'!$A:$R,6,FALSE)&amp;" "&amp;VLOOKUP($I364,'Old Pricing - end 26-Jan-2026'!$A:$R,7,FALSE)&amp;""" x "&amp;VLOOKUP($I364,'Old Pricing - end 26-Jan-2026'!$A:$R,9,FALSE)&amp;""" "&amp;VLOOKUP($I364,'Old Pricing - end 26-Jan-2026'!$A:$R,5,FALSE)</f>
        <v>2MM 49" x 144" ACP</v>
      </c>
      <c r="L364" s="55">
        <f>VLOOKUP($I364,'Old Pricing - end 26-Jan-2026'!$A:$K,8,FALSE)</f>
        <v>1245</v>
      </c>
      <c r="M364" s="55">
        <f>VLOOKUP($I364,'Old Pricing - end 26-Jan-2026'!$A:$K,10,FALSE)</f>
        <v>3658</v>
      </c>
      <c r="N364" s="55" t="str">
        <f>VLOOKUP($I364,'Old Pricing - end 26-Jan-2026'!$A:$R,13,FALSE)&amp;" "&amp;VLOOKUP($I364,'Old Pricing - end 26-Jan-2026'!$A:$R,12,FALSE)</f>
        <v>ASC 0069 GLOSSY WHITE</v>
      </c>
      <c r="O364" s="56">
        <v>49</v>
      </c>
      <c r="P364" s="55">
        <f>(VLOOKUP($I364,'Old Pricing - end 26-Jan-2026'!$A:$R,8,FALSE)/1000)*(VLOOKUP($I364,'Old Pricing - end 26-Jan-2026'!$A:$R,10,FALSE)/1000)*Q364</f>
        <v>4554.21</v>
      </c>
      <c r="Q364" s="55">
        <f>ROUND(('Order Details'!$O364*1000)/((VLOOKUP($I364,'Old Pricing - end 26-Jan-2026'!$A:$Q,7,FALSE)/12)*(VLOOKUP($I364,'Old Pricing - end 26-Jan-2026'!$A:$Q,9,FALSE)/12))/5,0)*5</f>
        <v>1000</v>
      </c>
      <c r="R364" s="71">
        <f>$Q364/IFERROR(VLOOKUP($F364&amp;RIGHT($K364,8),'Master Data'!$O$5:$P$10,2,FALSE),'Master Data'!$P$4)</f>
        <v>5</v>
      </c>
      <c r="S364" s="57">
        <f>VLOOKUP($I364,'Old Pricing - end 26-Jan-2026'!$A:$Q,16,FALSE)</f>
        <v>700</v>
      </c>
      <c r="T364" s="57">
        <f>VLOOKUP(I364,'Old Pricing - end 26-Jan-2026'!$A:$O,15,FALSE)</f>
        <v>7.53</v>
      </c>
      <c r="U364" s="57">
        <f t="shared" si="18"/>
        <v>34300</v>
      </c>
      <c r="V364" s="111">
        <f t="shared" si="16"/>
        <v>34293.201300000001</v>
      </c>
      <c r="W364" s="55">
        <f>VLOOKUP($I364,'Old Pricing - end 26-Jan-2026'!$A:$R,18,FALSE)</f>
        <v>45</v>
      </c>
    </row>
    <row r="365" spans="1:23" ht="15" hidden="1" thickTop="1" x14ac:dyDescent="0.3">
      <c r="A365" s="55">
        <v>24174799</v>
      </c>
      <c r="B365" s="55">
        <v>0</v>
      </c>
      <c r="C365" s="55" t="str">
        <f>VLOOKUP(A365&amp;"-"&amp;B365,'Order Summary'!$D:$E,2,FALSE)</f>
        <v>Container Loaded</v>
      </c>
      <c r="D365" s="216">
        <f>IF($A365="","",VLOOKUP($A365&amp;"-"&amp;$B365,'Order Summary'!$D:$U,3,FALSE))</f>
        <v>46042</v>
      </c>
      <c r="E365" s="55" t="str">
        <f>VLOOKUP(A365&amp;"-"&amp;B365,'Order Summary'!$D:$G,4,FALSE)</f>
        <v>Yes</v>
      </c>
      <c r="F365" s="55" t="str">
        <f>VLOOKUP($A365,'Order Summary'!$B:$I,8,FALSE)</f>
        <v>Houston, TX</v>
      </c>
      <c r="G365" s="216">
        <f>IF($A365="","",VLOOKUP($A365&amp;"-"&amp;$B365,'Order Summary'!$D:$U,18,FALSE))</f>
        <v>46216</v>
      </c>
      <c r="H365" s="55">
        <v>1</v>
      </c>
      <c r="I365" s="55">
        <v>694434</v>
      </c>
      <c r="J365" s="55" t="str">
        <f>VLOOKUP($I365,'Old Pricing - end 26-Jan-2026'!$A:$R,2,FALSE)</f>
        <v>G1S 694434</v>
      </c>
      <c r="K365" s="55" t="str">
        <f>VLOOKUP($I365,'Old Pricing - end 26-Jan-2026'!$A:$R,6,FALSE)&amp;" "&amp;VLOOKUP($I365,'Old Pricing - end 26-Jan-2026'!$A:$R,7,FALSE)&amp;""" x "&amp;VLOOKUP($I365,'Old Pricing - end 26-Jan-2026'!$A:$R,9,FALSE)&amp;""" "&amp;VLOOKUP($I365,'Old Pricing - end 26-Jan-2026'!$A:$R,5,FALSE)</f>
        <v>2MM 49" x 144" ACP</v>
      </c>
      <c r="L365" s="55">
        <f>VLOOKUP($I365,'Old Pricing - end 26-Jan-2026'!$A:$K,8,FALSE)</f>
        <v>1245</v>
      </c>
      <c r="M365" s="55">
        <f>VLOOKUP($I365,'Old Pricing - end 26-Jan-2026'!$A:$K,10,FALSE)</f>
        <v>3658</v>
      </c>
      <c r="N365" s="55" t="str">
        <f>VLOOKUP($I365,'Old Pricing - end 26-Jan-2026'!$A:$R,13,FALSE)&amp;" "&amp;VLOOKUP($I365,'Old Pricing - end 26-Jan-2026'!$A:$R,12,FALSE)</f>
        <v>ASC 0096 GLOSSY BLACK</v>
      </c>
      <c r="O365" s="56">
        <v>9.8000000000000007</v>
      </c>
      <c r="P365" s="55">
        <f>(VLOOKUP($I365,'Old Pricing - end 26-Jan-2026'!$A:$R,8,FALSE)/1000)*(VLOOKUP($I365,'Old Pricing - end 26-Jan-2026'!$A:$R,10,FALSE)/1000)*Q365</f>
        <v>910.8420000000001</v>
      </c>
      <c r="Q365" s="55">
        <f>ROUND(('Order Details'!$O365*1000)/((VLOOKUP($I365,'Old Pricing - end 26-Jan-2026'!$A:$Q,7,FALSE)/12)*(VLOOKUP($I365,'Old Pricing - end 26-Jan-2026'!$A:$Q,9,FALSE)/12))/5,0)*5</f>
        <v>200</v>
      </c>
      <c r="R365" s="71">
        <f>$Q365/IFERROR(VLOOKUP($F365&amp;RIGHT($K365,8),'Master Data'!$O$5:$P$10,2,FALSE),'Master Data'!$P$4)</f>
        <v>1</v>
      </c>
      <c r="S365" s="57">
        <f>VLOOKUP($I365,'Old Pricing - end 26-Jan-2026'!$A:$Q,16,FALSE)</f>
        <v>700</v>
      </c>
      <c r="T365" s="57">
        <f>VLOOKUP(I365,'Old Pricing - end 26-Jan-2026'!$A:$O,15,FALSE)</f>
        <v>7.53</v>
      </c>
      <c r="U365" s="57">
        <f t="shared" si="18"/>
        <v>6860.0000000000009</v>
      </c>
      <c r="V365" s="111">
        <f t="shared" si="16"/>
        <v>6858.640260000001</v>
      </c>
      <c r="W365" s="55">
        <f>VLOOKUP($I365,'Old Pricing - end 26-Jan-2026'!$A:$R,18,FALSE)</f>
        <v>45</v>
      </c>
    </row>
    <row r="366" spans="1:23" ht="15" hidden="1" thickTop="1" x14ac:dyDescent="0.3">
      <c r="A366" s="55">
        <v>24174799</v>
      </c>
      <c r="B366" s="55">
        <v>0</v>
      </c>
      <c r="C366" s="55" t="str">
        <f>VLOOKUP(A366&amp;"-"&amp;B366,'Order Summary'!$D:$E,2,FALSE)</f>
        <v>Container Loaded</v>
      </c>
      <c r="D366" s="216">
        <f>IF($A366="","",VLOOKUP($A366&amp;"-"&amp;$B366,'Order Summary'!$D:$U,3,FALSE))</f>
        <v>46042</v>
      </c>
      <c r="E366" s="55" t="str">
        <f>VLOOKUP(A366&amp;"-"&amp;B366,'Order Summary'!$D:$G,4,FALSE)</f>
        <v>Yes</v>
      </c>
      <c r="F366" s="55" t="str">
        <f>VLOOKUP($A366,'Order Summary'!$B:$I,8,FALSE)</f>
        <v>Houston, TX</v>
      </c>
      <c r="G366" s="216">
        <f>IF($A366="","",VLOOKUP($A366&amp;"-"&amp;$B366,'Order Summary'!$D:$U,18,FALSE))</f>
        <v>46216</v>
      </c>
      <c r="H366" s="55">
        <v>2</v>
      </c>
      <c r="I366" s="55">
        <v>694442</v>
      </c>
      <c r="J366" s="55" t="str">
        <f>VLOOKUP($I366,'Old Pricing - end 26-Jan-2026'!$A:$R,2,FALSE)</f>
        <v>G1S 694442</v>
      </c>
      <c r="K366" s="55" t="str">
        <f>VLOOKUP($I366,'Old Pricing - end 26-Jan-2026'!$A:$R,6,FALSE)&amp;" "&amp;VLOOKUP($I366,'Old Pricing - end 26-Jan-2026'!$A:$R,7,FALSE)&amp;""" x "&amp;VLOOKUP($I366,'Old Pricing - end 26-Jan-2026'!$A:$R,9,FALSE)&amp;""" "&amp;VLOOKUP($I366,'Old Pricing - end 26-Jan-2026'!$A:$R,5,FALSE)</f>
        <v>2MM 49" x 144" ACP</v>
      </c>
      <c r="L366" s="55">
        <f>VLOOKUP($I366,'Old Pricing - end 26-Jan-2026'!$A:$K,8,FALSE)</f>
        <v>1245</v>
      </c>
      <c r="M366" s="55">
        <f>VLOOKUP($I366,'Old Pricing - end 26-Jan-2026'!$A:$K,10,FALSE)</f>
        <v>3658</v>
      </c>
      <c r="N366" s="55" t="str">
        <f>VLOOKUP($I366,'Old Pricing - end 26-Jan-2026'!$A:$R,13,FALSE)&amp;" "&amp;VLOOKUP($I366,'Old Pricing - end 26-Jan-2026'!$A:$R,12,FALSE)</f>
        <v>AMC 0103 SILVER FROST</v>
      </c>
      <c r="O366" s="56">
        <v>39.200000000000003</v>
      </c>
      <c r="P366" s="55">
        <f>(VLOOKUP($I366,'Old Pricing - end 26-Jan-2026'!$A:$R,8,FALSE)/1000)*(VLOOKUP($I366,'Old Pricing - end 26-Jan-2026'!$A:$R,10,FALSE)/1000)*Q366</f>
        <v>3643.3680000000004</v>
      </c>
      <c r="Q366" s="55">
        <f>ROUND(('Order Details'!$O366*1000)/((VLOOKUP($I366,'Old Pricing - end 26-Jan-2026'!$A:$Q,7,FALSE)/12)*(VLOOKUP($I366,'Old Pricing - end 26-Jan-2026'!$A:$Q,9,FALSE)/12))/5,0)*5</f>
        <v>800</v>
      </c>
      <c r="R366" s="71">
        <f>$Q366/IFERROR(VLOOKUP($F366&amp;RIGHT($K366,8),'Master Data'!$O$5:$P$10,2,FALSE),'Master Data'!$P$4)</f>
        <v>4</v>
      </c>
      <c r="S366" s="57">
        <f>VLOOKUP($I366,'Old Pricing - end 26-Jan-2026'!$A:$Q,16,FALSE)</f>
        <v>700</v>
      </c>
      <c r="T366" s="57">
        <f>VLOOKUP(I366,'Old Pricing - end 26-Jan-2026'!$A:$O,15,FALSE)</f>
        <v>7.53</v>
      </c>
      <c r="U366" s="57">
        <f t="shared" si="18"/>
        <v>27440.000000000004</v>
      </c>
      <c r="V366" s="111">
        <f t="shared" si="16"/>
        <v>27434.561040000004</v>
      </c>
      <c r="W366" s="55">
        <f>VLOOKUP($I366,'Old Pricing - end 26-Jan-2026'!$A:$R,18,FALSE)</f>
        <v>90</v>
      </c>
    </row>
    <row r="367" spans="1:23" ht="15" hidden="1" thickTop="1" x14ac:dyDescent="0.3">
      <c r="A367" s="55">
        <v>24174799</v>
      </c>
      <c r="B367" s="55">
        <v>0</v>
      </c>
      <c r="C367" s="55" t="str">
        <f>VLOOKUP(A367&amp;"-"&amp;B367,'Order Summary'!$D:$E,2,FALSE)</f>
        <v>Container Loaded</v>
      </c>
      <c r="D367" s="216">
        <f>IF($A367="","",VLOOKUP($A367&amp;"-"&amp;$B367,'Order Summary'!$D:$U,3,FALSE))</f>
        <v>46042</v>
      </c>
      <c r="E367" s="55" t="str">
        <f>VLOOKUP(A367&amp;"-"&amp;B367,'Order Summary'!$D:$G,4,FALSE)</f>
        <v>Yes</v>
      </c>
      <c r="F367" s="55" t="str">
        <f>VLOOKUP($A367,'Order Summary'!$B:$I,8,FALSE)</f>
        <v>Houston, TX</v>
      </c>
      <c r="G367" s="216">
        <f>IF($A367="","",VLOOKUP($A367&amp;"-"&amp;$B367,'Order Summary'!$D:$U,18,FALSE))</f>
        <v>46216</v>
      </c>
      <c r="H367" s="55">
        <v>3</v>
      </c>
      <c r="I367" s="55">
        <v>694446</v>
      </c>
      <c r="J367" s="55" t="str">
        <f>VLOOKUP($I367,'Old Pricing - end 26-Jan-2026'!$A:$R,2,FALSE)</f>
        <v>G1S 694446</v>
      </c>
      <c r="K367" s="55" t="str">
        <f>VLOOKUP($I367,'Old Pricing - end 26-Jan-2026'!$A:$R,6,FALSE)&amp;" "&amp;VLOOKUP($I367,'Old Pricing - end 26-Jan-2026'!$A:$R,7,FALSE)&amp;""" x "&amp;VLOOKUP($I367,'Old Pricing - end 26-Jan-2026'!$A:$R,9,FALSE)&amp;""" "&amp;VLOOKUP($I367,'Old Pricing - end 26-Jan-2026'!$A:$R,5,FALSE)</f>
        <v>2MM 49" x 144" ACP</v>
      </c>
      <c r="L367" s="55">
        <f>VLOOKUP($I367,'Old Pricing - end 26-Jan-2026'!$A:$K,8,FALSE)</f>
        <v>1245</v>
      </c>
      <c r="M367" s="55">
        <f>VLOOKUP($I367,'Old Pricing - end 26-Jan-2026'!$A:$K,10,FALSE)</f>
        <v>3658</v>
      </c>
      <c r="N367" s="55" t="str">
        <f>VLOOKUP($I367,'Old Pricing - end 26-Jan-2026'!$A:$R,13,FALSE)&amp;" "&amp;VLOOKUP($I367,'Old Pricing - end 26-Jan-2026'!$A:$R,12,FALSE)</f>
        <v>AMC 0086 CHARCOAL METALLIC</v>
      </c>
      <c r="O367" s="56">
        <v>39.200000000000003</v>
      </c>
      <c r="P367" s="55">
        <f>(VLOOKUP($I367,'Old Pricing - end 26-Jan-2026'!$A:$R,8,FALSE)/1000)*(VLOOKUP($I367,'Old Pricing - end 26-Jan-2026'!$A:$R,10,FALSE)/1000)*Q367</f>
        <v>3643.3680000000004</v>
      </c>
      <c r="Q367" s="55">
        <f>ROUND(('Order Details'!$O367*1000)/((VLOOKUP($I367,'Old Pricing - end 26-Jan-2026'!$A:$Q,7,FALSE)/12)*(VLOOKUP($I367,'Old Pricing - end 26-Jan-2026'!$A:$Q,9,FALSE)/12))/5,0)*5</f>
        <v>800</v>
      </c>
      <c r="R367" s="71">
        <f>$Q367/IFERROR(VLOOKUP($F367&amp;RIGHT($K367,8),'Master Data'!$O$5:$P$10,2,FALSE),'Master Data'!$P$4)</f>
        <v>4</v>
      </c>
      <c r="S367" s="57">
        <f>VLOOKUP($I367,'Old Pricing - end 26-Jan-2026'!$A:$Q,16,FALSE)</f>
        <v>750</v>
      </c>
      <c r="T367" s="57">
        <f>VLOOKUP(I367,'Old Pricing - end 26-Jan-2026'!$A:$O,15,FALSE)</f>
        <v>8.07</v>
      </c>
      <c r="U367" s="57">
        <f t="shared" si="18"/>
        <v>29400.000000000004</v>
      </c>
      <c r="V367" s="111">
        <f t="shared" si="16"/>
        <v>29401.979760000006</v>
      </c>
      <c r="W367" s="55">
        <f>VLOOKUP($I367,'Old Pricing - end 26-Jan-2026'!$A:$R,18,FALSE)</f>
        <v>45</v>
      </c>
    </row>
    <row r="368" spans="1:23" ht="15" hidden="1" thickTop="1" x14ac:dyDescent="0.3">
      <c r="A368" s="55">
        <v>52990927</v>
      </c>
      <c r="B368" s="55">
        <v>0</v>
      </c>
      <c r="C368" s="55" t="str">
        <f>VLOOKUP(A368&amp;"-"&amp;B368,'Order Summary'!$D:$E,2,FALSE)</f>
        <v>Downpayment Received</v>
      </c>
      <c r="D368" s="216">
        <f>IF($A368="","",VLOOKUP($A368&amp;"-"&amp;$B368,'Order Summary'!$D:$U,3,FALSE))</f>
        <v>46050</v>
      </c>
      <c r="E368" s="55" t="str">
        <f>VLOOKUP(A368&amp;"-"&amp;B368,'Order Summary'!$D:$G,4,FALSE)</f>
        <v>Yes</v>
      </c>
      <c r="F368" s="55" t="str">
        <f>VLOOKUP($A368,'Order Summary'!$B:$I,8,FALSE)</f>
        <v>Hillsboro, TX</v>
      </c>
      <c r="G368" s="216">
        <f>IF($A368="","",VLOOKUP($A368&amp;"-"&amp;$B368,'Order Summary'!$D:$U,18,FALSE))</f>
        <v>46206</v>
      </c>
      <c r="H368" s="55">
        <v>1</v>
      </c>
      <c r="I368" s="55">
        <v>694432</v>
      </c>
      <c r="J368" s="55" t="str">
        <f>VLOOKUP($I368,'Pricing Table - eff 27-Jan-2026'!$A:$R,2,FALSE)</f>
        <v>G1S 694432</v>
      </c>
      <c r="K368" s="55" t="str">
        <f>VLOOKUP($I368,'Pricing Table - eff 27-Jan-2026'!$A:$R,6,FALSE)&amp;" "&amp;VLOOKUP($I368,'Pricing Table - eff 27-Jan-2026'!$A:$R,7,FALSE)&amp;""" x "&amp;VLOOKUP($I368,'Pricing Table - eff 27-Jan-2026'!$A:$R,9,FALSE)&amp;""" "&amp;VLOOKUP($I368,'Pricing Table - eff 27-Jan-2026'!$A:$R,5,FALSE)</f>
        <v>2MM 49" x 96" ACP</v>
      </c>
      <c r="L368" s="55">
        <f>VLOOKUP($I368,'Pricing Table - eff 27-Jan-2026'!$A:$K,8,FALSE)</f>
        <v>1245</v>
      </c>
      <c r="M368" s="55">
        <f>VLOOKUP($I368,'Pricing Table - eff 27-Jan-2026'!$A:$K,10,FALSE)</f>
        <v>2440</v>
      </c>
      <c r="N368" s="55" t="str">
        <f>VLOOKUP($I368,'Pricing Table - eff 27-Jan-2026'!$A:$R,13,FALSE)&amp;" "&amp;VLOOKUP($I368,'Pricing Table - eff 27-Jan-2026'!$A:$R,12,FALSE)</f>
        <v>ASC 0096 GLOSSY BLACK</v>
      </c>
      <c r="O368" s="56">
        <v>13.067</v>
      </c>
      <c r="P368" s="55">
        <f>(VLOOKUP($I368,'Pricing Table - eff 27-Jan-2026'!$A:$R,8,FALSE)/1000)*(VLOOKUP($I368,'Pricing Table - eff 27-Jan-2026'!$A:$R,10,FALSE)/1000)*Q368</f>
        <v>1215.1200000000001</v>
      </c>
      <c r="Q368" s="55">
        <f>ROUND(('Order Details'!$O368*1000)/((VLOOKUP($I368,'Pricing Table - eff 27-Jan-2026'!$A:$Q,7,FALSE)/12)*(VLOOKUP($I368,'Pricing Table - eff 27-Jan-2026'!$A:$Q,9,FALSE)/12))/5,0)*5</f>
        <v>400</v>
      </c>
      <c r="R368" s="71">
        <f>$Q368/IFERROR(VLOOKUP($F368&amp;RIGHT($K368,8),'Master Data'!$O$5:$P$10,2,FALSE),'Master Data'!$P$4)</f>
        <v>2</v>
      </c>
      <c r="S368" s="123">
        <f>VLOOKUP($I368,'Pricing Table - eff 27-Jan-2026'!$A:$Q,16,FALSE)</f>
        <v>720</v>
      </c>
      <c r="T368" s="123">
        <f>VLOOKUP(I368,'Pricing Table - eff 27-Jan-2026'!$A:$O,15,FALSE)</f>
        <v>7.73</v>
      </c>
      <c r="U368" s="123">
        <f t="shared" si="18"/>
        <v>9408.24</v>
      </c>
      <c r="V368" s="111">
        <f t="shared" si="16"/>
        <v>9392.8776000000016</v>
      </c>
      <c r="W368" s="55">
        <f>VLOOKUP($I368,'Pricing Table - eff 27-Jan-2026'!$A:$R,18,FALSE)</f>
        <v>45</v>
      </c>
    </row>
    <row r="369" spans="1:23" ht="15" hidden="1" thickTop="1" x14ac:dyDescent="0.3">
      <c r="A369" s="55">
        <v>52990927</v>
      </c>
      <c r="B369" s="55">
        <v>0</v>
      </c>
      <c r="C369" s="55" t="str">
        <f>VLOOKUP(A369&amp;"-"&amp;B369,'Order Summary'!$D:$E,2,FALSE)</f>
        <v>Downpayment Received</v>
      </c>
      <c r="D369" s="216">
        <f>IF($A369="","",VLOOKUP($A369&amp;"-"&amp;$B369,'Order Summary'!$D:$U,3,FALSE))</f>
        <v>46050</v>
      </c>
      <c r="E369" s="55" t="str">
        <f>VLOOKUP(A369&amp;"-"&amp;B369,'Order Summary'!$D:$G,4,FALSE)</f>
        <v>Yes</v>
      </c>
      <c r="F369" s="55" t="str">
        <f>VLOOKUP($A369,'Order Summary'!$B:$I,8,FALSE)</f>
        <v>Hillsboro, TX</v>
      </c>
      <c r="G369" s="216">
        <f>IF($A369="","",VLOOKUP($A369&amp;"-"&amp;$B369,'Order Summary'!$D:$U,18,FALSE))</f>
        <v>46206</v>
      </c>
      <c r="H369" s="55">
        <v>2</v>
      </c>
      <c r="I369" s="55">
        <v>694433</v>
      </c>
      <c r="J369" s="55" t="str">
        <f>VLOOKUP($I369,'Pricing Table - eff 27-Jan-2026'!$A:$R,2,FALSE)</f>
        <v>G1S 694433</v>
      </c>
      <c r="K369" s="55" t="str">
        <f>VLOOKUP($I369,'Pricing Table - eff 27-Jan-2026'!$A:$R,6,FALSE)&amp;" "&amp;VLOOKUP($I369,'Pricing Table - eff 27-Jan-2026'!$A:$R,7,FALSE)&amp;""" x "&amp;VLOOKUP($I369,'Pricing Table - eff 27-Jan-2026'!$A:$R,9,FALSE)&amp;""" "&amp;VLOOKUP($I369,'Pricing Table - eff 27-Jan-2026'!$A:$R,5,FALSE)</f>
        <v>2MM 49" x 108" ACP</v>
      </c>
      <c r="L369" s="55">
        <f>VLOOKUP($I369,'Pricing Table - eff 27-Jan-2026'!$A:$K,8,FALSE)</f>
        <v>1245</v>
      </c>
      <c r="M369" s="55">
        <f>VLOOKUP($I369,'Pricing Table - eff 27-Jan-2026'!$A:$K,10,FALSE)</f>
        <v>2745</v>
      </c>
      <c r="N369" s="55" t="str">
        <f>VLOOKUP($I369,'Pricing Table - eff 27-Jan-2026'!$A:$R,13,FALSE)&amp;" "&amp;VLOOKUP($I369,'Pricing Table - eff 27-Jan-2026'!$A:$R,12,FALSE)</f>
        <v>ASC 0096 GLOSSY BLACK</v>
      </c>
      <c r="O369" s="56">
        <v>16.538</v>
      </c>
      <c r="P369" s="55">
        <f>(VLOOKUP($I369,'Pricing Table - eff 27-Jan-2026'!$A:$R,8,FALSE)/1000)*(VLOOKUP($I369,'Pricing Table - eff 27-Jan-2026'!$A:$R,10,FALSE)/1000)*Q369</f>
        <v>1537.8862500000002</v>
      </c>
      <c r="Q369" s="55">
        <f>ROUND(('Order Details'!$O369*1000)/((VLOOKUP($I369,'Pricing Table - eff 27-Jan-2026'!$A:$Q,7,FALSE)/12)*(VLOOKUP($I369,'Pricing Table - eff 27-Jan-2026'!$A:$Q,9,FALSE)/12))/5,0)*5</f>
        <v>450</v>
      </c>
      <c r="R369" s="71">
        <f>Q369/150</f>
        <v>3</v>
      </c>
      <c r="S369" s="123">
        <f>VLOOKUP($I369,'Pricing Table - eff 27-Jan-2026'!$A:$Q,16,FALSE)</f>
        <v>720</v>
      </c>
      <c r="T369" s="123">
        <f>VLOOKUP(I369,'Pricing Table - eff 27-Jan-2026'!$A:$O,15,FALSE)</f>
        <v>7.73</v>
      </c>
      <c r="U369" s="123">
        <f t="shared" si="18"/>
        <v>11907.36</v>
      </c>
      <c r="V369" s="111">
        <f t="shared" si="16"/>
        <v>11887.860712500002</v>
      </c>
      <c r="W369" s="55">
        <f>VLOOKUP($I369,'Pricing Table - eff 27-Jan-2026'!$A:$R,18,FALSE)</f>
        <v>45</v>
      </c>
    </row>
    <row r="370" spans="1:23" ht="15" hidden="1" thickTop="1" x14ac:dyDescent="0.3">
      <c r="A370" s="55">
        <v>52990927</v>
      </c>
      <c r="B370" s="55">
        <v>0</v>
      </c>
      <c r="C370" s="55" t="str">
        <f>VLOOKUP(A370&amp;"-"&amp;B370,'Order Summary'!$D:$E,2,FALSE)</f>
        <v>Downpayment Received</v>
      </c>
      <c r="D370" s="216">
        <f>IF($A370="","",VLOOKUP($A370&amp;"-"&amp;$B370,'Order Summary'!$D:$U,3,FALSE))</f>
        <v>46050</v>
      </c>
      <c r="E370" s="55" t="str">
        <f>VLOOKUP(A370&amp;"-"&amp;B370,'Order Summary'!$D:$G,4,FALSE)</f>
        <v>Yes</v>
      </c>
      <c r="F370" s="55" t="str">
        <f>VLOOKUP($A370,'Order Summary'!$B:$I,8,FALSE)</f>
        <v>Hillsboro, TX</v>
      </c>
      <c r="G370" s="216">
        <f>IF($A370="","",VLOOKUP($A370&amp;"-"&amp;$B370,'Order Summary'!$D:$U,18,FALSE))</f>
        <v>46206</v>
      </c>
      <c r="H370" s="55">
        <v>3</v>
      </c>
      <c r="I370" s="55">
        <v>694434</v>
      </c>
      <c r="J370" s="55" t="str">
        <f>VLOOKUP($I370,'Pricing Table - eff 27-Jan-2026'!$A:$R,2,FALSE)</f>
        <v>G1S 694434</v>
      </c>
      <c r="K370" s="55" t="str">
        <f>VLOOKUP($I370,'Pricing Table - eff 27-Jan-2026'!$A:$R,6,FALSE)&amp;" "&amp;VLOOKUP($I370,'Pricing Table - eff 27-Jan-2026'!$A:$R,7,FALSE)&amp;""" x "&amp;VLOOKUP($I370,'Pricing Table - eff 27-Jan-2026'!$A:$R,9,FALSE)&amp;""" "&amp;VLOOKUP($I370,'Pricing Table - eff 27-Jan-2026'!$A:$R,5,FALSE)</f>
        <v>2MM 49" x 144" ACP</v>
      </c>
      <c r="L370" s="55">
        <f>VLOOKUP($I370,'Pricing Table - eff 27-Jan-2026'!$A:$K,8,FALSE)</f>
        <v>1245</v>
      </c>
      <c r="M370" s="55">
        <f>VLOOKUP($I370,'Pricing Table - eff 27-Jan-2026'!$A:$K,10,FALSE)</f>
        <v>3658</v>
      </c>
      <c r="N370" s="55" t="str">
        <f>VLOOKUP($I370,'Pricing Table - eff 27-Jan-2026'!$A:$R,13,FALSE)&amp;" "&amp;VLOOKUP($I370,'Pricing Table - eff 27-Jan-2026'!$A:$R,12,FALSE)</f>
        <v>ASC 0096 GLOSSY BLACK</v>
      </c>
      <c r="O370" s="56">
        <v>9.8000000000000007</v>
      </c>
      <c r="P370" s="55">
        <f>(VLOOKUP($I370,'Pricing Table - eff 27-Jan-2026'!$A:$R,8,FALSE)/1000)*(VLOOKUP($I370,'Pricing Table - eff 27-Jan-2026'!$A:$R,10,FALSE)/1000)*Q370</f>
        <v>910.8420000000001</v>
      </c>
      <c r="Q370" s="55">
        <f>ROUND(('Order Details'!$O370*1000)/((VLOOKUP($I370,'Pricing Table - eff 27-Jan-2026'!$A:$Q,7,FALSE)/12)*(VLOOKUP($I370,'Pricing Table - eff 27-Jan-2026'!$A:$Q,9,FALSE)/12))/5,0)*5</f>
        <v>200</v>
      </c>
      <c r="R370" s="71">
        <f>$Q370/IFERROR(VLOOKUP($F370&amp;RIGHT($K370,8),'Master Data'!$O$5:$P$10,2,FALSE),'Master Data'!$P$4)</f>
        <v>1</v>
      </c>
      <c r="S370" s="123">
        <f>VLOOKUP($I370,'Pricing Table - eff 27-Jan-2026'!$A:$Q,16,FALSE)</f>
        <v>720</v>
      </c>
      <c r="T370" s="123">
        <f>VLOOKUP(I370,'Pricing Table - eff 27-Jan-2026'!$A:$O,15,FALSE)</f>
        <v>7.73</v>
      </c>
      <c r="U370" s="123">
        <f t="shared" si="18"/>
        <v>7056.0000000000009</v>
      </c>
      <c r="V370" s="111">
        <f t="shared" si="16"/>
        <v>7040.8086600000015</v>
      </c>
      <c r="W370" s="55">
        <f>VLOOKUP($I370,'Pricing Table - eff 27-Jan-2026'!$A:$R,18,FALSE)</f>
        <v>45</v>
      </c>
    </row>
    <row r="371" spans="1:23" ht="15" hidden="1" thickTop="1" x14ac:dyDescent="0.3">
      <c r="A371" s="55">
        <v>52990927</v>
      </c>
      <c r="B371" s="55">
        <v>0</v>
      </c>
      <c r="C371" s="55" t="str">
        <f>VLOOKUP(A371&amp;"-"&amp;B371,'Order Summary'!$D:$E,2,FALSE)</f>
        <v>Downpayment Received</v>
      </c>
      <c r="D371" s="216">
        <f>IF($A371="","",VLOOKUP($A371&amp;"-"&amp;$B371,'Order Summary'!$D:$U,3,FALSE))</f>
        <v>46050</v>
      </c>
      <c r="E371" s="55" t="str">
        <f>VLOOKUP(A371&amp;"-"&amp;B371,'Order Summary'!$D:$G,4,FALSE)</f>
        <v>Yes</v>
      </c>
      <c r="F371" s="55" t="str">
        <f>VLOOKUP($A371,'Order Summary'!$B:$I,8,FALSE)</f>
        <v>Hillsboro, TX</v>
      </c>
      <c r="G371" s="216">
        <f>IF($A371="","",VLOOKUP($A371&amp;"-"&amp;$B371,'Order Summary'!$D:$U,18,FALSE))</f>
        <v>46206</v>
      </c>
      <c r="H371" s="55">
        <v>4</v>
      </c>
      <c r="I371" s="55">
        <v>694436</v>
      </c>
      <c r="J371" s="55" t="str">
        <f>VLOOKUP($I371,'Pricing Table - eff 27-Jan-2026'!$A:$R,2,FALSE)</f>
        <v>G1S 694436</v>
      </c>
      <c r="K371" s="55" t="str">
        <f>VLOOKUP($I371,'Pricing Table - eff 27-Jan-2026'!$A:$R,6,FALSE)&amp;" "&amp;VLOOKUP($I371,'Pricing Table - eff 27-Jan-2026'!$A:$R,7,FALSE)&amp;""" x "&amp;VLOOKUP($I371,'Pricing Table - eff 27-Jan-2026'!$A:$R,9,FALSE)&amp;""" "&amp;VLOOKUP($I371,'Pricing Table - eff 27-Jan-2026'!$A:$R,5,FALSE)</f>
        <v>2MM 49" x 96" ACP</v>
      </c>
      <c r="L371" s="55">
        <f>VLOOKUP($I371,'Pricing Table - eff 27-Jan-2026'!$A:$K,8,FALSE)</f>
        <v>1245</v>
      </c>
      <c r="M371" s="55">
        <f>VLOOKUP($I371,'Pricing Table - eff 27-Jan-2026'!$A:$K,10,FALSE)</f>
        <v>2440</v>
      </c>
      <c r="N371" s="55" t="str">
        <f>VLOOKUP($I371,'Pricing Table - eff 27-Jan-2026'!$A:$R,13,FALSE)&amp;" "&amp;VLOOKUP($I371,'Pricing Table - eff 27-Jan-2026'!$A:$R,12,FALSE)</f>
        <v>ASC 0069 GLOSSY WHITE</v>
      </c>
      <c r="O371" s="56">
        <v>13.067</v>
      </c>
      <c r="P371" s="55">
        <f>(VLOOKUP($I371,'Pricing Table - eff 27-Jan-2026'!$A:$R,8,FALSE)/1000)*(VLOOKUP($I371,'Pricing Table - eff 27-Jan-2026'!$A:$R,10,FALSE)/1000)*Q371</f>
        <v>1215.1200000000001</v>
      </c>
      <c r="Q371" s="55">
        <f>ROUND(('Order Details'!$O371*1000)/((VLOOKUP($I371,'Pricing Table - eff 27-Jan-2026'!$A:$Q,7,FALSE)/12)*(VLOOKUP($I371,'Pricing Table - eff 27-Jan-2026'!$A:$Q,9,FALSE)/12))/5,0)*5</f>
        <v>400</v>
      </c>
      <c r="R371" s="71">
        <f>$Q371/IFERROR(VLOOKUP($F371&amp;RIGHT($K371,8),'Master Data'!$O$5:$P$10,2,FALSE),'Master Data'!$P$4)</f>
        <v>2</v>
      </c>
      <c r="S371" s="123">
        <f>VLOOKUP($I371,'Pricing Table - eff 27-Jan-2026'!$A:$Q,16,FALSE)</f>
        <v>720</v>
      </c>
      <c r="T371" s="123">
        <f>VLOOKUP(I371,'Pricing Table - eff 27-Jan-2026'!$A:$O,15,FALSE)</f>
        <v>7.73</v>
      </c>
      <c r="U371" s="123">
        <f t="shared" si="18"/>
        <v>9408.24</v>
      </c>
      <c r="V371" s="111">
        <f t="shared" si="16"/>
        <v>9392.8776000000016</v>
      </c>
      <c r="W371" s="55">
        <f>VLOOKUP($I371,'Pricing Table - eff 27-Jan-2026'!$A:$R,18,FALSE)</f>
        <v>45</v>
      </c>
    </row>
    <row r="372" spans="1:23" ht="15" hidden="1" thickTop="1" x14ac:dyDescent="0.3">
      <c r="A372" s="55">
        <v>52990927</v>
      </c>
      <c r="B372" s="55">
        <v>0</v>
      </c>
      <c r="C372" s="55" t="str">
        <f>VLOOKUP(A372&amp;"-"&amp;B372,'Order Summary'!$D:$E,2,FALSE)</f>
        <v>Downpayment Received</v>
      </c>
      <c r="D372" s="216">
        <f>IF($A372="","",VLOOKUP($A372&amp;"-"&amp;$B372,'Order Summary'!$D:$U,3,FALSE))</f>
        <v>46050</v>
      </c>
      <c r="E372" s="55" t="str">
        <f>VLOOKUP(A372&amp;"-"&amp;B372,'Order Summary'!$D:$G,4,FALSE)</f>
        <v>Yes</v>
      </c>
      <c r="F372" s="55" t="str">
        <f>VLOOKUP($A372,'Order Summary'!$B:$I,8,FALSE)</f>
        <v>Hillsboro, TX</v>
      </c>
      <c r="G372" s="216">
        <f>IF($A372="","",VLOOKUP($A372&amp;"-"&amp;$B372,'Order Summary'!$D:$U,18,FALSE))</f>
        <v>46206</v>
      </c>
      <c r="H372" s="55">
        <v>5</v>
      </c>
      <c r="I372" s="55">
        <v>694437</v>
      </c>
      <c r="J372" s="55" t="str">
        <f>VLOOKUP($I372,'Pricing Table - eff 27-Jan-2026'!$A:$R,2,FALSE)</f>
        <v>G1S 694437</v>
      </c>
      <c r="K372" s="55" t="str">
        <f>VLOOKUP($I372,'Pricing Table - eff 27-Jan-2026'!$A:$R,6,FALSE)&amp;" "&amp;VLOOKUP($I372,'Pricing Table - eff 27-Jan-2026'!$A:$R,7,FALSE)&amp;""" x "&amp;VLOOKUP($I372,'Pricing Table - eff 27-Jan-2026'!$A:$R,9,FALSE)&amp;""" "&amp;VLOOKUP($I372,'Pricing Table - eff 27-Jan-2026'!$A:$R,5,FALSE)</f>
        <v>2MM 49" x 108" ACP</v>
      </c>
      <c r="L372" s="55">
        <f>VLOOKUP($I372,'Pricing Table - eff 27-Jan-2026'!$A:$K,8,FALSE)</f>
        <v>1245</v>
      </c>
      <c r="M372" s="55">
        <f>VLOOKUP($I372,'Pricing Table - eff 27-Jan-2026'!$A:$K,10,FALSE)</f>
        <v>2745</v>
      </c>
      <c r="N372" s="55" t="str">
        <f>VLOOKUP($I372,'Pricing Table - eff 27-Jan-2026'!$A:$R,13,FALSE)&amp;" "&amp;VLOOKUP($I372,'Pricing Table - eff 27-Jan-2026'!$A:$R,12,FALSE)</f>
        <v>ASC 0069 GLOSSY WHITE</v>
      </c>
      <c r="O372" s="56">
        <v>11.025</v>
      </c>
      <c r="P372" s="55">
        <f>(VLOOKUP($I372,'Pricing Table - eff 27-Jan-2026'!$A:$R,8,FALSE)/1000)*(VLOOKUP($I372,'Pricing Table - eff 27-Jan-2026'!$A:$R,10,FALSE)/1000)*Q372</f>
        <v>1025.2575000000002</v>
      </c>
      <c r="Q372" s="55">
        <f>ROUND(('Order Details'!$O372*1000)/((VLOOKUP($I372,'Pricing Table - eff 27-Jan-2026'!$A:$Q,7,FALSE)/12)*(VLOOKUP($I372,'Pricing Table - eff 27-Jan-2026'!$A:$Q,9,FALSE)/12))/5,0)*5</f>
        <v>300</v>
      </c>
      <c r="R372" s="71">
        <f t="shared" ref="R372:R374" si="19">Q372/150</f>
        <v>2</v>
      </c>
      <c r="S372" s="123">
        <f>VLOOKUP($I372,'Pricing Table - eff 27-Jan-2026'!$A:$Q,16,FALSE)</f>
        <v>720</v>
      </c>
      <c r="T372" s="123">
        <f>VLOOKUP(I372,'Pricing Table - eff 27-Jan-2026'!$A:$O,15,FALSE)</f>
        <v>7.73</v>
      </c>
      <c r="U372" s="123">
        <f t="shared" si="18"/>
        <v>7938</v>
      </c>
      <c r="V372" s="111">
        <f t="shared" si="16"/>
        <v>7925.2404750000014</v>
      </c>
      <c r="W372" s="55">
        <f>VLOOKUP($I372,'Pricing Table - eff 27-Jan-2026'!$A:$R,18,FALSE)</f>
        <v>45</v>
      </c>
    </row>
    <row r="373" spans="1:23" ht="15" hidden="1" thickTop="1" x14ac:dyDescent="0.3">
      <c r="A373" s="55">
        <v>52990927</v>
      </c>
      <c r="B373" s="55">
        <v>0</v>
      </c>
      <c r="C373" s="55" t="str">
        <f>VLOOKUP(A373&amp;"-"&amp;B373,'Order Summary'!$D:$E,2,FALSE)</f>
        <v>Downpayment Received</v>
      </c>
      <c r="D373" s="216">
        <f>IF($A373="","",VLOOKUP($A373&amp;"-"&amp;$B373,'Order Summary'!$D:$U,3,FALSE))</f>
        <v>46050</v>
      </c>
      <c r="E373" s="55" t="str">
        <f>VLOOKUP(A373&amp;"-"&amp;B373,'Order Summary'!$D:$G,4,FALSE)</f>
        <v>Yes</v>
      </c>
      <c r="F373" s="55" t="str">
        <f>VLOOKUP($A373,'Order Summary'!$B:$I,8,FALSE)</f>
        <v>Hillsboro, TX</v>
      </c>
      <c r="G373" s="216">
        <f>IF($A373="","",VLOOKUP($A373&amp;"-"&amp;$B373,'Order Summary'!$D:$U,18,FALSE))</f>
        <v>46206</v>
      </c>
      <c r="H373" s="55">
        <v>6</v>
      </c>
      <c r="I373" s="55">
        <v>694441</v>
      </c>
      <c r="J373" s="55" t="str">
        <f>VLOOKUP($I373,'Pricing Table - eff 27-Jan-2026'!$A:$R,2,FALSE)</f>
        <v>G1S 694441</v>
      </c>
      <c r="K373" s="55" t="str">
        <f>VLOOKUP($I373,'Pricing Table - eff 27-Jan-2026'!$A:$R,6,FALSE)&amp;" "&amp;VLOOKUP($I373,'Pricing Table - eff 27-Jan-2026'!$A:$R,7,FALSE)&amp;""" x "&amp;VLOOKUP($I373,'Pricing Table - eff 27-Jan-2026'!$A:$R,9,FALSE)&amp;""" "&amp;VLOOKUP($I373,'Pricing Table - eff 27-Jan-2026'!$A:$R,5,FALSE)</f>
        <v>2MM 49" x 108" ACP</v>
      </c>
      <c r="L373" s="55">
        <f>VLOOKUP($I373,'Pricing Table - eff 27-Jan-2026'!$A:$K,8,FALSE)</f>
        <v>1245</v>
      </c>
      <c r="M373" s="55">
        <f>VLOOKUP($I373,'Pricing Table - eff 27-Jan-2026'!$A:$K,10,FALSE)</f>
        <v>2745</v>
      </c>
      <c r="N373" s="55" t="str">
        <f>VLOOKUP($I373,'Pricing Table - eff 27-Jan-2026'!$A:$R,13,FALSE)&amp;" "&amp;VLOOKUP($I373,'Pricing Table - eff 27-Jan-2026'!$A:$R,12,FALSE)</f>
        <v>AMC 0103 SILVER FROST</v>
      </c>
      <c r="O373" s="56">
        <v>5.5129999999999999</v>
      </c>
      <c r="P373" s="55">
        <f>(VLOOKUP($I373,'Pricing Table - eff 27-Jan-2026'!$A:$R,8,FALSE)/1000)*(VLOOKUP($I373,'Pricing Table - eff 27-Jan-2026'!$A:$R,10,FALSE)/1000)*Q373</f>
        <v>512.62875000000008</v>
      </c>
      <c r="Q373" s="55">
        <f>ROUND(('Order Details'!$O373*1000)/((VLOOKUP($I373,'Pricing Table - eff 27-Jan-2026'!$A:$Q,7,FALSE)/12)*(VLOOKUP($I373,'Pricing Table - eff 27-Jan-2026'!$A:$Q,9,FALSE)/12))/5,0)*5</f>
        <v>150</v>
      </c>
      <c r="R373" s="71">
        <f t="shared" si="19"/>
        <v>1</v>
      </c>
      <c r="S373" s="123">
        <f>VLOOKUP($I373,'Pricing Table - eff 27-Jan-2026'!$A:$Q,16,FALSE)</f>
        <v>720</v>
      </c>
      <c r="T373" s="123">
        <f>VLOOKUP(I373,'Pricing Table - eff 27-Jan-2026'!$A:$O,15,FALSE)</f>
        <v>7.73</v>
      </c>
      <c r="U373" s="123">
        <f t="shared" si="18"/>
        <v>3969.36</v>
      </c>
      <c r="V373" s="111">
        <f t="shared" si="16"/>
        <v>3962.6202375000007</v>
      </c>
      <c r="W373" s="55">
        <f>VLOOKUP($I373,'Pricing Table - eff 27-Jan-2026'!$A:$R,18,FALSE)</f>
        <v>90</v>
      </c>
    </row>
    <row r="374" spans="1:23" ht="15" hidden="1" thickTop="1" x14ac:dyDescent="0.3">
      <c r="A374" s="55">
        <v>52990927</v>
      </c>
      <c r="B374" s="55">
        <v>0</v>
      </c>
      <c r="C374" s="55" t="str">
        <f>VLOOKUP(A374&amp;"-"&amp;B374,'Order Summary'!$D:$E,2,FALSE)</f>
        <v>Downpayment Received</v>
      </c>
      <c r="D374" s="216">
        <f>IF($A374="","",VLOOKUP($A374&amp;"-"&amp;$B374,'Order Summary'!$D:$U,3,FALSE))</f>
        <v>46050</v>
      </c>
      <c r="E374" s="55" t="str">
        <f>VLOOKUP(A374&amp;"-"&amp;B374,'Order Summary'!$D:$G,4,FALSE)</f>
        <v>Yes</v>
      </c>
      <c r="F374" s="55" t="str">
        <f>VLOOKUP($A374,'Order Summary'!$B:$I,8,FALSE)</f>
        <v>Hillsboro, TX</v>
      </c>
      <c r="G374" s="216">
        <f>IF($A374="","",VLOOKUP($A374&amp;"-"&amp;$B374,'Order Summary'!$D:$U,18,FALSE))</f>
        <v>46206</v>
      </c>
      <c r="H374" s="55">
        <v>7</v>
      </c>
      <c r="I374" s="55">
        <v>694445</v>
      </c>
      <c r="J374" s="55" t="str">
        <f>VLOOKUP($I374,'Pricing Table - eff 27-Jan-2026'!$A:$R,2,FALSE)</f>
        <v>G1S 694445</v>
      </c>
      <c r="K374" s="55" t="str">
        <f>VLOOKUP($I374,'Pricing Table - eff 27-Jan-2026'!$A:$R,6,FALSE)&amp;" "&amp;VLOOKUP($I374,'Pricing Table - eff 27-Jan-2026'!$A:$R,7,FALSE)&amp;""" x "&amp;VLOOKUP($I374,'Pricing Table - eff 27-Jan-2026'!$A:$R,9,FALSE)&amp;""" "&amp;VLOOKUP($I374,'Pricing Table - eff 27-Jan-2026'!$A:$R,5,FALSE)</f>
        <v>2MM 49" x 108" ACP</v>
      </c>
      <c r="L374" s="55">
        <f>VLOOKUP($I374,'Pricing Table - eff 27-Jan-2026'!$A:$K,8,FALSE)</f>
        <v>1245</v>
      </c>
      <c r="M374" s="55">
        <f>VLOOKUP($I374,'Pricing Table - eff 27-Jan-2026'!$A:$K,10,FALSE)</f>
        <v>2745</v>
      </c>
      <c r="N374" s="55" t="str">
        <f>VLOOKUP($I374,'Pricing Table - eff 27-Jan-2026'!$A:$R,13,FALSE)&amp;" "&amp;VLOOKUP($I374,'Pricing Table - eff 27-Jan-2026'!$A:$R,12,FALSE)</f>
        <v>AMC 0086 CHARCOAL METALLIC</v>
      </c>
      <c r="O374" s="56">
        <v>5.5129999999999999</v>
      </c>
      <c r="P374" s="55">
        <f>(VLOOKUP($I374,'Pricing Table - eff 27-Jan-2026'!$A:$R,8,FALSE)/1000)*(VLOOKUP($I374,'Pricing Table - eff 27-Jan-2026'!$A:$R,10,FALSE)/1000)*Q374</f>
        <v>512.62875000000008</v>
      </c>
      <c r="Q374" s="55">
        <f>ROUND(('Order Details'!$O374*1000)/((VLOOKUP($I374,'Pricing Table - eff 27-Jan-2026'!$A:$Q,7,FALSE)/12)*(VLOOKUP($I374,'Pricing Table - eff 27-Jan-2026'!$A:$Q,9,FALSE)/12))/5,0)*5</f>
        <v>150</v>
      </c>
      <c r="R374" s="71">
        <f t="shared" si="19"/>
        <v>1</v>
      </c>
      <c r="S374" s="123">
        <f>VLOOKUP($I374,'Pricing Table - eff 27-Jan-2026'!$A:$Q,16,FALSE)</f>
        <v>770</v>
      </c>
      <c r="T374" s="123">
        <f>VLOOKUP(I374,'Pricing Table - eff 27-Jan-2026'!$A:$O,15,FALSE)</f>
        <v>8.27</v>
      </c>
      <c r="U374" s="123">
        <f t="shared" si="18"/>
        <v>4245.01</v>
      </c>
      <c r="V374" s="111">
        <f t="shared" si="16"/>
        <v>4239.4397625000001</v>
      </c>
      <c r="W374" s="55">
        <f>VLOOKUP($I374,'Pricing Table - eff 27-Jan-2026'!$A:$R,18,FALSE)</f>
        <v>45</v>
      </c>
    </row>
    <row r="375" spans="1:23" ht="15" hidden="1" thickTop="1" x14ac:dyDescent="0.3">
      <c r="A375" s="55">
        <v>52990927</v>
      </c>
      <c r="B375" s="55">
        <v>0</v>
      </c>
      <c r="C375" s="55" t="str">
        <f>VLOOKUP(A375&amp;"-"&amp;B375,'Order Summary'!$D:$E,2,FALSE)</f>
        <v>Downpayment Received</v>
      </c>
      <c r="D375" s="216">
        <f>IF($A375="","",VLOOKUP($A375&amp;"-"&amp;$B375,'Order Summary'!$D:$U,3,FALSE))</f>
        <v>46050</v>
      </c>
      <c r="E375" s="55" t="str">
        <f>VLOOKUP(A375&amp;"-"&amp;B375,'Order Summary'!$D:$G,4,FALSE)</f>
        <v>Yes</v>
      </c>
      <c r="F375" s="55" t="str">
        <f>VLOOKUP($A375,'Order Summary'!$B:$I,8,FALSE)</f>
        <v>Hillsboro, TX</v>
      </c>
      <c r="G375" s="216">
        <f>IF($A375="","",VLOOKUP($A375&amp;"-"&amp;$B375,'Order Summary'!$D:$U,18,FALSE))</f>
        <v>46206</v>
      </c>
      <c r="H375" s="55">
        <v>8</v>
      </c>
      <c r="I375" s="55">
        <v>694672</v>
      </c>
      <c r="J375" s="55" t="str">
        <f>VLOOKUP($I375,'Pricing Table - eff 27-Jan-2026'!$A:$R,2,FALSE)</f>
        <v>G1S 694672</v>
      </c>
      <c r="K375" s="55" t="str">
        <f>VLOOKUP($I375,'Pricing Table - eff 27-Jan-2026'!$A:$R,6,FALSE)&amp;" "&amp;VLOOKUP($I375,'Pricing Table - eff 27-Jan-2026'!$A:$R,7,FALSE)&amp;""" x "&amp;VLOOKUP($I375,'Pricing Table - eff 27-Jan-2026'!$A:$R,9,FALSE)&amp;""" "&amp;VLOOKUP($I375,'Pricing Table - eff 27-Jan-2026'!$A:$R,5,FALSE)</f>
        <v>2MM 49" x 96" ACP</v>
      </c>
      <c r="L375" s="55">
        <f>VLOOKUP($I375,'Pricing Table - eff 27-Jan-2026'!$A:$K,8,FALSE)</f>
        <v>1245</v>
      </c>
      <c r="M375" s="55">
        <f>VLOOKUP($I375,'Pricing Table - eff 27-Jan-2026'!$A:$K,10,FALSE)</f>
        <v>2440</v>
      </c>
      <c r="N375" s="55" t="str">
        <f>VLOOKUP($I375,'Pricing Table - eff 27-Jan-2026'!$A:$R,13,FALSE)&amp;" "&amp;VLOOKUP($I375,'Pricing Table - eff 27-Jan-2026'!$A:$R,12,FALSE)</f>
        <v>ASC 0089 VICTORY RED</v>
      </c>
      <c r="O375" s="56">
        <v>6.5330000000000004</v>
      </c>
      <c r="P375" s="55">
        <f>(VLOOKUP($I375,'Pricing Table - eff 27-Jan-2026'!$A:$R,8,FALSE)/1000)*(VLOOKUP($I375,'Pricing Table - eff 27-Jan-2026'!$A:$R,10,FALSE)/1000)*Q375</f>
        <v>607.56000000000006</v>
      </c>
      <c r="Q375" s="55">
        <f>ROUND(('Order Details'!$O375*1000)/((VLOOKUP($I375,'Pricing Table - eff 27-Jan-2026'!$A:$Q,7,FALSE)/12)*(VLOOKUP($I375,'Pricing Table - eff 27-Jan-2026'!$A:$Q,9,FALSE)/12))/5,0)*5</f>
        <v>200</v>
      </c>
      <c r="R375" s="71">
        <f>$Q375/IFERROR(VLOOKUP($F375&amp;RIGHT($K375,8),'Master Data'!$O$5:$P$10,2,FALSE),'Master Data'!$P$4)</f>
        <v>1</v>
      </c>
      <c r="S375" s="123">
        <f>VLOOKUP($I375,'Pricing Table - eff 27-Jan-2026'!$A:$Q,16,FALSE)</f>
        <v>720</v>
      </c>
      <c r="T375" s="123">
        <f>VLOOKUP(I375,'Pricing Table - eff 27-Jan-2026'!$A:$O,15,FALSE)</f>
        <v>7.73</v>
      </c>
      <c r="U375" s="123">
        <f t="shared" si="18"/>
        <v>4703.76</v>
      </c>
      <c r="V375" s="111">
        <f t="shared" si="16"/>
        <v>4696.4388000000008</v>
      </c>
      <c r="W375" s="55">
        <f>VLOOKUP($I375,'Pricing Table - eff 27-Jan-2026'!$A:$R,18,FALSE)</f>
        <v>45</v>
      </c>
    </row>
    <row r="376" spans="1:23" ht="15" hidden="1" thickTop="1" x14ac:dyDescent="0.3">
      <c r="A376" s="55">
        <v>52996151</v>
      </c>
      <c r="B376" s="55">
        <v>0</v>
      </c>
      <c r="C376" s="55" t="str">
        <f>VLOOKUP(A376&amp;"-"&amp;B376,'Order Summary'!$D:$E,2,FALSE)</f>
        <v>PO Revised</v>
      </c>
      <c r="D376" s="216">
        <f>IF($A376="","",VLOOKUP($A376&amp;"-"&amp;$B376,'Order Summary'!$D:$U,3,FALSE))</f>
        <v>46056</v>
      </c>
      <c r="E376" s="55" t="str">
        <f>VLOOKUP(A376&amp;"-"&amp;B376,'Order Summary'!$D:$G,4,FALSE)</f>
        <v>No</v>
      </c>
      <c r="F376" s="55" t="str">
        <f>VLOOKUP($A376,'Order Summary'!$B:$I,8,FALSE)</f>
        <v>Nampa, ID</v>
      </c>
      <c r="G376" s="216">
        <f>IF($A376="","",VLOOKUP($A376&amp;"-"&amp;$B376,'Order Summary'!$D:$U,18,FALSE))</f>
        <v>46137</v>
      </c>
      <c r="H376" s="55">
        <v>1</v>
      </c>
      <c r="I376" s="55">
        <v>709355</v>
      </c>
      <c r="J376" s="55" t="str">
        <f>VLOOKUP($I376,'Pricing Table - eff 27-Jan-2026'!$A:$R,2,FALSE)</f>
        <v>G1S 709355</v>
      </c>
      <c r="K376" s="55" t="str">
        <f>VLOOKUP($I376,'Pricing Table - eff 27-Jan-2026'!$A:$R,6,FALSE)&amp;" "&amp;VLOOKUP($I376,'Pricing Table - eff 27-Jan-2026'!$A:$R,7,FALSE)&amp;""" x "&amp;VLOOKUP($I376,'Pricing Table - eff 27-Jan-2026'!$A:$R,9,FALSE)&amp;""" "&amp;VLOOKUP($I376,'Pricing Table - eff 27-Jan-2026'!$A:$R,5,FALSE)</f>
        <v>2MM 49" x 90.5" ACP</v>
      </c>
      <c r="L376" s="55">
        <f>VLOOKUP($I376,'Pricing Table - eff 27-Jan-2026'!$A:$K,8,FALSE)</f>
        <v>1245</v>
      </c>
      <c r="M376" s="55">
        <f>VLOOKUP($I376,'Pricing Table - eff 27-Jan-2026'!$A:$K,10,FALSE)</f>
        <v>2300</v>
      </c>
      <c r="N376" s="55" t="str">
        <f>VLOOKUP($I376,'Pricing Table - eff 27-Jan-2026'!$A:$R,13,FALSE)&amp;" "&amp;VLOOKUP($I376,'Pricing Table - eff 27-Jan-2026'!$A:$R,12,FALSE)</f>
        <v>ASC 0069 GLOSSY WHITE</v>
      </c>
      <c r="O376" s="56">
        <v>12.318</v>
      </c>
      <c r="P376" s="55">
        <f>(VLOOKUP($I376,'Pricing Table - eff 27-Jan-2026'!$A:$R,8,FALSE)/1000)*(VLOOKUP($I376,'Pricing Table - eff 27-Jan-2026'!$A:$R,10,FALSE)/1000)*Q376</f>
        <v>1145.4000000000001</v>
      </c>
      <c r="Q376" s="55">
        <f>ROUND(('Order Details'!$O376*1000)/((VLOOKUP($I376,'Pricing Table - eff 27-Jan-2026'!$A:$Q,7,FALSE)/12)*(VLOOKUP($I376,'Pricing Table - eff 27-Jan-2026'!$A:$Q,9,FALSE)/12))/5,0)*5</f>
        <v>400</v>
      </c>
      <c r="R376" s="71">
        <f>$Q376/IFERROR(VLOOKUP($F376&amp;RIGHT($K376,8),'Master Data'!$O$5:$P$10,2,FALSE),'Master Data'!$P$4)</f>
        <v>2</v>
      </c>
      <c r="S376" s="57">
        <f>VLOOKUP($I376,'Pricing Table - eff 27-Jan-2026'!$A:$Q,16,FALSE)</f>
        <v>720</v>
      </c>
      <c r="T376" s="57">
        <f>VLOOKUP(I376,'Pricing Table - eff 27-Jan-2026'!$A:$O,15,FALSE)</f>
        <v>7.73</v>
      </c>
      <c r="U376" s="57">
        <f t="shared" si="18"/>
        <v>8868.9599999999991</v>
      </c>
      <c r="V376" s="111">
        <f t="shared" si="16"/>
        <v>8853.9420000000009</v>
      </c>
      <c r="W376" s="55">
        <f>VLOOKUP($I376,'Pricing Table - eff 27-Jan-2026'!$A:$R,18,FALSE)</f>
        <v>45</v>
      </c>
    </row>
    <row r="377" spans="1:23" ht="15" hidden="1" thickTop="1" x14ac:dyDescent="0.3">
      <c r="A377" s="55">
        <v>52996151</v>
      </c>
      <c r="B377" s="55">
        <v>0</v>
      </c>
      <c r="C377" s="55" t="str">
        <f>VLOOKUP(A377&amp;"-"&amp;B377,'Order Summary'!$D:$E,2,FALSE)</f>
        <v>PO Revised</v>
      </c>
      <c r="D377" s="216">
        <f>IF($A377="","",VLOOKUP($A377&amp;"-"&amp;$B377,'Order Summary'!$D:$U,3,FALSE))</f>
        <v>46056</v>
      </c>
      <c r="E377" s="55" t="str">
        <f>VLOOKUP(A377&amp;"-"&amp;B377,'Order Summary'!$D:$G,4,FALSE)</f>
        <v>No</v>
      </c>
      <c r="F377" s="55" t="str">
        <f>VLOOKUP($A377,'Order Summary'!$B:$I,8,FALSE)</f>
        <v>Nampa, ID</v>
      </c>
      <c r="G377" s="216">
        <f>IF($A377="","",VLOOKUP($A377&amp;"-"&amp;$B377,'Order Summary'!$D:$U,18,FALSE))</f>
        <v>46137</v>
      </c>
      <c r="H377" s="55">
        <v>2</v>
      </c>
      <c r="I377" s="55">
        <v>694436</v>
      </c>
      <c r="J377" s="55" t="str">
        <f>VLOOKUP($I377,'Pricing Table - eff 27-Jan-2026'!$A:$R,2,FALSE)</f>
        <v>G1S 694436</v>
      </c>
      <c r="K377" s="55" t="str">
        <f>VLOOKUP($I377,'Pricing Table - eff 27-Jan-2026'!$A:$R,6,FALSE)&amp;" "&amp;VLOOKUP($I377,'Pricing Table - eff 27-Jan-2026'!$A:$R,7,FALSE)&amp;""" x "&amp;VLOOKUP($I377,'Pricing Table - eff 27-Jan-2026'!$A:$R,9,FALSE)&amp;""" "&amp;VLOOKUP($I377,'Pricing Table - eff 27-Jan-2026'!$A:$R,5,FALSE)</f>
        <v>2MM 49" x 96" ACP</v>
      </c>
      <c r="L377" s="55">
        <f>VLOOKUP($I377,'Pricing Table - eff 27-Jan-2026'!$A:$K,8,FALSE)</f>
        <v>1245</v>
      </c>
      <c r="M377" s="55">
        <f>VLOOKUP($I377,'Pricing Table - eff 27-Jan-2026'!$A:$K,10,FALSE)</f>
        <v>2440</v>
      </c>
      <c r="N377" s="55" t="str">
        <f>VLOOKUP($I377,'Pricing Table - eff 27-Jan-2026'!$A:$R,13,FALSE)&amp;" "&amp;VLOOKUP($I377,'Pricing Table - eff 27-Jan-2026'!$A:$R,12,FALSE)</f>
        <v>ASC 0069 GLOSSY WHITE</v>
      </c>
      <c r="O377" s="56">
        <v>13.067</v>
      </c>
      <c r="P377" s="55">
        <f>(VLOOKUP($I377,'Pricing Table - eff 27-Jan-2026'!$A:$R,8,FALSE)/1000)*(VLOOKUP($I377,'Pricing Table - eff 27-Jan-2026'!$A:$R,10,FALSE)/1000)*Q377</f>
        <v>1215.1200000000001</v>
      </c>
      <c r="Q377" s="55">
        <f>ROUND(('Order Details'!$O377*1000)/((VLOOKUP($I377,'Pricing Table - eff 27-Jan-2026'!$A:$Q,7,FALSE)/12)*(VLOOKUP($I377,'Pricing Table - eff 27-Jan-2026'!$A:$Q,9,FALSE)/12))/5,0)*5</f>
        <v>400</v>
      </c>
      <c r="R377" s="71">
        <f>$Q377/IFERROR(VLOOKUP($F377&amp;RIGHT($K377,8),'Master Data'!$O$5:$P$10,2,FALSE),'Master Data'!$P$4)</f>
        <v>2</v>
      </c>
      <c r="S377" s="57">
        <f>VLOOKUP($I377,'Pricing Table - eff 27-Jan-2026'!$A:$Q,16,FALSE)</f>
        <v>720</v>
      </c>
      <c r="T377" s="57">
        <f>VLOOKUP(I377,'Pricing Table - eff 27-Jan-2026'!$A:$O,15,FALSE)</f>
        <v>7.73</v>
      </c>
      <c r="U377" s="57">
        <f t="shared" si="18"/>
        <v>9408.24</v>
      </c>
      <c r="V377" s="111">
        <f t="shared" si="16"/>
        <v>9392.8776000000016</v>
      </c>
      <c r="W377" s="55">
        <f>VLOOKUP($I377,'Pricing Table - eff 27-Jan-2026'!$A:$R,18,FALSE)</f>
        <v>45</v>
      </c>
    </row>
    <row r="378" spans="1:23" ht="15" hidden="1" thickTop="1" x14ac:dyDescent="0.3">
      <c r="A378" s="55">
        <v>52996151</v>
      </c>
      <c r="B378" s="55">
        <v>0</v>
      </c>
      <c r="C378" s="55" t="str">
        <f>VLOOKUP(A378&amp;"-"&amp;B378,'Order Summary'!$D:$E,2,FALSE)</f>
        <v>PO Revised</v>
      </c>
      <c r="D378" s="216">
        <f>IF($A378="","",VLOOKUP($A378&amp;"-"&amp;$B378,'Order Summary'!$D:$U,3,FALSE))</f>
        <v>46056</v>
      </c>
      <c r="E378" s="55" t="str">
        <f>VLOOKUP(A378&amp;"-"&amp;B378,'Order Summary'!$D:$G,4,FALSE)</f>
        <v>No</v>
      </c>
      <c r="F378" s="55" t="str">
        <f>VLOOKUP($A378,'Order Summary'!$B:$I,8,FALSE)</f>
        <v>Nampa, ID</v>
      </c>
      <c r="G378" s="216">
        <f>IF($A378="","",VLOOKUP($A378&amp;"-"&amp;$B378,'Order Summary'!$D:$U,18,FALSE))</f>
        <v>46137</v>
      </c>
      <c r="H378" s="55">
        <v>3</v>
      </c>
      <c r="I378" s="55">
        <v>694437</v>
      </c>
      <c r="J378" s="55" t="str">
        <f>VLOOKUP($I378,'Pricing Table - eff 27-Jan-2026'!$A:$R,2,FALSE)</f>
        <v>G1S 694437</v>
      </c>
      <c r="K378" s="55" t="str">
        <f>VLOOKUP($I378,'Pricing Table - eff 27-Jan-2026'!$A:$R,6,FALSE)&amp;" "&amp;VLOOKUP($I378,'Pricing Table - eff 27-Jan-2026'!$A:$R,7,FALSE)&amp;""" x "&amp;VLOOKUP($I378,'Pricing Table - eff 27-Jan-2026'!$A:$R,9,FALSE)&amp;""" "&amp;VLOOKUP($I378,'Pricing Table - eff 27-Jan-2026'!$A:$R,5,FALSE)</f>
        <v>2MM 49" x 108" ACP</v>
      </c>
      <c r="L378" s="55">
        <f>VLOOKUP($I378,'Pricing Table - eff 27-Jan-2026'!$A:$K,8,FALSE)</f>
        <v>1245</v>
      </c>
      <c r="M378" s="55">
        <f>VLOOKUP($I378,'Pricing Table - eff 27-Jan-2026'!$A:$K,10,FALSE)</f>
        <v>2745</v>
      </c>
      <c r="N378" s="55" t="str">
        <f>VLOOKUP($I378,'Pricing Table - eff 27-Jan-2026'!$A:$R,13,FALSE)&amp;" "&amp;VLOOKUP($I378,'Pricing Table - eff 27-Jan-2026'!$A:$R,12,FALSE)</f>
        <v>ASC 0069 GLOSSY WHITE</v>
      </c>
      <c r="O378" s="56">
        <v>14.7</v>
      </c>
      <c r="P378" s="55">
        <f>(VLOOKUP($I378,'Pricing Table - eff 27-Jan-2026'!$A:$R,8,FALSE)/1000)*(VLOOKUP($I378,'Pricing Table - eff 27-Jan-2026'!$A:$R,10,FALSE)/1000)*Q378</f>
        <v>1367.0100000000002</v>
      </c>
      <c r="Q378" s="55">
        <f>ROUND(('Order Details'!$O378*1000)/((VLOOKUP($I378,'Pricing Table - eff 27-Jan-2026'!$A:$Q,7,FALSE)/12)*(VLOOKUP($I378,'Pricing Table - eff 27-Jan-2026'!$A:$Q,9,FALSE)/12))/5,0)*5</f>
        <v>400</v>
      </c>
      <c r="R378" s="71">
        <f>$Q378/IFERROR(VLOOKUP($F378&amp;RIGHT($K378,8),'Master Data'!$O$5:$P$10,2,FALSE),'Master Data'!$P$4)</f>
        <v>2</v>
      </c>
      <c r="S378" s="57">
        <f>VLOOKUP($I378,'Pricing Table - eff 27-Jan-2026'!$A:$Q,16,FALSE)</f>
        <v>720</v>
      </c>
      <c r="T378" s="57">
        <f>VLOOKUP(I378,'Pricing Table - eff 27-Jan-2026'!$A:$O,15,FALSE)</f>
        <v>7.73</v>
      </c>
      <c r="U378" s="57">
        <f t="shared" si="18"/>
        <v>10584</v>
      </c>
      <c r="V378" s="111">
        <f t="shared" si="16"/>
        <v>10566.987300000003</v>
      </c>
      <c r="W378" s="55">
        <f>VLOOKUP($I378,'Pricing Table - eff 27-Jan-2026'!$A:$R,18,FALSE)</f>
        <v>45</v>
      </c>
    </row>
    <row r="379" spans="1:23" ht="15" hidden="1" thickTop="1" x14ac:dyDescent="0.3">
      <c r="A379" s="55">
        <v>52996151</v>
      </c>
      <c r="B379" s="55">
        <v>0</v>
      </c>
      <c r="C379" s="55" t="str">
        <f>VLOOKUP(A379&amp;"-"&amp;B379,'Order Summary'!$D:$E,2,FALSE)</f>
        <v>PO Revised</v>
      </c>
      <c r="D379" s="216">
        <f>IF($A379="","",VLOOKUP($A379&amp;"-"&amp;$B379,'Order Summary'!$D:$U,3,FALSE))</f>
        <v>46056</v>
      </c>
      <c r="E379" s="55" t="str">
        <f>VLOOKUP(A379&amp;"-"&amp;B379,'Order Summary'!$D:$G,4,FALSE)</f>
        <v>No</v>
      </c>
      <c r="F379" s="55" t="str">
        <f>VLOOKUP($A379,'Order Summary'!$B:$I,8,FALSE)</f>
        <v>Nampa, ID</v>
      </c>
      <c r="G379" s="216">
        <f>IF($A379="","",VLOOKUP($A379&amp;"-"&amp;$B379,'Order Summary'!$D:$U,18,FALSE))</f>
        <v>46137</v>
      </c>
      <c r="H379" s="55">
        <v>4</v>
      </c>
      <c r="I379" s="55">
        <v>709354</v>
      </c>
      <c r="J379" s="55" t="str">
        <f>VLOOKUP($I379,'Pricing Table - eff 27-Jan-2026'!$A:$R,2,FALSE)</f>
        <v>G1S 709354</v>
      </c>
      <c r="K379" s="55" t="str">
        <f>VLOOKUP($I379,'Pricing Table - eff 27-Jan-2026'!$A:$R,6,FALSE)&amp;" "&amp;VLOOKUP($I379,'Pricing Table - eff 27-Jan-2026'!$A:$R,7,FALSE)&amp;""" x "&amp;VLOOKUP($I379,'Pricing Table - eff 27-Jan-2026'!$A:$R,9,FALSE)&amp;""" "&amp;VLOOKUP($I379,'Pricing Table - eff 27-Jan-2026'!$A:$R,5,FALSE)</f>
        <v>2MM 49" x 90.5" ACP</v>
      </c>
      <c r="L379" s="55">
        <f>VLOOKUP($I379,'Pricing Table - eff 27-Jan-2026'!$A:$K,8,FALSE)</f>
        <v>1245</v>
      </c>
      <c r="M379" s="55">
        <f>VLOOKUP($I379,'Pricing Table - eff 27-Jan-2026'!$A:$K,10,FALSE)</f>
        <v>2300</v>
      </c>
      <c r="N379" s="55" t="str">
        <f>VLOOKUP($I379,'Pricing Table - eff 27-Jan-2026'!$A:$R,13,FALSE)&amp;" "&amp;VLOOKUP($I379,'Pricing Table - eff 27-Jan-2026'!$A:$R,12,FALSE)</f>
        <v>ASC 0096 GLOSSY BLACK</v>
      </c>
      <c r="O379" s="56">
        <v>18.477</v>
      </c>
      <c r="P379" s="55">
        <f>(VLOOKUP($I379,'Pricing Table - eff 27-Jan-2026'!$A:$R,8,FALSE)/1000)*(VLOOKUP($I379,'Pricing Table - eff 27-Jan-2026'!$A:$R,10,FALSE)/1000)*Q379</f>
        <v>1718.1000000000001</v>
      </c>
      <c r="Q379" s="55">
        <f>ROUND(('Order Details'!$O379*1000)/((VLOOKUP($I379,'Pricing Table - eff 27-Jan-2026'!$A:$Q,7,FALSE)/12)*(VLOOKUP($I379,'Pricing Table - eff 27-Jan-2026'!$A:$Q,9,FALSE)/12))/5,0)*5</f>
        <v>600</v>
      </c>
      <c r="R379" s="71">
        <f>$Q379/IFERROR(VLOOKUP($F379&amp;RIGHT($K379,8),'Master Data'!$O$5:$P$10,2,FALSE),'Master Data'!$P$4)</f>
        <v>3</v>
      </c>
      <c r="S379" s="57">
        <f>VLOOKUP($I379,'Pricing Table - eff 27-Jan-2026'!$A:$Q,16,FALSE)</f>
        <v>720</v>
      </c>
      <c r="T379" s="57">
        <f>VLOOKUP(I379,'Pricing Table - eff 27-Jan-2026'!$A:$O,15,FALSE)</f>
        <v>7.73</v>
      </c>
      <c r="U379" s="57">
        <f t="shared" si="18"/>
        <v>13303.44</v>
      </c>
      <c r="V379" s="111">
        <f t="shared" si="16"/>
        <v>13280.913000000002</v>
      </c>
      <c r="W379" s="55">
        <f>VLOOKUP($I379,'Pricing Table - eff 27-Jan-2026'!$A:$R,18,FALSE)</f>
        <v>45</v>
      </c>
    </row>
    <row r="380" spans="1:23" ht="15" hidden="1" thickTop="1" x14ac:dyDescent="0.3">
      <c r="A380" s="55">
        <v>52996151</v>
      </c>
      <c r="B380" s="55">
        <v>0</v>
      </c>
      <c r="C380" s="55" t="str">
        <f>VLOOKUP(A380&amp;"-"&amp;B380,'Order Summary'!$D:$E,2,FALSE)</f>
        <v>PO Revised</v>
      </c>
      <c r="D380" s="216">
        <f>IF($A380="","",VLOOKUP($A380&amp;"-"&amp;$B380,'Order Summary'!$D:$U,3,FALSE))</f>
        <v>46056</v>
      </c>
      <c r="E380" s="55" t="str">
        <f>VLOOKUP(A380&amp;"-"&amp;B380,'Order Summary'!$D:$G,4,FALSE)</f>
        <v>No</v>
      </c>
      <c r="F380" s="55" t="str">
        <f>VLOOKUP($A380,'Order Summary'!$B:$I,8,FALSE)</f>
        <v>Nampa, ID</v>
      </c>
      <c r="G380" s="216">
        <f>IF($A380="","",VLOOKUP($A380&amp;"-"&amp;$B380,'Order Summary'!$D:$U,18,FALSE))</f>
        <v>46137</v>
      </c>
      <c r="H380" s="55">
        <v>5</v>
      </c>
      <c r="I380" s="55">
        <v>694432</v>
      </c>
      <c r="J380" s="55" t="str">
        <f>VLOOKUP($I380,'Pricing Table - eff 27-Jan-2026'!$A:$R,2,FALSE)</f>
        <v>G1S 694432</v>
      </c>
      <c r="K380" s="55" t="str">
        <f>VLOOKUP($I380,'Pricing Table - eff 27-Jan-2026'!$A:$R,6,FALSE)&amp;" "&amp;VLOOKUP($I380,'Pricing Table - eff 27-Jan-2026'!$A:$R,7,FALSE)&amp;""" x "&amp;VLOOKUP($I380,'Pricing Table - eff 27-Jan-2026'!$A:$R,9,FALSE)&amp;""" "&amp;VLOOKUP($I380,'Pricing Table - eff 27-Jan-2026'!$A:$R,5,FALSE)</f>
        <v>2MM 49" x 96" ACP</v>
      </c>
      <c r="L380" s="55">
        <f>VLOOKUP($I380,'Pricing Table - eff 27-Jan-2026'!$A:$K,8,FALSE)</f>
        <v>1245</v>
      </c>
      <c r="M380" s="55">
        <f>VLOOKUP($I380,'Pricing Table - eff 27-Jan-2026'!$A:$K,10,FALSE)</f>
        <v>2440</v>
      </c>
      <c r="N380" s="55" t="str">
        <f>VLOOKUP($I380,'Pricing Table - eff 27-Jan-2026'!$A:$R,13,FALSE)&amp;" "&amp;VLOOKUP($I380,'Pricing Table - eff 27-Jan-2026'!$A:$R,12,FALSE)</f>
        <v>ASC 0096 GLOSSY BLACK</v>
      </c>
      <c r="O380" s="56">
        <v>13.067</v>
      </c>
      <c r="P380" s="55">
        <f>(VLOOKUP($I380,'Pricing Table - eff 27-Jan-2026'!$A:$R,8,FALSE)/1000)*(VLOOKUP($I380,'Pricing Table - eff 27-Jan-2026'!$A:$R,10,FALSE)/1000)*Q380</f>
        <v>1215.1200000000001</v>
      </c>
      <c r="Q380" s="55">
        <f>ROUND(('Order Details'!$O380*1000)/((VLOOKUP($I380,'Pricing Table - eff 27-Jan-2026'!$A:$Q,7,FALSE)/12)*(VLOOKUP($I380,'Pricing Table - eff 27-Jan-2026'!$A:$Q,9,FALSE)/12))/5,0)*5</f>
        <v>400</v>
      </c>
      <c r="R380" s="71">
        <f>$Q380/IFERROR(VLOOKUP($F380&amp;RIGHT($K380,8),'Master Data'!$O$5:$P$10,2,FALSE),'Master Data'!$P$4)</f>
        <v>2</v>
      </c>
      <c r="S380" s="57">
        <f>VLOOKUP($I380,'Pricing Table - eff 27-Jan-2026'!$A:$Q,16,FALSE)</f>
        <v>720</v>
      </c>
      <c r="T380" s="57">
        <f>VLOOKUP(I380,'Pricing Table - eff 27-Jan-2026'!$A:$O,15,FALSE)</f>
        <v>7.73</v>
      </c>
      <c r="U380" s="57">
        <f t="shared" si="18"/>
        <v>9408.24</v>
      </c>
      <c r="V380" s="111">
        <f t="shared" si="16"/>
        <v>9392.8776000000016</v>
      </c>
      <c r="W380" s="55">
        <f>VLOOKUP($I380,'Pricing Table - eff 27-Jan-2026'!$A:$R,18,FALSE)</f>
        <v>45</v>
      </c>
    </row>
    <row r="381" spans="1:23" ht="15" hidden="1" thickTop="1" x14ac:dyDescent="0.3">
      <c r="A381" s="55">
        <v>52996151</v>
      </c>
      <c r="B381" s="55">
        <v>0</v>
      </c>
      <c r="C381" s="55" t="str">
        <f>VLOOKUP(A381&amp;"-"&amp;B381,'Order Summary'!$D:$E,2,FALSE)</f>
        <v>PO Revised</v>
      </c>
      <c r="D381" s="216">
        <f>IF($A381="","",VLOOKUP($A381&amp;"-"&amp;$B381,'Order Summary'!$D:$U,3,FALSE))</f>
        <v>46056</v>
      </c>
      <c r="E381" s="55" t="str">
        <f>VLOOKUP(A381&amp;"-"&amp;B381,'Order Summary'!$D:$G,4,FALSE)</f>
        <v>No</v>
      </c>
      <c r="F381" s="55" t="str">
        <f>VLOOKUP($A381,'Order Summary'!$B:$I,8,FALSE)</f>
        <v>Nampa, ID</v>
      </c>
      <c r="G381" s="216">
        <f>IF($A381="","",VLOOKUP($A381&amp;"-"&amp;$B381,'Order Summary'!$D:$U,18,FALSE))</f>
        <v>46137</v>
      </c>
      <c r="H381" s="55">
        <v>6</v>
      </c>
      <c r="I381" s="55">
        <v>694433</v>
      </c>
      <c r="J381" s="55" t="str">
        <f>VLOOKUP($I381,'Pricing Table - eff 27-Jan-2026'!$A:$R,2,FALSE)</f>
        <v>G1S 694433</v>
      </c>
      <c r="K381" s="55" t="str">
        <f>VLOOKUP($I381,'Pricing Table - eff 27-Jan-2026'!$A:$R,6,FALSE)&amp;" "&amp;VLOOKUP($I381,'Pricing Table - eff 27-Jan-2026'!$A:$R,7,FALSE)&amp;""" x "&amp;VLOOKUP($I381,'Pricing Table - eff 27-Jan-2026'!$A:$R,9,FALSE)&amp;""" "&amp;VLOOKUP($I381,'Pricing Table - eff 27-Jan-2026'!$A:$R,5,FALSE)</f>
        <v>2MM 49" x 108" ACP</v>
      </c>
      <c r="L381" s="55">
        <f>VLOOKUP($I381,'Pricing Table - eff 27-Jan-2026'!$A:$K,8,FALSE)</f>
        <v>1245</v>
      </c>
      <c r="M381" s="55">
        <f>VLOOKUP($I381,'Pricing Table - eff 27-Jan-2026'!$A:$K,10,FALSE)</f>
        <v>2745</v>
      </c>
      <c r="N381" s="55" t="str">
        <f>VLOOKUP($I381,'Pricing Table - eff 27-Jan-2026'!$A:$R,13,FALSE)&amp;" "&amp;VLOOKUP($I381,'Pricing Table - eff 27-Jan-2026'!$A:$R,12,FALSE)</f>
        <v>ASC 0096 GLOSSY BLACK</v>
      </c>
      <c r="O381" s="56">
        <v>14.7</v>
      </c>
      <c r="P381" s="55">
        <f>(VLOOKUP($I381,'Pricing Table - eff 27-Jan-2026'!$A:$R,8,FALSE)/1000)*(VLOOKUP($I381,'Pricing Table - eff 27-Jan-2026'!$A:$R,10,FALSE)/1000)*Q381</f>
        <v>1367.0100000000002</v>
      </c>
      <c r="Q381" s="55">
        <f>ROUND(('Order Details'!$O381*1000)/((VLOOKUP($I381,'Pricing Table - eff 27-Jan-2026'!$A:$Q,7,FALSE)/12)*(VLOOKUP($I381,'Pricing Table - eff 27-Jan-2026'!$A:$Q,9,FALSE)/12))/5,0)*5</f>
        <v>400</v>
      </c>
      <c r="R381" s="71">
        <f>$Q381/IFERROR(VLOOKUP($F381&amp;RIGHT($K381,8),'Master Data'!$O$5:$P$10,2,FALSE),'Master Data'!$P$4)</f>
        <v>2</v>
      </c>
      <c r="S381" s="57">
        <f>VLOOKUP($I381,'Pricing Table - eff 27-Jan-2026'!$A:$Q,16,FALSE)</f>
        <v>720</v>
      </c>
      <c r="T381" s="57">
        <f>VLOOKUP(I381,'Pricing Table - eff 27-Jan-2026'!$A:$O,15,FALSE)</f>
        <v>7.73</v>
      </c>
      <c r="U381" s="57">
        <f t="shared" si="18"/>
        <v>10584</v>
      </c>
      <c r="V381" s="111">
        <f t="shared" si="16"/>
        <v>10566.987300000003</v>
      </c>
      <c r="W381" s="55">
        <f>VLOOKUP($I381,'Pricing Table - eff 27-Jan-2026'!$A:$R,18,FALSE)</f>
        <v>45</v>
      </c>
    </row>
    <row r="382" spans="1:23" ht="15" hidden="1" thickTop="1" x14ac:dyDescent="0.3">
      <c r="A382" s="55">
        <v>52996157</v>
      </c>
      <c r="B382" s="55">
        <v>0</v>
      </c>
      <c r="C382" s="55" t="str">
        <f>VLOOKUP(A382&amp;"-"&amp;B382,'Order Summary'!$D:$E,2,FALSE)</f>
        <v>Commercial Invoice Sent</v>
      </c>
      <c r="D382" s="216">
        <f>IF($A382="","",VLOOKUP($A382&amp;"-"&amp;$B382,'Order Summary'!$D:$U,3,FALSE))</f>
        <v>46056</v>
      </c>
      <c r="E382" s="55" t="str">
        <f>VLOOKUP(A382&amp;"-"&amp;B382,'Order Summary'!$D:$G,4,FALSE)</f>
        <v>Yes</v>
      </c>
      <c r="F382" s="55" t="str">
        <f>VLOOKUP($A382,'Order Summary'!$B:$I,8,FALSE)</f>
        <v>Nampa, ID</v>
      </c>
      <c r="G382" s="216">
        <f>IF($A382="","",VLOOKUP($A382&amp;"-"&amp;$B382,'Order Summary'!$D:$U,18,FALSE))</f>
        <v>46227</v>
      </c>
      <c r="H382" s="55">
        <v>1</v>
      </c>
      <c r="I382" s="55">
        <v>709525</v>
      </c>
      <c r="J382" s="55" t="str">
        <f>VLOOKUP($I382,'Pricing Table - eff 27-Jan-2026'!$A:$R,2,FALSE)</f>
        <v>G1S 709525</v>
      </c>
      <c r="K382" s="55" t="str">
        <f>VLOOKUP($I382,'Pricing Table - eff 27-Jan-2026'!$A:$R,6,FALSE)&amp;" "&amp;VLOOKUP($I382,'Pricing Table - eff 27-Jan-2026'!$A:$R,7,FALSE)&amp;""" x "&amp;VLOOKUP($I382,'Pricing Table - eff 27-Jan-2026'!$A:$R,9,FALSE)&amp;""" "&amp;VLOOKUP($I382,'Pricing Table - eff 27-Jan-2026'!$A:$R,5,FALSE)</f>
        <v>2MM 49" x 90.5" ACP</v>
      </c>
      <c r="L382" s="55">
        <f>VLOOKUP($I382,'Pricing Table - eff 27-Jan-2026'!$A:$K,8,FALSE)</f>
        <v>1245</v>
      </c>
      <c r="M382" s="55">
        <f>VLOOKUP($I382,'Pricing Table - eff 27-Jan-2026'!$A:$K,10,FALSE)</f>
        <v>2300</v>
      </c>
      <c r="N382" s="55" t="str">
        <f>VLOOKUP($I382,'Pricing Table - eff 27-Jan-2026'!$A:$R,13,FALSE)&amp;" "&amp;VLOOKUP($I382,'Pricing Table - eff 27-Jan-2026'!$A:$R,12,FALSE)</f>
        <v>AMC 0103 SILVER FROST</v>
      </c>
      <c r="O382" s="56">
        <v>12.318</v>
      </c>
      <c r="P382" s="55">
        <f>(VLOOKUP($I382,'Pricing Table - eff 27-Jan-2026'!$A:$R,8,FALSE)/1000)*(VLOOKUP($I382,'Pricing Table - eff 27-Jan-2026'!$A:$R,10,FALSE)/1000)*Q382</f>
        <v>1145.4000000000001</v>
      </c>
      <c r="Q382" s="55">
        <f>ROUND(('Order Details'!$O382*1000)/((VLOOKUP($I382,'Pricing Table - eff 27-Jan-2026'!$A:$Q,7,FALSE)/12)*(VLOOKUP($I382,'Pricing Table - eff 27-Jan-2026'!$A:$Q,9,FALSE)/12))/5,0)*5</f>
        <v>400</v>
      </c>
      <c r="R382" s="71">
        <f>$Q382/IFERROR(VLOOKUP($F382&amp;RIGHT($K382,8),'Master Data'!$O$5:$P$10,2,FALSE),'Master Data'!$P$4)</f>
        <v>2</v>
      </c>
      <c r="S382" s="57">
        <f>VLOOKUP($I382,'Pricing Table - eff 27-Jan-2026'!$A:$Q,16,FALSE)</f>
        <v>720</v>
      </c>
      <c r="T382" s="57">
        <f>VLOOKUP(I382,'Pricing Table - eff 27-Jan-2026'!$A:$O,15,FALSE)</f>
        <v>7.73</v>
      </c>
      <c r="U382" s="57">
        <f t="shared" si="18"/>
        <v>8868.9599999999991</v>
      </c>
      <c r="V382" s="111">
        <f t="shared" si="16"/>
        <v>8853.9420000000009</v>
      </c>
      <c r="W382" s="55">
        <f>VLOOKUP($I382,'Pricing Table - eff 27-Jan-2026'!$A:$R,18,FALSE)</f>
        <v>90</v>
      </c>
    </row>
    <row r="383" spans="1:23" ht="15" hidden="1" thickTop="1" x14ac:dyDescent="0.3">
      <c r="A383" s="55">
        <v>52996157</v>
      </c>
      <c r="B383" s="55">
        <v>0</v>
      </c>
      <c r="C383" s="55" t="str">
        <f>VLOOKUP(A383&amp;"-"&amp;B383,'Order Summary'!$D:$E,2,FALSE)</f>
        <v>Commercial Invoice Sent</v>
      </c>
      <c r="D383" s="216">
        <f>IF($A383="","",VLOOKUP($A383&amp;"-"&amp;$B383,'Order Summary'!$D:$U,3,FALSE))</f>
        <v>46056</v>
      </c>
      <c r="E383" s="55" t="str">
        <f>VLOOKUP(A383&amp;"-"&amp;B383,'Order Summary'!$D:$G,4,FALSE)</f>
        <v>Yes</v>
      </c>
      <c r="F383" s="55" t="str">
        <f>VLOOKUP($A383,'Order Summary'!$B:$I,8,FALSE)</f>
        <v>Nampa, ID</v>
      </c>
      <c r="G383" s="216">
        <f>IF($A383="","",VLOOKUP($A383&amp;"-"&amp;$B383,'Order Summary'!$D:$U,18,FALSE))</f>
        <v>46227</v>
      </c>
      <c r="H383" s="55">
        <v>2</v>
      </c>
      <c r="I383" s="55">
        <v>694440</v>
      </c>
      <c r="J383" s="55" t="str">
        <f>VLOOKUP($I383,'Pricing Table - eff 27-Jan-2026'!$A:$R,2,FALSE)</f>
        <v>G1S 694440</v>
      </c>
      <c r="K383" s="55" t="str">
        <f>VLOOKUP($I383,'Pricing Table - eff 27-Jan-2026'!$A:$R,6,FALSE)&amp;" "&amp;VLOOKUP($I383,'Pricing Table - eff 27-Jan-2026'!$A:$R,7,FALSE)&amp;""" x "&amp;VLOOKUP($I383,'Pricing Table - eff 27-Jan-2026'!$A:$R,9,FALSE)&amp;""" "&amp;VLOOKUP($I383,'Pricing Table - eff 27-Jan-2026'!$A:$R,5,FALSE)</f>
        <v>2MM 49" x 96" ACP</v>
      </c>
      <c r="L383" s="55">
        <f>VLOOKUP($I383,'Pricing Table - eff 27-Jan-2026'!$A:$K,8,FALSE)</f>
        <v>1245</v>
      </c>
      <c r="M383" s="55">
        <f>VLOOKUP($I383,'Pricing Table - eff 27-Jan-2026'!$A:$K,10,FALSE)</f>
        <v>2440</v>
      </c>
      <c r="N383" s="55" t="str">
        <f>VLOOKUP($I383,'Pricing Table - eff 27-Jan-2026'!$A:$R,13,FALSE)&amp;" "&amp;VLOOKUP($I383,'Pricing Table - eff 27-Jan-2026'!$A:$R,12,FALSE)</f>
        <v>AMC 0103 SILVER FROST</v>
      </c>
      <c r="O383" s="56">
        <v>13.067</v>
      </c>
      <c r="P383" s="55">
        <f>(VLOOKUP($I383,'Pricing Table - eff 27-Jan-2026'!$A:$R,8,FALSE)/1000)*(VLOOKUP($I383,'Pricing Table - eff 27-Jan-2026'!$A:$R,10,FALSE)/1000)*Q383</f>
        <v>1215.1200000000001</v>
      </c>
      <c r="Q383" s="55">
        <f>ROUND(('Order Details'!$O383*1000)/((VLOOKUP($I383,'Pricing Table - eff 27-Jan-2026'!$A:$Q,7,FALSE)/12)*(VLOOKUP($I383,'Pricing Table - eff 27-Jan-2026'!$A:$Q,9,FALSE)/12))/5,0)*5</f>
        <v>400</v>
      </c>
      <c r="R383" s="71">
        <f>$Q383/IFERROR(VLOOKUP($F383&amp;RIGHT($K383,8),'Master Data'!$O$5:$P$10,2,FALSE),'Master Data'!$P$4)</f>
        <v>2</v>
      </c>
      <c r="S383" s="57">
        <f>VLOOKUP($I383,'Pricing Table - eff 27-Jan-2026'!$A:$Q,16,FALSE)</f>
        <v>720</v>
      </c>
      <c r="T383" s="57">
        <f>VLOOKUP(I383,'Pricing Table - eff 27-Jan-2026'!$A:$O,15,FALSE)</f>
        <v>7.73</v>
      </c>
      <c r="U383" s="57">
        <f t="shared" si="18"/>
        <v>9408.24</v>
      </c>
      <c r="V383" s="111">
        <f t="shared" ref="V383:V446" si="20">P383*T383</f>
        <v>9392.8776000000016</v>
      </c>
      <c r="W383" s="55">
        <f>VLOOKUP($I383,'Pricing Table - eff 27-Jan-2026'!$A:$R,18,FALSE)</f>
        <v>90</v>
      </c>
    </row>
    <row r="384" spans="1:23" ht="15" hidden="1" thickTop="1" x14ac:dyDescent="0.3">
      <c r="A384" s="55">
        <v>52996157</v>
      </c>
      <c r="B384" s="55">
        <v>0</v>
      </c>
      <c r="C384" s="55" t="str">
        <f>VLOOKUP(A384&amp;"-"&amp;B384,'Order Summary'!$D:$E,2,FALSE)</f>
        <v>Commercial Invoice Sent</v>
      </c>
      <c r="D384" s="216">
        <f>IF($A384="","",VLOOKUP($A384&amp;"-"&amp;$B384,'Order Summary'!$D:$U,3,FALSE))</f>
        <v>46056</v>
      </c>
      <c r="E384" s="55" t="str">
        <f>VLOOKUP(A384&amp;"-"&amp;B384,'Order Summary'!$D:$G,4,FALSE)</f>
        <v>Yes</v>
      </c>
      <c r="F384" s="55" t="str">
        <f>VLOOKUP($A384,'Order Summary'!$B:$I,8,FALSE)</f>
        <v>Nampa, ID</v>
      </c>
      <c r="G384" s="216">
        <f>IF($A384="","",VLOOKUP($A384&amp;"-"&amp;$B384,'Order Summary'!$D:$U,18,FALSE))</f>
        <v>46227</v>
      </c>
      <c r="H384" s="55">
        <v>3</v>
      </c>
      <c r="I384" s="55">
        <v>694441</v>
      </c>
      <c r="J384" s="55" t="str">
        <f>VLOOKUP($I384,'Pricing Table - eff 27-Jan-2026'!$A:$R,2,FALSE)</f>
        <v>G1S 694441</v>
      </c>
      <c r="K384" s="55" t="str">
        <f>VLOOKUP($I384,'Pricing Table - eff 27-Jan-2026'!$A:$R,6,FALSE)&amp;" "&amp;VLOOKUP($I384,'Pricing Table - eff 27-Jan-2026'!$A:$R,7,FALSE)&amp;""" x "&amp;VLOOKUP($I384,'Pricing Table - eff 27-Jan-2026'!$A:$R,9,FALSE)&amp;""" "&amp;VLOOKUP($I384,'Pricing Table - eff 27-Jan-2026'!$A:$R,5,FALSE)</f>
        <v>2MM 49" x 108" ACP</v>
      </c>
      <c r="L384" s="55">
        <f>VLOOKUP($I384,'Pricing Table - eff 27-Jan-2026'!$A:$K,8,FALSE)</f>
        <v>1245</v>
      </c>
      <c r="M384" s="55">
        <f>VLOOKUP($I384,'Pricing Table - eff 27-Jan-2026'!$A:$K,10,FALSE)</f>
        <v>2745</v>
      </c>
      <c r="N384" s="55" t="str">
        <f>VLOOKUP($I384,'Pricing Table - eff 27-Jan-2026'!$A:$R,13,FALSE)&amp;" "&amp;VLOOKUP($I384,'Pricing Table - eff 27-Jan-2026'!$A:$R,12,FALSE)</f>
        <v>AMC 0103 SILVER FROST</v>
      </c>
      <c r="O384" s="56">
        <v>14.7</v>
      </c>
      <c r="P384" s="55">
        <f>(VLOOKUP($I384,'Pricing Table - eff 27-Jan-2026'!$A:$R,8,FALSE)/1000)*(VLOOKUP($I384,'Pricing Table - eff 27-Jan-2026'!$A:$R,10,FALSE)/1000)*Q384</f>
        <v>1367.0100000000002</v>
      </c>
      <c r="Q384" s="55">
        <f>ROUND(('Order Details'!$O384*1000)/((VLOOKUP($I384,'Pricing Table - eff 27-Jan-2026'!$A:$Q,7,FALSE)/12)*(VLOOKUP($I384,'Pricing Table - eff 27-Jan-2026'!$A:$Q,9,FALSE)/12))/5,0)*5</f>
        <v>400</v>
      </c>
      <c r="R384" s="71">
        <f>$Q384/IFERROR(VLOOKUP($F384&amp;RIGHT($K384,8),'Master Data'!$O$5:$P$10,2,FALSE),'Master Data'!$P$4)</f>
        <v>2</v>
      </c>
      <c r="S384" s="57">
        <f>VLOOKUP($I384,'Pricing Table - eff 27-Jan-2026'!$A:$Q,16,FALSE)</f>
        <v>720</v>
      </c>
      <c r="T384" s="57">
        <f>VLOOKUP(I384,'Pricing Table - eff 27-Jan-2026'!$A:$O,15,FALSE)</f>
        <v>7.73</v>
      </c>
      <c r="U384" s="57">
        <f t="shared" si="18"/>
        <v>10584</v>
      </c>
      <c r="V384" s="111">
        <f t="shared" si="20"/>
        <v>10566.987300000003</v>
      </c>
      <c r="W384" s="55">
        <f>VLOOKUP($I384,'Pricing Table - eff 27-Jan-2026'!$A:$R,18,FALSE)</f>
        <v>90</v>
      </c>
    </row>
    <row r="385" spans="1:23" ht="15" hidden="1" thickTop="1" x14ac:dyDescent="0.3">
      <c r="A385" s="55">
        <v>52996157</v>
      </c>
      <c r="B385" s="55">
        <v>0</v>
      </c>
      <c r="C385" s="55" t="str">
        <f>VLOOKUP(A385&amp;"-"&amp;B385,'Order Summary'!$D:$E,2,FALSE)</f>
        <v>Commercial Invoice Sent</v>
      </c>
      <c r="D385" s="216">
        <f>IF($A385="","",VLOOKUP($A385&amp;"-"&amp;$B385,'Order Summary'!$D:$U,3,FALSE))</f>
        <v>46056</v>
      </c>
      <c r="E385" s="55" t="str">
        <f>VLOOKUP(A385&amp;"-"&amp;B385,'Order Summary'!$D:$G,4,FALSE)</f>
        <v>Yes</v>
      </c>
      <c r="F385" s="55" t="str">
        <f>VLOOKUP($A385,'Order Summary'!$B:$I,8,FALSE)</f>
        <v>Nampa, ID</v>
      </c>
      <c r="G385" s="216">
        <f>IF($A385="","",VLOOKUP($A385&amp;"-"&amp;$B385,'Order Summary'!$D:$U,18,FALSE))</f>
        <v>46227</v>
      </c>
      <c r="H385" s="55">
        <v>4</v>
      </c>
      <c r="I385" s="55">
        <v>709356</v>
      </c>
      <c r="J385" s="55" t="str">
        <f>VLOOKUP($I385,'Pricing Table - eff 27-Jan-2026'!$A:$R,2,FALSE)</f>
        <v>G1S 709356</v>
      </c>
      <c r="K385" s="55" t="str">
        <f>VLOOKUP($I385,'Pricing Table - eff 27-Jan-2026'!$A:$R,6,FALSE)&amp;" "&amp;VLOOKUP($I385,'Pricing Table - eff 27-Jan-2026'!$A:$R,7,FALSE)&amp;""" x "&amp;VLOOKUP($I385,'Pricing Table - eff 27-Jan-2026'!$A:$R,9,FALSE)&amp;""" "&amp;VLOOKUP($I385,'Pricing Table - eff 27-Jan-2026'!$A:$R,5,FALSE)</f>
        <v>2MM 49" x 90.5" ACP</v>
      </c>
      <c r="L385" s="55">
        <f>VLOOKUP($I385,'Pricing Table - eff 27-Jan-2026'!$A:$K,8,FALSE)</f>
        <v>1245</v>
      </c>
      <c r="M385" s="55">
        <f>VLOOKUP($I385,'Pricing Table - eff 27-Jan-2026'!$A:$K,10,FALSE)</f>
        <v>2300</v>
      </c>
      <c r="N385" s="55" t="str">
        <f>VLOOKUP($I385,'Pricing Table - eff 27-Jan-2026'!$A:$R,13,FALSE)&amp;" "&amp;VLOOKUP($I385,'Pricing Table - eff 27-Jan-2026'!$A:$R,12,FALSE)</f>
        <v>AMC 0086 CHARCOAL METALLIC</v>
      </c>
      <c r="O385" s="56">
        <v>12.318</v>
      </c>
      <c r="P385" s="55">
        <f>(VLOOKUP($I385,'Pricing Table - eff 27-Jan-2026'!$A:$R,8,FALSE)/1000)*(VLOOKUP($I385,'Pricing Table - eff 27-Jan-2026'!$A:$R,10,FALSE)/1000)*Q385</f>
        <v>1145.4000000000001</v>
      </c>
      <c r="Q385" s="55">
        <f>ROUND(('Order Details'!$O385*1000)/((VLOOKUP($I385,'Pricing Table - eff 27-Jan-2026'!$A:$Q,7,FALSE)/12)*(VLOOKUP($I385,'Pricing Table - eff 27-Jan-2026'!$A:$Q,9,FALSE)/12))/5,0)*5</f>
        <v>400</v>
      </c>
      <c r="R385" s="71">
        <f>$Q385/IFERROR(VLOOKUP($F385&amp;RIGHT($K385,8),'Master Data'!$O$5:$P$10,2,FALSE),'Master Data'!$P$4)</f>
        <v>2</v>
      </c>
      <c r="S385" s="57">
        <f>VLOOKUP($I385,'Pricing Table - eff 27-Jan-2026'!$A:$Q,16,FALSE)</f>
        <v>770</v>
      </c>
      <c r="T385" s="57">
        <f>VLOOKUP(I385,'Pricing Table - eff 27-Jan-2026'!$A:$O,15,FALSE)</f>
        <v>8.27</v>
      </c>
      <c r="U385" s="57">
        <f t="shared" si="18"/>
        <v>9484.86</v>
      </c>
      <c r="V385" s="111">
        <f t="shared" si="20"/>
        <v>9472.4580000000005</v>
      </c>
      <c r="W385" s="55">
        <f>VLOOKUP($I385,'Pricing Table - eff 27-Jan-2026'!$A:$R,18,FALSE)</f>
        <v>45</v>
      </c>
    </row>
    <row r="386" spans="1:23" ht="15" hidden="1" thickTop="1" x14ac:dyDescent="0.3">
      <c r="A386" s="55">
        <v>52996157</v>
      </c>
      <c r="B386" s="55">
        <v>0</v>
      </c>
      <c r="C386" s="55" t="str">
        <f>VLOOKUP(A386&amp;"-"&amp;B386,'Order Summary'!$D:$E,2,FALSE)</f>
        <v>Commercial Invoice Sent</v>
      </c>
      <c r="D386" s="216">
        <f>IF($A386="","",VLOOKUP($A386&amp;"-"&amp;$B386,'Order Summary'!$D:$U,3,FALSE))</f>
        <v>46056</v>
      </c>
      <c r="E386" s="55" t="str">
        <f>VLOOKUP(A386&amp;"-"&amp;B386,'Order Summary'!$D:$G,4,FALSE)</f>
        <v>Yes</v>
      </c>
      <c r="F386" s="55" t="str">
        <f>VLOOKUP($A386,'Order Summary'!$B:$I,8,FALSE)</f>
        <v>Nampa, ID</v>
      </c>
      <c r="G386" s="216">
        <f>IF($A386="","",VLOOKUP($A386&amp;"-"&amp;$B386,'Order Summary'!$D:$U,18,FALSE))</f>
        <v>46227</v>
      </c>
      <c r="H386" s="55">
        <v>5</v>
      </c>
      <c r="I386" s="55">
        <v>694444</v>
      </c>
      <c r="J386" s="55" t="str">
        <f>VLOOKUP($I386,'Pricing Table - eff 27-Jan-2026'!$A:$R,2,FALSE)</f>
        <v>G1S 694444</v>
      </c>
      <c r="K386" s="55" t="str">
        <f>VLOOKUP($I386,'Pricing Table - eff 27-Jan-2026'!$A:$R,6,FALSE)&amp;" "&amp;VLOOKUP($I386,'Pricing Table - eff 27-Jan-2026'!$A:$R,7,FALSE)&amp;""" x "&amp;VLOOKUP($I386,'Pricing Table - eff 27-Jan-2026'!$A:$R,9,FALSE)&amp;""" "&amp;VLOOKUP($I386,'Pricing Table - eff 27-Jan-2026'!$A:$R,5,FALSE)</f>
        <v>2MM 49" x 96" ACP</v>
      </c>
      <c r="L386" s="55">
        <f>VLOOKUP($I386,'Pricing Table - eff 27-Jan-2026'!$A:$K,8,FALSE)</f>
        <v>1245</v>
      </c>
      <c r="M386" s="55">
        <f>VLOOKUP($I386,'Pricing Table - eff 27-Jan-2026'!$A:$K,10,FALSE)</f>
        <v>2440</v>
      </c>
      <c r="N386" s="55" t="str">
        <f>VLOOKUP($I386,'Pricing Table - eff 27-Jan-2026'!$A:$R,13,FALSE)&amp;" "&amp;VLOOKUP($I386,'Pricing Table - eff 27-Jan-2026'!$A:$R,12,FALSE)</f>
        <v>AMC 0086 CHARCOAL METALLIC</v>
      </c>
      <c r="O386" s="56">
        <v>13.067</v>
      </c>
      <c r="P386" s="55">
        <f>(VLOOKUP($I386,'Pricing Table - eff 27-Jan-2026'!$A:$R,8,FALSE)/1000)*(VLOOKUP($I386,'Pricing Table - eff 27-Jan-2026'!$A:$R,10,FALSE)/1000)*Q386</f>
        <v>1215.1200000000001</v>
      </c>
      <c r="Q386" s="55">
        <f>ROUND(('Order Details'!$O386*1000)/((VLOOKUP($I386,'Pricing Table - eff 27-Jan-2026'!$A:$Q,7,FALSE)/12)*(VLOOKUP($I386,'Pricing Table - eff 27-Jan-2026'!$A:$Q,9,FALSE)/12))/5,0)*5</f>
        <v>400</v>
      </c>
      <c r="R386" s="71">
        <f>$Q386/IFERROR(VLOOKUP($F386&amp;RIGHT($K386,8),'Master Data'!$O$5:$P$10,2,FALSE),'Master Data'!$P$4)</f>
        <v>2</v>
      </c>
      <c r="S386" s="57">
        <f>VLOOKUP($I386,'Pricing Table - eff 27-Jan-2026'!$A:$Q,16,FALSE)</f>
        <v>770</v>
      </c>
      <c r="T386" s="57">
        <f>VLOOKUP(I386,'Pricing Table - eff 27-Jan-2026'!$A:$O,15,FALSE)</f>
        <v>8.27</v>
      </c>
      <c r="U386" s="57">
        <f t="shared" si="18"/>
        <v>10061.59</v>
      </c>
      <c r="V386" s="111">
        <f t="shared" si="20"/>
        <v>10049.0424</v>
      </c>
      <c r="W386" s="55">
        <f>VLOOKUP($I386,'Pricing Table - eff 27-Jan-2026'!$A:$R,18,FALSE)</f>
        <v>45</v>
      </c>
    </row>
    <row r="387" spans="1:23" ht="15" hidden="1" thickTop="1" x14ac:dyDescent="0.3">
      <c r="A387" s="55">
        <v>52996157</v>
      </c>
      <c r="B387" s="55">
        <v>0</v>
      </c>
      <c r="C387" s="55" t="str">
        <f>VLOOKUP(A387&amp;"-"&amp;B387,'Order Summary'!$D:$E,2,FALSE)</f>
        <v>Commercial Invoice Sent</v>
      </c>
      <c r="D387" s="216">
        <f>IF($A387="","",VLOOKUP($A387&amp;"-"&amp;$B387,'Order Summary'!$D:$U,3,FALSE))</f>
        <v>46056</v>
      </c>
      <c r="E387" s="55" t="str">
        <f>VLOOKUP(A387&amp;"-"&amp;B387,'Order Summary'!$D:$G,4,FALSE)</f>
        <v>Yes</v>
      </c>
      <c r="F387" s="55" t="str">
        <f>VLOOKUP($A387,'Order Summary'!$B:$I,8,FALSE)</f>
        <v>Nampa, ID</v>
      </c>
      <c r="G387" s="216">
        <f>IF($A387="","",VLOOKUP($A387&amp;"-"&amp;$B387,'Order Summary'!$D:$U,18,FALSE))</f>
        <v>46227</v>
      </c>
      <c r="H387" s="55">
        <v>6</v>
      </c>
      <c r="I387" s="55">
        <v>694445</v>
      </c>
      <c r="J387" s="55" t="str">
        <f>VLOOKUP($I387,'Pricing Table - eff 27-Jan-2026'!$A:$R,2,FALSE)</f>
        <v>G1S 694445</v>
      </c>
      <c r="K387" s="55" t="str">
        <f>VLOOKUP($I387,'Pricing Table - eff 27-Jan-2026'!$A:$R,6,FALSE)&amp;" "&amp;VLOOKUP($I387,'Pricing Table - eff 27-Jan-2026'!$A:$R,7,FALSE)&amp;""" x "&amp;VLOOKUP($I387,'Pricing Table - eff 27-Jan-2026'!$A:$R,9,FALSE)&amp;""" "&amp;VLOOKUP($I387,'Pricing Table - eff 27-Jan-2026'!$A:$R,5,FALSE)</f>
        <v>2MM 49" x 108" ACP</v>
      </c>
      <c r="L387" s="55">
        <f>VLOOKUP($I387,'Pricing Table - eff 27-Jan-2026'!$A:$K,8,FALSE)</f>
        <v>1245</v>
      </c>
      <c r="M387" s="55">
        <f>VLOOKUP($I387,'Pricing Table - eff 27-Jan-2026'!$A:$K,10,FALSE)</f>
        <v>2745</v>
      </c>
      <c r="N387" s="55" t="str">
        <f>VLOOKUP($I387,'Pricing Table - eff 27-Jan-2026'!$A:$R,13,FALSE)&amp;" "&amp;VLOOKUP($I387,'Pricing Table - eff 27-Jan-2026'!$A:$R,12,FALSE)</f>
        <v>AMC 0086 CHARCOAL METALLIC</v>
      </c>
      <c r="O387" s="56">
        <v>22.05</v>
      </c>
      <c r="P387" s="55">
        <f>(VLOOKUP($I387,'Pricing Table - eff 27-Jan-2026'!$A:$R,8,FALSE)/1000)*(VLOOKUP($I387,'Pricing Table - eff 27-Jan-2026'!$A:$R,10,FALSE)/1000)*Q387</f>
        <v>2050.5150000000003</v>
      </c>
      <c r="Q387" s="55">
        <f>ROUND(('Order Details'!$O387*1000)/((VLOOKUP($I387,'Pricing Table - eff 27-Jan-2026'!$A:$Q,7,FALSE)/12)*(VLOOKUP($I387,'Pricing Table - eff 27-Jan-2026'!$A:$Q,9,FALSE)/12))/5,0)*5</f>
        <v>600</v>
      </c>
      <c r="R387" s="71">
        <f>$Q387/IFERROR(VLOOKUP($F387&amp;RIGHT($K387,8),'Master Data'!$O$5:$P$10,2,FALSE),'Master Data'!$P$4)</f>
        <v>3</v>
      </c>
      <c r="S387" s="57">
        <f>VLOOKUP($I387,'Pricing Table - eff 27-Jan-2026'!$A:$Q,16,FALSE)</f>
        <v>770</v>
      </c>
      <c r="T387" s="57">
        <f>VLOOKUP(I387,'Pricing Table - eff 27-Jan-2026'!$A:$O,15,FALSE)</f>
        <v>8.27</v>
      </c>
      <c r="U387" s="57">
        <f t="shared" si="18"/>
        <v>16978.5</v>
      </c>
      <c r="V387" s="111">
        <f t="shared" si="20"/>
        <v>16957.759050000001</v>
      </c>
      <c r="W387" s="55">
        <f>VLOOKUP($I387,'Pricing Table - eff 27-Jan-2026'!$A:$R,18,FALSE)</f>
        <v>45</v>
      </c>
    </row>
    <row r="388" spans="1:23" ht="15" hidden="1" thickTop="1" x14ac:dyDescent="0.3">
      <c r="A388" s="55">
        <v>52996236</v>
      </c>
      <c r="B388" s="55">
        <v>0</v>
      </c>
      <c r="C388" s="55" t="str">
        <f>VLOOKUP(A388&amp;"-"&amp;B388,'Order Summary'!$D:$E,2,FALSE)</f>
        <v>Downpayment Received</v>
      </c>
      <c r="D388" s="216">
        <f>IF($A388="","",VLOOKUP($A388&amp;"-"&amp;$B388,'Order Summary'!$D:$U,3,FALSE))</f>
        <v>46056</v>
      </c>
      <c r="E388" s="55" t="str">
        <f>VLOOKUP(A388&amp;"-"&amp;B388,'Order Summary'!$D:$G,4,FALSE)</f>
        <v>Yes</v>
      </c>
      <c r="F388" s="55" t="str">
        <f>VLOOKUP($A388,'Order Summary'!$B:$I,8,FALSE)</f>
        <v>Nampa, ID</v>
      </c>
      <c r="G388" s="216">
        <f>IF($A388="","",VLOOKUP($A388&amp;"-"&amp;$B388,'Order Summary'!$D:$U,18,FALSE))</f>
        <v>46182</v>
      </c>
      <c r="H388" s="55">
        <v>1</v>
      </c>
      <c r="I388" s="55">
        <v>710941</v>
      </c>
      <c r="J388" s="55" t="str">
        <f>VLOOKUP($I388,'Pricing Table - eff 27-Jan-2026'!$A:$R,2,FALSE)</f>
        <v>G1S 710941</v>
      </c>
      <c r="K388" s="55" t="str">
        <f>VLOOKUP($I388,'Pricing Table - eff 27-Jan-2026'!$A:$R,6,FALSE)&amp;" "&amp;VLOOKUP($I388,'Pricing Table - eff 27-Jan-2026'!$A:$R,7,FALSE)&amp;""" x "&amp;VLOOKUP($I388,'Pricing Table - eff 27-Jan-2026'!$A:$R,9,FALSE)&amp;""" "&amp;VLOOKUP($I388,'Pricing Table - eff 27-Jan-2026'!$A:$R,5,FALSE)</f>
        <v>2MM 49" x 90.5" ACP</v>
      </c>
      <c r="L388" s="55">
        <f>VLOOKUP($I388,'Pricing Table - eff 27-Jan-2026'!$A:$K,8,FALSE)</f>
        <v>1245</v>
      </c>
      <c r="M388" s="55">
        <f>VLOOKUP($I388,'Pricing Table - eff 27-Jan-2026'!$A:$K,10,FALSE)</f>
        <v>2300</v>
      </c>
      <c r="N388" s="55" t="str">
        <f>VLOOKUP($I388,'Pricing Table - eff 27-Jan-2026'!$A:$R,13,FALSE)&amp;" "&amp;VLOOKUP($I388,'Pricing Table - eff 27-Jan-2026'!$A:$R,12,FALSE)</f>
        <v>ASC 0089 VICTORY RED</v>
      </c>
      <c r="O388" s="56">
        <v>12.318</v>
      </c>
      <c r="P388" s="55">
        <f>(VLOOKUP($I388,'Pricing Table - eff 27-Jan-2026'!$A:$R,8,FALSE)/1000)*(VLOOKUP($I388,'Pricing Table - eff 27-Jan-2026'!$A:$R,10,FALSE)/1000)*Q388</f>
        <v>1145.4000000000001</v>
      </c>
      <c r="Q388" s="55">
        <f>ROUND(('Order Details'!$O388*1000)/((VLOOKUP($I388,'Pricing Table - eff 27-Jan-2026'!$A:$Q,7,FALSE)/12)*(VLOOKUP($I388,'Pricing Table - eff 27-Jan-2026'!$A:$Q,9,FALSE)/12))/5,0)*5</f>
        <v>400</v>
      </c>
      <c r="R388" s="71">
        <f>$Q388/IFERROR(VLOOKUP($F388&amp;RIGHT($K388,8),'Master Data'!$O$5:$P$10,2,FALSE),'Master Data'!$P$4)</f>
        <v>2</v>
      </c>
      <c r="S388" s="57">
        <f>VLOOKUP($I388,'Pricing Table - eff 27-Jan-2026'!$A:$Q,16,FALSE)</f>
        <v>720</v>
      </c>
      <c r="T388" s="57">
        <f>VLOOKUP(I388,'Pricing Table - eff 27-Jan-2026'!$A:$O,15,FALSE)</f>
        <v>7.73</v>
      </c>
      <c r="U388" s="57">
        <f t="shared" si="18"/>
        <v>8868.9599999999991</v>
      </c>
      <c r="V388" s="111">
        <f t="shared" si="20"/>
        <v>8853.9420000000009</v>
      </c>
      <c r="W388" s="55">
        <f>VLOOKUP($I388,'Pricing Table - eff 27-Jan-2026'!$A:$R,18,FALSE)</f>
        <v>45</v>
      </c>
    </row>
    <row r="389" spans="1:23" ht="15" hidden="1" thickTop="1" x14ac:dyDescent="0.3">
      <c r="A389" s="55">
        <v>52996236</v>
      </c>
      <c r="B389" s="55">
        <v>0</v>
      </c>
      <c r="C389" s="55" t="str">
        <f>VLOOKUP(A389&amp;"-"&amp;B389,'Order Summary'!$D:$E,2,FALSE)</f>
        <v>Downpayment Received</v>
      </c>
      <c r="D389" s="216">
        <f>IF($A389="","",VLOOKUP($A389&amp;"-"&amp;$B389,'Order Summary'!$D:$U,3,FALSE))</f>
        <v>46056</v>
      </c>
      <c r="E389" s="55" t="str">
        <f>VLOOKUP(A389&amp;"-"&amp;B389,'Order Summary'!$D:$G,4,FALSE)</f>
        <v>Yes</v>
      </c>
      <c r="F389" s="55" t="str">
        <f>VLOOKUP($A389,'Order Summary'!$B:$I,8,FALSE)</f>
        <v>Nampa, ID</v>
      </c>
      <c r="G389" s="216">
        <f>IF($A389="","",VLOOKUP($A389&amp;"-"&amp;$B389,'Order Summary'!$D:$U,18,FALSE))</f>
        <v>46182</v>
      </c>
      <c r="H389" s="55">
        <v>2</v>
      </c>
      <c r="I389" s="55">
        <v>694672</v>
      </c>
      <c r="J389" s="55" t="str">
        <f>VLOOKUP($I389,'Pricing Table - eff 27-Jan-2026'!$A:$R,2,FALSE)</f>
        <v>G1S 694672</v>
      </c>
      <c r="K389" s="55" t="str">
        <f>VLOOKUP($I389,'Pricing Table - eff 27-Jan-2026'!$A:$R,6,FALSE)&amp;" "&amp;VLOOKUP($I389,'Pricing Table - eff 27-Jan-2026'!$A:$R,7,FALSE)&amp;""" x "&amp;VLOOKUP($I389,'Pricing Table - eff 27-Jan-2026'!$A:$R,9,FALSE)&amp;""" "&amp;VLOOKUP($I389,'Pricing Table - eff 27-Jan-2026'!$A:$R,5,FALSE)</f>
        <v>2MM 49" x 96" ACP</v>
      </c>
      <c r="L389" s="55">
        <f>VLOOKUP($I389,'Pricing Table - eff 27-Jan-2026'!$A:$K,8,FALSE)</f>
        <v>1245</v>
      </c>
      <c r="M389" s="55">
        <f>VLOOKUP($I389,'Pricing Table - eff 27-Jan-2026'!$A:$K,10,FALSE)</f>
        <v>2440</v>
      </c>
      <c r="N389" s="55" t="str">
        <f>VLOOKUP($I389,'Pricing Table - eff 27-Jan-2026'!$A:$R,13,FALSE)&amp;" "&amp;VLOOKUP($I389,'Pricing Table - eff 27-Jan-2026'!$A:$R,12,FALSE)</f>
        <v>ASC 0089 VICTORY RED</v>
      </c>
      <c r="O389" s="56">
        <v>13.067</v>
      </c>
      <c r="P389" s="55">
        <f>(VLOOKUP($I389,'Pricing Table - eff 27-Jan-2026'!$A:$R,8,FALSE)/1000)*(VLOOKUP($I389,'Pricing Table - eff 27-Jan-2026'!$A:$R,10,FALSE)/1000)*Q389</f>
        <v>1215.1200000000001</v>
      </c>
      <c r="Q389" s="55">
        <f>ROUND(('Order Details'!$O389*1000)/((VLOOKUP($I389,'Pricing Table - eff 27-Jan-2026'!$A:$Q,7,FALSE)/12)*(VLOOKUP($I389,'Pricing Table - eff 27-Jan-2026'!$A:$Q,9,FALSE)/12))/5,0)*5</f>
        <v>400</v>
      </c>
      <c r="R389" s="71">
        <f>$Q389/IFERROR(VLOOKUP($F389&amp;RIGHT($K389,8),'Master Data'!$O$5:$P$10,2,FALSE),'Master Data'!$P$4)</f>
        <v>2</v>
      </c>
      <c r="S389" s="57">
        <f>VLOOKUP($I389,'Pricing Table - eff 27-Jan-2026'!$A:$Q,16,FALSE)</f>
        <v>720</v>
      </c>
      <c r="T389" s="57">
        <f>VLOOKUP(I389,'Pricing Table - eff 27-Jan-2026'!$A:$O,15,FALSE)</f>
        <v>7.73</v>
      </c>
      <c r="U389" s="57">
        <f t="shared" si="18"/>
        <v>9408.24</v>
      </c>
      <c r="V389" s="111">
        <f t="shared" si="20"/>
        <v>9392.8776000000016</v>
      </c>
      <c r="W389" s="55">
        <f>VLOOKUP($I389,'Pricing Table - eff 27-Jan-2026'!$A:$R,18,FALSE)</f>
        <v>45</v>
      </c>
    </row>
    <row r="390" spans="1:23" ht="15" hidden="1" thickTop="1" x14ac:dyDescent="0.3">
      <c r="A390" s="55">
        <v>52996236</v>
      </c>
      <c r="B390" s="55">
        <v>0</v>
      </c>
      <c r="C390" s="55" t="str">
        <f>VLOOKUP(A390&amp;"-"&amp;B390,'Order Summary'!$D:$E,2,FALSE)</f>
        <v>Downpayment Received</v>
      </c>
      <c r="D390" s="216">
        <f>IF($A390="","",VLOOKUP($A390&amp;"-"&amp;$B390,'Order Summary'!$D:$U,3,FALSE))</f>
        <v>46056</v>
      </c>
      <c r="E390" s="55" t="str">
        <f>VLOOKUP(A390&amp;"-"&amp;B390,'Order Summary'!$D:$G,4,FALSE)</f>
        <v>Yes</v>
      </c>
      <c r="F390" s="55" t="str">
        <f>VLOOKUP($A390,'Order Summary'!$B:$I,8,FALSE)</f>
        <v>Nampa, ID</v>
      </c>
      <c r="G390" s="216">
        <f>IF($A390="","",VLOOKUP($A390&amp;"-"&amp;$B390,'Order Summary'!$D:$U,18,FALSE))</f>
        <v>46182</v>
      </c>
      <c r="H390" s="55">
        <v>3</v>
      </c>
      <c r="I390" s="55">
        <v>694673</v>
      </c>
      <c r="J390" s="55" t="str">
        <f>VLOOKUP($I390,'Pricing Table - eff 27-Jan-2026'!$A:$R,2,FALSE)</f>
        <v>G1S 694673</v>
      </c>
      <c r="K390" s="55" t="str">
        <f>VLOOKUP($I390,'Pricing Table - eff 27-Jan-2026'!$A:$R,6,FALSE)&amp;" "&amp;VLOOKUP($I390,'Pricing Table - eff 27-Jan-2026'!$A:$R,7,FALSE)&amp;""" x "&amp;VLOOKUP($I390,'Pricing Table - eff 27-Jan-2026'!$A:$R,9,FALSE)&amp;""" "&amp;VLOOKUP($I390,'Pricing Table - eff 27-Jan-2026'!$A:$R,5,FALSE)</f>
        <v>2MM 49" x 108" ACP</v>
      </c>
      <c r="L390" s="55">
        <f>VLOOKUP($I390,'Pricing Table - eff 27-Jan-2026'!$A:$K,8,FALSE)</f>
        <v>1245</v>
      </c>
      <c r="M390" s="55">
        <f>VLOOKUP($I390,'Pricing Table - eff 27-Jan-2026'!$A:$K,10,FALSE)</f>
        <v>2745</v>
      </c>
      <c r="N390" s="55" t="str">
        <f>VLOOKUP($I390,'Pricing Table - eff 27-Jan-2026'!$A:$R,13,FALSE)&amp;" "&amp;VLOOKUP($I390,'Pricing Table - eff 27-Jan-2026'!$A:$R,12,FALSE)</f>
        <v>ASC 0089 VICTORY RED</v>
      </c>
      <c r="O390" s="56">
        <v>14.7</v>
      </c>
      <c r="P390" s="55">
        <f>(VLOOKUP($I390,'Pricing Table - eff 27-Jan-2026'!$A:$R,8,FALSE)/1000)*(VLOOKUP($I390,'Pricing Table - eff 27-Jan-2026'!$A:$R,10,FALSE)/1000)*Q390</f>
        <v>1367.0100000000002</v>
      </c>
      <c r="Q390" s="55">
        <f>ROUND(('Order Details'!$O390*1000)/((VLOOKUP($I390,'Pricing Table - eff 27-Jan-2026'!$A:$Q,7,FALSE)/12)*(VLOOKUP($I390,'Pricing Table - eff 27-Jan-2026'!$A:$Q,9,FALSE)/12))/5,0)*5</f>
        <v>400</v>
      </c>
      <c r="R390" s="71">
        <f>$Q390/IFERROR(VLOOKUP($F390&amp;RIGHT($K390,8),'Master Data'!$O$5:$P$10,2,FALSE),'Master Data'!$P$4)</f>
        <v>2</v>
      </c>
      <c r="S390" s="57">
        <f>VLOOKUP($I390,'Pricing Table - eff 27-Jan-2026'!$A:$Q,16,FALSE)</f>
        <v>720</v>
      </c>
      <c r="T390" s="57">
        <f>VLOOKUP(I390,'Pricing Table - eff 27-Jan-2026'!$A:$O,15,FALSE)</f>
        <v>7.73</v>
      </c>
      <c r="U390" s="57">
        <f t="shared" si="18"/>
        <v>10584</v>
      </c>
      <c r="V390" s="111">
        <f t="shared" si="20"/>
        <v>10566.987300000003</v>
      </c>
      <c r="W390" s="55">
        <f>VLOOKUP($I390,'Pricing Table - eff 27-Jan-2026'!$A:$R,18,FALSE)</f>
        <v>45</v>
      </c>
    </row>
    <row r="391" spans="1:23" ht="15" hidden="1" thickTop="1" x14ac:dyDescent="0.3">
      <c r="A391" s="55">
        <v>52996236</v>
      </c>
      <c r="B391" s="55">
        <v>0</v>
      </c>
      <c r="C391" s="55" t="str">
        <f>VLOOKUP(A391&amp;"-"&amp;B391,'Order Summary'!$D:$E,2,FALSE)</f>
        <v>Downpayment Received</v>
      </c>
      <c r="D391" s="216">
        <f>IF($A391="","",VLOOKUP($A391&amp;"-"&amp;$B391,'Order Summary'!$D:$U,3,FALSE))</f>
        <v>46056</v>
      </c>
      <c r="E391" s="55" t="str">
        <f>VLOOKUP(A391&amp;"-"&amp;B391,'Order Summary'!$D:$G,4,FALSE)</f>
        <v>Yes</v>
      </c>
      <c r="F391" s="55" t="str">
        <f>VLOOKUP($A391,'Order Summary'!$B:$I,8,FALSE)</f>
        <v>Nampa, ID</v>
      </c>
      <c r="G391" s="216">
        <f>IF($A391="","",VLOOKUP($A391&amp;"-"&amp;$B391,'Order Summary'!$D:$U,18,FALSE))</f>
        <v>46182</v>
      </c>
      <c r="H391" s="55">
        <v>4</v>
      </c>
      <c r="I391" s="55">
        <v>718152</v>
      </c>
      <c r="J391" s="55" t="str">
        <f>VLOOKUP($I391,'Pricing Table - eff 27-Jan-2026'!$A:$R,2,FALSE)</f>
        <v>G1S 718152</v>
      </c>
      <c r="K391" s="55" t="str">
        <f>VLOOKUP($I391,'Pricing Table - eff 27-Jan-2026'!$A:$R,6,FALSE)&amp;" "&amp;VLOOKUP($I391,'Pricing Table - eff 27-Jan-2026'!$A:$R,7,FALSE)&amp;""" x "&amp;VLOOKUP($I391,'Pricing Table - eff 27-Jan-2026'!$A:$R,9,FALSE)&amp;""" "&amp;VLOOKUP($I391,'Pricing Table - eff 27-Jan-2026'!$A:$R,5,FALSE)</f>
        <v>2MM 49" x 90.5" ACP</v>
      </c>
      <c r="L391" s="55">
        <f>VLOOKUP($I391,'Pricing Table - eff 27-Jan-2026'!$A:$K,8,FALSE)</f>
        <v>1245</v>
      </c>
      <c r="M391" s="55">
        <f>VLOOKUP($I391,'Pricing Table - eff 27-Jan-2026'!$A:$K,10,FALSE)</f>
        <v>2300</v>
      </c>
      <c r="N391" s="55" t="str">
        <f>VLOOKUP($I391,'Pricing Table - eff 27-Jan-2026'!$A:$R,13,FALSE)&amp;" "&amp;VLOOKUP($I391,'Pricing Table - eff 27-Jan-2026'!$A:$R,12,FALSE)</f>
        <v>ASC 0105 INDIGO BLUE</v>
      </c>
      <c r="O391" s="56">
        <v>12.318</v>
      </c>
      <c r="P391" s="55">
        <f>(VLOOKUP($I391,'Pricing Table - eff 27-Jan-2026'!$A:$R,8,FALSE)/1000)*(VLOOKUP($I391,'Pricing Table - eff 27-Jan-2026'!$A:$R,10,FALSE)/1000)*Q391</f>
        <v>1145.4000000000001</v>
      </c>
      <c r="Q391" s="55">
        <f>ROUND(('Order Details'!$O391*1000)/((VLOOKUP($I391,'Pricing Table - eff 27-Jan-2026'!$A:$Q,7,FALSE)/12)*(VLOOKUP($I391,'Pricing Table - eff 27-Jan-2026'!$A:$Q,9,FALSE)/12))/5,0)*5</f>
        <v>400</v>
      </c>
      <c r="R391" s="71">
        <f>$Q391/IFERROR(VLOOKUP($F391&amp;RIGHT($K391,8),'Master Data'!$O$5:$P$10,2,FALSE),'Master Data'!$P$4)</f>
        <v>2</v>
      </c>
      <c r="S391" s="57">
        <f>VLOOKUP($I391,'Pricing Table - eff 27-Jan-2026'!$A:$Q,16,FALSE)</f>
        <v>770</v>
      </c>
      <c r="T391" s="57">
        <f>VLOOKUP(I391,'Pricing Table - eff 27-Jan-2026'!$A:$O,15,FALSE)</f>
        <v>8.27</v>
      </c>
      <c r="U391" s="57">
        <f t="shared" si="18"/>
        <v>9484.86</v>
      </c>
      <c r="V391" s="111">
        <f t="shared" si="20"/>
        <v>9472.4580000000005</v>
      </c>
      <c r="W391" s="55">
        <f>VLOOKUP($I391,'Pricing Table - eff 27-Jan-2026'!$A:$R,18,FALSE)</f>
        <v>45</v>
      </c>
    </row>
    <row r="392" spans="1:23" ht="15" hidden="1" thickTop="1" x14ac:dyDescent="0.3">
      <c r="A392" s="55">
        <v>52996236</v>
      </c>
      <c r="B392" s="55">
        <v>0</v>
      </c>
      <c r="C392" s="55" t="str">
        <f>VLOOKUP(A392&amp;"-"&amp;B392,'Order Summary'!$D:$E,2,FALSE)</f>
        <v>Downpayment Received</v>
      </c>
      <c r="D392" s="216">
        <f>IF($A392="","",VLOOKUP($A392&amp;"-"&amp;$B392,'Order Summary'!$D:$U,3,FALSE))</f>
        <v>46056</v>
      </c>
      <c r="E392" s="55" t="str">
        <f>VLOOKUP(A392&amp;"-"&amp;B392,'Order Summary'!$D:$G,4,FALSE)</f>
        <v>Yes</v>
      </c>
      <c r="F392" s="55" t="str">
        <f>VLOOKUP($A392,'Order Summary'!$B:$I,8,FALSE)</f>
        <v>Nampa, ID</v>
      </c>
      <c r="G392" s="216">
        <f>IF($A392="","",VLOOKUP($A392&amp;"-"&amp;$B392,'Order Summary'!$D:$U,18,FALSE))</f>
        <v>46182</v>
      </c>
      <c r="H392" s="55">
        <v>5</v>
      </c>
      <c r="I392" s="55">
        <v>695620</v>
      </c>
      <c r="J392" s="55" t="str">
        <f>VLOOKUP($I392,'Pricing Table - eff 27-Jan-2026'!$A:$R,2,FALSE)</f>
        <v>G1S 695620</v>
      </c>
      <c r="K392" s="55" t="str">
        <f>VLOOKUP($I392,'Pricing Table - eff 27-Jan-2026'!$A:$R,6,FALSE)&amp;" "&amp;VLOOKUP($I392,'Pricing Table - eff 27-Jan-2026'!$A:$R,7,FALSE)&amp;""" x "&amp;VLOOKUP($I392,'Pricing Table - eff 27-Jan-2026'!$A:$R,9,FALSE)&amp;""" "&amp;VLOOKUP($I392,'Pricing Table - eff 27-Jan-2026'!$A:$R,5,FALSE)</f>
        <v>2MM 49" x 96" ACP</v>
      </c>
      <c r="L392" s="55">
        <f>VLOOKUP($I392,'Pricing Table - eff 27-Jan-2026'!$A:$K,8,FALSE)</f>
        <v>1245</v>
      </c>
      <c r="M392" s="55">
        <f>VLOOKUP($I392,'Pricing Table - eff 27-Jan-2026'!$A:$K,10,FALSE)</f>
        <v>2440</v>
      </c>
      <c r="N392" s="55" t="str">
        <f>VLOOKUP($I392,'Pricing Table - eff 27-Jan-2026'!$A:$R,13,FALSE)&amp;" "&amp;VLOOKUP($I392,'Pricing Table - eff 27-Jan-2026'!$A:$R,12,FALSE)</f>
        <v>ASC 0105 INDIGO BLUE</v>
      </c>
      <c r="O392" s="56">
        <v>19.600000000000001</v>
      </c>
      <c r="P392" s="55">
        <f>(VLOOKUP($I392,'Pricing Table - eff 27-Jan-2026'!$A:$R,8,FALSE)/1000)*(VLOOKUP($I392,'Pricing Table - eff 27-Jan-2026'!$A:$R,10,FALSE)/1000)*Q392</f>
        <v>1822.68</v>
      </c>
      <c r="Q392" s="55">
        <f>ROUND(('Order Details'!$O392*1000)/((VLOOKUP($I392,'Pricing Table - eff 27-Jan-2026'!$A:$Q,7,FALSE)/12)*(VLOOKUP($I392,'Pricing Table - eff 27-Jan-2026'!$A:$Q,9,FALSE)/12))/5,0)*5</f>
        <v>600</v>
      </c>
      <c r="R392" s="71">
        <f>$Q392/IFERROR(VLOOKUP($F392&amp;RIGHT($K392,8),'Master Data'!$O$5:$P$10,2,FALSE),'Master Data'!$P$4)</f>
        <v>3</v>
      </c>
      <c r="S392" s="57">
        <f>VLOOKUP($I392,'Pricing Table - eff 27-Jan-2026'!$A:$Q,16,FALSE)</f>
        <v>770</v>
      </c>
      <c r="T392" s="57">
        <f>VLOOKUP(I392,'Pricing Table - eff 27-Jan-2026'!$A:$O,15,FALSE)</f>
        <v>8.27</v>
      </c>
      <c r="U392" s="57">
        <f t="shared" si="18"/>
        <v>15092.000000000002</v>
      </c>
      <c r="V392" s="111">
        <f t="shared" si="20"/>
        <v>15073.563599999999</v>
      </c>
      <c r="W392" s="55">
        <f>VLOOKUP($I392,'Pricing Table - eff 27-Jan-2026'!$A:$R,18,FALSE)</f>
        <v>45</v>
      </c>
    </row>
    <row r="393" spans="1:23" ht="15" hidden="1" thickTop="1" x14ac:dyDescent="0.3">
      <c r="A393" s="55">
        <v>52996236</v>
      </c>
      <c r="B393" s="55">
        <v>0</v>
      </c>
      <c r="C393" s="55" t="str">
        <f>VLOOKUP(A393&amp;"-"&amp;B393,'Order Summary'!$D:$E,2,FALSE)</f>
        <v>Downpayment Received</v>
      </c>
      <c r="D393" s="216">
        <f>IF($A393="","",VLOOKUP($A393&amp;"-"&amp;$B393,'Order Summary'!$D:$U,3,FALSE))</f>
        <v>46056</v>
      </c>
      <c r="E393" s="55" t="str">
        <f>VLOOKUP(A393&amp;"-"&amp;B393,'Order Summary'!$D:$G,4,FALSE)</f>
        <v>Yes</v>
      </c>
      <c r="F393" s="55" t="str">
        <f>VLOOKUP($A393,'Order Summary'!$B:$I,8,FALSE)</f>
        <v>Nampa, ID</v>
      </c>
      <c r="G393" s="216">
        <f>IF($A393="","",VLOOKUP($A393&amp;"-"&amp;$B393,'Order Summary'!$D:$U,18,FALSE))</f>
        <v>46182</v>
      </c>
      <c r="H393" s="55">
        <v>6</v>
      </c>
      <c r="I393" s="55">
        <v>694673</v>
      </c>
      <c r="J393" s="55" t="str">
        <f>VLOOKUP($I393,'Pricing Table - eff 27-Jan-2026'!$A:$R,2,FALSE)</f>
        <v>G1S 694673</v>
      </c>
      <c r="K393" s="55" t="str">
        <f>VLOOKUP($I393,'Pricing Table - eff 27-Jan-2026'!$A:$R,6,FALSE)&amp;" "&amp;VLOOKUP($I393,'Pricing Table - eff 27-Jan-2026'!$A:$R,7,FALSE)&amp;""" x "&amp;VLOOKUP($I393,'Pricing Table - eff 27-Jan-2026'!$A:$R,9,FALSE)&amp;""" "&amp;VLOOKUP($I393,'Pricing Table - eff 27-Jan-2026'!$A:$R,5,FALSE)</f>
        <v>2MM 49" x 108" ACP</v>
      </c>
      <c r="L393" s="55">
        <f>VLOOKUP($I393,'Pricing Table - eff 27-Jan-2026'!$A:$K,8,FALSE)</f>
        <v>1245</v>
      </c>
      <c r="M393" s="55">
        <f>VLOOKUP($I393,'Pricing Table - eff 27-Jan-2026'!$A:$K,10,FALSE)</f>
        <v>2745</v>
      </c>
      <c r="N393" s="55" t="str">
        <f>VLOOKUP($I393,'Pricing Table - eff 27-Jan-2026'!$A:$R,13,FALSE)&amp;" "&amp;VLOOKUP($I393,'Pricing Table - eff 27-Jan-2026'!$A:$R,12,FALSE)</f>
        <v>ASC 0089 VICTORY RED</v>
      </c>
      <c r="O393" s="56">
        <v>14.7</v>
      </c>
      <c r="P393" s="55">
        <f>(VLOOKUP($I393,'Pricing Table - eff 27-Jan-2026'!$A:$R,8,FALSE)/1000)*(VLOOKUP($I393,'Pricing Table - eff 27-Jan-2026'!$A:$R,10,FALSE)/1000)*Q393</f>
        <v>1367.0100000000002</v>
      </c>
      <c r="Q393" s="55">
        <f>ROUND(('Order Details'!$O393*1000)/((VLOOKUP($I393,'Pricing Table - eff 27-Jan-2026'!$A:$Q,7,FALSE)/12)*(VLOOKUP($I393,'Pricing Table - eff 27-Jan-2026'!$A:$Q,9,FALSE)/12))/5,0)*5</f>
        <v>400</v>
      </c>
      <c r="R393" s="71">
        <f>$Q393/IFERROR(VLOOKUP($F393&amp;RIGHT($K393,8),'Master Data'!$O$5:$P$10,2,FALSE),'Master Data'!$P$4)</f>
        <v>2</v>
      </c>
      <c r="S393" s="57">
        <f>VLOOKUP($I393,'Pricing Table - eff 27-Jan-2026'!$A:$Q,16,FALSE)</f>
        <v>720</v>
      </c>
      <c r="T393" s="57">
        <f>VLOOKUP(I393,'Pricing Table - eff 27-Jan-2026'!$A:$O,15,FALSE)</f>
        <v>7.73</v>
      </c>
      <c r="U393" s="57">
        <f t="shared" si="18"/>
        <v>10584</v>
      </c>
      <c r="V393" s="111">
        <f t="shared" si="20"/>
        <v>10566.987300000003</v>
      </c>
      <c r="W393" s="55">
        <f>VLOOKUP($I393,'Pricing Table - eff 27-Jan-2026'!$A:$R,18,FALSE)</f>
        <v>45</v>
      </c>
    </row>
    <row r="394" spans="1:23" ht="15" hidden="1" thickTop="1" x14ac:dyDescent="0.3">
      <c r="A394" s="55">
        <v>53000257</v>
      </c>
      <c r="B394" s="55">
        <v>0</v>
      </c>
      <c r="C394" s="55" t="str">
        <f>VLOOKUP(A394&amp;"-"&amp;B394,'Order Summary'!$D:$E,2,FALSE)</f>
        <v>In Production</v>
      </c>
      <c r="D394" s="216">
        <f>IF($A394="","",VLOOKUP($A394&amp;"-"&amp;$B394,'Order Summary'!$D:$U,3,FALSE))</f>
        <v>46063</v>
      </c>
      <c r="E394" s="55" t="str">
        <f>VLOOKUP(A394&amp;"-"&amp;B394,'Order Summary'!$D:$G,4,FALSE)</f>
        <v>Yes</v>
      </c>
      <c r="F394" s="55" t="str">
        <f>VLOOKUP($A394,'Order Summary'!$B:$I,8,FALSE)</f>
        <v>Twin Falls, ID</v>
      </c>
      <c r="G394" s="216">
        <f>IF($A394="","",VLOOKUP($A394&amp;"-"&amp;$B394,'Order Summary'!$D:$U,18,FALSE))</f>
        <v>46189</v>
      </c>
      <c r="H394" s="55">
        <v>1</v>
      </c>
      <c r="I394" s="55">
        <v>694436</v>
      </c>
      <c r="J394" s="55" t="str">
        <f>VLOOKUP($I394,'Pricing Table - eff 27-Jan-2026'!$A:$R,2,FALSE)</f>
        <v>G1S 694436</v>
      </c>
      <c r="K394" s="55" t="str">
        <f>VLOOKUP($I394,'Pricing Table - eff 27-Jan-2026'!$A:$R,6,FALSE)&amp;" "&amp;VLOOKUP($I394,'Pricing Table - eff 27-Jan-2026'!$A:$R,7,FALSE)&amp;""" x "&amp;VLOOKUP($I394,'Pricing Table - eff 27-Jan-2026'!$A:$R,9,FALSE)&amp;""" "&amp;VLOOKUP($I394,'Pricing Table - eff 27-Jan-2026'!$A:$R,5,FALSE)</f>
        <v>2MM 49" x 96" ACP</v>
      </c>
      <c r="L394" s="55">
        <f>VLOOKUP($I394,'Pricing Table - eff 27-Jan-2026'!$A:$K,8,FALSE)</f>
        <v>1245</v>
      </c>
      <c r="M394" s="55">
        <f>VLOOKUP($I394,'Pricing Table - eff 27-Jan-2026'!$A:$K,10,FALSE)</f>
        <v>2440</v>
      </c>
      <c r="N394" s="55" t="str">
        <f>VLOOKUP($I394,'Pricing Table - eff 27-Jan-2026'!$A:$R,13,FALSE)&amp;" "&amp;VLOOKUP($I394,'Pricing Table - eff 27-Jan-2026'!$A:$R,12,FALSE)</f>
        <v>ASC 0069 GLOSSY WHITE</v>
      </c>
      <c r="O394" s="56">
        <v>91.466999999999999</v>
      </c>
      <c r="P394" s="55">
        <f>(VLOOKUP($I394,'Pricing Table - eff 27-Jan-2026'!$A:$R,8,FALSE)/1000)*(VLOOKUP($I394,'Pricing Table - eff 27-Jan-2026'!$A:$R,10,FALSE)/1000)*Q394</f>
        <v>8505.84</v>
      </c>
      <c r="Q394" s="55">
        <f>ROUND(('Order Details'!$O394*1000)/((VLOOKUP($I394,'Pricing Table - eff 27-Jan-2026'!$A:$Q,7,FALSE)/12)*(VLOOKUP($I394,'Pricing Table - eff 27-Jan-2026'!$A:$Q,9,FALSE)/12))/5,0)*5</f>
        <v>2800</v>
      </c>
      <c r="R394" s="71">
        <f>$Q394/IFERROR(VLOOKUP($F394&amp;RIGHT($K394,8),'Master Data'!$O$5:$P$10,2,FALSE),'Master Data'!$P$4)</f>
        <v>14</v>
      </c>
      <c r="S394" s="123">
        <f>VLOOKUP($I394,'Pricing Table - eff 27-Jan-2026'!$A:$Q,16,FALSE)</f>
        <v>720</v>
      </c>
      <c r="T394" s="123">
        <f>VLOOKUP(I394,'Pricing Table - eff 27-Jan-2026'!$A:$O,15,FALSE)</f>
        <v>7.73</v>
      </c>
      <c r="U394" s="123">
        <f t="shared" si="18"/>
        <v>65856.240000000005</v>
      </c>
      <c r="V394" s="111">
        <f t="shared" si="20"/>
        <v>65750.143200000006</v>
      </c>
      <c r="W394" s="55">
        <f>VLOOKUP($I394,'Pricing Table - eff 27-Jan-2026'!$A:$R,18,FALSE)</f>
        <v>45</v>
      </c>
    </row>
    <row r="395" spans="1:23" ht="15" hidden="1" thickTop="1" x14ac:dyDescent="0.3">
      <c r="A395" s="55">
        <v>53000258</v>
      </c>
      <c r="B395" s="55">
        <v>0</v>
      </c>
      <c r="C395" s="55" t="str">
        <f>VLOOKUP(A395&amp;"-"&amp;B395,'Order Summary'!$D:$E,2,FALSE)</f>
        <v>In Production</v>
      </c>
      <c r="D395" s="216">
        <f>IF($A395="","",VLOOKUP($A395&amp;"-"&amp;$B395,'Order Summary'!$D:$U,3,FALSE))</f>
        <v>46063</v>
      </c>
      <c r="E395" s="55" t="str">
        <f>VLOOKUP(A395&amp;"-"&amp;B395,'Order Summary'!$D:$G,4,FALSE)</f>
        <v>Yes</v>
      </c>
      <c r="F395" s="55" t="str">
        <f>VLOOKUP($A395,'Order Summary'!$B:$I,8,FALSE)</f>
        <v>Twin Falls, ID</v>
      </c>
      <c r="G395" s="216">
        <f>IF($A395="","",VLOOKUP($A395&amp;"-"&amp;$B395,'Order Summary'!$D:$U,18,FALSE))</f>
        <v>46189</v>
      </c>
      <c r="H395" s="55">
        <v>1</v>
      </c>
      <c r="I395" s="55">
        <v>694437</v>
      </c>
      <c r="J395" s="55" t="str">
        <f>VLOOKUP($I395,'Pricing Table - eff 27-Jan-2026'!$A:$R,2,FALSE)</f>
        <v>G1S 694437</v>
      </c>
      <c r="K395" s="55" t="str">
        <f>VLOOKUP($I395,'Pricing Table - eff 27-Jan-2026'!$A:$R,6,FALSE)&amp;" "&amp;VLOOKUP($I395,'Pricing Table - eff 27-Jan-2026'!$A:$R,7,FALSE)&amp;""" x "&amp;VLOOKUP($I395,'Pricing Table - eff 27-Jan-2026'!$A:$R,9,FALSE)&amp;""" "&amp;VLOOKUP($I395,'Pricing Table - eff 27-Jan-2026'!$A:$R,5,FALSE)</f>
        <v>2MM 49" x 108" ACP</v>
      </c>
      <c r="L395" s="55">
        <f>VLOOKUP($I395,'Pricing Table - eff 27-Jan-2026'!$A:$K,8,FALSE)</f>
        <v>1245</v>
      </c>
      <c r="M395" s="55">
        <f>VLOOKUP($I395,'Pricing Table - eff 27-Jan-2026'!$A:$K,10,FALSE)</f>
        <v>2745</v>
      </c>
      <c r="N395" s="55" t="str">
        <f>VLOOKUP($I395,'Pricing Table - eff 27-Jan-2026'!$A:$R,13,FALSE)&amp;" "&amp;VLOOKUP($I395,'Pricing Table - eff 27-Jan-2026'!$A:$R,12,FALSE)</f>
        <v>ASC 0069 GLOSSY WHITE</v>
      </c>
      <c r="O395" s="56">
        <v>88.2</v>
      </c>
      <c r="P395" s="55">
        <f>(VLOOKUP($I395,'Pricing Table - eff 27-Jan-2026'!$A:$R,8,FALSE)/1000)*(VLOOKUP($I395,'Pricing Table - eff 27-Jan-2026'!$A:$R,10,FALSE)/1000)*Q395</f>
        <v>8202.0600000000013</v>
      </c>
      <c r="Q395" s="55">
        <f>ROUND(('Order Details'!$O395*1000)/((VLOOKUP($I395,'Pricing Table - eff 27-Jan-2026'!$A:$Q,7,FALSE)/12)*(VLOOKUP($I395,'Pricing Table - eff 27-Jan-2026'!$A:$Q,9,FALSE)/12))/5,0)*5</f>
        <v>2400</v>
      </c>
      <c r="R395" s="71">
        <f>$Q395/IFERROR(VLOOKUP($F395&amp;RIGHT($K395,8),'Master Data'!$O$5:$P$10,2,FALSE),'Master Data'!$P$4)</f>
        <v>12</v>
      </c>
      <c r="S395" s="57">
        <f>VLOOKUP($I395,'Pricing Table - eff 27-Jan-2026'!$A:$Q,16,FALSE)</f>
        <v>720</v>
      </c>
      <c r="T395" s="57">
        <f>VLOOKUP(I395,'Pricing Table - eff 27-Jan-2026'!$A:$O,15,FALSE)</f>
        <v>7.73</v>
      </c>
      <c r="U395" s="57">
        <f t="shared" si="18"/>
        <v>63504</v>
      </c>
      <c r="V395" s="111">
        <f t="shared" si="20"/>
        <v>63401.923800000011</v>
      </c>
      <c r="W395" s="55">
        <f>VLOOKUP($I395,'Pricing Table - eff 27-Jan-2026'!$A:$R,18,FALSE)</f>
        <v>45</v>
      </c>
    </row>
    <row r="396" spans="1:23" ht="15" hidden="1" thickTop="1" x14ac:dyDescent="0.3">
      <c r="A396" s="55">
        <v>53000259</v>
      </c>
      <c r="B396" s="55">
        <v>0</v>
      </c>
      <c r="C396" s="55" t="str">
        <f>VLOOKUP(A396&amp;"-"&amp;B396,'Order Summary'!$D:$E,2,FALSE)</f>
        <v>In Production</v>
      </c>
      <c r="D396" s="216">
        <f>IF($A396="","",VLOOKUP($A396&amp;"-"&amp;$B396,'Order Summary'!$D:$U,3,FALSE))</f>
        <v>46063</v>
      </c>
      <c r="E396" s="55" t="str">
        <f>VLOOKUP(A396&amp;"-"&amp;B396,'Order Summary'!$D:$G,4,FALSE)</f>
        <v>Yes</v>
      </c>
      <c r="F396" s="55" t="str">
        <f>VLOOKUP($A396,'Order Summary'!$B:$I,8,FALSE)</f>
        <v>Twin Falls, ID</v>
      </c>
      <c r="G396" s="216">
        <f>IF($A396="","",VLOOKUP($A396&amp;"-"&amp;$B396,'Order Summary'!$D:$U,18,FALSE))</f>
        <v>46189</v>
      </c>
      <c r="H396" s="55">
        <v>1</v>
      </c>
      <c r="I396">
        <v>709355</v>
      </c>
      <c r="J396" s="55" t="str">
        <f>VLOOKUP($I396,'Pricing Table - eff 27-Jan-2026'!$A:$R,2,FALSE)</f>
        <v>G1S 709355</v>
      </c>
      <c r="K396" s="55" t="str">
        <f>VLOOKUP($I396,'Pricing Table - eff 27-Jan-2026'!$A:$R,6,FALSE)&amp;" "&amp;VLOOKUP($I396,'Pricing Table - eff 27-Jan-2026'!$A:$R,7,FALSE)&amp;""" x "&amp;VLOOKUP($I396,'Pricing Table - eff 27-Jan-2026'!$A:$R,9,FALSE)&amp;""" "&amp;VLOOKUP($I396,'Pricing Table - eff 27-Jan-2026'!$A:$R,5,FALSE)</f>
        <v>2MM 49" x 90.5" ACP</v>
      </c>
      <c r="L396" s="55">
        <f>VLOOKUP($I396,'Pricing Table - eff 27-Jan-2026'!$A:$K,8,FALSE)</f>
        <v>1245</v>
      </c>
      <c r="M396" s="55">
        <f>VLOOKUP($I396,'Pricing Table - eff 27-Jan-2026'!$A:$K,10,FALSE)</f>
        <v>2300</v>
      </c>
      <c r="N396" s="55" t="str">
        <f>VLOOKUP($I396,'Pricing Table - eff 27-Jan-2026'!$A:$R,13,FALSE)&amp;" "&amp;VLOOKUP($I396,'Pricing Table - eff 27-Jan-2026'!$A:$R,12,FALSE)</f>
        <v>ASC 0069 GLOSSY WHITE</v>
      </c>
      <c r="O396" s="56">
        <v>86.225999999999999</v>
      </c>
      <c r="P396" s="55">
        <f>(VLOOKUP($I396,'Pricing Table - eff 27-Jan-2026'!$A:$R,8,FALSE)/1000)*(VLOOKUP($I396,'Pricing Table - eff 27-Jan-2026'!$A:$R,10,FALSE)/1000)*Q396</f>
        <v>8017.8</v>
      </c>
      <c r="Q396" s="55">
        <f>ROUND(('Order Details'!$O396*1000)/((VLOOKUP($I396,'Pricing Table - eff 27-Jan-2026'!$A:$Q,7,FALSE)/12)*(VLOOKUP($I396,'Pricing Table - eff 27-Jan-2026'!$A:$Q,9,FALSE)/12))/5,0)*5</f>
        <v>2800</v>
      </c>
      <c r="R396" s="71">
        <f>$Q396/IFERROR(VLOOKUP($F396&amp;RIGHT($K396,8),'Master Data'!$O$5:$P$10,2,FALSE),'Master Data'!$P$4)</f>
        <v>14</v>
      </c>
      <c r="S396" s="57">
        <f>VLOOKUP($I396,'Pricing Table - eff 27-Jan-2026'!$A:$Q,16,FALSE)</f>
        <v>720</v>
      </c>
      <c r="T396" s="57">
        <f>VLOOKUP(I396,'Pricing Table - eff 27-Jan-2026'!$A:$O,15,FALSE)</f>
        <v>7.73</v>
      </c>
      <c r="U396" s="57">
        <f t="shared" si="18"/>
        <v>62082.720000000001</v>
      </c>
      <c r="V396" s="111">
        <f t="shared" si="20"/>
        <v>61977.594000000005</v>
      </c>
      <c r="W396" s="55">
        <f>VLOOKUP($I396,'Pricing Table - eff 27-Jan-2026'!$A:$R,18,FALSE)</f>
        <v>45</v>
      </c>
    </row>
    <row r="397" spans="1:23" ht="15" hidden="1" thickTop="1" x14ac:dyDescent="0.3">
      <c r="A397" s="55">
        <v>53000260</v>
      </c>
      <c r="B397" s="55">
        <v>0</v>
      </c>
      <c r="C397" s="55" t="str">
        <f>VLOOKUP(A397&amp;"-"&amp;B397,'Order Summary'!$D:$E,2,FALSE)</f>
        <v>In Production</v>
      </c>
      <c r="D397" s="216">
        <f>IF($A397="","",VLOOKUP($A397&amp;"-"&amp;$B397,'Order Summary'!$D:$U,3,FALSE))</f>
        <v>46063</v>
      </c>
      <c r="E397" s="55" t="str">
        <f>VLOOKUP(A397&amp;"-"&amp;B397,'Order Summary'!$D:$G,4,FALSE)</f>
        <v>Yes</v>
      </c>
      <c r="F397" s="55" t="str">
        <f>VLOOKUP($A397,'Order Summary'!$B:$I,8,FALSE)</f>
        <v>Twin Falls, ID</v>
      </c>
      <c r="G397" s="216">
        <f>IF($A397="","",VLOOKUP($A397&amp;"-"&amp;$B397,'Order Summary'!$D:$U,18,FALSE))</f>
        <v>46234</v>
      </c>
      <c r="H397" s="55">
        <v>1</v>
      </c>
      <c r="I397" s="55">
        <v>709525</v>
      </c>
      <c r="J397" s="55" t="str">
        <f>VLOOKUP($I397,'Pricing Table - eff 27-Jan-2026'!$A:$R,2,FALSE)</f>
        <v>G1S 709525</v>
      </c>
      <c r="K397" s="55" t="str">
        <f>VLOOKUP($I397,'Pricing Table - eff 27-Jan-2026'!$A:$R,6,FALSE)&amp;" "&amp;VLOOKUP($I397,'Pricing Table - eff 27-Jan-2026'!$A:$R,7,FALSE)&amp;""" x "&amp;VLOOKUP($I397,'Pricing Table - eff 27-Jan-2026'!$A:$R,9,FALSE)&amp;""" "&amp;VLOOKUP($I397,'Pricing Table - eff 27-Jan-2026'!$A:$R,5,FALSE)</f>
        <v>2MM 49" x 90.5" ACP</v>
      </c>
      <c r="L397" s="55">
        <f>VLOOKUP($I397,'Pricing Table - eff 27-Jan-2026'!$A:$K,8,FALSE)</f>
        <v>1245</v>
      </c>
      <c r="M397" s="55">
        <f>VLOOKUP($I397,'Pricing Table - eff 27-Jan-2026'!$A:$K,10,FALSE)</f>
        <v>2300</v>
      </c>
      <c r="N397" s="55" t="str">
        <f>VLOOKUP($I397,'Pricing Table - eff 27-Jan-2026'!$A:$R,13,FALSE)&amp;" "&amp;VLOOKUP($I397,'Pricing Table - eff 27-Jan-2026'!$A:$R,12,FALSE)</f>
        <v>AMC 0103 SILVER FROST</v>
      </c>
      <c r="O397" s="56">
        <v>24.635999999999999</v>
      </c>
      <c r="P397" s="55">
        <f>(VLOOKUP($I397,'Pricing Table - eff 27-Jan-2026'!$A:$R,8,FALSE)/1000)*(VLOOKUP($I397,'Pricing Table - eff 27-Jan-2026'!$A:$R,10,FALSE)/1000)*Q397</f>
        <v>2290.8000000000002</v>
      </c>
      <c r="Q397" s="55">
        <f>ROUND(('Order Details'!$O397*1000)/((VLOOKUP($I397,'Pricing Table - eff 27-Jan-2026'!$A:$Q,7,FALSE)/12)*(VLOOKUP($I397,'Pricing Table - eff 27-Jan-2026'!$A:$Q,9,FALSE)/12))/5,0)*5</f>
        <v>800</v>
      </c>
      <c r="R397" s="71">
        <f>$Q397/IFERROR(VLOOKUP($F397&amp;RIGHT($K397,8),'Master Data'!$O$5:$P$10,2,FALSE),'Master Data'!$P$4)</f>
        <v>4</v>
      </c>
      <c r="S397" s="57">
        <f>VLOOKUP($I397,'Pricing Table - eff 27-Jan-2026'!$A:$Q,16,FALSE)</f>
        <v>720</v>
      </c>
      <c r="T397" s="57">
        <f>VLOOKUP(I397,'Pricing Table - eff 27-Jan-2026'!$A:$O,15,FALSE)</f>
        <v>7.73</v>
      </c>
      <c r="U397" s="57">
        <f t="shared" si="18"/>
        <v>17737.919999999998</v>
      </c>
      <c r="V397" s="111">
        <f t="shared" si="20"/>
        <v>17707.884000000002</v>
      </c>
      <c r="W397" s="55">
        <f>VLOOKUP($I397,'Pricing Table - eff 27-Jan-2026'!$A:$R,18,FALSE)</f>
        <v>90</v>
      </c>
    </row>
    <row r="398" spans="1:23" ht="15" hidden="1" thickTop="1" x14ac:dyDescent="0.3">
      <c r="A398" s="55">
        <v>53000260</v>
      </c>
      <c r="B398" s="55">
        <v>0</v>
      </c>
      <c r="C398" s="55" t="str">
        <f>VLOOKUP(A398&amp;"-"&amp;B398,'Order Summary'!$D:$E,2,FALSE)</f>
        <v>In Production</v>
      </c>
      <c r="D398" s="216">
        <f>IF($A398="","",VLOOKUP($A398&amp;"-"&amp;$B398,'Order Summary'!$D:$U,3,FALSE))</f>
        <v>46063</v>
      </c>
      <c r="E398" s="55" t="str">
        <f>VLOOKUP(A398&amp;"-"&amp;B398,'Order Summary'!$D:$G,4,FALSE)</f>
        <v>Yes</v>
      </c>
      <c r="F398" s="55" t="str">
        <f>VLOOKUP($A398,'Order Summary'!$B:$I,8,FALSE)</f>
        <v>Twin Falls, ID</v>
      </c>
      <c r="G398" s="216">
        <f>IF($A398="","",VLOOKUP($A398&amp;"-"&amp;$B398,'Order Summary'!$D:$U,18,FALSE))</f>
        <v>46234</v>
      </c>
      <c r="H398" s="55">
        <v>2</v>
      </c>
      <c r="I398" s="55">
        <v>694440</v>
      </c>
      <c r="J398" s="55" t="str">
        <f>VLOOKUP($I398,'Pricing Table - eff 27-Jan-2026'!$A:$R,2,FALSE)</f>
        <v>G1S 694440</v>
      </c>
      <c r="K398" s="55" t="str">
        <f>VLOOKUP($I398,'Pricing Table - eff 27-Jan-2026'!$A:$R,6,FALSE)&amp;" "&amp;VLOOKUP($I398,'Pricing Table - eff 27-Jan-2026'!$A:$R,7,FALSE)&amp;""" x "&amp;VLOOKUP($I398,'Pricing Table - eff 27-Jan-2026'!$A:$R,9,FALSE)&amp;""" "&amp;VLOOKUP($I398,'Pricing Table - eff 27-Jan-2026'!$A:$R,5,FALSE)</f>
        <v>2MM 49" x 96" ACP</v>
      </c>
      <c r="L398" s="55">
        <f>VLOOKUP($I398,'Pricing Table - eff 27-Jan-2026'!$A:$K,8,FALSE)</f>
        <v>1245</v>
      </c>
      <c r="M398" s="55">
        <f>VLOOKUP($I398,'Pricing Table - eff 27-Jan-2026'!$A:$K,10,FALSE)</f>
        <v>2440</v>
      </c>
      <c r="N398" s="55" t="str">
        <f>VLOOKUP($I398,'Pricing Table - eff 27-Jan-2026'!$A:$R,13,FALSE)&amp;" "&amp;VLOOKUP($I398,'Pricing Table - eff 27-Jan-2026'!$A:$R,12,FALSE)</f>
        <v>AMC 0103 SILVER FROST</v>
      </c>
      <c r="O398" s="56">
        <v>45.732999999999997</v>
      </c>
      <c r="P398" s="55">
        <f>(VLOOKUP($I398,'Pricing Table - eff 27-Jan-2026'!$A:$R,8,FALSE)/1000)*(VLOOKUP($I398,'Pricing Table - eff 27-Jan-2026'!$A:$R,10,FALSE)/1000)*Q398</f>
        <v>4252.92</v>
      </c>
      <c r="Q398" s="55">
        <f>ROUND(('Order Details'!$O398*1000)/((VLOOKUP($I398,'Pricing Table - eff 27-Jan-2026'!$A:$Q,7,FALSE)/12)*(VLOOKUP($I398,'Pricing Table - eff 27-Jan-2026'!$A:$Q,9,FALSE)/12))/5,0)*5</f>
        <v>1400</v>
      </c>
      <c r="R398" s="71">
        <f>$Q398/IFERROR(VLOOKUP($F398&amp;RIGHT($K398,8),'Master Data'!$O$5:$P$10,2,FALSE),'Master Data'!$P$4)</f>
        <v>7</v>
      </c>
      <c r="S398" s="57">
        <f>VLOOKUP($I398,'Pricing Table - eff 27-Jan-2026'!$A:$Q,16,FALSE)</f>
        <v>720</v>
      </c>
      <c r="T398" s="57">
        <f>VLOOKUP(I398,'Pricing Table - eff 27-Jan-2026'!$A:$O,15,FALSE)</f>
        <v>7.73</v>
      </c>
      <c r="U398" s="57">
        <f t="shared" si="18"/>
        <v>32927.759999999995</v>
      </c>
      <c r="V398" s="111">
        <f t="shared" si="20"/>
        <v>32875.071600000003</v>
      </c>
      <c r="W398" s="55">
        <f>VLOOKUP($I398,'Pricing Table - eff 27-Jan-2026'!$A:$R,18,FALSE)</f>
        <v>90</v>
      </c>
    </row>
    <row r="399" spans="1:23" ht="15" hidden="1" thickTop="1" x14ac:dyDescent="0.3">
      <c r="A399" s="55">
        <v>53000260</v>
      </c>
      <c r="B399" s="55">
        <v>0</v>
      </c>
      <c r="C399" s="55" t="str">
        <f>VLOOKUP(A399&amp;"-"&amp;B399,'Order Summary'!$D:$E,2,FALSE)</f>
        <v>In Production</v>
      </c>
      <c r="D399" s="216">
        <f>IF($A399="","",VLOOKUP($A399&amp;"-"&amp;$B399,'Order Summary'!$D:$U,3,FALSE))</f>
        <v>46063</v>
      </c>
      <c r="E399" s="55" t="str">
        <f>VLOOKUP(A399&amp;"-"&amp;B399,'Order Summary'!$D:$G,4,FALSE)</f>
        <v>Yes</v>
      </c>
      <c r="F399" s="55" t="str">
        <f>VLOOKUP($A399,'Order Summary'!$B:$I,8,FALSE)</f>
        <v>Twin Falls, ID</v>
      </c>
      <c r="G399" s="216">
        <f>IF($A399="","",VLOOKUP($A399&amp;"-"&amp;$B399,'Order Summary'!$D:$U,18,FALSE))</f>
        <v>46234</v>
      </c>
      <c r="H399" s="55">
        <v>3</v>
      </c>
      <c r="I399" s="55">
        <v>694441</v>
      </c>
      <c r="J399" s="55" t="str">
        <f>VLOOKUP($I399,'Pricing Table - eff 27-Jan-2026'!$A:$R,2,FALSE)</f>
        <v>G1S 694441</v>
      </c>
      <c r="K399" s="55" t="str">
        <f>VLOOKUP($I399,'Pricing Table - eff 27-Jan-2026'!$A:$R,6,FALSE)&amp;" "&amp;VLOOKUP($I399,'Pricing Table - eff 27-Jan-2026'!$A:$R,7,FALSE)&amp;""" x "&amp;VLOOKUP($I399,'Pricing Table - eff 27-Jan-2026'!$A:$R,9,FALSE)&amp;""" "&amp;VLOOKUP($I399,'Pricing Table - eff 27-Jan-2026'!$A:$R,5,FALSE)</f>
        <v>2MM 49" x 108" ACP</v>
      </c>
      <c r="L399" s="55">
        <f>VLOOKUP($I399,'Pricing Table - eff 27-Jan-2026'!$A:$K,8,FALSE)</f>
        <v>1245</v>
      </c>
      <c r="M399" s="55">
        <f>VLOOKUP($I399,'Pricing Table - eff 27-Jan-2026'!$A:$K,10,FALSE)</f>
        <v>2745</v>
      </c>
      <c r="N399" s="55" t="str">
        <f>VLOOKUP($I399,'Pricing Table - eff 27-Jan-2026'!$A:$R,13,FALSE)&amp;" "&amp;VLOOKUP($I399,'Pricing Table - eff 27-Jan-2026'!$A:$R,12,FALSE)</f>
        <v>AMC 0103 SILVER FROST</v>
      </c>
      <c r="O399" s="56">
        <v>14.7</v>
      </c>
      <c r="P399" s="55">
        <f>(VLOOKUP($I399,'Pricing Table - eff 27-Jan-2026'!$A:$R,8,FALSE)/1000)*(VLOOKUP($I399,'Pricing Table - eff 27-Jan-2026'!$A:$R,10,FALSE)/1000)*Q399</f>
        <v>1367.0100000000002</v>
      </c>
      <c r="Q399" s="55">
        <f>ROUND(('Order Details'!$O399*1000)/((VLOOKUP($I399,'Pricing Table - eff 27-Jan-2026'!$A:$Q,7,FALSE)/12)*(VLOOKUP($I399,'Pricing Table - eff 27-Jan-2026'!$A:$Q,9,FALSE)/12))/5,0)*5</f>
        <v>400</v>
      </c>
      <c r="R399" s="71">
        <f>$Q399/IFERROR(VLOOKUP($F399&amp;RIGHT($K399,8),'Master Data'!$O$5:$P$10,2,FALSE),'Master Data'!$P$4)</f>
        <v>2</v>
      </c>
      <c r="S399" s="57">
        <f>VLOOKUP($I399,'Pricing Table - eff 27-Jan-2026'!$A:$Q,16,FALSE)</f>
        <v>720</v>
      </c>
      <c r="T399" s="57">
        <f>VLOOKUP(I399,'Pricing Table - eff 27-Jan-2026'!$A:$O,15,FALSE)</f>
        <v>7.73</v>
      </c>
      <c r="U399" s="57">
        <f t="shared" si="18"/>
        <v>10584</v>
      </c>
      <c r="V399" s="111">
        <f t="shared" si="20"/>
        <v>10566.987300000003</v>
      </c>
      <c r="W399" s="55">
        <f>VLOOKUP($I399,'Pricing Table - eff 27-Jan-2026'!$A:$R,18,FALSE)</f>
        <v>90</v>
      </c>
    </row>
    <row r="400" spans="1:23" ht="15" hidden="1" thickTop="1" x14ac:dyDescent="0.3">
      <c r="A400" s="55">
        <v>53000261</v>
      </c>
      <c r="B400" s="55">
        <v>0</v>
      </c>
      <c r="C400" s="55" t="str">
        <f>VLOOKUP(A400&amp;"-"&amp;B400,'Order Summary'!$D:$E,2,FALSE)</f>
        <v>Commercial Invoice Sent</v>
      </c>
      <c r="D400" s="216">
        <f>IF($A400="","",VLOOKUP($A400&amp;"-"&amp;$B400,'Order Summary'!$D:$U,3,FALSE))</f>
        <v>46063</v>
      </c>
      <c r="E400" s="55" t="str">
        <f>VLOOKUP(A400&amp;"-"&amp;B400,'Order Summary'!$D:$G,4,FALSE)</f>
        <v>Yes</v>
      </c>
      <c r="F400" s="55" t="str">
        <f>VLOOKUP($A400,'Order Summary'!$B:$I,8,FALSE)</f>
        <v>Twin Falls, ID</v>
      </c>
      <c r="G400" s="216">
        <f>IF($A400="","",VLOOKUP($A400&amp;"-"&amp;$B400,'Order Summary'!$D:$U,18,FALSE))</f>
        <v>46189</v>
      </c>
      <c r="H400" s="55">
        <v>1</v>
      </c>
      <c r="I400" s="55">
        <v>709356</v>
      </c>
      <c r="J400" s="55" t="str">
        <f>VLOOKUP($I400,'Pricing Table - eff 27-Jan-2026'!$A:$R,2,FALSE)</f>
        <v>G1S 709356</v>
      </c>
      <c r="K400" s="55" t="str">
        <f>VLOOKUP($I400,'Pricing Table - eff 27-Jan-2026'!$A:$R,6,FALSE)&amp;" "&amp;VLOOKUP($I400,'Pricing Table - eff 27-Jan-2026'!$A:$R,7,FALSE)&amp;""" x "&amp;VLOOKUP($I400,'Pricing Table - eff 27-Jan-2026'!$A:$R,9,FALSE)&amp;""" "&amp;VLOOKUP($I400,'Pricing Table - eff 27-Jan-2026'!$A:$R,5,FALSE)</f>
        <v>2MM 49" x 90.5" ACP</v>
      </c>
      <c r="L400" s="55">
        <f>VLOOKUP($I400,'Pricing Table - eff 27-Jan-2026'!$A:$K,8,FALSE)</f>
        <v>1245</v>
      </c>
      <c r="M400" s="55">
        <f>VLOOKUP($I400,'Pricing Table - eff 27-Jan-2026'!$A:$K,10,FALSE)</f>
        <v>2300</v>
      </c>
      <c r="N400" s="55" t="str">
        <f>VLOOKUP($I400,'Pricing Table - eff 27-Jan-2026'!$A:$R,13,FALSE)&amp;" "&amp;VLOOKUP($I400,'Pricing Table - eff 27-Jan-2026'!$A:$R,12,FALSE)</f>
        <v>AMC 0086 CHARCOAL METALLIC</v>
      </c>
      <c r="O400" s="56">
        <v>24.635999999999999</v>
      </c>
      <c r="P400" s="55">
        <f>(VLOOKUP($I400,'Pricing Table - eff 27-Jan-2026'!$A:$R,8,FALSE)/1000)*(VLOOKUP($I400,'Pricing Table - eff 27-Jan-2026'!$A:$R,10,FALSE)/1000)*Q400</f>
        <v>2290.8000000000002</v>
      </c>
      <c r="Q400" s="55">
        <f>ROUND(('Order Details'!$O400*1000)/((VLOOKUP($I400,'Pricing Table - eff 27-Jan-2026'!$A:$Q,7,FALSE)/12)*(VLOOKUP($I400,'Pricing Table - eff 27-Jan-2026'!$A:$Q,9,FALSE)/12))/5,0)*5</f>
        <v>800</v>
      </c>
      <c r="R400" s="71">
        <f>$Q400/IFERROR(VLOOKUP($F400&amp;RIGHT($K400,8),'Master Data'!$O$5:$P$10,2,FALSE),'Master Data'!$P$4)</f>
        <v>4</v>
      </c>
      <c r="S400" s="57">
        <f>VLOOKUP($I400,'Pricing Table - eff 27-Jan-2026'!$A:$Q,16,FALSE)</f>
        <v>770</v>
      </c>
      <c r="T400" s="57">
        <f>VLOOKUP(I400,'Pricing Table - eff 27-Jan-2026'!$A:$O,15,FALSE)</f>
        <v>8.27</v>
      </c>
      <c r="U400" s="57">
        <f t="shared" si="18"/>
        <v>18969.72</v>
      </c>
      <c r="V400" s="111">
        <f t="shared" si="20"/>
        <v>18944.916000000001</v>
      </c>
      <c r="W400" s="55">
        <f>VLOOKUP($I400,'Pricing Table - eff 27-Jan-2026'!$A:$R,18,FALSE)</f>
        <v>45</v>
      </c>
    </row>
    <row r="401" spans="1:23" ht="15" hidden="1" thickTop="1" x14ac:dyDescent="0.3">
      <c r="A401" s="55">
        <v>53000261</v>
      </c>
      <c r="B401" s="55">
        <v>0</v>
      </c>
      <c r="C401" s="55" t="str">
        <f>VLOOKUP(A401&amp;"-"&amp;B401,'Order Summary'!$D:$E,2,FALSE)</f>
        <v>Commercial Invoice Sent</v>
      </c>
      <c r="D401" s="216">
        <f>IF($A401="","",VLOOKUP($A401&amp;"-"&amp;$B401,'Order Summary'!$D:$U,3,FALSE))</f>
        <v>46063</v>
      </c>
      <c r="E401" s="55" t="str">
        <f>VLOOKUP(A401&amp;"-"&amp;B401,'Order Summary'!$D:$G,4,FALSE)</f>
        <v>Yes</v>
      </c>
      <c r="F401" s="55" t="str">
        <f>VLOOKUP($A401,'Order Summary'!$B:$I,8,FALSE)</f>
        <v>Twin Falls, ID</v>
      </c>
      <c r="G401" s="216">
        <f>IF($A401="","",VLOOKUP($A401&amp;"-"&amp;$B401,'Order Summary'!$D:$U,18,FALSE))</f>
        <v>46189</v>
      </c>
      <c r="H401" s="55">
        <v>2</v>
      </c>
      <c r="I401" s="55">
        <v>694444</v>
      </c>
      <c r="J401" s="55" t="str">
        <f>VLOOKUP($I401,'Pricing Table - eff 27-Jan-2026'!$A:$R,2,FALSE)</f>
        <v>G1S 694444</v>
      </c>
      <c r="K401" s="55" t="str">
        <f>VLOOKUP($I401,'Pricing Table - eff 27-Jan-2026'!$A:$R,6,FALSE)&amp;" "&amp;VLOOKUP($I401,'Pricing Table - eff 27-Jan-2026'!$A:$R,7,FALSE)&amp;""" x "&amp;VLOOKUP($I401,'Pricing Table - eff 27-Jan-2026'!$A:$R,9,FALSE)&amp;""" "&amp;VLOOKUP($I401,'Pricing Table - eff 27-Jan-2026'!$A:$R,5,FALSE)</f>
        <v>2MM 49" x 96" ACP</v>
      </c>
      <c r="L401" s="55">
        <f>VLOOKUP($I401,'Pricing Table - eff 27-Jan-2026'!$A:$K,8,FALSE)</f>
        <v>1245</v>
      </c>
      <c r="M401" s="55">
        <f>VLOOKUP($I401,'Pricing Table - eff 27-Jan-2026'!$A:$K,10,FALSE)</f>
        <v>2440</v>
      </c>
      <c r="N401" s="55" t="str">
        <f>VLOOKUP($I401,'Pricing Table - eff 27-Jan-2026'!$A:$R,13,FALSE)&amp;" "&amp;VLOOKUP($I401,'Pricing Table - eff 27-Jan-2026'!$A:$R,12,FALSE)</f>
        <v>AMC 0086 CHARCOAL METALLIC</v>
      </c>
      <c r="O401" s="56">
        <v>45.732999999999997</v>
      </c>
      <c r="P401" s="55">
        <f>(VLOOKUP($I401,'Pricing Table - eff 27-Jan-2026'!$A:$R,8,FALSE)/1000)*(VLOOKUP($I401,'Pricing Table - eff 27-Jan-2026'!$A:$R,10,FALSE)/1000)*Q401</f>
        <v>4252.92</v>
      </c>
      <c r="Q401" s="55">
        <f>ROUND(('Order Details'!$O401*1000)/((VLOOKUP($I401,'Pricing Table - eff 27-Jan-2026'!$A:$Q,7,FALSE)/12)*(VLOOKUP($I401,'Pricing Table - eff 27-Jan-2026'!$A:$Q,9,FALSE)/12))/5,0)*5</f>
        <v>1400</v>
      </c>
      <c r="R401" s="71">
        <f>$Q401/IFERROR(VLOOKUP($F401&amp;RIGHT($K401,8),'Master Data'!$O$5:$P$10,2,FALSE),'Master Data'!$P$4)</f>
        <v>7</v>
      </c>
      <c r="S401" s="57">
        <f>VLOOKUP($I401,'Pricing Table - eff 27-Jan-2026'!$A:$Q,16,FALSE)</f>
        <v>770</v>
      </c>
      <c r="T401" s="57">
        <f>VLOOKUP(I401,'Pricing Table - eff 27-Jan-2026'!$A:$O,15,FALSE)</f>
        <v>8.27</v>
      </c>
      <c r="U401" s="57">
        <f t="shared" si="18"/>
        <v>35214.409999999996</v>
      </c>
      <c r="V401" s="111">
        <f t="shared" si="20"/>
        <v>35171.648399999998</v>
      </c>
      <c r="W401" s="55">
        <f>VLOOKUP($I401,'Pricing Table - eff 27-Jan-2026'!$A:$R,18,FALSE)</f>
        <v>45</v>
      </c>
    </row>
    <row r="402" spans="1:23" ht="15" hidden="1" thickTop="1" x14ac:dyDescent="0.3">
      <c r="A402" s="55">
        <v>53000261</v>
      </c>
      <c r="B402" s="55">
        <v>0</v>
      </c>
      <c r="C402" s="55" t="str">
        <f>VLOOKUP(A402&amp;"-"&amp;B402,'Order Summary'!$D:$E,2,FALSE)</f>
        <v>Commercial Invoice Sent</v>
      </c>
      <c r="D402" s="216">
        <f>IF($A402="","",VLOOKUP($A402&amp;"-"&amp;$B402,'Order Summary'!$D:$U,3,FALSE))</f>
        <v>46063</v>
      </c>
      <c r="E402" s="55" t="str">
        <f>VLOOKUP(A402&amp;"-"&amp;B402,'Order Summary'!$D:$G,4,FALSE)</f>
        <v>Yes</v>
      </c>
      <c r="F402" s="55" t="str">
        <f>VLOOKUP($A402,'Order Summary'!$B:$I,8,FALSE)</f>
        <v>Twin Falls, ID</v>
      </c>
      <c r="G402" s="216">
        <f>IF($A402="","",VLOOKUP($A402&amp;"-"&amp;$B402,'Order Summary'!$D:$U,18,FALSE))</f>
        <v>46189</v>
      </c>
      <c r="H402" s="55">
        <v>3</v>
      </c>
      <c r="I402" s="55">
        <v>694445</v>
      </c>
      <c r="J402" s="55" t="str">
        <f>VLOOKUP($I402,'Pricing Table - eff 27-Jan-2026'!$A:$R,2,FALSE)</f>
        <v>G1S 694445</v>
      </c>
      <c r="K402" s="55" t="str">
        <f>VLOOKUP($I402,'Pricing Table - eff 27-Jan-2026'!$A:$R,6,FALSE)&amp;" "&amp;VLOOKUP($I402,'Pricing Table - eff 27-Jan-2026'!$A:$R,7,FALSE)&amp;""" x "&amp;VLOOKUP($I402,'Pricing Table - eff 27-Jan-2026'!$A:$R,9,FALSE)&amp;""" "&amp;VLOOKUP($I402,'Pricing Table - eff 27-Jan-2026'!$A:$R,5,FALSE)</f>
        <v>2MM 49" x 108" ACP</v>
      </c>
      <c r="L402" s="55">
        <f>VLOOKUP($I402,'Pricing Table - eff 27-Jan-2026'!$A:$K,8,FALSE)</f>
        <v>1245</v>
      </c>
      <c r="M402" s="55">
        <f>VLOOKUP($I402,'Pricing Table - eff 27-Jan-2026'!$A:$K,10,FALSE)</f>
        <v>2745</v>
      </c>
      <c r="N402" s="55" t="str">
        <f>VLOOKUP($I402,'Pricing Table - eff 27-Jan-2026'!$A:$R,13,FALSE)&amp;" "&amp;VLOOKUP($I402,'Pricing Table - eff 27-Jan-2026'!$A:$R,12,FALSE)</f>
        <v>AMC 0086 CHARCOAL METALLIC</v>
      </c>
      <c r="O402" s="56">
        <v>14.7</v>
      </c>
      <c r="P402" s="55">
        <f>(VLOOKUP($I402,'Pricing Table - eff 27-Jan-2026'!$A:$R,8,FALSE)/1000)*(VLOOKUP($I402,'Pricing Table - eff 27-Jan-2026'!$A:$R,10,FALSE)/1000)*Q402</f>
        <v>1367.0100000000002</v>
      </c>
      <c r="Q402" s="55">
        <f>ROUND(('Order Details'!$O402*1000)/((VLOOKUP($I402,'Pricing Table - eff 27-Jan-2026'!$A:$Q,7,FALSE)/12)*(VLOOKUP($I402,'Pricing Table - eff 27-Jan-2026'!$A:$Q,9,FALSE)/12))/5,0)*5</f>
        <v>400</v>
      </c>
      <c r="R402" s="71">
        <f>$Q402/IFERROR(VLOOKUP($F402&amp;RIGHT($K402,8),'Master Data'!$O$5:$P$10,2,FALSE),'Master Data'!$P$4)</f>
        <v>2</v>
      </c>
      <c r="S402" s="57">
        <f>VLOOKUP($I402,'Pricing Table - eff 27-Jan-2026'!$A:$Q,16,FALSE)</f>
        <v>770</v>
      </c>
      <c r="T402" s="57">
        <f>VLOOKUP(I402,'Pricing Table - eff 27-Jan-2026'!$A:$O,15,FALSE)</f>
        <v>8.27</v>
      </c>
      <c r="U402" s="57">
        <f t="shared" si="18"/>
        <v>11319</v>
      </c>
      <c r="V402" s="111">
        <f t="shared" si="20"/>
        <v>11305.172700000001</v>
      </c>
      <c r="W402" s="55">
        <f>VLOOKUP($I402,'Pricing Table - eff 27-Jan-2026'!$A:$R,18,FALSE)</f>
        <v>45</v>
      </c>
    </row>
    <row r="403" spans="1:23" ht="15" hidden="1" thickTop="1" x14ac:dyDescent="0.3">
      <c r="A403" s="55">
        <v>53000262</v>
      </c>
      <c r="B403" s="55">
        <v>0</v>
      </c>
      <c r="C403" s="55" t="str">
        <f>VLOOKUP(A403&amp;"-"&amp;B403,'Order Summary'!$D:$E,2,FALSE)</f>
        <v>Downpayment Received</v>
      </c>
      <c r="D403" s="216">
        <f>IF($A403="","",VLOOKUP($A403&amp;"-"&amp;$B403,'Order Summary'!$D:$U,3,FALSE))</f>
        <v>46063</v>
      </c>
      <c r="E403" s="55" t="str">
        <f>VLOOKUP(A403&amp;"-"&amp;B403,'Order Summary'!$D:$G,4,FALSE)</f>
        <v>Yes</v>
      </c>
      <c r="F403" s="55" t="str">
        <f>VLOOKUP($A403,'Order Summary'!$B:$I,8,FALSE)</f>
        <v>Twin Falls, ID</v>
      </c>
      <c r="G403" s="216">
        <f>IF($A403="","",VLOOKUP($A403&amp;"-"&amp;$B403,'Order Summary'!$D:$U,18,FALSE))</f>
        <v>46189</v>
      </c>
      <c r="H403" s="55">
        <v>1</v>
      </c>
      <c r="I403" s="55">
        <v>709354</v>
      </c>
      <c r="J403" s="55" t="str">
        <f>VLOOKUP($I403,'Pricing Table - eff 27-Jan-2026'!$A:$R,2,FALSE)</f>
        <v>G1S 709354</v>
      </c>
      <c r="K403" s="55" t="str">
        <f>VLOOKUP($I403,'Pricing Table - eff 27-Jan-2026'!$A:$R,6,FALSE)&amp;" "&amp;VLOOKUP($I403,'Pricing Table - eff 27-Jan-2026'!$A:$R,7,FALSE)&amp;""" x "&amp;VLOOKUP($I403,'Pricing Table - eff 27-Jan-2026'!$A:$R,9,FALSE)&amp;""" "&amp;VLOOKUP($I403,'Pricing Table - eff 27-Jan-2026'!$A:$R,5,FALSE)</f>
        <v>2MM 49" x 90.5" ACP</v>
      </c>
      <c r="L403" s="55">
        <f>VLOOKUP($I403,'Pricing Table - eff 27-Jan-2026'!$A:$K,8,FALSE)</f>
        <v>1245</v>
      </c>
      <c r="M403" s="55">
        <f>VLOOKUP($I403,'Pricing Table - eff 27-Jan-2026'!$A:$K,10,FALSE)</f>
        <v>2300</v>
      </c>
      <c r="N403" s="55" t="str">
        <f>VLOOKUP($I403,'Pricing Table - eff 27-Jan-2026'!$A:$R,13,FALSE)&amp;" "&amp;VLOOKUP($I403,'Pricing Table - eff 27-Jan-2026'!$A:$R,12,FALSE)</f>
        <v>ASC 0096 GLOSSY BLACK</v>
      </c>
      <c r="O403" s="56">
        <v>24.635999999999999</v>
      </c>
      <c r="P403" s="55">
        <f>(VLOOKUP($I403,'Pricing Table - eff 27-Jan-2026'!$A:$R,8,FALSE)/1000)*(VLOOKUP($I403,'Pricing Table - eff 27-Jan-2026'!$A:$R,10,FALSE)/1000)*Q403</f>
        <v>2290.8000000000002</v>
      </c>
      <c r="Q403" s="55">
        <f>ROUND(('Order Details'!$O403*1000)/((VLOOKUP($I403,'Pricing Table - eff 27-Jan-2026'!$A:$Q,7,FALSE)/12)*(VLOOKUP($I403,'Pricing Table - eff 27-Jan-2026'!$A:$Q,9,FALSE)/12))/5,0)*5</f>
        <v>800</v>
      </c>
      <c r="R403" s="71">
        <f>$Q403/IFERROR(VLOOKUP($F403&amp;RIGHT($K403,8),'Master Data'!$O$5:$P$10,2,FALSE),'Master Data'!$P$4)</f>
        <v>4</v>
      </c>
      <c r="S403" s="57">
        <f>VLOOKUP($I403,'Pricing Table - eff 27-Jan-2026'!$A:$Q,16,FALSE)</f>
        <v>720</v>
      </c>
      <c r="T403" s="57">
        <f>VLOOKUP(I403,'Pricing Table - eff 27-Jan-2026'!$A:$O,15,FALSE)</f>
        <v>7.73</v>
      </c>
      <c r="U403" s="57">
        <f t="shared" si="18"/>
        <v>17737.919999999998</v>
      </c>
      <c r="V403" s="111">
        <f t="shared" si="20"/>
        <v>17707.884000000002</v>
      </c>
      <c r="W403" s="55">
        <f>VLOOKUP($I403,'Pricing Table - eff 27-Jan-2026'!$A:$R,18,FALSE)</f>
        <v>45</v>
      </c>
    </row>
    <row r="404" spans="1:23" ht="15" hidden="1" thickTop="1" x14ac:dyDescent="0.3">
      <c r="A404">
        <v>53000262</v>
      </c>
      <c r="B404" s="55">
        <v>0</v>
      </c>
      <c r="C404" s="55" t="str">
        <f>VLOOKUP(A404&amp;"-"&amp;B404,'Order Summary'!$D:$E,2,FALSE)</f>
        <v>Downpayment Received</v>
      </c>
      <c r="D404" s="216">
        <f>IF($A404="","",VLOOKUP($A404&amp;"-"&amp;$B404,'Order Summary'!$D:$U,3,FALSE))</f>
        <v>46063</v>
      </c>
      <c r="E404" s="55" t="str">
        <f>VLOOKUP(A404&amp;"-"&amp;B404,'Order Summary'!$D:$G,4,FALSE)</f>
        <v>Yes</v>
      </c>
      <c r="F404" s="55" t="str">
        <f>VLOOKUP($A404,'Order Summary'!$B:$I,8,FALSE)</f>
        <v>Twin Falls, ID</v>
      </c>
      <c r="G404" s="216">
        <f>IF($A404="","",VLOOKUP($A404&amp;"-"&amp;$B404,'Order Summary'!$D:$U,18,FALSE))</f>
        <v>46189</v>
      </c>
      <c r="H404" s="55">
        <v>2</v>
      </c>
      <c r="I404" s="55">
        <v>694432</v>
      </c>
      <c r="J404" s="55" t="str">
        <f>VLOOKUP($I404,'Pricing Table - eff 27-Jan-2026'!$A:$R,2,FALSE)</f>
        <v>G1S 694432</v>
      </c>
      <c r="K404" s="55" t="str">
        <f>VLOOKUP($I404,'Pricing Table - eff 27-Jan-2026'!$A:$R,6,FALSE)&amp;" "&amp;VLOOKUP($I404,'Pricing Table - eff 27-Jan-2026'!$A:$R,7,FALSE)&amp;""" x "&amp;VLOOKUP($I404,'Pricing Table - eff 27-Jan-2026'!$A:$R,9,FALSE)&amp;""" "&amp;VLOOKUP($I404,'Pricing Table - eff 27-Jan-2026'!$A:$R,5,FALSE)</f>
        <v>2MM 49" x 96" ACP</v>
      </c>
      <c r="L404" s="55">
        <f>VLOOKUP($I404,'Pricing Table - eff 27-Jan-2026'!$A:$K,8,FALSE)</f>
        <v>1245</v>
      </c>
      <c r="M404" s="55">
        <f>VLOOKUP($I404,'Pricing Table - eff 27-Jan-2026'!$A:$K,10,FALSE)</f>
        <v>2440</v>
      </c>
      <c r="N404" s="55" t="str">
        <f>VLOOKUP($I404,'Pricing Table - eff 27-Jan-2026'!$A:$R,13,FALSE)&amp;" "&amp;VLOOKUP($I404,'Pricing Table - eff 27-Jan-2026'!$A:$R,12,FALSE)</f>
        <v>ASC 0096 GLOSSY BLACK</v>
      </c>
      <c r="O404" s="56">
        <v>45.732999999999997</v>
      </c>
      <c r="P404" s="55">
        <f>(VLOOKUP($I404,'Pricing Table - eff 27-Jan-2026'!$A:$R,8,FALSE)/1000)*(VLOOKUP($I404,'Pricing Table - eff 27-Jan-2026'!$A:$R,10,FALSE)/1000)*Q404</f>
        <v>4252.92</v>
      </c>
      <c r="Q404" s="55">
        <f>ROUND(('Order Details'!$O404*1000)/((VLOOKUP($I404,'Pricing Table - eff 27-Jan-2026'!$A:$Q,7,FALSE)/12)*(VLOOKUP($I404,'Pricing Table - eff 27-Jan-2026'!$A:$Q,9,FALSE)/12))/5,0)*5</f>
        <v>1400</v>
      </c>
      <c r="R404" s="71">
        <f>$Q404/IFERROR(VLOOKUP($F404&amp;RIGHT($K404,8),'Master Data'!$O$5:$P$10,2,FALSE),'Master Data'!$P$4)</f>
        <v>7</v>
      </c>
      <c r="S404" s="57">
        <f>VLOOKUP($I404,'Pricing Table - eff 27-Jan-2026'!$A:$Q,16,FALSE)</f>
        <v>720</v>
      </c>
      <c r="T404" s="57">
        <f>VLOOKUP(I404,'Pricing Table - eff 27-Jan-2026'!$A:$O,15,FALSE)</f>
        <v>7.73</v>
      </c>
      <c r="U404" s="57">
        <f t="shared" si="18"/>
        <v>32927.759999999995</v>
      </c>
      <c r="V404" s="111">
        <f t="shared" si="20"/>
        <v>32875.071600000003</v>
      </c>
      <c r="W404" s="55">
        <f>VLOOKUP($I404,'Pricing Table - eff 27-Jan-2026'!$A:$R,18,FALSE)</f>
        <v>45</v>
      </c>
    </row>
    <row r="405" spans="1:23" ht="15" hidden="1" thickTop="1" x14ac:dyDescent="0.3">
      <c r="A405" s="55">
        <v>53000262</v>
      </c>
      <c r="B405" s="55">
        <v>0</v>
      </c>
      <c r="C405" s="55" t="str">
        <f>VLOOKUP(A405&amp;"-"&amp;B405,'Order Summary'!$D:$E,2,FALSE)</f>
        <v>Downpayment Received</v>
      </c>
      <c r="D405" s="216">
        <f>IF($A405="","",VLOOKUP($A405&amp;"-"&amp;$B405,'Order Summary'!$D:$U,3,FALSE))</f>
        <v>46063</v>
      </c>
      <c r="E405" s="55" t="str">
        <f>VLOOKUP(A405&amp;"-"&amp;B405,'Order Summary'!$D:$G,4,FALSE)</f>
        <v>Yes</v>
      </c>
      <c r="F405" s="55" t="str">
        <f>VLOOKUP($A405,'Order Summary'!$B:$I,8,FALSE)</f>
        <v>Twin Falls, ID</v>
      </c>
      <c r="G405" s="216">
        <f>IF($A405="","",VLOOKUP($A405&amp;"-"&amp;$B405,'Order Summary'!$D:$U,18,FALSE))</f>
        <v>46189</v>
      </c>
      <c r="H405" s="55">
        <v>3</v>
      </c>
      <c r="I405" s="55">
        <v>694433</v>
      </c>
      <c r="J405" s="55" t="str">
        <f>VLOOKUP($I405,'Pricing Table - eff 27-Jan-2026'!$A:$R,2,FALSE)</f>
        <v>G1S 694433</v>
      </c>
      <c r="K405" s="55" t="str">
        <f>VLOOKUP($I405,'Pricing Table - eff 27-Jan-2026'!$A:$R,6,FALSE)&amp;" "&amp;VLOOKUP($I405,'Pricing Table - eff 27-Jan-2026'!$A:$R,7,FALSE)&amp;""" x "&amp;VLOOKUP($I405,'Pricing Table - eff 27-Jan-2026'!$A:$R,9,FALSE)&amp;""" "&amp;VLOOKUP($I405,'Pricing Table - eff 27-Jan-2026'!$A:$R,5,FALSE)</f>
        <v>2MM 49" x 108" ACP</v>
      </c>
      <c r="L405" s="55">
        <f>VLOOKUP($I405,'Pricing Table - eff 27-Jan-2026'!$A:$K,8,FALSE)</f>
        <v>1245</v>
      </c>
      <c r="M405" s="55">
        <f>VLOOKUP($I405,'Pricing Table - eff 27-Jan-2026'!$A:$K,10,FALSE)</f>
        <v>2745</v>
      </c>
      <c r="N405" s="55" t="str">
        <f>VLOOKUP($I405,'Pricing Table - eff 27-Jan-2026'!$A:$R,13,FALSE)&amp;" "&amp;VLOOKUP($I405,'Pricing Table - eff 27-Jan-2026'!$A:$R,12,FALSE)</f>
        <v>ASC 0096 GLOSSY BLACK</v>
      </c>
      <c r="O405" s="56">
        <v>14.7</v>
      </c>
      <c r="P405" s="55">
        <f>(VLOOKUP($I405,'Pricing Table - eff 27-Jan-2026'!$A:$R,8,FALSE)/1000)*(VLOOKUP($I405,'Pricing Table - eff 27-Jan-2026'!$A:$R,10,FALSE)/1000)*Q405</f>
        <v>1367.0100000000002</v>
      </c>
      <c r="Q405" s="55">
        <f>ROUND(('Order Details'!$O405*1000)/((VLOOKUP($I405,'Pricing Table - eff 27-Jan-2026'!$A:$Q,7,FALSE)/12)*(VLOOKUP($I405,'Pricing Table - eff 27-Jan-2026'!$A:$Q,9,FALSE)/12))/5,0)*5</f>
        <v>400</v>
      </c>
      <c r="R405" s="71">
        <f>$Q405/IFERROR(VLOOKUP($F405&amp;RIGHT($K405,8),'Master Data'!$O$5:$P$10,2,FALSE),'Master Data'!$P$4)</f>
        <v>2</v>
      </c>
      <c r="S405" s="57">
        <f>VLOOKUP($I405,'Pricing Table - eff 27-Jan-2026'!$A:$Q,16,FALSE)</f>
        <v>720</v>
      </c>
      <c r="T405" s="57">
        <f>VLOOKUP(I405,'Pricing Table - eff 27-Jan-2026'!$A:$O,15,FALSE)</f>
        <v>7.73</v>
      </c>
      <c r="U405" s="57">
        <f t="shared" si="18"/>
        <v>10584</v>
      </c>
      <c r="V405" s="111">
        <f t="shared" si="20"/>
        <v>10566.987300000003</v>
      </c>
      <c r="W405" s="55">
        <f>VLOOKUP($I405,'Pricing Table - eff 27-Jan-2026'!$A:$R,18,FALSE)</f>
        <v>45</v>
      </c>
    </row>
    <row r="406" spans="1:23" ht="15" hidden="1" thickTop="1" x14ac:dyDescent="0.3">
      <c r="A406" s="55">
        <v>24190749</v>
      </c>
      <c r="B406" s="55">
        <v>0</v>
      </c>
      <c r="C406" s="55" t="str">
        <f>VLOOKUP(A406&amp;"-"&amp;B406,'Order Summary'!$D:$E,2,FALSE)</f>
        <v>Downpayment Received</v>
      </c>
      <c r="D406" s="216">
        <f>IF($A406="","",VLOOKUP($A406&amp;"-"&amp;$B406,'Order Summary'!$D:$U,3,FALSE))</f>
        <v>46063</v>
      </c>
      <c r="E406" s="55" t="str">
        <f>VLOOKUP(A406&amp;"-"&amp;B406,'Order Summary'!$D:$G,4,FALSE)</f>
        <v>Yes</v>
      </c>
      <c r="F406" s="55" t="str">
        <f>VLOOKUP($A406,'Order Summary'!$B:$I,8,FALSE)</f>
        <v>Ashburn, GA</v>
      </c>
      <c r="G406" s="216">
        <f>IF($A406="","",VLOOKUP($A406&amp;"-"&amp;$B406,'Order Summary'!$D:$U,18,FALSE))</f>
        <v>46226</v>
      </c>
      <c r="H406" s="55">
        <v>1</v>
      </c>
      <c r="I406" s="55">
        <v>704985</v>
      </c>
      <c r="J406" s="55" t="str">
        <f>VLOOKUP($I406,'Pricing Table - eff 27-Jan-2026'!$A:$R,2,FALSE)</f>
        <v>G1S 704985</v>
      </c>
      <c r="K406" s="55" t="str">
        <f>VLOOKUP($I406,'Pricing Table - eff 27-Jan-2026'!$A:$R,6,FALSE)&amp;" "&amp;VLOOKUP($I406,'Pricing Table - eff 27-Jan-2026'!$A:$R,7,FALSE)&amp;""" x "&amp;VLOOKUP($I406,'Pricing Table - eff 27-Jan-2026'!$A:$R,9,FALSE)&amp;""" "&amp;VLOOKUP($I406,'Pricing Table - eff 27-Jan-2026'!$A:$R,5,FALSE)</f>
        <v>2MM 49" x 84" ACP</v>
      </c>
      <c r="L406" s="55">
        <f>VLOOKUP($I406,'Pricing Table - eff 27-Jan-2026'!$A:$K,8,FALSE)</f>
        <v>1245</v>
      </c>
      <c r="M406" s="55">
        <f>VLOOKUP($I406,'Pricing Table - eff 27-Jan-2026'!$A:$K,10,FALSE)</f>
        <v>2135</v>
      </c>
      <c r="N406" s="55" t="str">
        <f>VLOOKUP($I406,'Pricing Table - eff 27-Jan-2026'!$A:$R,13,FALSE)&amp;" "&amp;VLOOKUP($I406,'Pricing Table - eff 27-Jan-2026'!$A:$R,12,FALSE)</f>
        <v>ASC 0069 GLOSSY WHITE</v>
      </c>
      <c r="O406" s="56">
        <v>17.149999999999999</v>
      </c>
      <c r="P406" s="55">
        <f>(VLOOKUP($I406,'Pricing Table - eff 27-Jan-2026'!$A:$R,8,FALSE)/1000)*(VLOOKUP($I406,'Pricing Table - eff 27-Jan-2026'!$A:$R,10,FALSE)/1000)*Q406</f>
        <v>1594.8449999999998</v>
      </c>
      <c r="Q406" s="55">
        <f>ROUND(('Order Details'!$O406*1000)/((VLOOKUP($I406,'Pricing Table - eff 27-Jan-2026'!$A:$Q,7,FALSE)/12)*(VLOOKUP($I406,'Pricing Table - eff 27-Jan-2026'!$A:$Q,9,FALSE)/12))/5,0)*5</f>
        <v>600</v>
      </c>
      <c r="R406" s="71">
        <f>$Q406/IFERROR(VLOOKUP($F406&amp;RIGHT($K406,8),'Master Data'!$O$5:$P$10,2,FALSE),'Master Data'!$P$4)</f>
        <v>3</v>
      </c>
      <c r="S406" s="57">
        <f>VLOOKUP($I406,'Pricing Table - eff 27-Jan-2026'!$A:$Q,16,FALSE)</f>
        <v>720</v>
      </c>
      <c r="T406" s="57">
        <f>VLOOKUP(I406,'Pricing Table - eff 27-Jan-2026'!$A:$O,15,FALSE)</f>
        <v>7.73</v>
      </c>
      <c r="U406" s="57">
        <f t="shared" si="18"/>
        <v>12347.999999999998</v>
      </c>
      <c r="V406" s="111">
        <f t="shared" si="20"/>
        <v>12328.151849999998</v>
      </c>
      <c r="W406" s="55">
        <f>VLOOKUP($I406,'Pricing Table - eff 27-Jan-2026'!$A:$R,18,FALSE)</f>
        <v>45</v>
      </c>
    </row>
    <row r="407" spans="1:23" ht="15" hidden="1" thickTop="1" x14ac:dyDescent="0.3">
      <c r="A407" s="55">
        <v>24190749</v>
      </c>
      <c r="B407" s="55">
        <v>0</v>
      </c>
      <c r="C407" s="55" t="str">
        <f>VLOOKUP(A407&amp;"-"&amp;B407,'Order Summary'!$D:$E,2,FALSE)</f>
        <v>Downpayment Received</v>
      </c>
      <c r="D407" s="216">
        <f>IF($A407="","",VLOOKUP($A407&amp;"-"&amp;$B407,'Order Summary'!$D:$U,3,FALSE))</f>
        <v>46063</v>
      </c>
      <c r="E407" s="55" t="str">
        <f>VLOOKUP(A407&amp;"-"&amp;B407,'Order Summary'!$D:$G,4,FALSE)</f>
        <v>Yes</v>
      </c>
      <c r="F407" s="55" t="str">
        <f>VLOOKUP($A407,'Order Summary'!$B:$I,8,FALSE)</f>
        <v>Ashburn, GA</v>
      </c>
      <c r="G407" s="216">
        <f>IF($A407="","",VLOOKUP($A407&amp;"-"&amp;$B407,'Order Summary'!$D:$U,18,FALSE))</f>
        <v>46226</v>
      </c>
      <c r="H407" s="55">
        <v>2</v>
      </c>
      <c r="I407" s="55">
        <v>709355</v>
      </c>
      <c r="J407" s="55" t="str">
        <f>VLOOKUP($I407,'Pricing Table - eff 27-Jan-2026'!$A:$R,2,FALSE)</f>
        <v>G1S 709355</v>
      </c>
      <c r="K407" s="55" t="str">
        <f>VLOOKUP($I407,'Pricing Table - eff 27-Jan-2026'!$A:$R,6,FALSE)&amp;" "&amp;VLOOKUP($I407,'Pricing Table - eff 27-Jan-2026'!$A:$R,7,FALSE)&amp;""" x "&amp;VLOOKUP($I407,'Pricing Table - eff 27-Jan-2026'!$A:$R,9,FALSE)&amp;""" "&amp;VLOOKUP($I407,'Pricing Table - eff 27-Jan-2026'!$A:$R,5,FALSE)</f>
        <v>2MM 49" x 90.5" ACP</v>
      </c>
      <c r="L407" s="55">
        <f>VLOOKUP($I407,'Pricing Table - eff 27-Jan-2026'!$A:$K,8,FALSE)</f>
        <v>1245</v>
      </c>
      <c r="M407" s="55">
        <f>VLOOKUP($I407,'Pricing Table - eff 27-Jan-2026'!$A:$K,10,FALSE)</f>
        <v>2300</v>
      </c>
      <c r="N407" s="55" t="str">
        <f>VLOOKUP($I407,'Pricing Table - eff 27-Jan-2026'!$A:$R,13,FALSE)&amp;" "&amp;VLOOKUP($I407,'Pricing Table - eff 27-Jan-2026'!$A:$R,12,FALSE)</f>
        <v>ASC 0069 GLOSSY WHITE</v>
      </c>
      <c r="O407" s="56">
        <v>36.954000000000001</v>
      </c>
      <c r="P407" s="55">
        <f>(VLOOKUP($I407,'Pricing Table - eff 27-Jan-2026'!$A:$R,8,FALSE)/1000)*(VLOOKUP($I407,'Pricing Table - eff 27-Jan-2026'!$A:$R,10,FALSE)/1000)*Q407</f>
        <v>3436.2000000000003</v>
      </c>
      <c r="Q407" s="55">
        <f>ROUND(('Order Details'!$O407*1000)/((VLOOKUP($I407,'Pricing Table - eff 27-Jan-2026'!$A:$Q,7,FALSE)/12)*(VLOOKUP($I407,'Pricing Table - eff 27-Jan-2026'!$A:$Q,9,FALSE)/12))/5,0)*5</f>
        <v>1200</v>
      </c>
      <c r="R407" s="71">
        <f>$Q407/IFERROR(VLOOKUP($F407&amp;RIGHT($K407,8),'Master Data'!$O$5:$P$10,2,FALSE),'Master Data'!$P$4)</f>
        <v>6</v>
      </c>
      <c r="S407" s="57">
        <f>VLOOKUP($I407,'Pricing Table - eff 27-Jan-2026'!$A:$Q,16,FALSE)</f>
        <v>720</v>
      </c>
      <c r="T407" s="57">
        <f>VLOOKUP(I407,'Pricing Table - eff 27-Jan-2026'!$A:$O,15,FALSE)</f>
        <v>7.73</v>
      </c>
      <c r="U407" s="57">
        <f t="shared" si="18"/>
        <v>26606.880000000001</v>
      </c>
      <c r="V407" s="111">
        <f t="shared" si="20"/>
        <v>26561.826000000005</v>
      </c>
      <c r="W407" s="55">
        <f>VLOOKUP($I407,'Pricing Table - eff 27-Jan-2026'!$A:$R,18,FALSE)</f>
        <v>45</v>
      </c>
    </row>
    <row r="408" spans="1:23" ht="15" hidden="1" thickTop="1" x14ac:dyDescent="0.3">
      <c r="A408" s="55">
        <v>24190749</v>
      </c>
      <c r="B408" s="55">
        <v>0</v>
      </c>
      <c r="C408" s="55" t="str">
        <f>VLOOKUP(A408&amp;"-"&amp;B408,'Order Summary'!$D:$E,2,FALSE)</f>
        <v>Downpayment Received</v>
      </c>
      <c r="D408" s="216">
        <f>IF($A408="","",VLOOKUP($A408&amp;"-"&amp;$B408,'Order Summary'!$D:$U,3,FALSE))</f>
        <v>46063</v>
      </c>
      <c r="E408" s="55" t="str">
        <f>VLOOKUP(A408&amp;"-"&amp;B408,'Order Summary'!$D:$G,4,FALSE)</f>
        <v>Yes</v>
      </c>
      <c r="F408" s="55" t="str">
        <f>VLOOKUP($A408,'Order Summary'!$B:$I,8,FALSE)</f>
        <v>Ashburn, GA</v>
      </c>
      <c r="G408" s="216">
        <f>IF($A408="","",VLOOKUP($A408&amp;"-"&amp;$B408,'Order Summary'!$D:$U,18,FALSE))</f>
        <v>46226</v>
      </c>
      <c r="H408" s="55">
        <v>3</v>
      </c>
      <c r="I408" s="55">
        <v>694436</v>
      </c>
      <c r="J408" s="55" t="str">
        <f>VLOOKUP($I408,'Pricing Table - eff 27-Jan-2026'!$A:$R,2,FALSE)</f>
        <v>G1S 694436</v>
      </c>
      <c r="K408" s="55" t="str">
        <f>VLOOKUP($I408,'Pricing Table - eff 27-Jan-2026'!$A:$R,6,FALSE)&amp;" "&amp;VLOOKUP($I408,'Pricing Table - eff 27-Jan-2026'!$A:$R,7,FALSE)&amp;""" x "&amp;VLOOKUP($I408,'Pricing Table - eff 27-Jan-2026'!$A:$R,9,FALSE)&amp;""" "&amp;VLOOKUP($I408,'Pricing Table - eff 27-Jan-2026'!$A:$R,5,FALSE)</f>
        <v>2MM 49" x 96" ACP</v>
      </c>
      <c r="L408" s="55">
        <f>VLOOKUP($I408,'Pricing Table - eff 27-Jan-2026'!$A:$K,8,FALSE)</f>
        <v>1245</v>
      </c>
      <c r="M408" s="55">
        <f>VLOOKUP($I408,'Pricing Table - eff 27-Jan-2026'!$A:$K,10,FALSE)</f>
        <v>2440</v>
      </c>
      <c r="N408" s="55" t="str">
        <f>VLOOKUP($I408,'Pricing Table - eff 27-Jan-2026'!$A:$R,13,FALSE)&amp;" "&amp;VLOOKUP($I408,'Pricing Table - eff 27-Jan-2026'!$A:$R,12,FALSE)</f>
        <v>ASC 0069 GLOSSY WHITE</v>
      </c>
      <c r="O408" s="56">
        <v>19.600000000000001</v>
      </c>
      <c r="P408" s="55">
        <f>(VLOOKUP($I408,'Pricing Table - eff 27-Jan-2026'!$A:$R,8,FALSE)/1000)*(VLOOKUP($I408,'Pricing Table - eff 27-Jan-2026'!$A:$R,10,FALSE)/1000)*Q408</f>
        <v>1822.68</v>
      </c>
      <c r="Q408" s="55">
        <f>ROUND(('Order Details'!$O408*1000)/((VLOOKUP($I408,'Pricing Table - eff 27-Jan-2026'!$A:$Q,7,FALSE)/12)*(VLOOKUP($I408,'Pricing Table - eff 27-Jan-2026'!$A:$Q,9,FALSE)/12))/5,0)*5</f>
        <v>600</v>
      </c>
      <c r="R408" s="71">
        <f>$Q408/IFERROR(VLOOKUP($F408&amp;RIGHT($K408,8),'Master Data'!$O$5:$P$10,2,FALSE),'Master Data'!$P$4)</f>
        <v>3</v>
      </c>
      <c r="S408" s="57">
        <f>VLOOKUP($I408,'Pricing Table - eff 27-Jan-2026'!$A:$Q,16,FALSE)</f>
        <v>720</v>
      </c>
      <c r="T408" s="57">
        <f>VLOOKUP(I408,'Pricing Table - eff 27-Jan-2026'!$A:$O,15,FALSE)</f>
        <v>7.73</v>
      </c>
      <c r="U408" s="57">
        <f t="shared" si="18"/>
        <v>14112.000000000002</v>
      </c>
      <c r="V408" s="111">
        <f t="shared" si="20"/>
        <v>14089.316400000002</v>
      </c>
      <c r="W408" s="55">
        <f>VLOOKUP($I408,'Pricing Table - eff 27-Jan-2026'!$A:$R,18,FALSE)</f>
        <v>45</v>
      </c>
    </row>
    <row r="409" spans="1:23" ht="15" hidden="1" thickTop="1" x14ac:dyDescent="0.3">
      <c r="A409" s="55">
        <v>24190749</v>
      </c>
      <c r="B409" s="55">
        <v>0</v>
      </c>
      <c r="C409" s="55" t="str">
        <f>VLOOKUP(A409&amp;"-"&amp;B409,'Order Summary'!$D:$E,2,FALSE)</f>
        <v>Downpayment Received</v>
      </c>
      <c r="D409" s="216">
        <f>IF($A409="","",VLOOKUP($A409&amp;"-"&amp;$B409,'Order Summary'!$D:$U,3,FALSE))</f>
        <v>46063</v>
      </c>
      <c r="E409" s="55" t="str">
        <f>VLOOKUP(A409&amp;"-"&amp;B409,'Order Summary'!$D:$G,4,FALSE)</f>
        <v>Yes</v>
      </c>
      <c r="F409" s="55" t="str">
        <f>VLOOKUP($A409,'Order Summary'!$B:$I,8,FALSE)</f>
        <v>Ashburn, GA</v>
      </c>
      <c r="G409" s="216">
        <f>IF($A409="","",VLOOKUP($A409&amp;"-"&amp;$B409,'Order Summary'!$D:$U,18,FALSE))</f>
        <v>46226</v>
      </c>
      <c r="H409" s="55">
        <v>4</v>
      </c>
      <c r="I409" s="55">
        <v>694444</v>
      </c>
      <c r="J409" s="55" t="str">
        <f>VLOOKUP($I409,'Pricing Table - eff 27-Jan-2026'!$A:$R,2,FALSE)</f>
        <v>G1S 694444</v>
      </c>
      <c r="K409" s="55" t="str">
        <f>VLOOKUP($I409,'Pricing Table - eff 27-Jan-2026'!$A:$R,6,FALSE)&amp;" "&amp;VLOOKUP($I409,'Pricing Table - eff 27-Jan-2026'!$A:$R,7,FALSE)&amp;""" x "&amp;VLOOKUP($I409,'Pricing Table - eff 27-Jan-2026'!$A:$R,9,FALSE)&amp;""" "&amp;VLOOKUP($I409,'Pricing Table - eff 27-Jan-2026'!$A:$R,5,FALSE)</f>
        <v>2MM 49" x 96" ACP</v>
      </c>
      <c r="L409" s="55">
        <f>VLOOKUP($I409,'Pricing Table - eff 27-Jan-2026'!$A:$K,8,FALSE)</f>
        <v>1245</v>
      </c>
      <c r="M409" s="55">
        <f>VLOOKUP($I409,'Pricing Table - eff 27-Jan-2026'!$A:$K,10,FALSE)</f>
        <v>2440</v>
      </c>
      <c r="N409" s="55" t="str">
        <f>VLOOKUP($I409,'Pricing Table - eff 27-Jan-2026'!$A:$R,13,FALSE)&amp;" "&amp;VLOOKUP($I409,'Pricing Table - eff 27-Jan-2026'!$A:$R,12,FALSE)</f>
        <v>AMC 0086 CHARCOAL METALLIC</v>
      </c>
      <c r="O409" s="56">
        <v>6.5330000000000004</v>
      </c>
      <c r="P409" s="55">
        <f>(VLOOKUP($I409,'Pricing Table - eff 27-Jan-2026'!$A:$R,8,FALSE)/1000)*(VLOOKUP($I409,'Pricing Table - eff 27-Jan-2026'!$A:$R,10,FALSE)/1000)*Q409</f>
        <v>607.56000000000006</v>
      </c>
      <c r="Q409" s="55">
        <f>ROUND(('Order Details'!$O409*1000)/((VLOOKUP($I409,'Pricing Table - eff 27-Jan-2026'!$A:$Q,7,FALSE)/12)*(VLOOKUP($I409,'Pricing Table - eff 27-Jan-2026'!$A:$Q,9,FALSE)/12))/5,0)*5</f>
        <v>200</v>
      </c>
      <c r="R409" s="71">
        <f>$Q409/IFERROR(VLOOKUP($F409&amp;RIGHT($K409,8),'Master Data'!$O$5:$P$10,2,FALSE),'Master Data'!$P$4)</f>
        <v>1</v>
      </c>
      <c r="S409" s="57">
        <f>VLOOKUP($I409,'Pricing Table - eff 27-Jan-2026'!$A:$Q,16,FALSE)</f>
        <v>770</v>
      </c>
      <c r="T409" s="57">
        <f>VLOOKUP(I409,'Pricing Table - eff 27-Jan-2026'!$A:$O,15,FALSE)</f>
        <v>8.27</v>
      </c>
      <c r="U409" s="57">
        <f t="shared" si="18"/>
        <v>5030.41</v>
      </c>
      <c r="V409" s="111">
        <f t="shared" si="20"/>
        <v>5024.5212000000001</v>
      </c>
      <c r="W409" s="55">
        <f>VLOOKUP($I409,'Pricing Table - eff 27-Jan-2026'!$A:$R,18,FALSE)</f>
        <v>45</v>
      </c>
    </row>
    <row r="410" spans="1:23" ht="15" hidden="1" thickTop="1" x14ac:dyDescent="0.3">
      <c r="A410" s="55">
        <v>24190757</v>
      </c>
      <c r="B410" s="55">
        <v>0</v>
      </c>
      <c r="C410" s="55" t="str">
        <f>VLOOKUP(A410&amp;"-"&amp;B410,'Order Summary'!$D:$E,2,FALSE)</f>
        <v>PO Revised</v>
      </c>
      <c r="D410" s="216">
        <f>IF($A410="","",VLOOKUP($A410&amp;"-"&amp;$B410,'Order Summary'!$D:$U,3,FALSE))</f>
        <v>46063</v>
      </c>
      <c r="E410" s="55" t="str">
        <f>VLOOKUP(A410&amp;"-"&amp;B410,'Order Summary'!$D:$G,4,FALSE)</f>
        <v>No</v>
      </c>
      <c r="F410" s="55" t="str">
        <f>VLOOKUP($A410,'Order Summary'!$B:$I,8,FALSE)</f>
        <v>Ashburn, GA</v>
      </c>
      <c r="G410" s="216">
        <f>IF($A410="","",VLOOKUP($A410&amp;"-"&amp;$B410,'Order Summary'!$D:$U,18,FALSE))</f>
        <v>46181</v>
      </c>
      <c r="H410" s="55">
        <v>1</v>
      </c>
      <c r="I410" s="55">
        <v>704984</v>
      </c>
      <c r="J410" s="55" t="str">
        <f>VLOOKUP($I410,'Pricing Table - eff 27-Jan-2026'!$A:$R,2,FALSE)</f>
        <v>G1S 704984</v>
      </c>
      <c r="K410" s="55" t="str">
        <f>VLOOKUP($I410,'Pricing Table - eff 27-Jan-2026'!$A:$R,6,FALSE)&amp;" "&amp;VLOOKUP($I410,'Pricing Table - eff 27-Jan-2026'!$A:$R,7,FALSE)&amp;""" x "&amp;VLOOKUP($I410,'Pricing Table - eff 27-Jan-2026'!$A:$R,9,FALSE)&amp;""" "&amp;VLOOKUP($I410,'Pricing Table - eff 27-Jan-2026'!$A:$R,5,FALSE)</f>
        <v>2MM 49" x 84" ACP</v>
      </c>
      <c r="L410" s="55">
        <f>VLOOKUP($I410,'Pricing Table - eff 27-Jan-2026'!$A:$K,8,FALSE)</f>
        <v>1245</v>
      </c>
      <c r="M410" s="55">
        <f>VLOOKUP($I410,'Pricing Table - eff 27-Jan-2026'!$A:$K,10,FALSE)</f>
        <v>2135</v>
      </c>
      <c r="N410" s="55" t="str">
        <f>VLOOKUP($I410,'Pricing Table - eff 27-Jan-2026'!$A:$R,13,FALSE)&amp;" "&amp;VLOOKUP($I410,'Pricing Table - eff 27-Jan-2026'!$A:$R,12,FALSE)</f>
        <v>ASC 0096 GLOSSY BLACK</v>
      </c>
      <c r="O410" s="56">
        <v>17.149999999999999</v>
      </c>
      <c r="P410" s="55">
        <f>(VLOOKUP($I410,'Pricing Table - eff 27-Jan-2026'!$A:$R,8,FALSE)/1000)*(VLOOKUP($I410,'Pricing Table - eff 27-Jan-2026'!$A:$R,10,FALSE)/1000)*Q410</f>
        <v>1594.8449999999998</v>
      </c>
      <c r="Q410" s="55">
        <f>ROUND(('Order Details'!$O410*1000)/((VLOOKUP($I410,'Pricing Table - eff 27-Jan-2026'!$A:$Q,7,FALSE)/12)*(VLOOKUP($I410,'Pricing Table - eff 27-Jan-2026'!$A:$Q,9,FALSE)/12))/5,0)*5</f>
        <v>600</v>
      </c>
      <c r="R410" s="71">
        <f>$Q410/IFERROR(VLOOKUP($F410&amp;RIGHT($K410,8),'Master Data'!$O$5:$P$10,2,FALSE),'Master Data'!$P$4)</f>
        <v>3</v>
      </c>
      <c r="S410" s="57">
        <f>VLOOKUP($I410,'Pricing Table - eff 27-Jan-2026'!$A:$Q,16,FALSE)</f>
        <v>720</v>
      </c>
      <c r="T410" s="57">
        <f>VLOOKUP(I410,'Pricing Table - eff 27-Jan-2026'!$A:$O,15,FALSE)</f>
        <v>7.73</v>
      </c>
      <c r="U410" s="57">
        <f t="shared" si="18"/>
        <v>12347.999999999998</v>
      </c>
      <c r="V410" s="111">
        <f t="shared" si="20"/>
        <v>12328.151849999998</v>
      </c>
      <c r="W410" s="55">
        <f>VLOOKUP($I410,'Pricing Table - eff 27-Jan-2026'!$A:$R,18,FALSE)</f>
        <v>45</v>
      </c>
    </row>
    <row r="411" spans="1:23" ht="15" hidden="1" thickTop="1" x14ac:dyDescent="0.3">
      <c r="A411" s="55">
        <v>24190757</v>
      </c>
      <c r="B411" s="55">
        <v>0</v>
      </c>
      <c r="C411" s="55" t="str">
        <f>VLOOKUP(A411&amp;"-"&amp;B411,'Order Summary'!$D:$E,2,FALSE)</f>
        <v>PO Revised</v>
      </c>
      <c r="D411" s="216">
        <f>IF($A411="","",VLOOKUP($A411&amp;"-"&amp;$B411,'Order Summary'!$D:$U,3,FALSE))</f>
        <v>46063</v>
      </c>
      <c r="E411" s="55" t="str">
        <f>VLOOKUP(A411&amp;"-"&amp;B411,'Order Summary'!$D:$G,4,FALSE)</f>
        <v>No</v>
      </c>
      <c r="F411" s="55" t="str">
        <f>VLOOKUP($A411,'Order Summary'!$B:$I,8,FALSE)</f>
        <v>Ashburn, GA</v>
      </c>
      <c r="G411" s="216">
        <f>IF($A411="","",VLOOKUP($A411&amp;"-"&amp;$B411,'Order Summary'!$D:$U,18,FALSE))</f>
        <v>46181</v>
      </c>
      <c r="H411" s="55">
        <v>2</v>
      </c>
      <c r="I411" s="55">
        <v>709354</v>
      </c>
      <c r="J411" s="55" t="str">
        <f>VLOOKUP($I411,'Pricing Table - eff 27-Jan-2026'!$A:$R,2,FALSE)</f>
        <v>G1S 709354</v>
      </c>
      <c r="K411" s="55" t="str">
        <f>VLOOKUP($I411,'Pricing Table - eff 27-Jan-2026'!$A:$R,6,FALSE)&amp;" "&amp;VLOOKUP($I411,'Pricing Table - eff 27-Jan-2026'!$A:$R,7,FALSE)&amp;""" x "&amp;VLOOKUP($I411,'Pricing Table - eff 27-Jan-2026'!$A:$R,9,FALSE)&amp;""" "&amp;VLOOKUP($I411,'Pricing Table - eff 27-Jan-2026'!$A:$R,5,FALSE)</f>
        <v>2MM 49" x 90.5" ACP</v>
      </c>
      <c r="L411" s="55">
        <f>VLOOKUP($I411,'Pricing Table - eff 27-Jan-2026'!$A:$K,8,FALSE)</f>
        <v>1245</v>
      </c>
      <c r="M411" s="55">
        <f>VLOOKUP($I411,'Pricing Table - eff 27-Jan-2026'!$A:$K,10,FALSE)</f>
        <v>2300</v>
      </c>
      <c r="N411" s="55" t="str">
        <f>VLOOKUP($I411,'Pricing Table - eff 27-Jan-2026'!$A:$R,13,FALSE)&amp;" "&amp;VLOOKUP($I411,'Pricing Table - eff 27-Jan-2026'!$A:$R,12,FALSE)</f>
        <v>ASC 0096 GLOSSY BLACK</v>
      </c>
      <c r="O411" s="56">
        <v>36.954000000000001</v>
      </c>
      <c r="P411" s="55">
        <f>(VLOOKUP($I411,'Pricing Table - eff 27-Jan-2026'!$A:$R,8,FALSE)/1000)*(VLOOKUP($I411,'Pricing Table - eff 27-Jan-2026'!$A:$R,10,FALSE)/1000)*Q411</f>
        <v>3436.2000000000003</v>
      </c>
      <c r="Q411" s="55">
        <f>ROUND(('Order Details'!$O411*1000)/((VLOOKUP($I411,'Pricing Table - eff 27-Jan-2026'!$A:$Q,7,FALSE)/12)*(VLOOKUP($I411,'Pricing Table - eff 27-Jan-2026'!$A:$Q,9,FALSE)/12))/5,0)*5</f>
        <v>1200</v>
      </c>
      <c r="R411" s="71">
        <f>$Q411/IFERROR(VLOOKUP($F411&amp;RIGHT($K411,8),'Master Data'!$O$5:$P$10,2,FALSE),'Master Data'!$P$4)</f>
        <v>6</v>
      </c>
      <c r="S411" s="57">
        <f>VLOOKUP($I411,'Pricing Table - eff 27-Jan-2026'!$A:$Q,16,FALSE)</f>
        <v>720</v>
      </c>
      <c r="T411" s="57">
        <f>VLOOKUP(I411,'Pricing Table - eff 27-Jan-2026'!$A:$O,15,FALSE)</f>
        <v>7.73</v>
      </c>
      <c r="U411" s="57">
        <f t="shared" si="18"/>
        <v>26606.880000000001</v>
      </c>
      <c r="V411" s="111">
        <f t="shared" si="20"/>
        <v>26561.826000000005</v>
      </c>
      <c r="W411" s="55">
        <f>VLOOKUP($I411,'Pricing Table - eff 27-Jan-2026'!$A:$R,18,FALSE)</f>
        <v>45</v>
      </c>
    </row>
    <row r="412" spans="1:23" ht="15" hidden="1" thickTop="1" x14ac:dyDescent="0.3">
      <c r="A412" s="55">
        <v>24190757</v>
      </c>
      <c r="B412" s="55">
        <v>0</v>
      </c>
      <c r="C412" s="55" t="str">
        <f>VLOOKUP(A412&amp;"-"&amp;B412,'Order Summary'!$D:$E,2,FALSE)</f>
        <v>PO Revised</v>
      </c>
      <c r="D412" s="216">
        <f>IF($A412="","",VLOOKUP($A412&amp;"-"&amp;$B412,'Order Summary'!$D:$U,3,FALSE))</f>
        <v>46063</v>
      </c>
      <c r="E412" s="55" t="str">
        <f>VLOOKUP(A412&amp;"-"&amp;B412,'Order Summary'!$D:$G,4,FALSE)</f>
        <v>No</v>
      </c>
      <c r="F412" s="55" t="str">
        <f>VLOOKUP($A412,'Order Summary'!$B:$I,8,FALSE)</f>
        <v>Ashburn, GA</v>
      </c>
      <c r="G412" s="216">
        <f>IF($A412="","",VLOOKUP($A412&amp;"-"&amp;$B412,'Order Summary'!$D:$U,18,FALSE))</f>
        <v>46181</v>
      </c>
      <c r="H412" s="55">
        <v>3</v>
      </c>
      <c r="I412" s="55">
        <v>694432</v>
      </c>
      <c r="J412" s="55" t="str">
        <f>VLOOKUP($I412,'Pricing Table - eff 27-Jan-2026'!$A:$R,2,FALSE)</f>
        <v>G1S 694432</v>
      </c>
      <c r="K412" s="55" t="str">
        <f>VLOOKUP($I412,'Pricing Table - eff 27-Jan-2026'!$A:$R,6,FALSE)&amp;" "&amp;VLOOKUP($I412,'Pricing Table - eff 27-Jan-2026'!$A:$R,7,FALSE)&amp;""" x "&amp;VLOOKUP($I412,'Pricing Table - eff 27-Jan-2026'!$A:$R,9,FALSE)&amp;""" "&amp;VLOOKUP($I412,'Pricing Table - eff 27-Jan-2026'!$A:$R,5,FALSE)</f>
        <v>2MM 49" x 96" ACP</v>
      </c>
      <c r="L412" s="55">
        <f>VLOOKUP($I412,'Pricing Table - eff 27-Jan-2026'!$A:$K,8,FALSE)</f>
        <v>1245</v>
      </c>
      <c r="M412" s="55">
        <f>VLOOKUP($I412,'Pricing Table - eff 27-Jan-2026'!$A:$K,10,FALSE)</f>
        <v>2440</v>
      </c>
      <c r="N412" s="55" t="str">
        <f>VLOOKUP($I412,'Pricing Table - eff 27-Jan-2026'!$A:$R,13,FALSE)&amp;" "&amp;VLOOKUP($I412,'Pricing Table - eff 27-Jan-2026'!$A:$R,12,FALSE)</f>
        <v>ASC 0096 GLOSSY BLACK</v>
      </c>
      <c r="O412" s="56">
        <v>19.600000000000001</v>
      </c>
      <c r="P412" s="55">
        <f>(VLOOKUP($I412,'Pricing Table - eff 27-Jan-2026'!$A:$R,8,FALSE)/1000)*(VLOOKUP($I412,'Pricing Table - eff 27-Jan-2026'!$A:$R,10,FALSE)/1000)*Q412</f>
        <v>1822.68</v>
      </c>
      <c r="Q412" s="55">
        <f>ROUND(('Order Details'!$O412*1000)/((VLOOKUP($I412,'Pricing Table - eff 27-Jan-2026'!$A:$Q,7,FALSE)/12)*(VLOOKUP($I412,'Pricing Table - eff 27-Jan-2026'!$A:$Q,9,FALSE)/12))/5,0)*5</f>
        <v>600</v>
      </c>
      <c r="R412" s="71">
        <f>$Q412/IFERROR(VLOOKUP($F412&amp;RIGHT($K412,8),'Master Data'!$O$5:$P$10,2,FALSE),'Master Data'!$P$4)</f>
        <v>3</v>
      </c>
      <c r="S412" s="57">
        <f>VLOOKUP($I412,'Pricing Table - eff 27-Jan-2026'!$A:$Q,16,FALSE)</f>
        <v>720</v>
      </c>
      <c r="T412" s="57">
        <f>VLOOKUP(I412,'Pricing Table - eff 27-Jan-2026'!$A:$O,15,FALSE)</f>
        <v>7.73</v>
      </c>
      <c r="U412" s="57">
        <f t="shared" si="18"/>
        <v>14112.000000000002</v>
      </c>
      <c r="V412" s="111">
        <f t="shared" si="20"/>
        <v>14089.316400000002</v>
      </c>
      <c r="W412" s="55">
        <f>VLOOKUP($I412,'Pricing Table - eff 27-Jan-2026'!$A:$R,18,FALSE)</f>
        <v>45</v>
      </c>
    </row>
    <row r="413" spans="1:23" ht="15" hidden="1" thickTop="1" x14ac:dyDescent="0.3">
      <c r="A413" s="55">
        <v>24190757</v>
      </c>
      <c r="B413" s="55">
        <v>0</v>
      </c>
      <c r="C413" s="55" t="str">
        <f>VLOOKUP(A413&amp;"-"&amp;B413,'Order Summary'!$D:$E,2,FALSE)</f>
        <v>PO Revised</v>
      </c>
      <c r="D413" s="216">
        <f>IF($A413="","",VLOOKUP($A413&amp;"-"&amp;$B413,'Order Summary'!$D:$U,3,FALSE))</f>
        <v>46063</v>
      </c>
      <c r="E413" s="55" t="str">
        <f>VLOOKUP(A413&amp;"-"&amp;B413,'Order Summary'!$D:$G,4,FALSE)</f>
        <v>No</v>
      </c>
      <c r="F413" s="55" t="str">
        <f>VLOOKUP($A413,'Order Summary'!$B:$I,8,FALSE)</f>
        <v>Ashburn, GA</v>
      </c>
      <c r="G413" s="216">
        <f>IF($A413="","",VLOOKUP($A413&amp;"-"&amp;$B413,'Order Summary'!$D:$U,18,FALSE))</f>
        <v>46181</v>
      </c>
      <c r="H413" s="55">
        <v>4</v>
      </c>
      <c r="I413" s="55">
        <v>694440</v>
      </c>
      <c r="J413" s="55" t="str">
        <f>VLOOKUP($I413,'Pricing Table - eff 27-Jan-2026'!$A:$R,2,FALSE)</f>
        <v>G1S 694440</v>
      </c>
      <c r="K413" s="55" t="str">
        <f>VLOOKUP($I413,'Pricing Table - eff 27-Jan-2026'!$A:$R,6,FALSE)&amp;" "&amp;VLOOKUP($I413,'Pricing Table - eff 27-Jan-2026'!$A:$R,7,FALSE)&amp;""" x "&amp;VLOOKUP($I413,'Pricing Table - eff 27-Jan-2026'!$A:$R,9,FALSE)&amp;""" "&amp;VLOOKUP($I413,'Pricing Table - eff 27-Jan-2026'!$A:$R,5,FALSE)</f>
        <v>2MM 49" x 96" ACP</v>
      </c>
      <c r="L413" s="55">
        <f>VLOOKUP($I413,'Pricing Table - eff 27-Jan-2026'!$A:$K,8,FALSE)</f>
        <v>1245</v>
      </c>
      <c r="M413" s="55">
        <f>VLOOKUP($I413,'Pricing Table - eff 27-Jan-2026'!$A:$K,10,FALSE)</f>
        <v>2440</v>
      </c>
      <c r="N413" s="55" t="str">
        <f>VLOOKUP($I413,'Pricing Table - eff 27-Jan-2026'!$A:$R,13,FALSE)&amp;" "&amp;VLOOKUP($I413,'Pricing Table - eff 27-Jan-2026'!$A:$R,12,FALSE)</f>
        <v>AMC 0103 SILVER FROST</v>
      </c>
      <c r="O413" s="56">
        <v>6.5330000000000004</v>
      </c>
      <c r="P413" s="55">
        <f>(VLOOKUP($I413,'Pricing Table - eff 27-Jan-2026'!$A:$R,8,FALSE)/1000)*(VLOOKUP($I413,'Pricing Table - eff 27-Jan-2026'!$A:$R,10,FALSE)/1000)*Q413</f>
        <v>607.56000000000006</v>
      </c>
      <c r="Q413" s="55">
        <f>ROUND(('Order Details'!$O413*1000)/((VLOOKUP($I413,'Pricing Table - eff 27-Jan-2026'!$A:$Q,7,FALSE)/12)*(VLOOKUP($I413,'Pricing Table - eff 27-Jan-2026'!$A:$Q,9,FALSE)/12))/5,0)*5</f>
        <v>200</v>
      </c>
      <c r="R413" s="71">
        <f>$Q413/IFERROR(VLOOKUP($F413&amp;RIGHT($K413,8),'Master Data'!$O$5:$P$10,2,FALSE),'Master Data'!$P$4)</f>
        <v>1</v>
      </c>
      <c r="S413" s="57">
        <f>VLOOKUP($I413,'Pricing Table - eff 27-Jan-2026'!$A:$Q,16,FALSE)</f>
        <v>720</v>
      </c>
      <c r="T413" s="57">
        <f>VLOOKUP(I413,'Pricing Table - eff 27-Jan-2026'!$A:$O,15,FALSE)</f>
        <v>7.73</v>
      </c>
      <c r="U413" s="57">
        <f t="shared" si="18"/>
        <v>4703.76</v>
      </c>
      <c r="V413" s="111">
        <f t="shared" si="20"/>
        <v>4696.4388000000008</v>
      </c>
      <c r="W413" s="55">
        <f>VLOOKUP($I413,'Pricing Table - eff 27-Jan-2026'!$A:$R,18,FALSE)</f>
        <v>90</v>
      </c>
    </row>
    <row r="414" spans="1:23" ht="15" hidden="1" thickTop="1" x14ac:dyDescent="0.3">
      <c r="A414" s="55">
        <v>24190763</v>
      </c>
      <c r="B414" s="55">
        <v>0</v>
      </c>
      <c r="C414" s="55" t="str">
        <f>VLOOKUP(A414&amp;"-"&amp;B414,'Order Summary'!$D:$E,2,FALSE)</f>
        <v>Downpayment Received</v>
      </c>
      <c r="D414" s="216">
        <f>IF($A414="","",VLOOKUP($A414&amp;"-"&amp;$B414,'Order Summary'!$D:$U,3,FALSE))</f>
        <v>46063</v>
      </c>
      <c r="E414" s="55" t="str">
        <f>VLOOKUP(A414&amp;"-"&amp;B414,'Order Summary'!$D:$G,4,FALSE)</f>
        <v>Yes</v>
      </c>
      <c r="F414" s="55" t="str">
        <f>VLOOKUP($A414,'Order Summary'!$B:$I,8,FALSE)</f>
        <v>Ashburn, GA</v>
      </c>
      <c r="G414" s="216">
        <f>IF($A414="","",VLOOKUP($A414&amp;"-"&amp;$B414,'Order Summary'!$D:$U,18,FALSE))</f>
        <v>46271</v>
      </c>
      <c r="H414" s="55">
        <v>1</v>
      </c>
      <c r="I414" s="55">
        <v>714953</v>
      </c>
      <c r="J414" s="55" t="str">
        <f>VLOOKUP($I414,'Pricing Table - eff 27-Jan-2026'!$A:$R,2,FALSE)</f>
        <v>G1S 714953</v>
      </c>
      <c r="K414" s="55" t="str">
        <f>VLOOKUP($I414,'Pricing Table - eff 27-Jan-2026'!$A:$R,6,FALSE)&amp;" "&amp;VLOOKUP($I414,'Pricing Table - eff 27-Jan-2026'!$A:$R,7,FALSE)&amp;""" x "&amp;VLOOKUP($I414,'Pricing Table - eff 27-Jan-2026'!$A:$R,9,FALSE)&amp;""" "&amp;VLOOKUP($I414,'Pricing Table - eff 27-Jan-2026'!$A:$R,5,FALSE)</f>
        <v>2MM 49" x 84" ACP</v>
      </c>
      <c r="L414" s="55">
        <f>VLOOKUP($I414,'Pricing Table - eff 27-Jan-2026'!$A:$K,8,FALSE)</f>
        <v>1245</v>
      </c>
      <c r="M414" s="55">
        <f>VLOOKUP($I414,'Pricing Table - eff 27-Jan-2026'!$A:$K,10,FALSE)</f>
        <v>2135</v>
      </c>
      <c r="N414" s="55" t="str">
        <f>VLOOKUP($I414,'Pricing Table - eff 27-Jan-2026'!$A:$R,13,FALSE)&amp;" "&amp;VLOOKUP($I414,'Pricing Table - eff 27-Jan-2026'!$A:$R,12,FALSE)</f>
        <v>AMC 0086 CHARCOAL METALLIC</v>
      </c>
      <c r="O414" s="56">
        <v>11.433</v>
      </c>
      <c r="P414" s="55">
        <f>(VLOOKUP($I414,'Pricing Table - eff 27-Jan-2026'!$A:$R,8,FALSE)/1000)*(VLOOKUP($I414,'Pricing Table - eff 27-Jan-2026'!$A:$R,10,FALSE)/1000)*Q414</f>
        <v>1063.2299999999998</v>
      </c>
      <c r="Q414" s="55">
        <f>ROUND(('Order Details'!$O414*1000)/((VLOOKUP($I414,'Pricing Table - eff 27-Jan-2026'!$A:$Q,7,FALSE)/12)*(VLOOKUP($I414,'Pricing Table - eff 27-Jan-2026'!$A:$Q,9,FALSE)/12))/5,0)*5</f>
        <v>400</v>
      </c>
      <c r="R414" s="71">
        <f>$Q414/IFERROR(VLOOKUP($F414&amp;RIGHT($K414,8),'Master Data'!$O$5:$P$10,2,FALSE),'Master Data'!$P$4)</f>
        <v>2</v>
      </c>
      <c r="S414" s="57">
        <f>VLOOKUP($I414,'Pricing Table - eff 27-Jan-2026'!$A:$Q,16,FALSE)</f>
        <v>770</v>
      </c>
      <c r="T414" s="57">
        <f>VLOOKUP(I414,'Pricing Table - eff 27-Jan-2026'!$A:$O,15,FALSE)</f>
        <v>8.27</v>
      </c>
      <c r="U414" s="57">
        <f t="shared" si="18"/>
        <v>8803.41</v>
      </c>
      <c r="V414" s="111">
        <f t="shared" si="20"/>
        <v>8792.9120999999977</v>
      </c>
      <c r="W414" s="55">
        <f>VLOOKUP($I414,'Pricing Table - eff 27-Jan-2026'!$A:$R,18,FALSE)</f>
        <v>45</v>
      </c>
    </row>
    <row r="415" spans="1:23" ht="15" hidden="1" thickTop="1" x14ac:dyDescent="0.3">
      <c r="A415" s="55">
        <v>24190763</v>
      </c>
      <c r="B415" s="55">
        <v>0</v>
      </c>
      <c r="C415" s="55" t="str">
        <f>VLOOKUP(A415&amp;"-"&amp;B415,'Order Summary'!$D:$E,2,FALSE)</f>
        <v>Downpayment Received</v>
      </c>
      <c r="D415" s="216">
        <f>IF($A415="","",VLOOKUP($A415&amp;"-"&amp;$B415,'Order Summary'!$D:$U,3,FALSE))</f>
        <v>46063</v>
      </c>
      <c r="E415" s="55" t="str">
        <f>VLOOKUP(A415&amp;"-"&amp;B415,'Order Summary'!$D:$G,4,FALSE)</f>
        <v>Yes</v>
      </c>
      <c r="F415" s="55" t="str">
        <f>VLOOKUP($A415,'Order Summary'!$B:$I,8,FALSE)</f>
        <v>Ashburn, GA</v>
      </c>
      <c r="G415" s="216">
        <f>IF($A415="","",VLOOKUP($A415&amp;"-"&amp;$B415,'Order Summary'!$D:$U,18,FALSE))</f>
        <v>46271</v>
      </c>
      <c r="H415" s="55">
        <v>2</v>
      </c>
      <c r="I415" s="55">
        <v>709356</v>
      </c>
      <c r="J415" s="55" t="str">
        <f>VLOOKUP($I415,'Pricing Table - eff 27-Jan-2026'!$A:$R,2,FALSE)</f>
        <v>G1S 709356</v>
      </c>
      <c r="K415" s="55" t="str">
        <f>VLOOKUP($I415,'Pricing Table - eff 27-Jan-2026'!$A:$R,6,FALSE)&amp;" "&amp;VLOOKUP($I415,'Pricing Table - eff 27-Jan-2026'!$A:$R,7,FALSE)&amp;""" x "&amp;VLOOKUP($I415,'Pricing Table - eff 27-Jan-2026'!$A:$R,9,FALSE)&amp;""" "&amp;VLOOKUP($I415,'Pricing Table - eff 27-Jan-2026'!$A:$R,5,FALSE)</f>
        <v>2MM 49" x 90.5" ACP</v>
      </c>
      <c r="L415" s="55">
        <f>VLOOKUP($I415,'Pricing Table - eff 27-Jan-2026'!$A:$K,8,FALSE)</f>
        <v>1245</v>
      </c>
      <c r="M415" s="55">
        <f>VLOOKUP($I415,'Pricing Table - eff 27-Jan-2026'!$A:$K,10,FALSE)</f>
        <v>2300</v>
      </c>
      <c r="N415" s="55" t="str">
        <f>VLOOKUP($I415,'Pricing Table - eff 27-Jan-2026'!$A:$R,13,FALSE)&amp;" "&amp;VLOOKUP($I415,'Pricing Table - eff 27-Jan-2026'!$A:$R,12,FALSE)</f>
        <v>AMC 0086 CHARCOAL METALLIC</v>
      </c>
      <c r="O415" s="56">
        <v>24.635999999999999</v>
      </c>
      <c r="P415" s="55">
        <f>(VLOOKUP($I415,'Pricing Table - eff 27-Jan-2026'!$A:$R,8,FALSE)/1000)*(VLOOKUP($I415,'Pricing Table - eff 27-Jan-2026'!$A:$R,10,FALSE)/1000)*Q415</f>
        <v>2290.8000000000002</v>
      </c>
      <c r="Q415" s="55">
        <f>ROUND(('Order Details'!$O415*1000)/((VLOOKUP($I415,'Pricing Table - eff 27-Jan-2026'!$A:$Q,7,FALSE)/12)*(VLOOKUP($I415,'Pricing Table - eff 27-Jan-2026'!$A:$Q,9,FALSE)/12))/5,0)*5</f>
        <v>800</v>
      </c>
      <c r="R415" s="71">
        <f>$Q415/IFERROR(VLOOKUP($F415&amp;RIGHT($K415,8),'Master Data'!$O$5:$P$10,2,FALSE),'Master Data'!$P$4)</f>
        <v>4</v>
      </c>
      <c r="S415" s="57">
        <f>VLOOKUP($I415,'Pricing Table - eff 27-Jan-2026'!$A:$Q,16,FALSE)</f>
        <v>770</v>
      </c>
      <c r="T415" s="57">
        <f>VLOOKUP(I415,'Pricing Table - eff 27-Jan-2026'!$A:$O,15,FALSE)</f>
        <v>8.27</v>
      </c>
      <c r="U415" s="57">
        <f t="shared" si="18"/>
        <v>18969.72</v>
      </c>
      <c r="V415" s="111">
        <f t="shared" si="20"/>
        <v>18944.916000000001</v>
      </c>
      <c r="W415" s="55">
        <f>VLOOKUP($I415,'Pricing Table - eff 27-Jan-2026'!$A:$R,18,FALSE)</f>
        <v>45</v>
      </c>
    </row>
    <row r="416" spans="1:23" ht="15" hidden="1" thickTop="1" x14ac:dyDescent="0.3">
      <c r="A416" s="55">
        <v>24190763</v>
      </c>
      <c r="B416" s="55">
        <v>0</v>
      </c>
      <c r="C416" s="55" t="str">
        <f>VLOOKUP(A416&amp;"-"&amp;B416,'Order Summary'!$D:$E,2,FALSE)</f>
        <v>Downpayment Received</v>
      </c>
      <c r="D416" s="216">
        <f>IF($A416="","",VLOOKUP($A416&amp;"-"&amp;$B416,'Order Summary'!$D:$U,3,FALSE))</f>
        <v>46063</v>
      </c>
      <c r="E416" s="55" t="str">
        <f>VLOOKUP(A416&amp;"-"&amp;B416,'Order Summary'!$D:$G,4,FALSE)</f>
        <v>Yes</v>
      </c>
      <c r="F416" s="55" t="str">
        <f>VLOOKUP($A416,'Order Summary'!$B:$I,8,FALSE)</f>
        <v>Ashburn, GA</v>
      </c>
      <c r="G416" s="216">
        <f>IF($A416="","",VLOOKUP($A416&amp;"-"&amp;$B416,'Order Summary'!$D:$U,18,FALSE))</f>
        <v>46271</v>
      </c>
      <c r="H416" s="55">
        <v>3</v>
      </c>
      <c r="I416" s="55">
        <v>694444</v>
      </c>
      <c r="J416" s="55" t="str">
        <f>VLOOKUP($I416,'Pricing Table - eff 27-Jan-2026'!$A:$R,2,FALSE)</f>
        <v>G1S 694444</v>
      </c>
      <c r="K416" s="55" t="str">
        <f>VLOOKUP($I416,'Pricing Table - eff 27-Jan-2026'!$A:$R,6,FALSE)&amp;" "&amp;VLOOKUP($I416,'Pricing Table - eff 27-Jan-2026'!$A:$R,7,FALSE)&amp;""" x "&amp;VLOOKUP($I416,'Pricing Table - eff 27-Jan-2026'!$A:$R,9,FALSE)&amp;""" "&amp;VLOOKUP($I416,'Pricing Table - eff 27-Jan-2026'!$A:$R,5,FALSE)</f>
        <v>2MM 49" x 96" ACP</v>
      </c>
      <c r="L416" s="55">
        <f>VLOOKUP($I416,'Pricing Table - eff 27-Jan-2026'!$A:$K,8,FALSE)</f>
        <v>1245</v>
      </c>
      <c r="M416" s="55">
        <f>VLOOKUP($I416,'Pricing Table - eff 27-Jan-2026'!$A:$K,10,FALSE)</f>
        <v>2440</v>
      </c>
      <c r="N416" s="55" t="str">
        <f>VLOOKUP($I416,'Pricing Table - eff 27-Jan-2026'!$A:$R,13,FALSE)&amp;" "&amp;VLOOKUP($I416,'Pricing Table - eff 27-Jan-2026'!$A:$R,12,FALSE)</f>
        <v>AMC 0086 CHARCOAL METALLIC</v>
      </c>
      <c r="O416" s="56">
        <v>6.5330000000000004</v>
      </c>
      <c r="P416" s="55">
        <f>(VLOOKUP($I416,'Pricing Table - eff 27-Jan-2026'!$A:$R,8,FALSE)/1000)*(VLOOKUP($I416,'Pricing Table - eff 27-Jan-2026'!$A:$R,10,FALSE)/1000)*Q416</f>
        <v>607.56000000000006</v>
      </c>
      <c r="Q416" s="55">
        <f>ROUND(('Order Details'!$O416*1000)/((VLOOKUP($I416,'Pricing Table - eff 27-Jan-2026'!$A:$Q,7,FALSE)/12)*(VLOOKUP($I416,'Pricing Table - eff 27-Jan-2026'!$A:$Q,9,FALSE)/12))/5,0)*5</f>
        <v>200</v>
      </c>
      <c r="R416" s="71">
        <f>$Q416/IFERROR(VLOOKUP($F416&amp;RIGHT($K416,8),'Master Data'!$O$5:$P$10,2,FALSE),'Master Data'!$P$4)</f>
        <v>1</v>
      </c>
      <c r="S416" s="57">
        <f>VLOOKUP($I416,'Pricing Table - eff 27-Jan-2026'!$A:$Q,16,FALSE)</f>
        <v>770</v>
      </c>
      <c r="T416" s="57">
        <f>VLOOKUP(I416,'Pricing Table - eff 27-Jan-2026'!$A:$O,15,FALSE)</f>
        <v>8.27</v>
      </c>
      <c r="U416" s="57">
        <f>O416*S416</f>
        <v>5030.41</v>
      </c>
      <c r="V416" s="111">
        <f t="shared" si="20"/>
        <v>5024.5212000000001</v>
      </c>
      <c r="W416" s="55">
        <f>VLOOKUP($I416,'Pricing Table - eff 27-Jan-2026'!$A:$R,18,FALSE)</f>
        <v>45</v>
      </c>
    </row>
    <row r="417" spans="1:23" ht="15" hidden="1" thickTop="1" x14ac:dyDescent="0.3">
      <c r="A417" s="55">
        <v>24190763</v>
      </c>
      <c r="B417" s="55">
        <v>0</v>
      </c>
      <c r="C417" s="55" t="str">
        <f>VLOOKUP(A417&amp;"-"&amp;B417,'Order Summary'!$D:$E,2,FALSE)</f>
        <v>Downpayment Received</v>
      </c>
      <c r="D417" s="216">
        <f>IF($A417="","",VLOOKUP($A417&amp;"-"&amp;$B417,'Order Summary'!$D:$U,3,FALSE))</f>
        <v>46063</v>
      </c>
      <c r="E417" s="55" t="str">
        <f>VLOOKUP(A417&amp;"-"&amp;B417,'Order Summary'!$D:$G,4,FALSE)</f>
        <v>Yes</v>
      </c>
      <c r="F417" s="55" t="str">
        <f>VLOOKUP($A417,'Order Summary'!$B:$I,8,FALSE)</f>
        <v>Ashburn, GA</v>
      </c>
      <c r="G417" s="216">
        <f>IF($A417="","",VLOOKUP($A417&amp;"-"&amp;$B417,'Order Summary'!$D:$U,18,FALSE))</f>
        <v>46271</v>
      </c>
      <c r="H417" s="55">
        <v>4</v>
      </c>
      <c r="I417" s="55">
        <v>714952</v>
      </c>
      <c r="J417" s="55" t="str">
        <f>VLOOKUP($I417,'Pricing Table - eff 27-Jan-2026'!$A:$R,2,FALSE)</f>
        <v>G1S 714952</v>
      </c>
      <c r="K417" s="55" t="str">
        <f>VLOOKUP($I417,'Pricing Table - eff 27-Jan-2026'!$A:$R,6,FALSE)&amp;" "&amp;VLOOKUP($I417,'Pricing Table - eff 27-Jan-2026'!$A:$R,7,FALSE)&amp;""" x "&amp;VLOOKUP($I417,'Pricing Table - eff 27-Jan-2026'!$A:$R,9,FALSE)&amp;""" "&amp;VLOOKUP($I417,'Pricing Table - eff 27-Jan-2026'!$A:$R,5,FALSE)</f>
        <v>2MM 49" x 84" ACP</v>
      </c>
      <c r="L417" s="55">
        <f>VLOOKUP($I417,'Pricing Table - eff 27-Jan-2026'!$A:$K,8,FALSE)</f>
        <v>1245</v>
      </c>
      <c r="M417" s="55">
        <f>VLOOKUP($I417,'Pricing Table - eff 27-Jan-2026'!$A:$K,10,FALSE)</f>
        <v>2135</v>
      </c>
      <c r="N417" s="55" t="str">
        <f>VLOOKUP($I417,'Pricing Table - eff 27-Jan-2026'!$A:$R,13,FALSE)&amp;" "&amp;VLOOKUP($I417,'Pricing Table - eff 27-Jan-2026'!$A:$R,12,FALSE)</f>
        <v>AMC 0103 SILVER FROST</v>
      </c>
      <c r="O417" s="56">
        <v>11.433</v>
      </c>
      <c r="P417" s="55">
        <f>(VLOOKUP($I417,'Pricing Table - eff 27-Jan-2026'!$A:$R,8,FALSE)/1000)*(VLOOKUP($I417,'Pricing Table - eff 27-Jan-2026'!$A:$R,10,FALSE)/1000)*Q417</f>
        <v>1063.2299999999998</v>
      </c>
      <c r="Q417" s="55">
        <f>ROUND(('Order Details'!$O417*1000)/((VLOOKUP($I417,'Pricing Table - eff 27-Jan-2026'!$A:$Q,7,FALSE)/12)*(VLOOKUP($I417,'Pricing Table - eff 27-Jan-2026'!$A:$Q,9,FALSE)/12))/5,0)*5</f>
        <v>400</v>
      </c>
      <c r="R417" s="71">
        <f>$Q417/IFERROR(VLOOKUP($F417&amp;RIGHT($K417,8),'Master Data'!$O$5:$P$10,2,FALSE),'Master Data'!$P$4)</f>
        <v>2</v>
      </c>
      <c r="S417" s="57">
        <f>VLOOKUP($I417,'Pricing Table - eff 27-Jan-2026'!$A:$Q,16,FALSE)</f>
        <v>720</v>
      </c>
      <c r="T417" s="57">
        <f>VLOOKUP(I417,'Pricing Table - eff 27-Jan-2026'!$A:$O,15,FALSE)</f>
        <v>7.73</v>
      </c>
      <c r="U417" s="57">
        <f>O417*S417</f>
        <v>8231.76</v>
      </c>
      <c r="V417" s="111">
        <f t="shared" si="20"/>
        <v>8218.7678999999989</v>
      </c>
      <c r="W417" s="55">
        <f>VLOOKUP($I417,'Pricing Table - eff 27-Jan-2026'!$A:$R,18,FALSE)</f>
        <v>90</v>
      </c>
    </row>
    <row r="418" spans="1:23" ht="15" hidden="1" thickTop="1" x14ac:dyDescent="0.3">
      <c r="A418" s="55">
        <v>24190763</v>
      </c>
      <c r="B418" s="55">
        <v>0</v>
      </c>
      <c r="C418" s="55" t="str">
        <f>VLOOKUP(A418&amp;"-"&amp;B418,'Order Summary'!$D:$E,2,FALSE)</f>
        <v>Downpayment Received</v>
      </c>
      <c r="D418" s="216">
        <f>IF($A418="","",VLOOKUP($A418&amp;"-"&amp;$B418,'Order Summary'!$D:$U,3,FALSE))</f>
        <v>46063</v>
      </c>
      <c r="E418" s="55" t="str">
        <f>VLOOKUP(A418&amp;"-"&amp;B418,'Order Summary'!$D:$G,4,FALSE)</f>
        <v>Yes</v>
      </c>
      <c r="F418" s="55" t="str">
        <f>VLOOKUP($A418,'Order Summary'!$B:$I,8,FALSE)</f>
        <v>Ashburn, GA</v>
      </c>
      <c r="G418" s="216">
        <f>IF($A418="","",VLOOKUP($A418&amp;"-"&amp;$B418,'Order Summary'!$D:$U,18,FALSE))</f>
        <v>46271</v>
      </c>
      <c r="H418" s="55">
        <v>5</v>
      </c>
      <c r="I418" s="55">
        <v>709525</v>
      </c>
      <c r="J418" s="55" t="str">
        <f>VLOOKUP($I418,'Pricing Table - eff 27-Jan-2026'!$A:$R,2,FALSE)</f>
        <v>G1S 709525</v>
      </c>
      <c r="K418" s="55" t="str">
        <f>VLOOKUP($I418,'Pricing Table - eff 27-Jan-2026'!$A:$R,6,FALSE)&amp;" "&amp;VLOOKUP($I418,'Pricing Table - eff 27-Jan-2026'!$A:$R,7,FALSE)&amp;""" x "&amp;VLOOKUP($I418,'Pricing Table - eff 27-Jan-2026'!$A:$R,9,FALSE)&amp;""" "&amp;VLOOKUP($I418,'Pricing Table - eff 27-Jan-2026'!$A:$R,5,FALSE)</f>
        <v>2MM 49" x 90.5" ACP</v>
      </c>
      <c r="L418" s="55">
        <f>VLOOKUP($I418,'Pricing Table - eff 27-Jan-2026'!$A:$K,8,FALSE)</f>
        <v>1245</v>
      </c>
      <c r="M418" s="55">
        <f>VLOOKUP($I418,'Pricing Table - eff 27-Jan-2026'!$A:$K,10,FALSE)</f>
        <v>2300</v>
      </c>
      <c r="N418" s="55" t="str">
        <f>VLOOKUP($I418,'Pricing Table - eff 27-Jan-2026'!$A:$R,13,FALSE)&amp;" "&amp;VLOOKUP($I418,'Pricing Table - eff 27-Jan-2026'!$A:$R,12,FALSE)</f>
        <v>AMC 0103 SILVER FROST</v>
      </c>
      <c r="O418" s="56">
        <v>18.477</v>
      </c>
      <c r="P418" s="55">
        <f>(VLOOKUP($I418,'Pricing Table - eff 27-Jan-2026'!$A:$R,8,FALSE)/1000)*(VLOOKUP($I418,'Pricing Table - eff 27-Jan-2026'!$A:$R,10,FALSE)/1000)*Q418</f>
        <v>1718.1000000000001</v>
      </c>
      <c r="Q418" s="55">
        <f>ROUND(('Order Details'!$O418*1000)/((VLOOKUP($I418,'Pricing Table - eff 27-Jan-2026'!$A:$Q,7,FALSE)/12)*(VLOOKUP($I418,'Pricing Table - eff 27-Jan-2026'!$A:$Q,9,FALSE)/12))/5,0)*5</f>
        <v>600</v>
      </c>
      <c r="R418" s="71">
        <f>$Q418/IFERROR(VLOOKUP($F418&amp;RIGHT($K418,8),'Master Data'!$O$5:$P$10,2,FALSE),'Master Data'!$P$4)</f>
        <v>3</v>
      </c>
      <c r="S418" s="57">
        <f>VLOOKUP($I418,'Pricing Table - eff 27-Jan-2026'!$A:$Q,16,FALSE)</f>
        <v>720</v>
      </c>
      <c r="T418" s="57">
        <f>VLOOKUP(I418,'Pricing Table - eff 27-Jan-2026'!$A:$O,15,FALSE)</f>
        <v>7.73</v>
      </c>
      <c r="U418" s="57">
        <f t="shared" si="18"/>
        <v>13303.44</v>
      </c>
      <c r="V418" s="111">
        <f t="shared" si="20"/>
        <v>13280.913000000002</v>
      </c>
      <c r="W418" s="55">
        <f>VLOOKUP($I418,'Pricing Table - eff 27-Jan-2026'!$A:$R,18,FALSE)</f>
        <v>90</v>
      </c>
    </row>
    <row r="419" spans="1:23" ht="15" hidden="1" thickTop="1" x14ac:dyDescent="0.3">
      <c r="A419" s="55">
        <v>24190763</v>
      </c>
      <c r="B419" s="55">
        <v>0</v>
      </c>
      <c r="C419" s="55" t="str">
        <f>VLOOKUP(A419&amp;"-"&amp;B419,'Order Summary'!$D:$E,2,FALSE)</f>
        <v>Downpayment Received</v>
      </c>
      <c r="D419" s="216">
        <f>IF($A419="","",VLOOKUP($A419&amp;"-"&amp;$B419,'Order Summary'!$D:$U,3,FALSE))</f>
        <v>46063</v>
      </c>
      <c r="E419" s="55" t="str">
        <f>VLOOKUP(A419&amp;"-"&amp;B419,'Order Summary'!$D:$G,4,FALSE)</f>
        <v>Yes</v>
      </c>
      <c r="F419" s="55" t="str">
        <f>VLOOKUP($A419,'Order Summary'!$B:$I,8,FALSE)</f>
        <v>Ashburn, GA</v>
      </c>
      <c r="G419" s="216">
        <f>IF($A419="","",VLOOKUP($A419&amp;"-"&amp;$B419,'Order Summary'!$D:$U,18,FALSE))</f>
        <v>46271</v>
      </c>
      <c r="H419" s="55">
        <v>6</v>
      </c>
      <c r="I419" s="55">
        <v>694440</v>
      </c>
      <c r="J419" s="55" t="str">
        <f>VLOOKUP($I419,'Pricing Table - eff 27-Jan-2026'!$A:$R,2,FALSE)</f>
        <v>G1S 694440</v>
      </c>
      <c r="K419" s="55" t="str">
        <f>VLOOKUP($I419,'Pricing Table - eff 27-Jan-2026'!$A:$R,6,FALSE)&amp;" "&amp;VLOOKUP($I419,'Pricing Table - eff 27-Jan-2026'!$A:$R,7,FALSE)&amp;""" x "&amp;VLOOKUP($I419,'Pricing Table - eff 27-Jan-2026'!$A:$R,9,FALSE)&amp;""" "&amp;VLOOKUP($I419,'Pricing Table - eff 27-Jan-2026'!$A:$R,5,FALSE)</f>
        <v>2MM 49" x 96" ACP</v>
      </c>
      <c r="L419" s="55">
        <f>VLOOKUP($I419,'Pricing Table - eff 27-Jan-2026'!$A:$K,8,FALSE)</f>
        <v>1245</v>
      </c>
      <c r="M419" s="55">
        <f>VLOOKUP($I419,'Pricing Table - eff 27-Jan-2026'!$A:$K,10,FALSE)</f>
        <v>2440</v>
      </c>
      <c r="N419" s="55" t="str">
        <f>VLOOKUP($I419,'Pricing Table - eff 27-Jan-2026'!$A:$R,13,FALSE)&amp;" "&amp;VLOOKUP($I419,'Pricing Table - eff 27-Jan-2026'!$A:$R,12,FALSE)</f>
        <v>AMC 0103 SILVER FROST</v>
      </c>
      <c r="O419" s="56">
        <v>6.5330000000000004</v>
      </c>
      <c r="P419" s="55">
        <f>(VLOOKUP($I419,'Pricing Table - eff 27-Jan-2026'!$A:$R,8,FALSE)/1000)*(VLOOKUP($I419,'Pricing Table - eff 27-Jan-2026'!$A:$R,10,FALSE)/1000)*Q419</f>
        <v>607.56000000000006</v>
      </c>
      <c r="Q419" s="55">
        <f>ROUND(('Order Details'!$O419*1000)/((VLOOKUP($I419,'Pricing Table - eff 27-Jan-2026'!$A:$Q,7,FALSE)/12)*(VLOOKUP($I419,'Pricing Table - eff 27-Jan-2026'!$A:$Q,9,FALSE)/12))/5,0)*5</f>
        <v>200</v>
      </c>
      <c r="R419" s="71">
        <f>$Q419/IFERROR(VLOOKUP($F419&amp;RIGHT($K419,8),'Master Data'!$O$5:$P$10,2,FALSE),'Master Data'!$P$4)</f>
        <v>1</v>
      </c>
      <c r="S419" s="57">
        <f>VLOOKUP($I419,'Pricing Table - eff 27-Jan-2026'!$A:$Q,16,FALSE)</f>
        <v>720</v>
      </c>
      <c r="T419" s="57">
        <f>VLOOKUP(I419,'Pricing Table - eff 27-Jan-2026'!$A:$O,15,FALSE)</f>
        <v>7.73</v>
      </c>
      <c r="U419" s="57">
        <f t="shared" si="18"/>
        <v>4703.76</v>
      </c>
      <c r="V419" s="111">
        <f t="shared" si="20"/>
        <v>4696.4388000000008</v>
      </c>
      <c r="W419" s="55">
        <f>VLOOKUP($I419,'Pricing Table - eff 27-Jan-2026'!$A:$R,18,FALSE)</f>
        <v>90</v>
      </c>
    </row>
    <row r="420" spans="1:23" ht="15" hidden="1" thickTop="1" x14ac:dyDescent="0.3">
      <c r="A420" s="55">
        <v>52998960</v>
      </c>
      <c r="B420" s="55">
        <v>0</v>
      </c>
      <c r="C420" s="55" t="str">
        <f>VLOOKUP(A420&amp;"-"&amp;B420,'Order Summary'!$D:$E,2,FALSE)</f>
        <v>Downpayment Received</v>
      </c>
      <c r="D420" s="216">
        <f>IF($A420="","",VLOOKUP($A420&amp;"-"&amp;$B420,'Order Summary'!$D:$U,3,FALSE))</f>
        <v>46063</v>
      </c>
      <c r="E420" s="55" t="str">
        <f>VLOOKUP(A420&amp;"-"&amp;B420,'Order Summary'!$D:$G,4,FALSE)</f>
        <v>Yes</v>
      </c>
      <c r="F420" s="55" t="str">
        <f>VLOOKUP($A420,'Order Summary'!$B:$I,8,FALSE)</f>
        <v>Nampa, ID</v>
      </c>
      <c r="G420" s="216">
        <f>IF($A420="","",VLOOKUP($A420&amp;"-"&amp;$B420,'Order Summary'!$D:$U,18,FALSE))</f>
        <v>46291</v>
      </c>
      <c r="H420" s="55">
        <v>1</v>
      </c>
      <c r="I420" s="55">
        <v>718722</v>
      </c>
      <c r="J420" s="55" t="str">
        <f>VLOOKUP($I420,'Pricing Table - eff 27-Jan-2026'!$A:$R,2,FALSE)</f>
        <v>G1S 718722</v>
      </c>
      <c r="K420" s="55" t="str">
        <f>VLOOKUP($I420,'Pricing Table - eff 27-Jan-2026'!$A:$R,6,FALSE)&amp;" "&amp;VLOOKUP($I420,'Pricing Table - eff 27-Jan-2026'!$A:$R,7,FALSE)&amp;""" x "&amp;VLOOKUP($I420,'Pricing Table - eff 27-Jan-2026'!$A:$R,9,FALSE)&amp;""" "&amp;VLOOKUP($I420,'Pricing Table - eff 27-Jan-2026'!$A:$R,5,FALSE)</f>
        <v>2MM 49" x 90.5" ACP</v>
      </c>
      <c r="L420" s="55">
        <f>VLOOKUP($I420,'Pricing Table - eff 27-Jan-2026'!$A:$K,8,FALSE)</f>
        <v>1245</v>
      </c>
      <c r="M420" s="55">
        <f>VLOOKUP($I420,'Pricing Table - eff 27-Jan-2026'!$A:$K,10,FALSE)</f>
        <v>2300</v>
      </c>
      <c r="N420" s="55" t="str">
        <f>VLOOKUP($I420,'Pricing Table - eff 27-Jan-2026'!$A:$R,13,FALSE)&amp;" "&amp;VLOOKUP($I420,'Pricing Table - eff 27-Jan-2026'!$A:$R,12,FALSE)</f>
        <v>ASC 0164 ARMY GREEN</v>
      </c>
      <c r="O420" s="56">
        <v>18.477</v>
      </c>
      <c r="P420" s="55">
        <f>(VLOOKUP($I420,'Pricing Table - eff 27-Jan-2026'!$A:$R,8,FALSE)/1000)*(VLOOKUP($I420,'Pricing Table - eff 27-Jan-2026'!$A:$R,10,FALSE)/1000)*Q420</f>
        <v>1718.1000000000001</v>
      </c>
      <c r="Q420" s="55">
        <f>ROUND(('Order Details'!$O420*1000)/((VLOOKUP($I420,'Pricing Table - eff 27-Jan-2026'!$A:$Q,7,FALSE)/12)*(VLOOKUP($I420,'Pricing Table - eff 27-Jan-2026'!$A:$Q,9,FALSE)/12))/5,0)*5</f>
        <v>600</v>
      </c>
      <c r="R420" s="71">
        <f>$Q420/IFERROR(VLOOKUP($F420&amp;RIGHT($K420,8),'Master Data'!$O$5:$P$10,2,FALSE),'Master Data'!$P$4)</f>
        <v>3</v>
      </c>
      <c r="S420" s="57">
        <f>VLOOKUP($I420,'Pricing Table - eff 27-Jan-2026'!$A:$Q,16,FALSE)</f>
        <v>770</v>
      </c>
      <c r="T420" s="57">
        <f>VLOOKUP(I420,'Pricing Table - eff 27-Jan-2026'!$A:$O,15,FALSE)</f>
        <v>8.27</v>
      </c>
      <c r="U420" s="57">
        <f t="shared" si="18"/>
        <v>14227.29</v>
      </c>
      <c r="V420" s="111">
        <f t="shared" si="20"/>
        <v>14208.687</v>
      </c>
      <c r="W420" s="55">
        <f>VLOOKUP($I420,'Pricing Table - eff 27-Jan-2026'!$A:$R,18,FALSE)</f>
        <v>90</v>
      </c>
    </row>
    <row r="421" spans="1:23" ht="15" hidden="1" thickTop="1" x14ac:dyDescent="0.3">
      <c r="A421" s="55">
        <v>52998960</v>
      </c>
      <c r="B421" s="55">
        <v>0</v>
      </c>
      <c r="C421" s="55" t="str">
        <f>VLOOKUP(A421&amp;"-"&amp;B421,'Order Summary'!$D:$E,2,FALSE)</f>
        <v>Downpayment Received</v>
      </c>
      <c r="D421" s="216">
        <f>IF($A421="","",VLOOKUP($A421&amp;"-"&amp;$B421,'Order Summary'!$D:$U,3,FALSE))</f>
        <v>46063</v>
      </c>
      <c r="E421" s="55" t="str">
        <f>VLOOKUP(A421&amp;"-"&amp;B421,'Order Summary'!$D:$G,4,FALSE)</f>
        <v>Yes</v>
      </c>
      <c r="F421" s="55" t="str">
        <f>VLOOKUP($A421,'Order Summary'!$B:$I,8,FALSE)</f>
        <v>Nampa, ID</v>
      </c>
      <c r="G421" s="216">
        <f>IF($A421="","",VLOOKUP($A421&amp;"-"&amp;$B421,'Order Summary'!$D:$U,18,FALSE))</f>
        <v>46291</v>
      </c>
      <c r="H421" s="55">
        <v>2</v>
      </c>
      <c r="I421" s="55">
        <v>697408</v>
      </c>
      <c r="J421" s="55" t="str">
        <f>VLOOKUP($I421,'Pricing Table - eff 27-Jan-2026'!$A:$R,2,FALSE)</f>
        <v>G1S 697408</v>
      </c>
      <c r="K421" s="55" t="str">
        <f>VLOOKUP($I421,'Pricing Table - eff 27-Jan-2026'!$A:$R,6,FALSE)&amp;" "&amp;VLOOKUP($I421,'Pricing Table - eff 27-Jan-2026'!$A:$R,7,FALSE)&amp;""" x "&amp;VLOOKUP($I421,'Pricing Table - eff 27-Jan-2026'!$A:$R,9,FALSE)&amp;""" "&amp;VLOOKUP($I421,'Pricing Table - eff 27-Jan-2026'!$A:$R,5,FALSE)</f>
        <v>2MM 49" x 96" ACP</v>
      </c>
      <c r="L421" s="55">
        <f>VLOOKUP($I421,'Pricing Table - eff 27-Jan-2026'!$A:$K,8,FALSE)</f>
        <v>1245</v>
      </c>
      <c r="M421" s="55">
        <f>VLOOKUP($I421,'Pricing Table - eff 27-Jan-2026'!$A:$K,10,FALSE)</f>
        <v>2440</v>
      </c>
      <c r="N421" s="55" t="str">
        <f>VLOOKUP($I421,'Pricing Table - eff 27-Jan-2026'!$A:$R,13,FALSE)&amp;" "&amp;VLOOKUP($I421,'Pricing Table - eff 27-Jan-2026'!$A:$R,12,FALSE)</f>
        <v>ASC 0164 ARMY GREEN</v>
      </c>
      <c r="O421" s="56">
        <v>45.732999999999997</v>
      </c>
      <c r="P421" s="55">
        <f>(VLOOKUP($I421,'Pricing Table - eff 27-Jan-2026'!$A:$R,8,FALSE)/1000)*(VLOOKUP($I421,'Pricing Table - eff 27-Jan-2026'!$A:$R,10,FALSE)/1000)*Q421</f>
        <v>4252.92</v>
      </c>
      <c r="Q421" s="55">
        <f>ROUND(('Order Details'!$O421*1000)/((VLOOKUP($I421,'Pricing Table - eff 27-Jan-2026'!$A:$Q,7,FALSE)/12)*(VLOOKUP($I421,'Pricing Table - eff 27-Jan-2026'!$A:$Q,9,FALSE)/12))/5,0)*5</f>
        <v>1400</v>
      </c>
      <c r="R421" s="71">
        <f>$Q421/IFERROR(VLOOKUP($F421&amp;RIGHT($K421,8),'Master Data'!$O$5:$P$10,2,FALSE),'Master Data'!$P$4)</f>
        <v>7</v>
      </c>
      <c r="S421" s="57">
        <f>VLOOKUP($I421,'Pricing Table - eff 27-Jan-2026'!$A:$Q,16,FALSE)</f>
        <v>770</v>
      </c>
      <c r="T421" s="57">
        <f>VLOOKUP(I421,'Pricing Table - eff 27-Jan-2026'!$A:$O,15,FALSE)</f>
        <v>8.27</v>
      </c>
      <c r="U421" s="57">
        <f t="shared" si="18"/>
        <v>35214.409999999996</v>
      </c>
      <c r="V421" s="111">
        <f t="shared" si="20"/>
        <v>35171.648399999998</v>
      </c>
      <c r="W421" s="55">
        <f>VLOOKUP($I421,'Pricing Table - eff 27-Jan-2026'!$A:$R,18,FALSE)</f>
        <v>90</v>
      </c>
    </row>
    <row r="422" spans="1:23" ht="15" hidden="1" thickTop="1" x14ac:dyDescent="0.3">
      <c r="A422" s="55">
        <v>52998960</v>
      </c>
      <c r="B422" s="55">
        <v>0</v>
      </c>
      <c r="C422" s="55" t="str">
        <f>VLOOKUP(A422&amp;"-"&amp;B422,'Order Summary'!$D:$E,2,FALSE)</f>
        <v>Downpayment Received</v>
      </c>
      <c r="D422" s="216">
        <f>IF($A422="","",VLOOKUP($A422&amp;"-"&amp;$B422,'Order Summary'!$D:$U,3,FALSE))</f>
        <v>46063</v>
      </c>
      <c r="E422" s="55" t="str">
        <f>VLOOKUP(A422&amp;"-"&amp;B422,'Order Summary'!$D:$G,4,FALSE)</f>
        <v>Yes</v>
      </c>
      <c r="F422" s="55" t="str">
        <f>VLOOKUP($A422,'Order Summary'!$B:$I,8,FALSE)</f>
        <v>Nampa, ID</v>
      </c>
      <c r="G422" s="216">
        <f>IF($A422="","",VLOOKUP($A422&amp;"-"&amp;$B422,'Order Summary'!$D:$U,18,FALSE))</f>
        <v>46291</v>
      </c>
      <c r="H422" s="55">
        <v>3</v>
      </c>
      <c r="I422" s="55">
        <v>697405</v>
      </c>
      <c r="J422" s="55" t="str">
        <f>VLOOKUP($I422,'Pricing Table - eff 27-Jan-2026'!$A:$R,2,FALSE)</f>
        <v>G1S 697405</v>
      </c>
      <c r="K422" s="55" t="str">
        <f>VLOOKUP($I422,'Pricing Table - eff 27-Jan-2026'!$A:$R,6,FALSE)&amp;" "&amp;VLOOKUP($I422,'Pricing Table - eff 27-Jan-2026'!$A:$R,7,FALSE)&amp;""" x "&amp;VLOOKUP($I422,'Pricing Table - eff 27-Jan-2026'!$A:$R,9,FALSE)&amp;""" "&amp;VLOOKUP($I422,'Pricing Table - eff 27-Jan-2026'!$A:$R,5,FALSE)</f>
        <v>2MM 49" x 108" ACP</v>
      </c>
      <c r="L422" s="55">
        <f>VLOOKUP($I422,'Pricing Table - eff 27-Jan-2026'!$A:$K,8,FALSE)</f>
        <v>1245</v>
      </c>
      <c r="M422" s="55">
        <f>VLOOKUP($I422,'Pricing Table - eff 27-Jan-2026'!$A:$K,10,FALSE)</f>
        <v>2745</v>
      </c>
      <c r="N422" s="55" t="str">
        <f>VLOOKUP($I422,'Pricing Table - eff 27-Jan-2026'!$A:$R,13,FALSE)&amp;" "&amp;VLOOKUP($I422,'Pricing Table - eff 27-Jan-2026'!$A:$R,12,FALSE)</f>
        <v>ASC 0164 ARMY GREEN</v>
      </c>
      <c r="O422" s="56">
        <v>29.4</v>
      </c>
      <c r="P422" s="55">
        <f>(VLOOKUP($I422,'Pricing Table - eff 27-Jan-2026'!$A:$R,8,FALSE)/1000)*(VLOOKUP($I422,'Pricing Table - eff 27-Jan-2026'!$A:$R,10,FALSE)/1000)*Q422</f>
        <v>2734.0200000000004</v>
      </c>
      <c r="Q422" s="55">
        <f>ROUND(('Order Details'!$O422*1000)/((VLOOKUP($I422,'Pricing Table - eff 27-Jan-2026'!$A:$Q,7,FALSE)/12)*(VLOOKUP($I422,'Pricing Table - eff 27-Jan-2026'!$A:$Q,9,FALSE)/12))/5,0)*5</f>
        <v>800</v>
      </c>
      <c r="R422" s="71">
        <f>$Q422/IFERROR(VLOOKUP($F422&amp;RIGHT($K422,8),'Master Data'!$O$5:$P$10,2,FALSE),'Master Data'!$P$4)</f>
        <v>4</v>
      </c>
      <c r="S422" s="57">
        <f>VLOOKUP($I422,'Pricing Table - eff 27-Jan-2026'!$A:$Q,16,FALSE)</f>
        <v>770</v>
      </c>
      <c r="T422" s="57">
        <f>VLOOKUP(I422,'Pricing Table - eff 27-Jan-2026'!$A:$O,15,FALSE)</f>
        <v>8.27</v>
      </c>
      <c r="U422" s="57">
        <f t="shared" si="18"/>
        <v>22638</v>
      </c>
      <c r="V422" s="111">
        <f t="shared" si="20"/>
        <v>22610.345400000002</v>
      </c>
      <c r="W422" s="55">
        <f>VLOOKUP($I422,'Pricing Table - eff 27-Jan-2026'!$A:$R,18,FALSE)</f>
        <v>90</v>
      </c>
    </row>
    <row r="423" spans="1:23" ht="15" hidden="1" thickTop="1" x14ac:dyDescent="0.3">
      <c r="A423" s="55">
        <v>52999837</v>
      </c>
      <c r="B423" s="55">
        <v>0</v>
      </c>
      <c r="C423" s="55" t="str">
        <f>VLOOKUP(A423&amp;"-"&amp;B423,'Order Summary'!$D:$E,2,FALSE)</f>
        <v>Downpayment Received</v>
      </c>
      <c r="D423" s="216">
        <f>IF($A423="","",VLOOKUP($A423&amp;"-"&amp;$B423,'Order Summary'!$D:$U,3,FALSE))</f>
        <v>46063</v>
      </c>
      <c r="E423" s="55" t="str">
        <f>VLOOKUP(A423&amp;"-"&amp;B423,'Order Summary'!$D:$G,4,FALSE)</f>
        <v>Yes</v>
      </c>
      <c r="F423" s="55" t="str">
        <f>VLOOKUP($A423,'Order Summary'!$B:$I,8,FALSE)</f>
        <v>Nampa, ID</v>
      </c>
      <c r="G423" s="216">
        <f>IF($A423="","",VLOOKUP($A423&amp;"-"&amp;$B423,'Order Summary'!$D:$U,18,FALSE))</f>
        <v>46246</v>
      </c>
      <c r="H423" s="55">
        <v>1</v>
      </c>
      <c r="I423" s="55">
        <v>709355</v>
      </c>
      <c r="J423" s="55" t="str">
        <f>VLOOKUP($I423,'Pricing Table - eff 27-Jan-2026'!$A:$R,2,FALSE)</f>
        <v>G1S 709355</v>
      </c>
      <c r="K423" s="55" t="str">
        <f>VLOOKUP($I423,'Pricing Table - eff 27-Jan-2026'!$A:$R,6,FALSE)&amp;" "&amp;VLOOKUP($I423,'Pricing Table - eff 27-Jan-2026'!$A:$R,7,FALSE)&amp;""" x "&amp;VLOOKUP($I423,'Pricing Table - eff 27-Jan-2026'!$A:$R,9,FALSE)&amp;""" "&amp;VLOOKUP($I423,'Pricing Table - eff 27-Jan-2026'!$A:$R,5,FALSE)</f>
        <v>2MM 49" x 90.5" ACP</v>
      </c>
      <c r="L423" s="55">
        <f>VLOOKUP($I423,'Pricing Table - eff 27-Jan-2026'!$A:$K,8,FALSE)</f>
        <v>1245</v>
      </c>
      <c r="M423" s="55">
        <f>VLOOKUP($I423,'Pricing Table - eff 27-Jan-2026'!$A:$K,10,FALSE)</f>
        <v>2300</v>
      </c>
      <c r="N423" s="55" t="str">
        <f>VLOOKUP($I423,'Pricing Table - eff 27-Jan-2026'!$A:$R,13,FALSE)&amp;" "&amp;VLOOKUP($I423,'Pricing Table - eff 27-Jan-2026'!$A:$R,12,FALSE)</f>
        <v>ASC 0069 GLOSSY WHITE</v>
      </c>
      <c r="O423" s="56">
        <v>18.477</v>
      </c>
      <c r="P423" s="55">
        <f>(VLOOKUP($I423,'Pricing Table - eff 27-Jan-2026'!$A:$R,8,FALSE)/1000)*(VLOOKUP($I423,'Pricing Table - eff 27-Jan-2026'!$A:$R,10,FALSE)/1000)*Q423</f>
        <v>1718.1000000000001</v>
      </c>
      <c r="Q423" s="55">
        <f>ROUND(('Order Details'!$O423*1000)/((VLOOKUP($I423,'Pricing Table - eff 27-Jan-2026'!$A:$Q,7,FALSE)/12)*(VLOOKUP($I423,'Pricing Table - eff 27-Jan-2026'!$A:$Q,9,FALSE)/12))/5,0)*5</f>
        <v>600</v>
      </c>
      <c r="R423" s="71">
        <f>$Q423/IFERROR(VLOOKUP($F423&amp;RIGHT($K423,8),'Master Data'!$O$5:$P$10,2,FALSE),'Master Data'!$P$4)</f>
        <v>3</v>
      </c>
      <c r="S423" s="57">
        <f>VLOOKUP($I423,'Pricing Table - eff 27-Jan-2026'!$A:$Q,16,FALSE)</f>
        <v>720</v>
      </c>
      <c r="T423" s="57">
        <f>VLOOKUP(I423,'Pricing Table - eff 27-Jan-2026'!$A:$O,15,FALSE)</f>
        <v>7.73</v>
      </c>
      <c r="U423" s="57">
        <f t="shared" si="18"/>
        <v>13303.44</v>
      </c>
      <c r="V423" s="111">
        <f t="shared" si="20"/>
        <v>13280.913000000002</v>
      </c>
      <c r="W423" s="55">
        <f>VLOOKUP($I423,'Pricing Table - eff 27-Jan-2026'!$A:$R,18,FALSE)</f>
        <v>45</v>
      </c>
    </row>
    <row r="424" spans="1:23" ht="15" hidden="1" thickTop="1" x14ac:dyDescent="0.3">
      <c r="A424" s="55">
        <v>52999837</v>
      </c>
      <c r="B424" s="55">
        <v>0</v>
      </c>
      <c r="C424" s="55" t="str">
        <f>VLOOKUP(A424&amp;"-"&amp;B424,'Order Summary'!$D:$E,2,FALSE)</f>
        <v>Downpayment Received</v>
      </c>
      <c r="D424" s="216">
        <f>IF($A424="","",VLOOKUP($A424&amp;"-"&amp;$B424,'Order Summary'!$D:$U,3,FALSE))</f>
        <v>46063</v>
      </c>
      <c r="E424" s="55" t="str">
        <f>VLOOKUP(A424&amp;"-"&amp;B424,'Order Summary'!$D:$G,4,FALSE)</f>
        <v>Yes</v>
      </c>
      <c r="F424" s="55" t="str">
        <f>VLOOKUP($A424,'Order Summary'!$B:$I,8,FALSE)</f>
        <v>Nampa, ID</v>
      </c>
      <c r="G424" s="216">
        <f>IF($A424="","",VLOOKUP($A424&amp;"-"&amp;$B424,'Order Summary'!$D:$U,18,FALSE))</f>
        <v>46246</v>
      </c>
      <c r="H424" s="55">
        <v>2</v>
      </c>
      <c r="I424" s="55">
        <v>694436</v>
      </c>
      <c r="J424" s="55" t="str">
        <f>VLOOKUP($I424,'Pricing Table - eff 27-Jan-2026'!$A:$R,2,FALSE)</f>
        <v>G1S 694436</v>
      </c>
      <c r="K424" s="55" t="str">
        <f>VLOOKUP($I424,'Pricing Table - eff 27-Jan-2026'!$A:$R,6,FALSE)&amp;" "&amp;VLOOKUP($I424,'Pricing Table - eff 27-Jan-2026'!$A:$R,7,FALSE)&amp;""" x "&amp;VLOOKUP($I424,'Pricing Table - eff 27-Jan-2026'!$A:$R,9,FALSE)&amp;""" "&amp;VLOOKUP($I424,'Pricing Table - eff 27-Jan-2026'!$A:$R,5,FALSE)</f>
        <v>2MM 49" x 96" ACP</v>
      </c>
      <c r="L424" s="55">
        <f>VLOOKUP($I424,'Pricing Table - eff 27-Jan-2026'!$A:$K,8,FALSE)</f>
        <v>1245</v>
      </c>
      <c r="M424" s="55">
        <f>VLOOKUP($I424,'Pricing Table - eff 27-Jan-2026'!$A:$K,10,FALSE)</f>
        <v>2440</v>
      </c>
      <c r="N424" s="55" t="str">
        <f>VLOOKUP($I424,'Pricing Table - eff 27-Jan-2026'!$A:$R,13,FALSE)&amp;" "&amp;VLOOKUP($I424,'Pricing Table - eff 27-Jan-2026'!$A:$R,12,FALSE)</f>
        <v>ASC 0069 GLOSSY WHITE</v>
      </c>
      <c r="O424" s="56">
        <v>45.732999999999997</v>
      </c>
      <c r="P424" s="55">
        <f>(VLOOKUP($I424,'Pricing Table - eff 27-Jan-2026'!$A:$R,8,FALSE)/1000)*(VLOOKUP($I424,'Pricing Table - eff 27-Jan-2026'!$A:$R,10,FALSE)/1000)*Q424</f>
        <v>4252.92</v>
      </c>
      <c r="Q424" s="55">
        <f>ROUND(('Order Details'!$O424*1000)/((VLOOKUP($I424,'Pricing Table - eff 27-Jan-2026'!$A:$Q,7,FALSE)/12)*(VLOOKUP($I424,'Pricing Table - eff 27-Jan-2026'!$A:$Q,9,FALSE)/12))/5,0)*5</f>
        <v>1400</v>
      </c>
      <c r="R424" s="71">
        <f>$Q424/IFERROR(VLOOKUP($F424&amp;RIGHT($K424,8),'Master Data'!$O$5:$P$10,2,FALSE),'Master Data'!$P$4)</f>
        <v>7</v>
      </c>
      <c r="S424" s="57">
        <f>VLOOKUP($I424,'Pricing Table - eff 27-Jan-2026'!$A:$Q,16,FALSE)</f>
        <v>720</v>
      </c>
      <c r="T424" s="57">
        <f>VLOOKUP(I424,'Pricing Table - eff 27-Jan-2026'!$A:$O,15,FALSE)</f>
        <v>7.73</v>
      </c>
      <c r="U424" s="57">
        <f t="shared" ref="U424:U487" si="21">O424*S424</f>
        <v>32927.759999999995</v>
      </c>
      <c r="V424" s="111">
        <f t="shared" si="20"/>
        <v>32875.071600000003</v>
      </c>
      <c r="W424" s="55">
        <f>VLOOKUP($I424,'Pricing Table - eff 27-Jan-2026'!$A:$R,18,FALSE)</f>
        <v>45</v>
      </c>
    </row>
    <row r="425" spans="1:23" ht="15" hidden="1" thickTop="1" x14ac:dyDescent="0.3">
      <c r="A425" s="55">
        <v>52999837</v>
      </c>
      <c r="B425" s="55">
        <v>0</v>
      </c>
      <c r="C425" s="55" t="str">
        <f>VLOOKUP(A425&amp;"-"&amp;B425,'Order Summary'!$D:$E,2,FALSE)</f>
        <v>Downpayment Received</v>
      </c>
      <c r="D425" s="216">
        <f>IF($A425="","",VLOOKUP($A425&amp;"-"&amp;$B425,'Order Summary'!$D:$U,3,FALSE))</f>
        <v>46063</v>
      </c>
      <c r="E425" s="55" t="str">
        <f>VLOOKUP(A425&amp;"-"&amp;B425,'Order Summary'!$D:$G,4,FALSE)</f>
        <v>Yes</v>
      </c>
      <c r="F425" s="55" t="str">
        <f>VLOOKUP($A425,'Order Summary'!$B:$I,8,FALSE)</f>
        <v>Nampa, ID</v>
      </c>
      <c r="G425" s="216">
        <f>IF($A425="","",VLOOKUP($A425&amp;"-"&amp;$B425,'Order Summary'!$D:$U,18,FALSE))</f>
        <v>46246</v>
      </c>
      <c r="H425" s="55">
        <v>3</v>
      </c>
      <c r="I425" s="55">
        <v>694437</v>
      </c>
      <c r="J425" s="55" t="str">
        <f>VLOOKUP($I425,'Pricing Table - eff 27-Jan-2026'!$A:$R,2,FALSE)</f>
        <v>G1S 694437</v>
      </c>
      <c r="K425" s="55" t="str">
        <f>VLOOKUP($I425,'Pricing Table - eff 27-Jan-2026'!$A:$R,6,FALSE)&amp;" "&amp;VLOOKUP($I425,'Pricing Table - eff 27-Jan-2026'!$A:$R,7,FALSE)&amp;""" x "&amp;VLOOKUP($I425,'Pricing Table - eff 27-Jan-2026'!$A:$R,9,FALSE)&amp;""" "&amp;VLOOKUP($I425,'Pricing Table - eff 27-Jan-2026'!$A:$R,5,FALSE)</f>
        <v>2MM 49" x 108" ACP</v>
      </c>
      <c r="L425" s="55">
        <f>VLOOKUP($I425,'Pricing Table - eff 27-Jan-2026'!$A:$K,8,FALSE)</f>
        <v>1245</v>
      </c>
      <c r="M425" s="55">
        <f>VLOOKUP($I425,'Pricing Table - eff 27-Jan-2026'!$A:$K,10,FALSE)</f>
        <v>2745</v>
      </c>
      <c r="N425" s="55" t="str">
        <f>VLOOKUP($I425,'Pricing Table - eff 27-Jan-2026'!$A:$R,13,FALSE)&amp;" "&amp;VLOOKUP($I425,'Pricing Table - eff 27-Jan-2026'!$A:$R,12,FALSE)</f>
        <v>ASC 0069 GLOSSY WHITE</v>
      </c>
      <c r="O425" s="56">
        <v>22.05</v>
      </c>
      <c r="P425" s="55">
        <f>(VLOOKUP($I425,'Pricing Table - eff 27-Jan-2026'!$A:$R,8,FALSE)/1000)*(VLOOKUP($I425,'Pricing Table - eff 27-Jan-2026'!$A:$R,10,FALSE)/1000)*Q425</f>
        <v>2050.5150000000003</v>
      </c>
      <c r="Q425" s="55">
        <f>ROUND(('Order Details'!$O425*1000)/((VLOOKUP($I425,'Pricing Table - eff 27-Jan-2026'!$A:$Q,7,FALSE)/12)*(VLOOKUP($I425,'Pricing Table - eff 27-Jan-2026'!$A:$Q,9,FALSE)/12))/5,0)*5</f>
        <v>600</v>
      </c>
      <c r="R425" s="71">
        <f>$Q425/IFERROR(VLOOKUP($F425&amp;RIGHT($K425,8),'Master Data'!$O$5:$P$10,2,FALSE),'Master Data'!$P$4)</f>
        <v>3</v>
      </c>
      <c r="S425" s="57">
        <f>VLOOKUP($I425,'Pricing Table - eff 27-Jan-2026'!$A:$Q,16,FALSE)</f>
        <v>720</v>
      </c>
      <c r="T425" s="57">
        <f>VLOOKUP(I425,'Pricing Table - eff 27-Jan-2026'!$A:$O,15,FALSE)</f>
        <v>7.73</v>
      </c>
      <c r="U425" s="57">
        <f t="shared" si="21"/>
        <v>15876</v>
      </c>
      <c r="V425" s="111">
        <f t="shared" si="20"/>
        <v>15850.480950000003</v>
      </c>
      <c r="W425" s="55">
        <f>VLOOKUP($I425,'Pricing Table - eff 27-Jan-2026'!$A:$R,18,FALSE)</f>
        <v>45</v>
      </c>
    </row>
    <row r="426" spans="1:23" ht="15" hidden="1" thickTop="1" x14ac:dyDescent="0.3">
      <c r="A426" s="55">
        <v>52999845</v>
      </c>
      <c r="B426" s="55">
        <v>0</v>
      </c>
      <c r="C426" s="55" t="str">
        <f>VLOOKUP(A426&amp;"-"&amp;B426,'Order Summary'!$D:$E,2,FALSE)</f>
        <v>Downpayment Received</v>
      </c>
      <c r="D426" s="216">
        <f>IF($A426="","",VLOOKUP($A426&amp;"-"&amp;$B426,'Order Summary'!$D:$U,3,FALSE))</f>
        <v>46063</v>
      </c>
      <c r="E426" s="55" t="str">
        <f>VLOOKUP(A426&amp;"-"&amp;B426,'Order Summary'!$D:$G,4,FALSE)</f>
        <v>Yes</v>
      </c>
      <c r="F426" s="55" t="str">
        <f>VLOOKUP($A426,'Order Summary'!$B:$I,8,FALSE)</f>
        <v>Nampa, ID</v>
      </c>
      <c r="G426" s="216">
        <f>IF($A426="","",VLOOKUP($A426&amp;"-"&amp;$B426,'Order Summary'!$D:$U,18,FALSE))</f>
        <v>46246</v>
      </c>
      <c r="H426" s="55">
        <v>1</v>
      </c>
      <c r="I426" s="55">
        <v>709355</v>
      </c>
      <c r="J426" s="55" t="str">
        <f>VLOOKUP($I426,'Pricing Table - eff 27-Jan-2026'!$A:$R,2,FALSE)</f>
        <v>G1S 709355</v>
      </c>
      <c r="K426" s="55" t="str">
        <f>VLOOKUP($I426,'Pricing Table - eff 27-Jan-2026'!$A:$R,6,FALSE)&amp;" "&amp;VLOOKUP($I426,'Pricing Table - eff 27-Jan-2026'!$A:$R,7,FALSE)&amp;""" x "&amp;VLOOKUP($I426,'Pricing Table - eff 27-Jan-2026'!$A:$R,9,FALSE)&amp;""" "&amp;VLOOKUP($I426,'Pricing Table - eff 27-Jan-2026'!$A:$R,5,FALSE)</f>
        <v>2MM 49" x 90.5" ACP</v>
      </c>
      <c r="L426" s="55">
        <f>VLOOKUP($I426,'Pricing Table - eff 27-Jan-2026'!$A:$K,8,FALSE)</f>
        <v>1245</v>
      </c>
      <c r="M426" s="55">
        <f>VLOOKUP($I426,'Pricing Table - eff 27-Jan-2026'!$A:$K,10,FALSE)</f>
        <v>2300</v>
      </c>
      <c r="N426" s="55" t="str">
        <f>VLOOKUP($I426,'Pricing Table - eff 27-Jan-2026'!$A:$R,13,FALSE)&amp;" "&amp;VLOOKUP($I426,'Pricing Table - eff 27-Jan-2026'!$A:$R,12,FALSE)</f>
        <v>ASC 0069 GLOSSY WHITE</v>
      </c>
      <c r="O426" s="56">
        <v>18.477</v>
      </c>
      <c r="P426" s="55">
        <f>(VLOOKUP($I426,'Pricing Table - eff 27-Jan-2026'!$A:$R,8,FALSE)/1000)*(VLOOKUP($I426,'Pricing Table - eff 27-Jan-2026'!$A:$R,10,FALSE)/1000)*Q426</f>
        <v>1718.1000000000001</v>
      </c>
      <c r="Q426" s="55">
        <f>ROUND(('Order Details'!$O426*1000)/((VLOOKUP($I426,'Pricing Table - eff 27-Jan-2026'!$A:$Q,7,FALSE)/12)*(VLOOKUP($I426,'Pricing Table - eff 27-Jan-2026'!$A:$Q,9,FALSE)/12))/5,0)*5</f>
        <v>600</v>
      </c>
      <c r="R426" s="71">
        <f>$Q426/IFERROR(VLOOKUP($F426&amp;RIGHT($K426,8),'Master Data'!$O$5:$P$10,2,FALSE),'Master Data'!$P$4)</f>
        <v>3</v>
      </c>
      <c r="S426" s="57">
        <f>VLOOKUP($I426,'Pricing Table - eff 27-Jan-2026'!$A:$Q,16,FALSE)</f>
        <v>720</v>
      </c>
      <c r="T426" s="57">
        <f>VLOOKUP(I426,'Pricing Table - eff 27-Jan-2026'!$A:$O,15,FALSE)</f>
        <v>7.73</v>
      </c>
      <c r="U426" s="57">
        <f t="shared" si="21"/>
        <v>13303.44</v>
      </c>
      <c r="V426" s="111">
        <f t="shared" si="20"/>
        <v>13280.913000000002</v>
      </c>
      <c r="W426" s="55">
        <f>VLOOKUP($I426,'Pricing Table - eff 27-Jan-2026'!$A:$R,18,FALSE)</f>
        <v>45</v>
      </c>
    </row>
    <row r="427" spans="1:23" ht="15" hidden="1" thickTop="1" x14ac:dyDescent="0.3">
      <c r="A427" s="55">
        <v>52999845</v>
      </c>
      <c r="B427" s="55">
        <v>0</v>
      </c>
      <c r="C427" s="55" t="str">
        <f>VLOOKUP(A427&amp;"-"&amp;B427,'Order Summary'!$D:$E,2,FALSE)</f>
        <v>Downpayment Received</v>
      </c>
      <c r="D427" s="216">
        <f>IF($A427="","",VLOOKUP($A427&amp;"-"&amp;$B427,'Order Summary'!$D:$U,3,FALSE))</f>
        <v>46063</v>
      </c>
      <c r="E427" s="55" t="str">
        <f>VLOOKUP(A427&amp;"-"&amp;B427,'Order Summary'!$D:$G,4,FALSE)</f>
        <v>Yes</v>
      </c>
      <c r="F427" s="55" t="str">
        <f>VLOOKUP($A427,'Order Summary'!$B:$I,8,FALSE)</f>
        <v>Nampa, ID</v>
      </c>
      <c r="G427" s="216">
        <f>IF($A427="","",VLOOKUP($A427&amp;"-"&amp;$B427,'Order Summary'!$D:$U,18,FALSE))</f>
        <v>46246</v>
      </c>
      <c r="H427" s="55">
        <v>2</v>
      </c>
      <c r="I427" s="55">
        <v>694436</v>
      </c>
      <c r="J427" s="55" t="str">
        <f>VLOOKUP($I427,'Pricing Table - eff 27-Jan-2026'!$A:$R,2,FALSE)</f>
        <v>G1S 694436</v>
      </c>
      <c r="K427" s="55" t="str">
        <f>VLOOKUP($I427,'Pricing Table - eff 27-Jan-2026'!$A:$R,6,FALSE)&amp;" "&amp;VLOOKUP($I427,'Pricing Table - eff 27-Jan-2026'!$A:$R,7,FALSE)&amp;""" x "&amp;VLOOKUP($I427,'Pricing Table - eff 27-Jan-2026'!$A:$R,9,FALSE)&amp;""" "&amp;VLOOKUP($I427,'Pricing Table - eff 27-Jan-2026'!$A:$R,5,FALSE)</f>
        <v>2MM 49" x 96" ACP</v>
      </c>
      <c r="L427" s="55">
        <f>VLOOKUP($I427,'Pricing Table - eff 27-Jan-2026'!$A:$K,8,FALSE)</f>
        <v>1245</v>
      </c>
      <c r="M427" s="55">
        <f>VLOOKUP($I427,'Pricing Table - eff 27-Jan-2026'!$A:$K,10,FALSE)</f>
        <v>2440</v>
      </c>
      <c r="N427" s="55" t="str">
        <f>VLOOKUP($I427,'Pricing Table - eff 27-Jan-2026'!$A:$R,13,FALSE)&amp;" "&amp;VLOOKUP($I427,'Pricing Table - eff 27-Jan-2026'!$A:$R,12,FALSE)</f>
        <v>ASC 0069 GLOSSY WHITE</v>
      </c>
      <c r="O427" s="56">
        <v>45.732999999999997</v>
      </c>
      <c r="P427" s="55">
        <f>(VLOOKUP($I427,'Pricing Table - eff 27-Jan-2026'!$A:$R,8,FALSE)/1000)*(VLOOKUP($I427,'Pricing Table - eff 27-Jan-2026'!$A:$R,10,FALSE)/1000)*Q427</f>
        <v>4252.92</v>
      </c>
      <c r="Q427" s="55">
        <f>ROUND(('Order Details'!$O427*1000)/((VLOOKUP($I427,'Pricing Table - eff 27-Jan-2026'!$A:$Q,7,FALSE)/12)*(VLOOKUP($I427,'Pricing Table - eff 27-Jan-2026'!$A:$Q,9,FALSE)/12))/5,0)*5</f>
        <v>1400</v>
      </c>
      <c r="R427" s="71">
        <f>$Q427/IFERROR(VLOOKUP($F427&amp;RIGHT($K427,8),'Master Data'!$O$5:$P$10,2,FALSE),'Master Data'!$P$4)</f>
        <v>7</v>
      </c>
      <c r="S427" s="57">
        <f>VLOOKUP($I427,'Pricing Table - eff 27-Jan-2026'!$A:$Q,16,FALSE)</f>
        <v>720</v>
      </c>
      <c r="T427" s="57">
        <f>VLOOKUP(I427,'Pricing Table - eff 27-Jan-2026'!$A:$O,15,FALSE)</f>
        <v>7.73</v>
      </c>
      <c r="U427" s="57">
        <f t="shared" si="21"/>
        <v>32927.759999999995</v>
      </c>
      <c r="V427" s="111">
        <f t="shared" si="20"/>
        <v>32875.071600000003</v>
      </c>
      <c r="W427" s="55">
        <f>VLOOKUP($I427,'Pricing Table - eff 27-Jan-2026'!$A:$R,18,FALSE)</f>
        <v>45</v>
      </c>
    </row>
    <row r="428" spans="1:23" ht="15" hidden="1" thickTop="1" x14ac:dyDescent="0.3">
      <c r="A428" s="55">
        <v>52999845</v>
      </c>
      <c r="B428" s="55">
        <v>0</v>
      </c>
      <c r="C428" s="55" t="str">
        <f>VLOOKUP(A428&amp;"-"&amp;B428,'Order Summary'!$D:$E,2,FALSE)</f>
        <v>Downpayment Received</v>
      </c>
      <c r="D428" s="216">
        <f>IF($A428="","",VLOOKUP($A428&amp;"-"&amp;$B428,'Order Summary'!$D:$U,3,FALSE))</f>
        <v>46063</v>
      </c>
      <c r="E428" s="55" t="str">
        <f>VLOOKUP(A428&amp;"-"&amp;B428,'Order Summary'!$D:$G,4,FALSE)</f>
        <v>Yes</v>
      </c>
      <c r="F428" s="55" t="str">
        <f>VLOOKUP($A428,'Order Summary'!$B:$I,8,FALSE)</f>
        <v>Nampa, ID</v>
      </c>
      <c r="G428" s="216">
        <f>IF($A428="","",VLOOKUP($A428&amp;"-"&amp;$B428,'Order Summary'!$D:$U,18,FALSE))</f>
        <v>46246</v>
      </c>
      <c r="H428" s="55">
        <v>3</v>
      </c>
      <c r="I428" s="55">
        <v>694437</v>
      </c>
      <c r="J428" s="55" t="str">
        <f>VLOOKUP($I428,'Pricing Table - eff 27-Jan-2026'!$A:$R,2,FALSE)</f>
        <v>G1S 694437</v>
      </c>
      <c r="K428" s="55" t="str">
        <f>VLOOKUP($I428,'Pricing Table - eff 27-Jan-2026'!$A:$R,6,FALSE)&amp;" "&amp;VLOOKUP($I428,'Pricing Table - eff 27-Jan-2026'!$A:$R,7,FALSE)&amp;""" x "&amp;VLOOKUP($I428,'Pricing Table - eff 27-Jan-2026'!$A:$R,9,FALSE)&amp;""" "&amp;VLOOKUP($I428,'Pricing Table - eff 27-Jan-2026'!$A:$R,5,FALSE)</f>
        <v>2MM 49" x 108" ACP</v>
      </c>
      <c r="L428" s="55">
        <f>VLOOKUP($I428,'Pricing Table - eff 27-Jan-2026'!$A:$K,8,FALSE)</f>
        <v>1245</v>
      </c>
      <c r="M428" s="55">
        <f>VLOOKUP($I428,'Pricing Table - eff 27-Jan-2026'!$A:$K,10,FALSE)</f>
        <v>2745</v>
      </c>
      <c r="N428" s="55" t="str">
        <f>VLOOKUP($I428,'Pricing Table - eff 27-Jan-2026'!$A:$R,13,FALSE)&amp;" "&amp;VLOOKUP($I428,'Pricing Table - eff 27-Jan-2026'!$A:$R,12,FALSE)</f>
        <v>ASC 0069 GLOSSY WHITE</v>
      </c>
      <c r="O428" s="56">
        <v>22.05</v>
      </c>
      <c r="P428" s="55">
        <f>(VLOOKUP($I428,'Pricing Table - eff 27-Jan-2026'!$A:$R,8,FALSE)/1000)*(VLOOKUP($I428,'Pricing Table - eff 27-Jan-2026'!$A:$R,10,FALSE)/1000)*Q428</f>
        <v>2050.5150000000003</v>
      </c>
      <c r="Q428" s="55">
        <f>ROUND(('Order Details'!$O428*1000)/((VLOOKUP($I428,'Pricing Table - eff 27-Jan-2026'!$A:$Q,7,FALSE)/12)*(VLOOKUP($I428,'Pricing Table - eff 27-Jan-2026'!$A:$Q,9,FALSE)/12))/5,0)*5</f>
        <v>600</v>
      </c>
      <c r="R428" s="71">
        <f>$Q428/IFERROR(VLOOKUP($F428&amp;RIGHT($K428,8),'Master Data'!$O$5:$P$10,2,FALSE),'Master Data'!$P$4)</f>
        <v>3</v>
      </c>
      <c r="S428" s="57">
        <f>VLOOKUP($I428,'Pricing Table - eff 27-Jan-2026'!$A:$Q,16,FALSE)</f>
        <v>720</v>
      </c>
      <c r="T428" s="57">
        <f>VLOOKUP(I428,'Pricing Table - eff 27-Jan-2026'!$A:$O,15,FALSE)</f>
        <v>7.73</v>
      </c>
      <c r="U428" s="57">
        <f t="shared" si="21"/>
        <v>15876</v>
      </c>
      <c r="V428" s="111">
        <f t="shared" si="20"/>
        <v>15850.480950000003</v>
      </c>
      <c r="W428" s="55">
        <f>VLOOKUP($I428,'Pricing Table - eff 27-Jan-2026'!$A:$R,18,FALSE)</f>
        <v>45</v>
      </c>
    </row>
    <row r="429" spans="1:23" ht="15" hidden="1" thickTop="1" x14ac:dyDescent="0.3">
      <c r="A429" s="55">
        <v>52999849</v>
      </c>
      <c r="B429" s="55">
        <v>0</v>
      </c>
      <c r="C429" s="55" t="str">
        <f>VLOOKUP(A429&amp;"-"&amp;B429,'Order Summary'!$D:$E,2,FALSE)</f>
        <v>Downpayment Received</v>
      </c>
      <c r="D429" s="216">
        <f>IF($A429="","",VLOOKUP($A429&amp;"-"&amp;$B429,'Order Summary'!$D:$U,3,FALSE))</f>
        <v>46063</v>
      </c>
      <c r="E429" s="55" t="str">
        <f>VLOOKUP(A429&amp;"-"&amp;B429,'Order Summary'!$D:$G,4,FALSE)</f>
        <v>Yes</v>
      </c>
      <c r="F429" s="55" t="str">
        <f>VLOOKUP($A429,'Order Summary'!$B:$I,8,FALSE)</f>
        <v>Nampa, ID</v>
      </c>
      <c r="G429" s="216">
        <f>IF($A429="","",VLOOKUP($A429&amp;"-"&amp;$B429,'Order Summary'!$D:$U,18,FALSE))</f>
        <v>46310</v>
      </c>
      <c r="H429" s="55">
        <v>1</v>
      </c>
      <c r="I429" s="55">
        <v>709525</v>
      </c>
      <c r="J429" s="55" t="str">
        <f>VLOOKUP($I429,'Pricing Table - eff 27-Jan-2026'!$A:$R,2,FALSE)</f>
        <v>G1S 709525</v>
      </c>
      <c r="K429" s="55" t="str">
        <f>VLOOKUP($I429,'Pricing Table - eff 27-Jan-2026'!$A:$R,6,FALSE)&amp;" "&amp;VLOOKUP($I429,'Pricing Table - eff 27-Jan-2026'!$A:$R,7,FALSE)&amp;""" x "&amp;VLOOKUP($I429,'Pricing Table - eff 27-Jan-2026'!$A:$R,9,FALSE)&amp;""" "&amp;VLOOKUP($I429,'Pricing Table - eff 27-Jan-2026'!$A:$R,5,FALSE)</f>
        <v>2MM 49" x 90.5" ACP</v>
      </c>
      <c r="L429" s="55">
        <f>VLOOKUP($I429,'Pricing Table - eff 27-Jan-2026'!$A:$K,8,FALSE)</f>
        <v>1245</v>
      </c>
      <c r="M429" s="55">
        <f>VLOOKUP($I429,'Pricing Table - eff 27-Jan-2026'!$A:$K,10,FALSE)</f>
        <v>2300</v>
      </c>
      <c r="N429" s="55" t="str">
        <f>VLOOKUP($I429,'Pricing Table - eff 27-Jan-2026'!$A:$R,13,FALSE)&amp;" "&amp;VLOOKUP($I429,'Pricing Table - eff 27-Jan-2026'!$A:$R,12,FALSE)</f>
        <v>AMC 0103 SILVER FROST</v>
      </c>
      <c r="O429" s="56">
        <v>18.477</v>
      </c>
      <c r="P429" s="55">
        <f>(VLOOKUP($I429,'Pricing Table - eff 27-Jan-2026'!$A:$R,8,FALSE)/1000)*(VLOOKUP($I429,'Pricing Table - eff 27-Jan-2026'!$A:$R,10,FALSE)/1000)*Q429</f>
        <v>1718.1000000000001</v>
      </c>
      <c r="Q429" s="55">
        <f>ROUND(('Order Details'!$O429*1000)/((VLOOKUP($I429,'Pricing Table - eff 27-Jan-2026'!$A:$Q,7,FALSE)/12)*(VLOOKUP($I429,'Pricing Table - eff 27-Jan-2026'!$A:$Q,9,FALSE)/12))/5,0)*5</f>
        <v>600</v>
      </c>
      <c r="R429" s="71">
        <f>$Q429/IFERROR(VLOOKUP($F429&amp;RIGHT($K429,8),'Master Data'!$O$5:$P$10,2,FALSE),'Master Data'!$P$4)</f>
        <v>3</v>
      </c>
      <c r="S429" s="57">
        <f>VLOOKUP($I429,'Pricing Table - eff 27-Jan-2026'!$A:$Q,16,FALSE)</f>
        <v>720</v>
      </c>
      <c r="T429" s="57">
        <f>VLOOKUP(I429,'Pricing Table - eff 27-Jan-2026'!$A:$O,15,FALSE)</f>
        <v>7.73</v>
      </c>
      <c r="U429" s="57">
        <f t="shared" si="21"/>
        <v>13303.44</v>
      </c>
      <c r="V429" s="111">
        <f t="shared" si="20"/>
        <v>13280.913000000002</v>
      </c>
      <c r="W429" s="55">
        <f>VLOOKUP($I429,'Pricing Table - eff 27-Jan-2026'!$A:$R,18,FALSE)</f>
        <v>90</v>
      </c>
    </row>
    <row r="430" spans="1:23" ht="15" hidden="1" thickTop="1" x14ac:dyDescent="0.3">
      <c r="A430" s="55">
        <v>52999849</v>
      </c>
      <c r="B430" s="55">
        <v>0</v>
      </c>
      <c r="C430" s="55" t="str">
        <f>VLOOKUP(A430&amp;"-"&amp;B430,'Order Summary'!$D:$E,2,FALSE)</f>
        <v>Downpayment Received</v>
      </c>
      <c r="D430" s="216">
        <f>IF($A430="","",VLOOKUP($A430&amp;"-"&amp;$B430,'Order Summary'!$D:$U,3,FALSE))</f>
        <v>46063</v>
      </c>
      <c r="E430" s="55" t="str">
        <f>VLOOKUP(A430&amp;"-"&amp;B430,'Order Summary'!$D:$G,4,FALSE)</f>
        <v>Yes</v>
      </c>
      <c r="F430" s="55" t="str">
        <f>VLOOKUP($A430,'Order Summary'!$B:$I,8,FALSE)</f>
        <v>Nampa, ID</v>
      </c>
      <c r="G430" s="216">
        <f>IF($A430="","",VLOOKUP($A430&amp;"-"&amp;$B430,'Order Summary'!$D:$U,18,FALSE))</f>
        <v>46310</v>
      </c>
      <c r="H430" s="55">
        <v>2</v>
      </c>
      <c r="I430" s="55">
        <v>694440</v>
      </c>
      <c r="J430" s="55" t="str">
        <f>VLOOKUP($I430,'Pricing Table - eff 27-Jan-2026'!$A:$R,2,FALSE)</f>
        <v>G1S 694440</v>
      </c>
      <c r="K430" s="55" t="str">
        <f>VLOOKUP($I430,'Pricing Table - eff 27-Jan-2026'!$A:$R,6,FALSE)&amp;" "&amp;VLOOKUP($I430,'Pricing Table - eff 27-Jan-2026'!$A:$R,7,FALSE)&amp;""" x "&amp;VLOOKUP($I430,'Pricing Table - eff 27-Jan-2026'!$A:$R,9,FALSE)&amp;""" "&amp;VLOOKUP($I430,'Pricing Table - eff 27-Jan-2026'!$A:$R,5,FALSE)</f>
        <v>2MM 49" x 96" ACP</v>
      </c>
      <c r="L430" s="55">
        <f>VLOOKUP($I430,'Pricing Table - eff 27-Jan-2026'!$A:$K,8,FALSE)</f>
        <v>1245</v>
      </c>
      <c r="M430" s="55">
        <f>VLOOKUP($I430,'Pricing Table - eff 27-Jan-2026'!$A:$K,10,FALSE)</f>
        <v>2440</v>
      </c>
      <c r="N430" s="55" t="str">
        <f>VLOOKUP($I430,'Pricing Table - eff 27-Jan-2026'!$A:$R,13,FALSE)&amp;" "&amp;VLOOKUP($I430,'Pricing Table - eff 27-Jan-2026'!$A:$R,12,FALSE)</f>
        <v>AMC 0103 SILVER FROST</v>
      </c>
      <c r="O430" s="56">
        <v>45.732999999999997</v>
      </c>
      <c r="P430" s="55">
        <f>(VLOOKUP($I430,'Pricing Table - eff 27-Jan-2026'!$A:$R,8,FALSE)/1000)*(VLOOKUP($I430,'Pricing Table - eff 27-Jan-2026'!$A:$R,10,FALSE)/1000)*Q430</f>
        <v>4252.92</v>
      </c>
      <c r="Q430" s="55">
        <f>ROUND(('Order Details'!$O430*1000)/((VLOOKUP($I430,'Pricing Table - eff 27-Jan-2026'!$A:$Q,7,FALSE)/12)*(VLOOKUP($I430,'Pricing Table - eff 27-Jan-2026'!$A:$Q,9,FALSE)/12))/5,0)*5</f>
        <v>1400</v>
      </c>
      <c r="R430" s="71">
        <f>$Q430/IFERROR(VLOOKUP($F430&amp;RIGHT($K430,8),'Master Data'!$O$5:$P$10,2,FALSE),'Master Data'!$P$4)</f>
        <v>7</v>
      </c>
      <c r="S430" s="57">
        <f>VLOOKUP($I430,'Pricing Table - eff 27-Jan-2026'!$A:$Q,16,FALSE)</f>
        <v>720</v>
      </c>
      <c r="T430" s="57">
        <f>VLOOKUP(I430,'Pricing Table - eff 27-Jan-2026'!$A:$O,15,FALSE)</f>
        <v>7.73</v>
      </c>
      <c r="U430" s="57">
        <f t="shared" si="21"/>
        <v>32927.759999999995</v>
      </c>
      <c r="V430" s="111">
        <f t="shared" si="20"/>
        <v>32875.071600000003</v>
      </c>
      <c r="W430" s="55">
        <f>VLOOKUP($I430,'Pricing Table - eff 27-Jan-2026'!$A:$R,18,FALSE)</f>
        <v>90</v>
      </c>
    </row>
    <row r="431" spans="1:23" ht="15" hidden="1" thickTop="1" x14ac:dyDescent="0.3">
      <c r="A431" s="55">
        <v>52999849</v>
      </c>
      <c r="B431" s="55">
        <v>0</v>
      </c>
      <c r="C431" s="55" t="str">
        <f>VLOOKUP(A431&amp;"-"&amp;B431,'Order Summary'!$D:$E,2,FALSE)</f>
        <v>Downpayment Received</v>
      </c>
      <c r="D431" s="216">
        <f>IF($A431="","",VLOOKUP($A431&amp;"-"&amp;$B431,'Order Summary'!$D:$U,3,FALSE))</f>
        <v>46063</v>
      </c>
      <c r="E431" s="55" t="str">
        <f>VLOOKUP(A431&amp;"-"&amp;B431,'Order Summary'!$D:$G,4,FALSE)</f>
        <v>Yes</v>
      </c>
      <c r="F431" s="55" t="str">
        <f>VLOOKUP($A431,'Order Summary'!$B:$I,8,FALSE)</f>
        <v>Nampa, ID</v>
      </c>
      <c r="G431" s="216">
        <f>IF($A431="","",VLOOKUP($A431&amp;"-"&amp;$B431,'Order Summary'!$D:$U,18,FALSE))</f>
        <v>46310</v>
      </c>
      <c r="H431" s="55">
        <v>3</v>
      </c>
      <c r="I431" s="55">
        <v>694441</v>
      </c>
      <c r="J431" s="55" t="str">
        <f>VLOOKUP($I431,'Pricing Table - eff 27-Jan-2026'!$A:$R,2,FALSE)</f>
        <v>G1S 694441</v>
      </c>
      <c r="K431" s="55" t="str">
        <f>VLOOKUP($I431,'Pricing Table - eff 27-Jan-2026'!$A:$R,6,FALSE)&amp;" "&amp;VLOOKUP($I431,'Pricing Table - eff 27-Jan-2026'!$A:$R,7,FALSE)&amp;""" x "&amp;VLOOKUP($I431,'Pricing Table - eff 27-Jan-2026'!$A:$R,9,FALSE)&amp;""" "&amp;VLOOKUP($I431,'Pricing Table - eff 27-Jan-2026'!$A:$R,5,FALSE)</f>
        <v>2MM 49" x 108" ACP</v>
      </c>
      <c r="L431" s="55">
        <f>VLOOKUP($I431,'Pricing Table - eff 27-Jan-2026'!$A:$K,8,FALSE)</f>
        <v>1245</v>
      </c>
      <c r="M431" s="55">
        <f>VLOOKUP($I431,'Pricing Table - eff 27-Jan-2026'!$A:$K,10,FALSE)</f>
        <v>2745</v>
      </c>
      <c r="N431" s="55" t="str">
        <f>VLOOKUP($I431,'Pricing Table - eff 27-Jan-2026'!$A:$R,13,FALSE)&amp;" "&amp;VLOOKUP($I431,'Pricing Table - eff 27-Jan-2026'!$A:$R,12,FALSE)</f>
        <v>AMC 0103 SILVER FROST</v>
      </c>
      <c r="O431" s="56">
        <v>22.05</v>
      </c>
      <c r="P431" s="55">
        <f>(VLOOKUP($I431,'Pricing Table - eff 27-Jan-2026'!$A:$R,8,FALSE)/1000)*(VLOOKUP($I431,'Pricing Table - eff 27-Jan-2026'!$A:$R,10,FALSE)/1000)*Q431</f>
        <v>2050.5150000000003</v>
      </c>
      <c r="Q431" s="55">
        <f>ROUND(('Order Details'!$O431*1000)/((VLOOKUP($I431,'Pricing Table - eff 27-Jan-2026'!$A:$Q,7,FALSE)/12)*(VLOOKUP($I431,'Pricing Table - eff 27-Jan-2026'!$A:$Q,9,FALSE)/12))/5,0)*5</f>
        <v>600</v>
      </c>
      <c r="R431" s="71">
        <f>$Q431/IFERROR(VLOOKUP($F431&amp;RIGHT($K431,8),'Master Data'!$O$5:$P$10,2,FALSE),'Master Data'!$P$4)</f>
        <v>3</v>
      </c>
      <c r="S431" s="57">
        <f>VLOOKUP($I431,'Pricing Table - eff 27-Jan-2026'!$A:$Q,16,FALSE)</f>
        <v>720</v>
      </c>
      <c r="T431" s="57">
        <f>VLOOKUP(I431,'Pricing Table - eff 27-Jan-2026'!$A:$O,15,FALSE)</f>
        <v>7.73</v>
      </c>
      <c r="U431" s="57">
        <f t="shared" si="21"/>
        <v>15876</v>
      </c>
      <c r="V431" s="111">
        <f t="shared" si="20"/>
        <v>15850.480950000003</v>
      </c>
      <c r="W431" s="55">
        <f>VLOOKUP($I431,'Pricing Table - eff 27-Jan-2026'!$A:$R,18,FALSE)</f>
        <v>90</v>
      </c>
    </row>
    <row r="432" spans="1:23" ht="15" hidden="1" thickTop="1" x14ac:dyDescent="0.3">
      <c r="A432" s="55">
        <v>52999869</v>
      </c>
      <c r="B432" s="55">
        <v>0</v>
      </c>
      <c r="C432" s="55" t="str">
        <f>VLOOKUP(A432&amp;"-"&amp;B432,'Order Summary'!$D:$E,2,FALSE)</f>
        <v>Downpayment Received</v>
      </c>
      <c r="D432" s="216">
        <f>IF($A432="","",VLOOKUP($A432&amp;"-"&amp;$B432,'Order Summary'!$D:$U,3,FALSE))</f>
        <v>46063</v>
      </c>
      <c r="E432" s="55" t="str">
        <f>VLOOKUP(A432&amp;"-"&amp;B432,'Order Summary'!$D:$G,4,FALSE)</f>
        <v>Yes</v>
      </c>
      <c r="F432" s="55" t="str">
        <f>VLOOKUP($A432,'Order Summary'!$B:$I,8,FALSE)</f>
        <v>Nampa, ID</v>
      </c>
      <c r="G432" s="216">
        <f>IF($A432="","",VLOOKUP($A432&amp;"-"&amp;$B432,'Order Summary'!$D:$U,18,FALSE))</f>
        <v>46310</v>
      </c>
      <c r="H432" s="55">
        <v>1</v>
      </c>
      <c r="I432" s="55">
        <v>709525</v>
      </c>
      <c r="J432" s="55" t="str">
        <f>VLOOKUP($I432,'Pricing Table - eff 27-Jan-2026'!$A:$R,2,FALSE)</f>
        <v>G1S 709525</v>
      </c>
      <c r="K432" s="55" t="str">
        <f>VLOOKUP($I432,'Pricing Table - eff 27-Jan-2026'!$A:$R,6,FALSE)&amp;" "&amp;VLOOKUP($I432,'Pricing Table - eff 27-Jan-2026'!$A:$R,7,FALSE)&amp;""" x "&amp;VLOOKUP($I432,'Pricing Table - eff 27-Jan-2026'!$A:$R,9,FALSE)&amp;""" "&amp;VLOOKUP($I432,'Pricing Table - eff 27-Jan-2026'!$A:$R,5,FALSE)</f>
        <v>2MM 49" x 90.5" ACP</v>
      </c>
      <c r="L432" s="55">
        <f>VLOOKUP($I432,'Pricing Table - eff 27-Jan-2026'!$A:$K,8,FALSE)</f>
        <v>1245</v>
      </c>
      <c r="M432" s="55">
        <f>VLOOKUP($I432,'Pricing Table - eff 27-Jan-2026'!$A:$K,10,FALSE)</f>
        <v>2300</v>
      </c>
      <c r="N432" s="55" t="str">
        <f>VLOOKUP($I432,'Pricing Table - eff 27-Jan-2026'!$A:$R,13,FALSE)&amp;" "&amp;VLOOKUP($I432,'Pricing Table - eff 27-Jan-2026'!$A:$R,12,FALSE)</f>
        <v>AMC 0103 SILVER FROST</v>
      </c>
      <c r="O432" s="56">
        <v>18.477</v>
      </c>
      <c r="P432" s="55">
        <f>(VLOOKUP($I432,'Pricing Table - eff 27-Jan-2026'!$A:$R,8,FALSE)/1000)*(VLOOKUP($I432,'Pricing Table - eff 27-Jan-2026'!$A:$R,10,FALSE)/1000)*Q432</f>
        <v>1718.1000000000001</v>
      </c>
      <c r="Q432" s="55">
        <f>ROUND(('Order Details'!$O432*1000)/((VLOOKUP($I432,'Pricing Table - eff 27-Jan-2026'!$A:$Q,7,FALSE)/12)*(VLOOKUP($I432,'Pricing Table - eff 27-Jan-2026'!$A:$Q,9,FALSE)/12))/5,0)*5</f>
        <v>600</v>
      </c>
      <c r="R432" s="71">
        <f>$Q432/IFERROR(VLOOKUP($F432&amp;RIGHT($K432,8),'Master Data'!$O$5:$P$10,2,FALSE),'Master Data'!$P$4)</f>
        <v>3</v>
      </c>
      <c r="S432" s="57">
        <f>VLOOKUP($I432,'Pricing Table - eff 27-Jan-2026'!$A:$Q,16,FALSE)</f>
        <v>720</v>
      </c>
      <c r="T432" s="57">
        <f>VLOOKUP(I432,'Pricing Table - eff 27-Jan-2026'!$A:$O,15,FALSE)</f>
        <v>7.73</v>
      </c>
      <c r="U432" s="57">
        <f t="shared" si="21"/>
        <v>13303.44</v>
      </c>
      <c r="V432" s="111">
        <f t="shared" si="20"/>
        <v>13280.913000000002</v>
      </c>
      <c r="W432" s="55">
        <f>VLOOKUP($I432,'Pricing Table - eff 27-Jan-2026'!$A:$R,18,FALSE)</f>
        <v>90</v>
      </c>
    </row>
    <row r="433" spans="1:23" ht="15" hidden="1" thickTop="1" x14ac:dyDescent="0.3">
      <c r="A433" s="55">
        <v>52999869</v>
      </c>
      <c r="B433" s="55">
        <v>0</v>
      </c>
      <c r="C433" s="55" t="str">
        <f>VLOOKUP(A433&amp;"-"&amp;B433,'Order Summary'!$D:$E,2,FALSE)</f>
        <v>Downpayment Received</v>
      </c>
      <c r="D433" s="216">
        <f>IF($A433="","",VLOOKUP($A433&amp;"-"&amp;$B433,'Order Summary'!$D:$U,3,FALSE))</f>
        <v>46063</v>
      </c>
      <c r="E433" s="55" t="str">
        <f>VLOOKUP(A433&amp;"-"&amp;B433,'Order Summary'!$D:$G,4,FALSE)</f>
        <v>Yes</v>
      </c>
      <c r="F433" s="55" t="str">
        <f>VLOOKUP($A433,'Order Summary'!$B:$I,8,FALSE)</f>
        <v>Nampa, ID</v>
      </c>
      <c r="G433" s="216">
        <f>IF($A433="","",VLOOKUP($A433&amp;"-"&amp;$B433,'Order Summary'!$D:$U,18,FALSE))</f>
        <v>46310</v>
      </c>
      <c r="H433" s="55">
        <v>2</v>
      </c>
      <c r="I433" s="55">
        <v>694440</v>
      </c>
      <c r="J433" s="55" t="str">
        <f>VLOOKUP($I433,'Pricing Table - eff 27-Jan-2026'!$A:$R,2,FALSE)</f>
        <v>G1S 694440</v>
      </c>
      <c r="K433" s="55" t="str">
        <f>VLOOKUP($I433,'Pricing Table - eff 27-Jan-2026'!$A:$R,6,FALSE)&amp;" "&amp;VLOOKUP($I433,'Pricing Table - eff 27-Jan-2026'!$A:$R,7,FALSE)&amp;""" x "&amp;VLOOKUP($I433,'Pricing Table - eff 27-Jan-2026'!$A:$R,9,FALSE)&amp;""" "&amp;VLOOKUP($I433,'Pricing Table - eff 27-Jan-2026'!$A:$R,5,FALSE)</f>
        <v>2MM 49" x 96" ACP</v>
      </c>
      <c r="L433" s="55">
        <f>VLOOKUP($I433,'Pricing Table - eff 27-Jan-2026'!$A:$K,8,FALSE)</f>
        <v>1245</v>
      </c>
      <c r="M433" s="55">
        <f>VLOOKUP($I433,'Pricing Table - eff 27-Jan-2026'!$A:$K,10,FALSE)</f>
        <v>2440</v>
      </c>
      <c r="N433" s="55" t="str">
        <f>VLOOKUP($I433,'Pricing Table - eff 27-Jan-2026'!$A:$R,13,FALSE)&amp;" "&amp;VLOOKUP($I433,'Pricing Table - eff 27-Jan-2026'!$A:$R,12,FALSE)</f>
        <v>AMC 0103 SILVER FROST</v>
      </c>
      <c r="O433" s="56">
        <v>45.732999999999997</v>
      </c>
      <c r="P433" s="55">
        <f>(VLOOKUP($I433,'Pricing Table - eff 27-Jan-2026'!$A:$R,8,FALSE)/1000)*(VLOOKUP($I433,'Pricing Table - eff 27-Jan-2026'!$A:$R,10,FALSE)/1000)*Q433</f>
        <v>4252.92</v>
      </c>
      <c r="Q433" s="55">
        <f>ROUND(('Order Details'!$O433*1000)/((VLOOKUP($I433,'Pricing Table - eff 27-Jan-2026'!$A:$Q,7,FALSE)/12)*(VLOOKUP($I433,'Pricing Table - eff 27-Jan-2026'!$A:$Q,9,FALSE)/12))/5,0)*5</f>
        <v>1400</v>
      </c>
      <c r="R433" s="71">
        <f>$Q433/IFERROR(VLOOKUP($F433&amp;RIGHT($K433,8),'Master Data'!$O$5:$P$10,2,FALSE),'Master Data'!$P$4)</f>
        <v>7</v>
      </c>
      <c r="S433" s="57">
        <f>VLOOKUP($I433,'Pricing Table - eff 27-Jan-2026'!$A:$Q,16,FALSE)</f>
        <v>720</v>
      </c>
      <c r="T433" s="57">
        <f>VLOOKUP(I433,'Pricing Table - eff 27-Jan-2026'!$A:$O,15,FALSE)</f>
        <v>7.73</v>
      </c>
      <c r="U433" s="57">
        <f t="shared" si="21"/>
        <v>32927.759999999995</v>
      </c>
      <c r="V433" s="111">
        <f t="shared" si="20"/>
        <v>32875.071600000003</v>
      </c>
      <c r="W433" s="55">
        <f>VLOOKUP($I433,'Pricing Table - eff 27-Jan-2026'!$A:$R,18,FALSE)</f>
        <v>90</v>
      </c>
    </row>
    <row r="434" spans="1:23" ht="15" hidden="1" thickTop="1" x14ac:dyDescent="0.3">
      <c r="A434" s="55">
        <v>52999869</v>
      </c>
      <c r="B434" s="55">
        <v>0</v>
      </c>
      <c r="C434" s="55" t="str">
        <f>VLOOKUP(A434&amp;"-"&amp;B434,'Order Summary'!$D:$E,2,FALSE)</f>
        <v>Downpayment Received</v>
      </c>
      <c r="D434" s="216">
        <f>IF($A434="","",VLOOKUP($A434&amp;"-"&amp;$B434,'Order Summary'!$D:$U,3,FALSE))</f>
        <v>46063</v>
      </c>
      <c r="E434" s="55" t="str">
        <f>VLOOKUP(A434&amp;"-"&amp;B434,'Order Summary'!$D:$G,4,FALSE)</f>
        <v>Yes</v>
      </c>
      <c r="F434" s="55" t="str">
        <f>VLOOKUP($A434,'Order Summary'!$B:$I,8,FALSE)</f>
        <v>Nampa, ID</v>
      </c>
      <c r="G434" s="216">
        <f>IF($A434="","",VLOOKUP($A434&amp;"-"&amp;$B434,'Order Summary'!$D:$U,18,FALSE))</f>
        <v>46310</v>
      </c>
      <c r="H434" s="55">
        <v>3</v>
      </c>
      <c r="I434" s="55">
        <v>694441</v>
      </c>
      <c r="J434" s="55" t="str">
        <f>VLOOKUP($I434,'Pricing Table - eff 27-Jan-2026'!$A:$R,2,FALSE)</f>
        <v>G1S 694441</v>
      </c>
      <c r="K434" s="55" t="str">
        <f>VLOOKUP($I434,'Pricing Table - eff 27-Jan-2026'!$A:$R,6,FALSE)&amp;" "&amp;VLOOKUP($I434,'Pricing Table - eff 27-Jan-2026'!$A:$R,7,FALSE)&amp;""" x "&amp;VLOOKUP($I434,'Pricing Table - eff 27-Jan-2026'!$A:$R,9,FALSE)&amp;""" "&amp;VLOOKUP($I434,'Pricing Table - eff 27-Jan-2026'!$A:$R,5,FALSE)</f>
        <v>2MM 49" x 108" ACP</v>
      </c>
      <c r="L434" s="55">
        <f>VLOOKUP($I434,'Pricing Table - eff 27-Jan-2026'!$A:$K,8,FALSE)</f>
        <v>1245</v>
      </c>
      <c r="M434" s="55">
        <f>VLOOKUP($I434,'Pricing Table - eff 27-Jan-2026'!$A:$K,10,FALSE)</f>
        <v>2745</v>
      </c>
      <c r="N434" s="55" t="str">
        <f>VLOOKUP($I434,'Pricing Table - eff 27-Jan-2026'!$A:$R,13,FALSE)&amp;" "&amp;VLOOKUP($I434,'Pricing Table - eff 27-Jan-2026'!$A:$R,12,FALSE)</f>
        <v>AMC 0103 SILVER FROST</v>
      </c>
      <c r="O434" s="56">
        <v>22.05</v>
      </c>
      <c r="P434" s="55">
        <f>(VLOOKUP($I434,'Pricing Table - eff 27-Jan-2026'!$A:$R,8,FALSE)/1000)*(VLOOKUP($I434,'Pricing Table - eff 27-Jan-2026'!$A:$R,10,FALSE)/1000)*Q434</f>
        <v>2050.5150000000003</v>
      </c>
      <c r="Q434" s="55">
        <f>ROUND(('Order Details'!$O434*1000)/((VLOOKUP($I434,'Pricing Table - eff 27-Jan-2026'!$A:$Q,7,FALSE)/12)*(VLOOKUP($I434,'Pricing Table - eff 27-Jan-2026'!$A:$Q,9,FALSE)/12))/5,0)*5</f>
        <v>600</v>
      </c>
      <c r="R434" s="71">
        <f>$Q434/IFERROR(VLOOKUP($F434&amp;RIGHT($K434,8),'Master Data'!$O$5:$P$10,2,FALSE),'Master Data'!$P$4)</f>
        <v>3</v>
      </c>
      <c r="S434" s="57">
        <f>VLOOKUP($I434,'Pricing Table - eff 27-Jan-2026'!$A:$Q,16,FALSE)</f>
        <v>720</v>
      </c>
      <c r="T434" s="57">
        <f>VLOOKUP(I434,'Pricing Table - eff 27-Jan-2026'!$A:$O,15,FALSE)</f>
        <v>7.73</v>
      </c>
      <c r="U434" s="57">
        <f t="shared" si="21"/>
        <v>15876</v>
      </c>
      <c r="V434" s="111">
        <f t="shared" si="20"/>
        <v>15850.480950000003</v>
      </c>
      <c r="W434" s="55">
        <f>VLOOKUP($I434,'Pricing Table - eff 27-Jan-2026'!$A:$R,18,FALSE)</f>
        <v>90</v>
      </c>
    </row>
    <row r="435" spans="1:23" ht="15" hidden="1" thickTop="1" x14ac:dyDescent="0.3">
      <c r="A435" s="55">
        <v>52999872</v>
      </c>
      <c r="B435" s="55">
        <v>0</v>
      </c>
      <c r="C435" s="55" t="str">
        <f>VLOOKUP(A435&amp;"-"&amp;B435,'Order Summary'!$D:$E,2,FALSE)</f>
        <v>Downpayment Received</v>
      </c>
      <c r="D435" s="216">
        <f>IF($A435="","",VLOOKUP($A435&amp;"-"&amp;$B435,'Order Summary'!$D:$U,3,FALSE))</f>
        <v>46063</v>
      </c>
      <c r="E435" s="55" t="str">
        <f>VLOOKUP(A435&amp;"-"&amp;B435,'Order Summary'!$D:$G,4,FALSE)</f>
        <v>Yes</v>
      </c>
      <c r="F435" s="55" t="str">
        <f>VLOOKUP($A435,'Order Summary'!$B:$I,8,FALSE)</f>
        <v>Nampa, ID</v>
      </c>
      <c r="G435" s="216">
        <f>IF($A435="","",VLOOKUP($A435&amp;"-"&amp;$B435,'Order Summary'!$D:$U,18,FALSE))</f>
        <v>46265</v>
      </c>
      <c r="H435" s="55">
        <v>1</v>
      </c>
      <c r="I435" s="55">
        <v>709356</v>
      </c>
      <c r="J435" s="55" t="str">
        <f>VLOOKUP($I435,'Pricing Table - eff 27-Jan-2026'!$A:$R,2,FALSE)</f>
        <v>G1S 709356</v>
      </c>
      <c r="K435" s="55" t="str">
        <f>VLOOKUP($I435,'Pricing Table - eff 27-Jan-2026'!$A:$R,6,FALSE)&amp;" "&amp;VLOOKUP($I435,'Pricing Table - eff 27-Jan-2026'!$A:$R,7,FALSE)&amp;""" x "&amp;VLOOKUP($I435,'Pricing Table - eff 27-Jan-2026'!$A:$R,9,FALSE)&amp;""" "&amp;VLOOKUP($I435,'Pricing Table - eff 27-Jan-2026'!$A:$R,5,FALSE)</f>
        <v>2MM 49" x 90.5" ACP</v>
      </c>
      <c r="L435" s="55">
        <f>VLOOKUP($I435,'Pricing Table - eff 27-Jan-2026'!$A:$K,8,FALSE)</f>
        <v>1245</v>
      </c>
      <c r="M435" s="55">
        <f>VLOOKUP($I435,'Pricing Table - eff 27-Jan-2026'!$A:$K,10,FALSE)</f>
        <v>2300</v>
      </c>
      <c r="N435" s="55" t="str">
        <f>VLOOKUP($I435,'Pricing Table - eff 27-Jan-2026'!$A:$R,13,FALSE)&amp;" "&amp;VLOOKUP($I435,'Pricing Table - eff 27-Jan-2026'!$A:$R,12,FALSE)</f>
        <v>AMC 0086 CHARCOAL METALLIC</v>
      </c>
      <c r="O435" s="56">
        <v>18.477</v>
      </c>
      <c r="P435" s="55">
        <f>(VLOOKUP($I435,'Pricing Table - eff 27-Jan-2026'!$A:$R,8,FALSE)/1000)*(VLOOKUP($I435,'Pricing Table - eff 27-Jan-2026'!$A:$R,10,FALSE)/1000)*Q435</f>
        <v>1718.1000000000001</v>
      </c>
      <c r="Q435" s="55">
        <f>ROUND(('Order Details'!$O435*1000)/((VLOOKUP($I435,'Pricing Table - eff 27-Jan-2026'!$A:$Q,7,FALSE)/12)*(VLOOKUP($I435,'Pricing Table - eff 27-Jan-2026'!$A:$Q,9,FALSE)/12))/5,0)*5</f>
        <v>600</v>
      </c>
      <c r="R435" s="71">
        <f>$Q435/IFERROR(VLOOKUP($F435&amp;RIGHT($K435,8),'Master Data'!$O$5:$P$10,2,FALSE),'Master Data'!$P$4)</f>
        <v>3</v>
      </c>
      <c r="S435" s="57">
        <f>VLOOKUP($I435,'Pricing Table - eff 27-Jan-2026'!$A:$Q,16,FALSE)</f>
        <v>770</v>
      </c>
      <c r="T435" s="57">
        <f>VLOOKUP(I435,'Pricing Table - eff 27-Jan-2026'!$A:$O,15,FALSE)</f>
        <v>8.27</v>
      </c>
      <c r="U435" s="57">
        <f t="shared" si="21"/>
        <v>14227.29</v>
      </c>
      <c r="V435" s="111">
        <f t="shared" si="20"/>
        <v>14208.687</v>
      </c>
      <c r="W435" s="55">
        <f>VLOOKUP($I435,'Pricing Table - eff 27-Jan-2026'!$A:$R,18,FALSE)</f>
        <v>45</v>
      </c>
    </row>
    <row r="436" spans="1:23" ht="15" hidden="1" thickTop="1" x14ac:dyDescent="0.3">
      <c r="A436" s="55">
        <v>52999872</v>
      </c>
      <c r="B436" s="55">
        <v>0</v>
      </c>
      <c r="C436" s="55" t="str">
        <f>VLOOKUP(A436&amp;"-"&amp;B436,'Order Summary'!$D:$E,2,FALSE)</f>
        <v>Downpayment Received</v>
      </c>
      <c r="D436" s="216">
        <f>IF($A436="","",VLOOKUP($A436&amp;"-"&amp;$B436,'Order Summary'!$D:$U,3,FALSE))</f>
        <v>46063</v>
      </c>
      <c r="E436" s="55" t="str">
        <f>VLOOKUP(A436&amp;"-"&amp;B436,'Order Summary'!$D:$G,4,FALSE)</f>
        <v>Yes</v>
      </c>
      <c r="F436" s="55" t="str">
        <f>VLOOKUP($A436,'Order Summary'!$B:$I,8,FALSE)</f>
        <v>Nampa, ID</v>
      </c>
      <c r="G436" s="216">
        <f>IF($A436="","",VLOOKUP($A436&amp;"-"&amp;$B436,'Order Summary'!$D:$U,18,FALSE))</f>
        <v>46265</v>
      </c>
      <c r="H436" s="55">
        <v>2</v>
      </c>
      <c r="I436" s="55">
        <v>694444</v>
      </c>
      <c r="J436" s="55" t="str">
        <f>VLOOKUP($I436,'Pricing Table - eff 27-Jan-2026'!$A:$R,2,FALSE)</f>
        <v>G1S 694444</v>
      </c>
      <c r="K436" s="55" t="str">
        <f>VLOOKUP($I436,'Pricing Table - eff 27-Jan-2026'!$A:$R,6,FALSE)&amp;" "&amp;VLOOKUP($I436,'Pricing Table - eff 27-Jan-2026'!$A:$R,7,FALSE)&amp;""" x "&amp;VLOOKUP($I436,'Pricing Table - eff 27-Jan-2026'!$A:$R,9,FALSE)&amp;""" "&amp;VLOOKUP($I436,'Pricing Table - eff 27-Jan-2026'!$A:$R,5,FALSE)</f>
        <v>2MM 49" x 96" ACP</v>
      </c>
      <c r="L436" s="55">
        <f>VLOOKUP($I436,'Pricing Table - eff 27-Jan-2026'!$A:$K,8,FALSE)</f>
        <v>1245</v>
      </c>
      <c r="M436" s="55">
        <f>VLOOKUP($I436,'Pricing Table - eff 27-Jan-2026'!$A:$K,10,FALSE)</f>
        <v>2440</v>
      </c>
      <c r="N436" s="55" t="str">
        <f>VLOOKUP($I436,'Pricing Table - eff 27-Jan-2026'!$A:$R,13,FALSE)&amp;" "&amp;VLOOKUP($I436,'Pricing Table - eff 27-Jan-2026'!$A:$R,12,FALSE)</f>
        <v>AMC 0086 CHARCOAL METALLIC</v>
      </c>
      <c r="O436" s="56">
        <v>45.732999999999997</v>
      </c>
      <c r="P436" s="55">
        <f>(VLOOKUP($I436,'Pricing Table - eff 27-Jan-2026'!$A:$R,8,FALSE)/1000)*(VLOOKUP($I436,'Pricing Table - eff 27-Jan-2026'!$A:$R,10,FALSE)/1000)*Q436</f>
        <v>4252.92</v>
      </c>
      <c r="Q436" s="55">
        <f>ROUND(('Order Details'!$O436*1000)/((VLOOKUP($I436,'Pricing Table - eff 27-Jan-2026'!$A:$Q,7,FALSE)/12)*(VLOOKUP($I436,'Pricing Table - eff 27-Jan-2026'!$A:$Q,9,FALSE)/12))/5,0)*5</f>
        <v>1400</v>
      </c>
      <c r="R436" s="71">
        <f>$Q436/IFERROR(VLOOKUP($F436&amp;RIGHT($K436,8),'Master Data'!$O$5:$P$10,2,FALSE),'Master Data'!$P$4)</f>
        <v>7</v>
      </c>
      <c r="S436" s="57">
        <f>VLOOKUP($I436,'Pricing Table - eff 27-Jan-2026'!$A:$Q,16,FALSE)</f>
        <v>770</v>
      </c>
      <c r="T436" s="57">
        <f>VLOOKUP(I436,'Pricing Table - eff 27-Jan-2026'!$A:$O,15,FALSE)</f>
        <v>8.27</v>
      </c>
      <c r="U436" s="57">
        <f t="shared" si="21"/>
        <v>35214.409999999996</v>
      </c>
      <c r="V436" s="111">
        <f t="shared" si="20"/>
        <v>35171.648399999998</v>
      </c>
      <c r="W436" s="55">
        <f>VLOOKUP($I436,'Pricing Table - eff 27-Jan-2026'!$A:$R,18,FALSE)</f>
        <v>45</v>
      </c>
    </row>
    <row r="437" spans="1:23" ht="15" hidden="1" thickTop="1" x14ac:dyDescent="0.3">
      <c r="A437" s="55">
        <v>52999872</v>
      </c>
      <c r="B437" s="55">
        <v>0</v>
      </c>
      <c r="C437" s="55" t="str">
        <f>VLOOKUP(A437&amp;"-"&amp;B437,'Order Summary'!$D:$E,2,FALSE)</f>
        <v>Downpayment Received</v>
      </c>
      <c r="D437" s="216">
        <f>IF($A437="","",VLOOKUP($A437&amp;"-"&amp;$B437,'Order Summary'!$D:$U,3,FALSE))</f>
        <v>46063</v>
      </c>
      <c r="E437" s="55" t="str">
        <f>VLOOKUP(A437&amp;"-"&amp;B437,'Order Summary'!$D:$G,4,FALSE)</f>
        <v>Yes</v>
      </c>
      <c r="F437" s="55" t="str">
        <f>VLOOKUP($A437,'Order Summary'!$B:$I,8,FALSE)</f>
        <v>Nampa, ID</v>
      </c>
      <c r="G437" s="216">
        <f>IF($A437="","",VLOOKUP($A437&amp;"-"&amp;$B437,'Order Summary'!$D:$U,18,FALSE))</f>
        <v>46265</v>
      </c>
      <c r="H437" s="55">
        <v>3</v>
      </c>
      <c r="I437" s="55">
        <v>694445</v>
      </c>
      <c r="J437" s="55" t="str">
        <f>VLOOKUP($I437,'Pricing Table - eff 27-Jan-2026'!$A:$R,2,FALSE)</f>
        <v>G1S 694445</v>
      </c>
      <c r="K437" s="55" t="str">
        <f>VLOOKUP($I437,'Pricing Table - eff 27-Jan-2026'!$A:$R,6,FALSE)&amp;" "&amp;VLOOKUP($I437,'Pricing Table - eff 27-Jan-2026'!$A:$R,7,FALSE)&amp;""" x "&amp;VLOOKUP($I437,'Pricing Table - eff 27-Jan-2026'!$A:$R,9,FALSE)&amp;""" "&amp;VLOOKUP($I437,'Pricing Table - eff 27-Jan-2026'!$A:$R,5,FALSE)</f>
        <v>2MM 49" x 108" ACP</v>
      </c>
      <c r="L437" s="55">
        <f>VLOOKUP($I437,'Pricing Table - eff 27-Jan-2026'!$A:$K,8,FALSE)</f>
        <v>1245</v>
      </c>
      <c r="M437" s="55">
        <f>VLOOKUP($I437,'Pricing Table - eff 27-Jan-2026'!$A:$K,10,FALSE)</f>
        <v>2745</v>
      </c>
      <c r="N437" s="55" t="str">
        <f>VLOOKUP($I437,'Pricing Table - eff 27-Jan-2026'!$A:$R,13,FALSE)&amp;" "&amp;VLOOKUP($I437,'Pricing Table - eff 27-Jan-2026'!$A:$R,12,FALSE)</f>
        <v>AMC 0086 CHARCOAL METALLIC</v>
      </c>
      <c r="O437" s="56">
        <v>22.05</v>
      </c>
      <c r="P437" s="55">
        <f>(VLOOKUP($I437,'Pricing Table - eff 27-Jan-2026'!$A:$R,8,FALSE)/1000)*(VLOOKUP($I437,'Pricing Table - eff 27-Jan-2026'!$A:$R,10,FALSE)/1000)*Q437</f>
        <v>2050.5150000000003</v>
      </c>
      <c r="Q437" s="55">
        <f>ROUND(('Order Details'!$O437*1000)/((VLOOKUP($I437,'Pricing Table - eff 27-Jan-2026'!$A:$Q,7,FALSE)/12)*(VLOOKUP($I437,'Pricing Table - eff 27-Jan-2026'!$A:$Q,9,FALSE)/12))/5,0)*5</f>
        <v>600</v>
      </c>
      <c r="R437" s="71">
        <f>$Q437/IFERROR(VLOOKUP($F437&amp;RIGHT($K437,8),'Master Data'!$O$5:$P$10,2,FALSE),'Master Data'!$P$4)</f>
        <v>3</v>
      </c>
      <c r="S437" s="57">
        <f>VLOOKUP($I437,'Pricing Table - eff 27-Jan-2026'!$A:$Q,16,FALSE)</f>
        <v>770</v>
      </c>
      <c r="T437" s="57">
        <f>VLOOKUP(I437,'Pricing Table - eff 27-Jan-2026'!$A:$O,15,FALSE)</f>
        <v>8.27</v>
      </c>
      <c r="U437" s="57">
        <f t="shared" si="21"/>
        <v>16978.5</v>
      </c>
      <c r="V437" s="111">
        <f t="shared" si="20"/>
        <v>16957.759050000001</v>
      </c>
      <c r="W437" s="55">
        <f>VLOOKUP($I437,'Pricing Table - eff 27-Jan-2026'!$A:$R,18,FALSE)</f>
        <v>45</v>
      </c>
    </row>
    <row r="438" spans="1:23" ht="15" hidden="1" thickTop="1" x14ac:dyDescent="0.3">
      <c r="A438" s="55">
        <v>52999875</v>
      </c>
      <c r="B438" s="55">
        <v>0</v>
      </c>
      <c r="C438" s="55" t="str">
        <f>VLOOKUP(A438&amp;"-"&amp;B438,'Order Summary'!$D:$E,2,FALSE)</f>
        <v>Commercial Invoice Sent</v>
      </c>
      <c r="D438" s="216">
        <f>IF($A438="","",VLOOKUP($A438&amp;"-"&amp;$B438,'Order Summary'!$D:$U,3,FALSE))</f>
        <v>46063</v>
      </c>
      <c r="E438" s="55" t="str">
        <f>VLOOKUP(A438&amp;"-"&amp;B438,'Order Summary'!$D:$G,4,FALSE)</f>
        <v>Yes</v>
      </c>
      <c r="F438" s="55" t="str">
        <f>VLOOKUP($A438,'Order Summary'!$B:$I,8,FALSE)</f>
        <v>Nampa, ID</v>
      </c>
      <c r="G438" s="216">
        <f>IF($A438="","",VLOOKUP($A438&amp;"-"&amp;$B438,'Order Summary'!$D:$U,18,FALSE))</f>
        <v>46265</v>
      </c>
      <c r="H438" s="55">
        <v>1</v>
      </c>
      <c r="I438" s="55">
        <v>709356</v>
      </c>
      <c r="J438" s="55" t="str">
        <f>VLOOKUP($I438,'Pricing Table - eff 27-Jan-2026'!$A:$R,2,FALSE)</f>
        <v>G1S 709356</v>
      </c>
      <c r="K438" s="55" t="str">
        <f>VLOOKUP($I438,'Pricing Table - eff 27-Jan-2026'!$A:$R,6,FALSE)&amp;" "&amp;VLOOKUP($I438,'Pricing Table - eff 27-Jan-2026'!$A:$R,7,FALSE)&amp;""" x "&amp;VLOOKUP($I438,'Pricing Table - eff 27-Jan-2026'!$A:$R,9,FALSE)&amp;""" "&amp;VLOOKUP($I438,'Pricing Table - eff 27-Jan-2026'!$A:$R,5,FALSE)</f>
        <v>2MM 49" x 90.5" ACP</v>
      </c>
      <c r="L438" s="55">
        <f>VLOOKUP($I438,'Pricing Table - eff 27-Jan-2026'!$A:$K,8,FALSE)</f>
        <v>1245</v>
      </c>
      <c r="M438" s="55">
        <f>VLOOKUP($I438,'Pricing Table - eff 27-Jan-2026'!$A:$K,10,FALSE)</f>
        <v>2300</v>
      </c>
      <c r="N438" s="55" t="str">
        <f>VLOOKUP($I438,'Pricing Table - eff 27-Jan-2026'!$A:$R,13,FALSE)&amp;" "&amp;VLOOKUP($I438,'Pricing Table - eff 27-Jan-2026'!$A:$R,12,FALSE)</f>
        <v>AMC 0086 CHARCOAL METALLIC</v>
      </c>
      <c r="O438" s="56">
        <v>18.477</v>
      </c>
      <c r="P438" s="55">
        <f>(VLOOKUP($I438,'Pricing Table - eff 27-Jan-2026'!$A:$R,8,FALSE)/1000)*(VLOOKUP($I438,'Pricing Table - eff 27-Jan-2026'!$A:$R,10,FALSE)/1000)*Q438</f>
        <v>1718.1000000000001</v>
      </c>
      <c r="Q438" s="55">
        <f>ROUND(('Order Details'!$O438*1000)/((VLOOKUP($I438,'Pricing Table - eff 27-Jan-2026'!$A:$Q,7,FALSE)/12)*(VLOOKUP($I438,'Pricing Table - eff 27-Jan-2026'!$A:$Q,9,FALSE)/12))/5,0)*5</f>
        <v>600</v>
      </c>
      <c r="R438" s="71">
        <f>$Q438/IFERROR(VLOOKUP($F438&amp;RIGHT($K438,8),'Master Data'!$O$5:$P$10,2,FALSE),'Master Data'!$P$4)</f>
        <v>3</v>
      </c>
      <c r="S438" s="57">
        <f>VLOOKUP($I438,'Pricing Table - eff 27-Jan-2026'!$A:$Q,16,FALSE)</f>
        <v>770</v>
      </c>
      <c r="T438" s="57">
        <f>VLOOKUP(I438,'Pricing Table - eff 27-Jan-2026'!$A:$O,15,FALSE)</f>
        <v>8.27</v>
      </c>
      <c r="U438" s="57">
        <f t="shared" si="21"/>
        <v>14227.29</v>
      </c>
      <c r="V438" s="111">
        <f t="shared" si="20"/>
        <v>14208.687</v>
      </c>
      <c r="W438" s="55">
        <f>VLOOKUP($I438,'Pricing Table - eff 27-Jan-2026'!$A:$R,18,FALSE)</f>
        <v>45</v>
      </c>
    </row>
    <row r="439" spans="1:23" ht="15" hidden="1" thickTop="1" x14ac:dyDescent="0.3">
      <c r="A439" s="55">
        <v>52999875</v>
      </c>
      <c r="B439" s="55">
        <v>0</v>
      </c>
      <c r="C439" s="55" t="str">
        <f>VLOOKUP(A439&amp;"-"&amp;B439,'Order Summary'!$D:$E,2,FALSE)</f>
        <v>Commercial Invoice Sent</v>
      </c>
      <c r="D439" s="216">
        <f>IF($A439="","",VLOOKUP($A439&amp;"-"&amp;$B439,'Order Summary'!$D:$U,3,FALSE))</f>
        <v>46063</v>
      </c>
      <c r="E439" s="55" t="str">
        <f>VLOOKUP(A439&amp;"-"&amp;B439,'Order Summary'!$D:$G,4,FALSE)</f>
        <v>Yes</v>
      </c>
      <c r="F439" s="55" t="str">
        <f>VLOOKUP($A439,'Order Summary'!$B:$I,8,FALSE)</f>
        <v>Nampa, ID</v>
      </c>
      <c r="G439" s="216">
        <f>IF($A439="","",VLOOKUP($A439&amp;"-"&amp;$B439,'Order Summary'!$D:$U,18,FALSE))</f>
        <v>46265</v>
      </c>
      <c r="H439" s="55">
        <v>2</v>
      </c>
      <c r="I439" s="55">
        <v>694444</v>
      </c>
      <c r="J439" s="55" t="str">
        <f>VLOOKUP($I439,'Pricing Table - eff 27-Jan-2026'!$A:$R,2,FALSE)</f>
        <v>G1S 694444</v>
      </c>
      <c r="K439" s="55" t="str">
        <f>VLOOKUP($I439,'Pricing Table - eff 27-Jan-2026'!$A:$R,6,FALSE)&amp;" "&amp;VLOOKUP($I439,'Pricing Table - eff 27-Jan-2026'!$A:$R,7,FALSE)&amp;""" x "&amp;VLOOKUP($I439,'Pricing Table - eff 27-Jan-2026'!$A:$R,9,FALSE)&amp;""" "&amp;VLOOKUP($I439,'Pricing Table - eff 27-Jan-2026'!$A:$R,5,FALSE)</f>
        <v>2MM 49" x 96" ACP</v>
      </c>
      <c r="L439" s="55">
        <f>VLOOKUP($I439,'Pricing Table - eff 27-Jan-2026'!$A:$K,8,FALSE)</f>
        <v>1245</v>
      </c>
      <c r="M439" s="55">
        <f>VLOOKUP($I439,'Pricing Table - eff 27-Jan-2026'!$A:$K,10,FALSE)</f>
        <v>2440</v>
      </c>
      <c r="N439" s="55" t="str">
        <f>VLOOKUP($I439,'Pricing Table - eff 27-Jan-2026'!$A:$R,13,FALSE)&amp;" "&amp;VLOOKUP($I439,'Pricing Table - eff 27-Jan-2026'!$A:$R,12,FALSE)</f>
        <v>AMC 0086 CHARCOAL METALLIC</v>
      </c>
      <c r="O439" s="56">
        <v>45.732999999999997</v>
      </c>
      <c r="P439" s="55">
        <f>(VLOOKUP($I439,'Pricing Table - eff 27-Jan-2026'!$A:$R,8,FALSE)/1000)*(VLOOKUP($I439,'Pricing Table - eff 27-Jan-2026'!$A:$R,10,FALSE)/1000)*Q439</f>
        <v>4252.92</v>
      </c>
      <c r="Q439" s="55">
        <f>ROUND(('Order Details'!$O439*1000)/((VLOOKUP($I439,'Pricing Table - eff 27-Jan-2026'!$A:$Q,7,FALSE)/12)*(VLOOKUP($I439,'Pricing Table - eff 27-Jan-2026'!$A:$Q,9,FALSE)/12))/5,0)*5</f>
        <v>1400</v>
      </c>
      <c r="R439" s="71">
        <f>$Q439/IFERROR(VLOOKUP($F439&amp;RIGHT($K439,8),'Master Data'!$O$5:$P$10,2,FALSE),'Master Data'!$P$4)</f>
        <v>7</v>
      </c>
      <c r="S439" s="57">
        <f>VLOOKUP($I439,'Pricing Table - eff 27-Jan-2026'!$A:$Q,16,FALSE)</f>
        <v>770</v>
      </c>
      <c r="T439" s="57">
        <f>VLOOKUP(I439,'Pricing Table - eff 27-Jan-2026'!$A:$O,15,FALSE)</f>
        <v>8.27</v>
      </c>
      <c r="U439" s="57">
        <f t="shared" si="21"/>
        <v>35214.409999999996</v>
      </c>
      <c r="V439" s="111">
        <f t="shared" si="20"/>
        <v>35171.648399999998</v>
      </c>
      <c r="W439" s="55">
        <f>VLOOKUP($I439,'Pricing Table - eff 27-Jan-2026'!$A:$R,18,FALSE)</f>
        <v>45</v>
      </c>
    </row>
    <row r="440" spans="1:23" ht="15" hidden="1" thickTop="1" x14ac:dyDescent="0.3">
      <c r="A440" s="55">
        <v>52999875</v>
      </c>
      <c r="B440" s="55">
        <v>0</v>
      </c>
      <c r="C440" s="55" t="str">
        <f>VLOOKUP(A440&amp;"-"&amp;B440,'Order Summary'!$D:$E,2,FALSE)</f>
        <v>Commercial Invoice Sent</v>
      </c>
      <c r="D440" s="216">
        <f>IF($A440="","",VLOOKUP($A440&amp;"-"&amp;$B440,'Order Summary'!$D:$U,3,FALSE))</f>
        <v>46063</v>
      </c>
      <c r="E440" s="55" t="str">
        <f>VLOOKUP(A440&amp;"-"&amp;B440,'Order Summary'!$D:$G,4,FALSE)</f>
        <v>Yes</v>
      </c>
      <c r="F440" s="55" t="str">
        <f>VLOOKUP($A440,'Order Summary'!$B:$I,8,FALSE)</f>
        <v>Nampa, ID</v>
      </c>
      <c r="G440" s="216">
        <f>IF($A440="","",VLOOKUP($A440&amp;"-"&amp;$B440,'Order Summary'!$D:$U,18,FALSE))</f>
        <v>46265</v>
      </c>
      <c r="H440" s="55">
        <v>3</v>
      </c>
      <c r="I440" s="55">
        <v>694445</v>
      </c>
      <c r="J440" s="55" t="str">
        <f>VLOOKUP($I440,'Pricing Table - eff 27-Jan-2026'!$A:$R,2,FALSE)</f>
        <v>G1S 694445</v>
      </c>
      <c r="K440" s="55" t="str">
        <f>VLOOKUP($I440,'Pricing Table - eff 27-Jan-2026'!$A:$R,6,FALSE)&amp;" "&amp;VLOOKUP($I440,'Pricing Table - eff 27-Jan-2026'!$A:$R,7,FALSE)&amp;""" x "&amp;VLOOKUP($I440,'Pricing Table - eff 27-Jan-2026'!$A:$R,9,FALSE)&amp;""" "&amp;VLOOKUP($I440,'Pricing Table - eff 27-Jan-2026'!$A:$R,5,FALSE)</f>
        <v>2MM 49" x 108" ACP</v>
      </c>
      <c r="L440" s="55">
        <f>VLOOKUP($I440,'Pricing Table - eff 27-Jan-2026'!$A:$K,8,FALSE)</f>
        <v>1245</v>
      </c>
      <c r="M440" s="55">
        <f>VLOOKUP($I440,'Pricing Table - eff 27-Jan-2026'!$A:$K,10,FALSE)</f>
        <v>2745</v>
      </c>
      <c r="N440" s="55" t="str">
        <f>VLOOKUP($I440,'Pricing Table - eff 27-Jan-2026'!$A:$R,13,FALSE)&amp;" "&amp;VLOOKUP($I440,'Pricing Table - eff 27-Jan-2026'!$A:$R,12,FALSE)</f>
        <v>AMC 0086 CHARCOAL METALLIC</v>
      </c>
      <c r="O440" s="56">
        <v>22.05</v>
      </c>
      <c r="P440" s="55">
        <f>(VLOOKUP($I440,'Pricing Table - eff 27-Jan-2026'!$A:$R,8,FALSE)/1000)*(VLOOKUP($I440,'Pricing Table - eff 27-Jan-2026'!$A:$R,10,FALSE)/1000)*Q440</f>
        <v>2050.5150000000003</v>
      </c>
      <c r="Q440" s="55">
        <f>ROUND(('Order Details'!$O440*1000)/((VLOOKUP($I440,'Pricing Table - eff 27-Jan-2026'!$A:$Q,7,FALSE)/12)*(VLOOKUP($I440,'Pricing Table - eff 27-Jan-2026'!$A:$Q,9,FALSE)/12))/5,0)*5</f>
        <v>600</v>
      </c>
      <c r="R440" s="71">
        <f>$Q440/IFERROR(VLOOKUP($F440&amp;RIGHT($K440,8),'Master Data'!$O$5:$P$10,2,FALSE),'Master Data'!$P$4)</f>
        <v>3</v>
      </c>
      <c r="S440" s="57">
        <f>VLOOKUP($I440,'Pricing Table - eff 27-Jan-2026'!$A:$Q,16,FALSE)</f>
        <v>770</v>
      </c>
      <c r="T440" s="57">
        <f>VLOOKUP(I440,'Pricing Table - eff 27-Jan-2026'!$A:$O,15,FALSE)</f>
        <v>8.27</v>
      </c>
      <c r="U440" s="57">
        <f t="shared" si="21"/>
        <v>16978.5</v>
      </c>
      <c r="V440" s="111">
        <f t="shared" si="20"/>
        <v>16957.759050000001</v>
      </c>
      <c r="W440" s="55">
        <f>VLOOKUP($I440,'Pricing Table - eff 27-Jan-2026'!$A:$R,18,FALSE)</f>
        <v>45</v>
      </c>
    </row>
    <row r="441" spans="1:23" ht="15" hidden="1" thickTop="1" x14ac:dyDescent="0.3">
      <c r="A441" s="55">
        <v>52999878</v>
      </c>
      <c r="B441" s="55">
        <v>0</v>
      </c>
      <c r="C441" s="55" t="str">
        <f>VLOOKUP(A441&amp;"-"&amp;B441,'Order Summary'!$D:$E,2,FALSE)</f>
        <v>Downpayment Received</v>
      </c>
      <c r="D441" s="216">
        <f>IF($A441="","",VLOOKUP($A441&amp;"-"&amp;$B441,'Order Summary'!$D:$U,3,FALSE))</f>
        <v>46063</v>
      </c>
      <c r="E441" s="55" t="str">
        <f>VLOOKUP(A441&amp;"-"&amp;B441,'Order Summary'!$D:$G,4,FALSE)</f>
        <v>Yes</v>
      </c>
      <c r="F441" s="55" t="str">
        <f>VLOOKUP($A441,'Order Summary'!$B:$I,8,FALSE)</f>
        <v>Nampa, ID</v>
      </c>
      <c r="G441" s="216">
        <f>IF($A441="","",VLOOKUP($A441&amp;"-"&amp;$B441,'Order Summary'!$D:$U,18,FALSE))</f>
        <v>46265</v>
      </c>
      <c r="H441" s="55">
        <v>1</v>
      </c>
      <c r="I441" s="55">
        <v>709354</v>
      </c>
      <c r="J441" s="55" t="str">
        <f>VLOOKUP($I441,'Pricing Table - eff 27-Jan-2026'!$A:$R,2,FALSE)</f>
        <v>G1S 709354</v>
      </c>
      <c r="K441" s="55" t="str">
        <f>VLOOKUP($I441,'Pricing Table - eff 27-Jan-2026'!$A:$R,6,FALSE)&amp;" "&amp;VLOOKUP($I441,'Pricing Table - eff 27-Jan-2026'!$A:$R,7,FALSE)&amp;""" x "&amp;VLOOKUP($I441,'Pricing Table - eff 27-Jan-2026'!$A:$R,9,FALSE)&amp;""" "&amp;VLOOKUP($I441,'Pricing Table - eff 27-Jan-2026'!$A:$R,5,FALSE)</f>
        <v>2MM 49" x 90.5" ACP</v>
      </c>
      <c r="L441" s="55">
        <f>VLOOKUP($I441,'Pricing Table - eff 27-Jan-2026'!$A:$K,8,FALSE)</f>
        <v>1245</v>
      </c>
      <c r="M441" s="55">
        <f>VLOOKUP($I441,'Pricing Table - eff 27-Jan-2026'!$A:$K,10,FALSE)</f>
        <v>2300</v>
      </c>
      <c r="N441" s="55" t="str">
        <f>VLOOKUP($I441,'Pricing Table - eff 27-Jan-2026'!$A:$R,13,FALSE)&amp;" "&amp;VLOOKUP($I441,'Pricing Table - eff 27-Jan-2026'!$A:$R,12,FALSE)</f>
        <v>ASC 0096 GLOSSY BLACK</v>
      </c>
      <c r="O441" s="56">
        <v>18.477</v>
      </c>
      <c r="P441" s="55">
        <f>(VLOOKUP($I441,'Pricing Table - eff 27-Jan-2026'!$A:$R,8,FALSE)/1000)*(VLOOKUP($I441,'Pricing Table - eff 27-Jan-2026'!$A:$R,10,FALSE)/1000)*Q441</f>
        <v>1718.1000000000001</v>
      </c>
      <c r="Q441" s="55">
        <f>ROUND(('Order Details'!$O441*1000)/((VLOOKUP($I441,'Pricing Table - eff 27-Jan-2026'!$A:$Q,7,FALSE)/12)*(VLOOKUP($I441,'Pricing Table - eff 27-Jan-2026'!$A:$Q,9,FALSE)/12))/5,0)*5</f>
        <v>600</v>
      </c>
      <c r="R441" s="71">
        <f>$Q441/IFERROR(VLOOKUP($F441&amp;RIGHT($K441,8),'Master Data'!$O$5:$P$10,2,FALSE),'Master Data'!$P$4)</f>
        <v>3</v>
      </c>
      <c r="S441" s="57">
        <f>VLOOKUP($I441,'Pricing Table - eff 27-Jan-2026'!$A:$Q,16,FALSE)</f>
        <v>720</v>
      </c>
      <c r="T441" s="57">
        <f>VLOOKUP(I441,'Pricing Table - eff 27-Jan-2026'!$A:$O,15,FALSE)</f>
        <v>7.73</v>
      </c>
      <c r="U441" s="57">
        <f t="shared" si="21"/>
        <v>13303.44</v>
      </c>
      <c r="V441" s="111">
        <f t="shared" si="20"/>
        <v>13280.913000000002</v>
      </c>
      <c r="W441" s="55">
        <f>VLOOKUP($I441,'Pricing Table - eff 27-Jan-2026'!$A:$R,18,FALSE)</f>
        <v>45</v>
      </c>
    </row>
    <row r="442" spans="1:23" ht="15" hidden="1" thickTop="1" x14ac:dyDescent="0.3">
      <c r="A442" s="55">
        <v>52999878</v>
      </c>
      <c r="B442" s="55">
        <v>0</v>
      </c>
      <c r="C442" s="55" t="str">
        <f>VLOOKUP(A442&amp;"-"&amp;B442,'Order Summary'!$D:$E,2,FALSE)</f>
        <v>Downpayment Received</v>
      </c>
      <c r="D442" s="216">
        <f>IF($A442="","",VLOOKUP($A442&amp;"-"&amp;$B442,'Order Summary'!$D:$U,3,FALSE))</f>
        <v>46063</v>
      </c>
      <c r="E442" s="55" t="str">
        <f>VLOOKUP(A442&amp;"-"&amp;B442,'Order Summary'!$D:$G,4,FALSE)</f>
        <v>Yes</v>
      </c>
      <c r="F442" s="55" t="str">
        <f>VLOOKUP($A442,'Order Summary'!$B:$I,8,FALSE)</f>
        <v>Nampa, ID</v>
      </c>
      <c r="G442" s="216">
        <f>IF($A442="","",VLOOKUP($A442&amp;"-"&amp;$B442,'Order Summary'!$D:$U,18,FALSE))</f>
        <v>46265</v>
      </c>
      <c r="H442" s="55">
        <v>2</v>
      </c>
      <c r="I442">
        <v>694432</v>
      </c>
      <c r="J442" s="55" t="str">
        <f>VLOOKUP($I442,'Pricing Table - eff 27-Jan-2026'!$A:$R,2,FALSE)</f>
        <v>G1S 694432</v>
      </c>
      <c r="K442" s="55" t="str">
        <f>VLOOKUP($I442,'Pricing Table - eff 27-Jan-2026'!$A:$R,6,FALSE)&amp;" "&amp;VLOOKUP($I442,'Pricing Table - eff 27-Jan-2026'!$A:$R,7,FALSE)&amp;""" x "&amp;VLOOKUP($I442,'Pricing Table - eff 27-Jan-2026'!$A:$R,9,FALSE)&amp;""" "&amp;VLOOKUP($I442,'Pricing Table - eff 27-Jan-2026'!$A:$R,5,FALSE)</f>
        <v>2MM 49" x 96" ACP</v>
      </c>
      <c r="L442" s="55">
        <f>VLOOKUP($I442,'Pricing Table - eff 27-Jan-2026'!$A:$K,8,FALSE)</f>
        <v>1245</v>
      </c>
      <c r="M442" s="55">
        <f>VLOOKUP($I442,'Pricing Table - eff 27-Jan-2026'!$A:$K,10,FALSE)</f>
        <v>2440</v>
      </c>
      <c r="N442" s="55" t="str">
        <f>VLOOKUP($I442,'Pricing Table - eff 27-Jan-2026'!$A:$R,13,FALSE)&amp;" "&amp;VLOOKUP($I442,'Pricing Table - eff 27-Jan-2026'!$A:$R,12,FALSE)</f>
        <v>ASC 0096 GLOSSY BLACK</v>
      </c>
      <c r="O442" s="56">
        <v>45.732999999999997</v>
      </c>
      <c r="P442" s="55">
        <f>(VLOOKUP($I442,'Pricing Table - eff 27-Jan-2026'!$A:$R,8,FALSE)/1000)*(VLOOKUP($I442,'Pricing Table - eff 27-Jan-2026'!$A:$R,10,FALSE)/1000)*Q442</f>
        <v>4252.92</v>
      </c>
      <c r="Q442" s="55">
        <f>ROUND(('Order Details'!$O442*1000)/((VLOOKUP($I442,'Pricing Table - eff 27-Jan-2026'!$A:$Q,7,FALSE)/12)*(VLOOKUP($I442,'Pricing Table - eff 27-Jan-2026'!$A:$Q,9,FALSE)/12))/5,0)*5</f>
        <v>1400</v>
      </c>
      <c r="R442" s="71">
        <f>$Q442/IFERROR(VLOOKUP($F442&amp;RIGHT($K442,8),'Master Data'!$O$5:$P$10,2,FALSE),'Master Data'!$P$4)</f>
        <v>7</v>
      </c>
      <c r="S442" s="57">
        <f>VLOOKUP($I442,'Pricing Table - eff 27-Jan-2026'!$A:$Q,16,FALSE)</f>
        <v>720</v>
      </c>
      <c r="T442" s="57">
        <f>VLOOKUP(I442,'Pricing Table - eff 27-Jan-2026'!$A:$O,15,FALSE)</f>
        <v>7.73</v>
      </c>
      <c r="U442" s="57">
        <f t="shared" si="21"/>
        <v>32927.759999999995</v>
      </c>
      <c r="V442" s="111">
        <f t="shared" si="20"/>
        <v>32875.071600000003</v>
      </c>
      <c r="W442" s="55">
        <f>VLOOKUP($I442,'Pricing Table - eff 27-Jan-2026'!$A:$R,18,FALSE)</f>
        <v>45</v>
      </c>
    </row>
    <row r="443" spans="1:23" ht="15" hidden="1" thickTop="1" x14ac:dyDescent="0.3">
      <c r="A443" s="55">
        <v>52999878</v>
      </c>
      <c r="B443" s="55">
        <v>0</v>
      </c>
      <c r="C443" s="55" t="str">
        <f>VLOOKUP(A443&amp;"-"&amp;B443,'Order Summary'!$D:$E,2,FALSE)</f>
        <v>Downpayment Received</v>
      </c>
      <c r="D443" s="216">
        <f>IF($A443="","",VLOOKUP($A443&amp;"-"&amp;$B443,'Order Summary'!$D:$U,3,FALSE))</f>
        <v>46063</v>
      </c>
      <c r="E443" s="55" t="str">
        <f>VLOOKUP(A443&amp;"-"&amp;B443,'Order Summary'!$D:$G,4,FALSE)</f>
        <v>Yes</v>
      </c>
      <c r="F443" s="55" t="str">
        <f>VLOOKUP($A443,'Order Summary'!$B:$I,8,FALSE)</f>
        <v>Nampa, ID</v>
      </c>
      <c r="G443" s="216">
        <f>IF($A443="","",VLOOKUP($A443&amp;"-"&amp;$B443,'Order Summary'!$D:$U,18,FALSE))</f>
        <v>46265</v>
      </c>
      <c r="H443" s="55">
        <v>3</v>
      </c>
      <c r="I443" s="55">
        <v>694433</v>
      </c>
      <c r="J443" s="55" t="str">
        <f>VLOOKUP($I443,'Pricing Table - eff 27-Jan-2026'!$A:$R,2,FALSE)</f>
        <v>G1S 694433</v>
      </c>
      <c r="K443" s="55" t="str">
        <f>VLOOKUP($I443,'Pricing Table - eff 27-Jan-2026'!$A:$R,6,FALSE)&amp;" "&amp;VLOOKUP($I443,'Pricing Table - eff 27-Jan-2026'!$A:$R,7,FALSE)&amp;""" x "&amp;VLOOKUP($I443,'Pricing Table - eff 27-Jan-2026'!$A:$R,9,FALSE)&amp;""" "&amp;VLOOKUP($I443,'Pricing Table - eff 27-Jan-2026'!$A:$R,5,FALSE)</f>
        <v>2MM 49" x 108" ACP</v>
      </c>
      <c r="L443" s="55">
        <f>VLOOKUP($I443,'Pricing Table - eff 27-Jan-2026'!$A:$K,8,FALSE)</f>
        <v>1245</v>
      </c>
      <c r="M443" s="55">
        <f>VLOOKUP($I443,'Pricing Table - eff 27-Jan-2026'!$A:$K,10,FALSE)</f>
        <v>2745</v>
      </c>
      <c r="N443" s="55" t="str">
        <f>VLOOKUP($I443,'Pricing Table - eff 27-Jan-2026'!$A:$R,13,FALSE)&amp;" "&amp;VLOOKUP($I443,'Pricing Table - eff 27-Jan-2026'!$A:$R,12,FALSE)</f>
        <v>ASC 0096 GLOSSY BLACK</v>
      </c>
      <c r="O443" s="56">
        <v>22.05</v>
      </c>
      <c r="P443" s="55">
        <f>(VLOOKUP($I443,'Pricing Table - eff 27-Jan-2026'!$A:$R,8,FALSE)/1000)*(VLOOKUP($I443,'Pricing Table - eff 27-Jan-2026'!$A:$R,10,FALSE)/1000)*Q443</f>
        <v>2050.5150000000003</v>
      </c>
      <c r="Q443" s="55">
        <f>ROUND(('Order Details'!$O443*1000)/((VLOOKUP($I443,'Pricing Table - eff 27-Jan-2026'!$A:$Q,7,FALSE)/12)*(VLOOKUP($I443,'Pricing Table - eff 27-Jan-2026'!$A:$Q,9,FALSE)/12))/5,0)*5</f>
        <v>600</v>
      </c>
      <c r="R443" s="71">
        <f>$Q443/IFERROR(VLOOKUP($F443&amp;RIGHT($K443,8),'Master Data'!$O$5:$P$10,2,FALSE),'Master Data'!$P$4)</f>
        <v>3</v>
      </c>
      <c r="S443" s="57">
        <f>VLOOKUP($I443,'Pricing Table - eff 27-Jan-2026'!$A:$Q,16,FALSE)</f>
        <v>720</v>
      </c>
      <c r="T443" s="57">
        <f>VLOOKUP(I443,'Pricing Table - eff 27-Jan-2026'!$A:$O,15,FALSE)</f>
        <v>7.73</v>
      </c>
      <c r="U443" s="57">
        <f t="shared" si="21"/>
        <v>15876</v>
      </c>
      <c r="V443" s="111">
        <f t="shared" si="20"/>
        <v>15850.480950000003</v>
      </c>
      <c r="W443" s="55">
        <f>VLOOKUP($I443,'Pricing Table - eff 27-Jan-2026'!$A:$R,18,FALSE)</f>
        <v>45</v>
      </c>
    </row>
    <row r="444" spans="1:23" ht="15" hidden="1" thickTop="1" x14ac:dyDescent="0.3">
      <c r="A444" s="55">
        <v>52999884</v>
      </c>
      <c r="B444" s="55">
        <v>0</v>
      </c>
      <c r="C444" s="55" t="str">
        <f>VLOOKUP(A444&amp;"-"&amp;B444,'Order Summary'!$D:$E,2,FALSE)</f>
        <v>Downpayment Received</v>
      </c>
      <c r="D444" s="216">
        <f>IF($A444="","",VLOOKUP($A444&amp;"-"&amp;$B444,'Order Summary'!$D:$U,3,FALSE))</f>
        <v>46063</v>
      </c>
      <c r="E444" s="55" t="str">
        <f>VLOOKUP(A444&amp;"-"&amp;B444,'Order Summary'!$D:$G,4,FALSE)</f>
        <v>Yes</v>
      </c>
      <c r="F444" s="55" t="str">
        <f>VLOOKUP($A444,'Order Summary'!$B:$I,8,FALSE)</f>
        <v>Nampa, ID</v>
      </c>
      <c r="G444" s="216">
        <f>IF($A444="","",VLOOKUP($A444&amp;"-"&amp;$B444,'Order Summary'!$D:$U,18,FALSE))</f>
        <v>46265</v>
      </c>
      <c r="H444" s="55">
        <v>1</v>
      </c>
      <c r="I444" s="55">
        <v>709354</v>
      </c>
      <c r="J444" s="55" t="str">
        <f>VLOOKUP($I444,'Pricing Table - eff 27-Jan-2026'!$A:$R,2,FALSE)</f>
        <v>G1S 709354</v>
      </c>
      <c r="K444" s="55" t="str">
        <f>VLOOKUP($I444,'Pricing Table - eff 27-Jan-2026'!$A:$R,6,FALSE)&amp;" "&amp;VLOOKUP($I444,'Pricing Table - eff 27-Jan-2026'!$A:$R,7,FALSE)&amp;""" x "&amp;VLOOKUP($I444,'Pricing Table - eff 27-Jan-2026'!$A:$R,9,FALSE)&amp;""" "&amp;VLOOKUP($I444,'Pricing Table - eff 27-Jan-2026'!$A:$R,5,FALSE)</f>
        <v>2MM 49" x 90.5" ACP</v>
      </c>
      <c r="L444" s="55">
        <f>VLOOKUP($I444,'Pricing Table - eff 27-Jan-2026'!$A:$K,8,FALSE)</f>
        <v>1245</v>
      </c>
      <c r="M444" s="55">
        <f>VLOOKUP($I444,'Pricing Table - eff 27-Jan-2026'!$A:$K,10,FALSE)</f>
        <v>2300</v>
      </c>
      <c r="N444" s="55" t="str">
        <f>VLOOKUP($I444,'Pricing Table - eff 27-Jan-2026'!$A:$R,13,FALSE)&amp;" "&amp;VLOOKUP($I444,'Pricing Table - eff 27-Jan-2026'!$A:$R,12,FALSE)</f>
        <v>ASC 0096 GLOSSY BLACK</v>
      </c>
      <c r="O444" s="56">
        <v>18.477</v>
      </c>
      <c r="P444" s="55">
        <f>(VLOOKUP($I444,'Pricing Table - eff 27-Jan-2026'!$A:$R,8,FALSE)/1000)*(VLOOKUP($I444,'Pricing Table - eff 27-Jan-2026'!$A:$R,10,FALSE)/1000)*Q444</f>
        <v>1718.1000000000001</v>
      </c>
      <c r="Q444" s="55">
        <f>ROUND(('Order Details'!$O444*1000)/((VLOOKUP($I444,'Pricing Table - eff 27-Jan-2026'!$A:$Q,7,FALSE)/12)*(VLOOKUP($I444,'Pricing Table - eff 27-Jan-2026'!$A:$Q,9,FALSE)/12))/5,0)*5</f>
        <v>600</v>
      </c>
      <c r="R444" s="71">
        <f>$Q444/IFERROR(VLOOKUP($F444&amp;RIGHT($K444,8),'Master Data'!$O$5:$P$10,2,FALSE),'Master Data'!$P$4)</f>
        <v>3</v>
      </c>
      <c r="S444" s="57">
        <f>VLOOKUP($I444,'Pricing Table - eff 27-Jan-2026'!$A:$Q,16,FALSE)</f>
        <v>720</v>
      </c>
      <c r="T444" s="57">
        <f>VLOOKUP(I444,'Pricing Table - eff 27-Jan-2026'!$A:$O,15,FALSE)</f>
        <v>7.73</v>
      </c>
      <c r="U444" s="57">
        <f t="shared" si="21"/>
        <v>13303.44</v>
      </c>
      <c r="V444" s="111">
        <f t="shared" si="20"/>
        <v>13280.913000000002</v>
      </c>
      <c r="W444" s="55">
        <f>VLOOKUP($I444,'Pricing Table - eff 27-Jan-2026'!$A:$R,18,FALSE)</f>
        <v>45</v>
      </c>
    </row>
    <row r="445" spans="1:23" ht="15" hidden="1" thickTop="1" x14ac:dyDescent="0.3">
      <c r="A445" s="55">
        <v>52999884</v>
      </c>
      <c r="B445" s="55">
        <v>0</v>
      </c>
      <c r="C445" s="55" t="str">
        <f>VLOOKUP(A445&amp;"-"&amp;B445,'Order Summary'!$D:$E,2,FALSE)</f>
        <v>Downpayment Received</v>
      </c>
      <c r="D445" s="216">
        <f>IF($A445="","",VLOOKUP($A445&amp;"-"&amp;$B445,'Order Summary'!$D:$U,3,FALSE))</f>
        <v>46063</v>
      </c>
      <c r="E445" s="55" t="str">
        <f>VLOOKUP(A445&amp;"-"&amp;B445,'Order Summary'!$D:$G,4,FALSE)</f>
        <v>Yes</v>
      </c>
      <c r="F445" s="55" t="str">
        <f>VLOOKUP($A445,'Order Summary'!$B:$I,8,FALSE)</f>
        <v>Nampa, ID</v>
      </c>
      <c r="G445" s="216">
        <f>IF($A445="","",VLOOKUP($A445&amp;"-"&amp;$B445,'Order Summary'!$D:$U,18,FALSE))</f>
        <v>46265</v>
      </c>
      <c r="H445" s="55">
        <v>2</v>
      </c>
      <c r="I445" s="55">
        <v>694432</v>
      </c>
      <c r="J445" s="55" t="str">
        <f>VLOOKUP($I445,'Pricing Table - eff 27-Jan-2026'!$A:$R,2,FALSE)</f>
        <v>G1S 694432</v>
      </c>
      <c r="K445" s="55" t="str">
        <f>VLOOKUP($I445,'Pricing Table - eff 27-Jan-2026'!$A:$R,6,FALSE)&amp;" "&amp;VLOOKUP($I445,'Pricing Table - eff 27-Jan-2026'!$A:$R,7,FALSE)&amp;""" x "&amp;VLOOKUP($I445,'Pricing Table - eff 27-Jan-2026'!$A:$R,9,FALSE)&amp;""" "&amp;VLOOKUP($I445,'Pricing Table - eff 27-Jan-2026'!$A:$R,5,FALSE)</f>
        <v>2MM 49" x 96" ACP</v>
      </c>
      <c r="L445" s="55">
        <f>VLOOKUP($I445,'Pricing Table - eff 27-Jan-2026'!$A:$K,8,FALSE)</f>
        <v>1245</v>
      </c>
      <c r="M445" s="55">
        <f>VLOOKUP($I445,'Pricing Table - eff 27-Jan-2026'!$A:$K,10,FALSE)</f>
        <v>2440</v>
      </c>
      <c r="N445" s="55" t="str">
        <f>VLOOKUP($I445,'Pricing Table - eff 27-Jan-2026'!$A:$R,13,FALSE)&amp;" "&amp;VLOOKUP($I445,'Pricing Table - eff 27-Jan-2026'!$A:$R,12,FALSE)</f>
        <v>ASC 0096 GLOSSY BLACK</v>
      </c>
      <c r="O445" s="56">
        <v>45.732999999999997</v>
      </c>
      <c r="P445" s="55">
        <f>(VLOOKUP($I445,'Pricing Table - eff 27-Jan-2026'!$A:$R,8,FALSE)/1000)*(VLOOKUP($I445,'Pricing Table - eff 27-Jan-2026'!$A:$R,10,FALSE)/1000)*Q445</f>
        <v>4252.92</v>
      </c>
      <c r="Q445" s="55">
        <f>ROUND(('Order Details'!$O445*1000)/((VLOOKUP($I445,'Pricing Table - eff 27-Jan-2026'!$A:$Q,7,FALSE)/12)*(VLOOKUP($I445,'Pricing Table - eff 27-Jan-2026'!$A:$Q,9,FALSE)/12))/5,0)*5</f>
        <v>1400</v>
      </c>
      <c r="R445" s="71">
        <f>$Q445/IFERROR(VLOOKUP($F445&amp;RIGHT($K445,8),'Master Data'!$O$5:$P$10,2,FALSE),'Master Data'!$P$4)</f>
        <v>7</v>
      </c>
      <c r="S445" s="57">
        <f>VLOOKUP($I445,'Pricing Table - eff 27-Jan-2026'!$A:$Q,16,FALSE)</f>
        <v>720</v>
      </c>
      <c r="T445" s="57">
        <f>VLOOKUP(I445,'Pricing Table - eff 27-Jan-2026'!$A:$O,15,FALSE)</f>
        <v>7.73</v>
      </c>
      <c r="U445" s="57">
        <f t="shared" si="21"/>
        <v>32927.759999999995</v>
      </c>
      <c r="V445" s="111">
        <f t="shared" si="20"/>
        <v>32875.071600000003</v>
      </c>
      <c r="W445" s="55">
        <f>VLOOKUP($I445,'Pricing Table - eff 27-Jan-2026'!$A:$R,18,FALSE)</f>
        <v>45</v>
      </c>
    </row>
    <row r="446" spans="1:23" ht="15" hidden="1" thickTop="1" x14ac:dyDescent="0.3">
      <c r="A446" s="55">
        <v>52999884</v>
      </c>
      <c r="B446" s="55">
        <v>0</v>
      </c>
      <c r="C446" s="55" t="str">
        <f>VLOOKUP(A446&amp;"-"&amp;B446,'Order Summary'!$D:$E,2,FALSE)</f>
        <v>Downpayment Received</v>
      </c>
      <c r="D446" s="216">
        <f>IF($A446="","",VLOOKUP($A446&amp;"-"&amp;$B446,'Order Summary'!$D:$U,3,FALSE))</f>
        <v>46063</v>
      </c>
      <c r="E446" s="55" t="str">
        <f>VLOOKUP(A446&amp;"-"&amp;B446,'Order Summary'!$D:$G,4,FALSE)</f>
        <v>Yes</v>
      </c>
      <c r="F446" s="55" t="str">
        <f>VLOOKUP($A446,'Order Summary'!$B:$I,8,FALSE)</f>
        <v>Nampa, ID</v>
      </c>
      <c r="G446" s="216">
        <f>IF($A446="","",VLOOKUP($A446&amp;"-"&amp;$B446,'Order Summary'!$D:$U,18,FALSE))</f>
        <v>46265</v>
      </c>
      <c r="H446" s="55">
        <v>3</v>
      </c>
      <c r="I446" s="55">
        <v>694433</v>
      </c>
      <c r="J446" s="55" t="str">
        <f>VLOOKUP($I446,'Pricing Table - eff 27-Jan-2026'!$A:$R,2,FALSE)</f>
        <v>G1S 694433</v>
      </c>
      <c r="K446" s="55" t="str">
        <f>VLOOKUP($I446,'Pricing Table - eff 27-Jan-2026'!$A:$R,6,FALSE)&amp;" "&amp;VLOOKUP($I446,'Pricing Table - eff 27-Jan-2026'!$A:$R,7,FALSE)&amp;""" x "&amp;VLOOKUP($I446,'Pricing Table - eff 27-Jan-2026'!$A:$R,9,FALSE)&amp;""" "&amp;VLOOKUP($I446,'Pricing Table - eff 27-Jan-2026'!$A:$R,5,FALSE)</f>
        <v>2MM 49" x 108" ACP</v>
      </c>
      <c r="L446" s="55">
        <f>VLOOKUP($I446,'Pricing Table - eff 27-Jan-2026'!$A:$K,8,FALSE)</f>
        <v>1245</v>
      </c>
      <c r="M446" s="55">
        <f>VLOOKUP($I446,'Pricing Table - eff 27-Jan-2026'!$A:$K,10,FALSE)</f>
        <v>2745</v>
      </c>
      <c r="N446" s="55" t="str">
        <f>VLOOKUP($I446,'Pricing Table - eff 27-Jan-2026'!$A:$R,13,FALSE)&amp;" "&amp;VLOOKUP($I446,'Pricing Table - eff 27-Jan-2026'!$A:$R,12,FALSE)</f>
        <v>ASC 0096 GLOSSY BLACK</v>
      </c>
      <c r="O446" s="56">
        <v>22.05</v>
      </c>
      <c r="P446" s="55">
        <f>(VLOOKUP($I446,'Pricing Table - eff 27-Jan-2026'!$A:$R,8,FALSE)/1000)*(VLOOKUP($I446,'Pricing Table - eff 27-Jan-2026'!$A:$R,10,FALSE)/1000)*Q446</f>
        <v>2050.5150000000003</v>
      </c>
      <c r="Q446" s="55">
        <f>ROUND(('Order Details'!$O446*1000)/((VLOOKUP($I446,'Pricing Table - eff 27-Jan-2026'!$A:$Q,7,FALSE)/12)*(VLOOKUP($I446,'Pricing Table - eff 27-Jan-2026'!$A:$Q,9,FALSE)/12))/5,0)*5</f>
        <v>600</v>
      </c>
      <c r="R446" s="71">
        <f>$Q446/IFERROR(VLOOKUP($F446&amp;RIGHT($K446,8),'Master Data'!$O$5:$P$10,2,FALSE),'Master Data'!$P$4)</f>
        <v>3</v>
      </c>
      <c r="S446" s="57">
        <f>VLOOKUP($I446,'Pricing Table - eff 27-Jan-2026'!$A:$Q,16,FALSE)</f>
        <v>720</v>
      </c>
      <c r="T446" s="57">
        <f>VLOOKUP(I446,'Pricing Table - eff 27-Jan-2026'!$A:$O,15,FALSE)</f>
        <v>7.73</v>
      </c>
      <c r="U446" s="57">
        <f t="shared" si="21"/>
        <v>15876</v>
      </c>
      <c r="V446" s="111">
        <f t="shared" si="20"/>
        <v>15850.480950000003</v>
      </c>
      <c r="W446" s="55">
        <f>VLOOKUP($I446,'Pricing Table - eff 27-Jan-2026'!$A:$R,18,FALSE)</f>
        <v>45</v>
      </c>
    </row>
    <row r="447" spans="1:23" ht="15" hidden="1" thickTop="1" x14ac:dyDescent="0.3">
      <c r="A447" s="55">
        <v>52999889</v>
      </c>
      <c r="B447" s="55">
        <v>0</v>
      </c>
      <c r="C447" s="55" t="str">
        <f>VLOOKUP(A447&amp;"-"&amp;B447,'Order Summary'!$D:$E,2,FALSE)</f>
        <v>Downpayment Received</v>
      </c>
      <c r="D447" s="216">
        <f>IF($A447="","",VLOOKUP($A447&amp;"-"&amp;$B447,'Order Summary'!$D:$U,3,FALSE))</f>
        <v>46063</v>
      </c>
      <c r="E447" s="55" t="str">
        <f>VLOOKUP(A447&amp;"-"&amp;B447,'Order Summary'!$D:$G,4,FALSE)</f>
        <v>Yes</v>
      </c>
      <c r="F447" s="55" t="str">
        <f>VLOOKUP($A447,'Order Summary'!$B:$I,8,FALSE)</f>
        <v>Nampa, ID</v>
      </c>
      <c r="G447" s="216">
        <f>IF($A447="","",VLOOKUP($A447&amp;"-"&amp;$B447,'Order Summary'!$D:$U,18,FALSE))</f>
        <v>46265</v>
      </c>
      <c r="H447" s="55">
        <v>1</v>
      </c>
      <c r="I447" s="55">
        <v>694672</v>
      </c>
      <c r="J447" s="55" t="str">
        <f>VLOOKUP($I447,'Pricing Table - eff 27-Jan-2026'!$A:$R,2,FALSE)</f>
        <v>G1S 694672</v>
      </c>
      <c r="K447" s="55" t="str">
        <f>VLOOKUP($I447,'Pricing Table - eff 27-Jan-2026'!$A:$R,6,FALSE)&amp;" "&amp;VLOOKUP($I447,'Pricing Table - eff 27-Jan-2026'!$A:$R,7,FALSE)&amp;""" x "&amp;VLOOKUP($I447,'Pricing Table - eff 27-Jan-2026'!$A:$R,9,FALSE)&amp;""" "&amp;VLOOKUP($I447,'Pricing Table - eff 27-Jan-2026'!$A:$R,5,FALSE)</f>
        <v>2MM 49" x 96" ACP</v>
      </c>
      <c r="L447" s="55">
        <f>VLOOKUP($I447,'Pricing Table - eff 27-Jan-2026'!$A:$K,8,FALSE)</f>
        <v>1245</v>
      </c>
      <c r="M447" s="55">
        <f>VLOOKUP($I447,'Pricing Table - eff 27-Jan-2026'!$A:$K,10,FALSE)</f>
        <v>2440</v>
      </c>
      <c r="N447" s="55" t="str">
        <f>VLOOKUP($I447,'Pricing Table - eff 27-Jan-2026'!$A:$R,13,FALSE)&amp;" "&amp;VLOOKUP($I447,'Pricing Table - eff 27-Jan-2026'!$A:$R,12,FALSE)</f>
        <v>ASC 0089 VICTORY RED</v>
      </c>
      <c r="O447" s="56">
        <v>26.132999999999999</v>
      </c>
      <c r="P447" s="55">
        <f>(VLOOKUP($I447,'Pricing Table - eff 27-Jan-2026'!$A:$R,8,FALSE)/1000)*(VLOOKUP($I447,'Pricing Table - eff 27-Jan-2026'!$A:$R,10,FALSE)/1000)*Q447</f>
        <v>2430.2400000000002</v>
      </c>
      <c r="Q447" s="55">
        <f>ROUND(('Order Details'!$O447*1000)/((VLOOKUP($I447,'Pricing Table - eff 27-Jan-2026'!$A:$Q,7,FALSE)/12)*(VLOOKUP($I447,'Pricing Table - eff 27-Jan-2026'!$A:$Q,9,FALSE)/12))/5,0)*5</f>
        <v>800</v>
      </c>
      <c r="R447" s="71">
        <f>$Q447/IFERROR(VLOOKUP($F447&amp;RIGHT($K447,8),'Master Data'!$O$5:$P$10,2,FALSE),'Master Data'!$P$4)</f>
        <v>4</v>
      </c>
      <c r="S447" s="57">
        <f>VLOOKUP($I447,'Pricing Table - eff 27-Jan-2026'!$A:$Q,16,FALSE)</f>
        <v>720</v>
      </c>
      <c r="T447" s="57">
        <f>VLOOKUP(I447,'Pricing Table - eff 27-Jan-2026'!$A:$O,15,FALSE)</f>
        <v>7.73</v>
      </c>
      <c r="U447" s="57">
        <f t="shared" si="21"/>
        <v>18815.759999999998</v>
      </c>
      <c r="V447" s="111">
        <f t="shared" ref="V447:V510" si="22">P447*T447</f>
        <v>18785.755200000003</v>
      </c>
      <c r="W447" s="55">
        <f>VLOOKUP($I447,'Pricing Table - eff 27-Jan-2026'!$A:$R,18,FALSE)</f>
        <v>45</v>
      </c>
    </row>
    <row r="448" spans="1:23" ht="15" hidden="1" thickTop="1" x14ac:dyDescent="0.3">
      <c r="A448" s="55">
        <v>52999889</v>
      </c>
      <c r="B448" s="55">
        <v>0</v>
      </c>
      <c r="C448" s="55" t="str">
        <f>VLOOKUP(A448&amp;"-"&amp;B448,'Order Summary'!$D:$E,2,FALSE)</f>
        <v>Downpayment Received</v>
      </c>
      <c r="D448" s="216">
        <f>IF($A448="","",VLOOKUP($A448&amp;"-"&amp;$B448,'Order Summary'!$D:$U,3,FALSE))</f>
        <v>46063</v>
      </c>
      <c r="E448" s="55" t="str">
        <f>VLOOKUP(A448&amp;"-"&amp;B448,'Order Summary'!$D:$G,4,FALSE)</f>
        <v>Yes</v>
      </c>
      <c r="F448" s="55" t="str">
        <f>VLOOKUP($A448,'Order Summary'!$B:$I,8,FALSE)</f>
        <v>Nampa, ID</v>
      </c>
      <c r="G448" s="216">
        <f>IF($A448="","",VLOOKUP($A448&amp;"-"&amp;$B448,'Order Summary'!$D:$U,18,FALSE))</f>
        <v>46265</v>
      </c>
      <c r="H448" s="55">
        <v>2</v>
      </c>
      <c r="I448" s="55">
        <v>694673</v>
      </c>
      <c r="J448" s="55" t="str">
        <f>VLOOKUP($I448,'Pricing Table - eff 27-Jan-2026'!$A:$R,2,FALSE)</f>
        <v>G1S 694673</v>
      </c>
      <c r="K448" s="55" t="str">
        <f>VLOOKUP($I448,'Pricing Table - eff 27-Jan-2026'!$A:$R,6,FALSE)&amp;" "&amp;VLOOKUP($I448,'Pricing Table - eff 27-Jan-2026'!$A:$R,7,FALSE)&amp;""" x "&amp;VLOOKUP($I448,'Pricing Table - eff 27-Jan-2026'!$A:$R,9,FALSE)&amp;""" "&amp;VLOOKUP($I448,'Pricing Table - eff 27-Jan-2026'!$A:$R,5,FALSE)</f>
        <v>2MM 49" x 108" ACP</v>
      </c>
      <c r="L448" s="55">
        <f>VLOOKUP($I448,'Pricing Table - eff 27-Jan-2026'!$A:$K,8,FALSE)</f>
        <v>1245</v>
      </c>
      <c r="M448" s="55">
        <f>VLOOKUP($I448,'Pricing Table - eff 27-Jan-2026'!$A:$K,10,FALSE)</f>
        <v>2745</v>
      </c>
      <c r="N448" s="55" t="str">
        <f>VLOOKUP($I448,'Pricing Table - eff 27-Jan-2026'!$A:$R,13,FALSE)&amp;" "&amp;VLOOKUP($I448,'Pricing Table - eff 27-Jan-2026'!$A:$R,12,FALSE)</f>
        <v>ASC 0089 VICTORY RED</v>
      </c>
      <c r="O448" s="56">
        <v>14.7</v>
      </c>
      <c r="P448" s="55">
        <f>(VLOOKUP($I448,'Pricing Table - eff 27-Jan-2026'!$A:$R,8,FALSE)/1000)*(VLOOKUP($I448,'Pricing Table - eff 27-Jan-2026'!$A:$R,10,FALSE)/1000)*Q448</f>
        <v>1367.0100000000002</v>
      </c>
      <c r="Q448" s="55">
        <f>ROUND(('Order Details'!$O448*1000)/((VLOOKUP($I448,'Pricing Table - eff 27-Jan-2026'!$A:$Q,7,FALSE)/12)*(VLOOKUP($I448,'Pricing Table - eff 27-Jan-2026'!$A:$Q,9,FALSE)/12))/5,0)*5</f>
        <v>400</v>
      </c>
      <c r="R448" s="71">
        <f>$Q448/IFERROR(VLOOKUP($F448&amp;RIGHT($K448,8),'Master Data'!$O$5:$P$10,2,FALSE),'Master Data'!$P$4)</f>
        <v>2</v>
      </c>
      <c r="S448" s="57">
        <f>VLOOKUP($I448,'Pricing Table - eff 27-Jan-2026'!$A:$Q,16,FALSE)</f>
        <v>720</v>
      </c>
      <c r="T448" s="57">
        <f>VLOOKUP(I448,'Pricing Table - eff 27-Jan-2026'!$A:$O,15,FALSE)</f>
        <v>7.73</v>
      </c>
      <c r="U448" s="57">
        <f t="shared" si="21"/>
        <v>10584</v>
      </c>
      <c r="V448" s="111">
        <f t="shared" si="22"/>
        <v>10566.987300000003</v>
      </c>
      <c r="W448" s="55">
        <f>VLOOKUP($I448,'Pricing Table - eff 27-Jan-2026'!$A:$R,18,FALSE)</f>
        <v>45</v>
      </c>
    </row>
    <row r="449" spans="1:23" ht="15" hidden="1" thickTop="1" x14ac:dyDescent="0.3">
      <c r="A449" s="55">
        <v>52999889</v>
      </c>
      <c r="B449" s="55">
        <v>0</v>
      </c>
      <c r="C449" s="55" t="str">
        <f>VLOOKUP(A449&amp;"-"&amp;B449,'Order Summary'!$D:$E,2,FALSE)</f>
        <v>Downpayment Received</v>
      </c>
      <c r="D449" s="216">
        <f>IF($A449="","",VLOOKUP($A449&amp;"-"&amp;$B449,'Order Summary'!$D:$U,3,FALSE))</f>
        <v>46063</v>
      </c>
      <c r="E449" s="55" t="str">
        <f>VLOOKUP(A449&amp;"-"&amp;B449,'Order Summary'!$D:$G,4,FALSE)</f>
        <v>Yes</v>
      </c>
      <c r="F449" s="55" t="str">
        <f>VLOOKUP($A449,'Order Summary'!$B:$I,8,FALSE)</f>
        <v>Nampa, ID</v>
      </c>
      <c r="G449" s="216">
        <f>IF($A449="","",VLOOKUP($A449&amp;"-"&amp;$B449,'Order Summary'!$D:$U,18,FALSE))</f>
        <v>46265</v>
      </c>
      <c r="H449" s="55">
        <v>3</v>
      </c>
      <c r="I449" s="55">
        <v>695620</v>
      </c>
      <c r="J449" s="55" t="str">
        <f>VLOOKUP($I449,'Pricing Table - eff 27-Jan-2026'!$A:$R,2,FALSE)</f>
        <v>G1S 695620</v>
      </c>
      <c r="K449" s="55" t="str">
        <f>VLOOKUP($I449,'Pricing Table - eff 27-Jan-2026'!$A:$R,6,FALSE)&amp;" "&amp;VLOOKUP($I449,'Pricing Table - eff 27-Jan-2026'!$A:$R,7,FALSE)&amp;""" x "&amp;VLOOKUP($I449,'Pricing Table - eff 27-Jan-2026'!$A:$R,9,FALSE)&amp;""" "&amp;VLOOKUP($I449,'Pricing Table - eff 27-Jan-2026'!$A:$R,5,FALSE)</f>
        <v>2MM 49" x 96" ACP</v>
      </c>
      <c r="L449" s="55">
        <f>VLOOKUP($I449,'Pricing Table - eff 27-Jan-2026'!$A:$K,8,FALSE)</f>
        <v>1245</v>
      </c>
      <c r="M449" s="55">
        <f>VLOOKUP($I449,'Pricing Table - eff 27-Jan-2026'!$A:$K,10,FALSE)</f>
        <v>2440</v>
      </c>
      <c r="N449" s="55" t="str">
        <f>VLOOKUP($I449,'Pricing Table - eff 27-Jan-2026'!$A:$R,13,FALSE)&amp;" "&amp;VLOOKUP($I449,'Pricing Table - eff 27-Jan-2026'!$A:$R,12,FALSE)</f>
        <v>ASC 0105 INDIGO BLUE</v>
      </c>
      <c r="O449" s="56">
        <v>26.132999999999999</v>
      </c>
      <c r="P449" s="55">
        <f>(VLOOKUP($I449,'Pricing Table - eff 27-Jan-2026'!$A:$R,8,FALSE)/1000)*(VLOOKUP($I449,'Pricing Table - eff 27-Jan-2026'!$A:$R,10,FALSE)/1000)*Q449</f>
        <v>2430.2400000000002</v>
      </c>
      <c r="Q449" s="55">
        <f>ROUND(('Order Details'!$O449*1000)/((VLOOKUP($I449,'Pricing Table - eff 27-Jan-2026'!$A:$Q,7,FALSE)/12)*(VLOOKUP($I449,'Pricing Table - eff 27-Jan-2026'!$A:$Q,9,FALSE)/12))/5,0)*5</f>
        <v>800</v>
      </c>
      <c r="R449" s="71">
        <f>$Q449/IFERROR(VLOOKUP($F449&amp;RIGHT($K449,8),'Master Data'!$O$5:$P$10,2,FALSE),'Master Data'!$P$4)</f>
        <v>4</v>
      </c>
      <c r="S449" s="57">
        <f>VLOOKUP($I449,'Pricing Table - eff 27-Jan-2026'!$A:$Q,16,FALSE)</f>
        <v>770</v>
      </c>
      <c r="T449" s="57">
        <f>VLOOKUP(I449,'Pricing Table - eff 27-Jan-2026'!$A:$O,15,FALSE)</f>
        <v>8.27</v>
      </c>
      <c r="U449" s="57">
        <f t="shared" si="21"/>
        <v>20122.41</v>
      </c>
      <c r="V449" s="111">
        <f t="shared" si="22"/>
        <v>20098.084800000001</v>
      </c>
      <c r="W449" s="55">
        <f>VLOOKUP($I449,'Pricing Table - eff 27-Jan-2026'!$A:$R,18,FALSE)</f>
        <v>45</v>
      </c>
    </row>
    <row r="450" spans="1:23" ht="15" hidden="1" thickTop="1" x14ac:dyDescent="0.3">
      <c r="A450" s="55">
        <v>52999889</v>
      </c>
      <c r="B450" s="55">
        <v>0</v>
      </c>
      <c r="C450" s="55" t="str">
        <f>VLOOKUP(A450&amp;"-"&amp;B450,'Order Summary'!$D:$E,2,FALSE)</f>
        <v>Downpayment Received</v>
      </c>
      <c r="D450" s="216">
        <f>IF($A450="","",VLOOKUP($A450&amp;"-"&amp;$B450,'Order Summary'!$D:$U,3,FALSE))</f>
        <v>46063</v>
      </c>
      <c r="E450" s="55" t="str">
        <f>VLOOKUP(A450&amp;"-"&amp;B450,'Order Summary'!$D:$G,4,FALSE)</f>
        <v>Yes</v>
      </c>
      <c r="F450" s="55" t="str">
        <f>VLOOKUP($A450,'Order Summary'!$B:$I,8,FALSE)</f>
        <v>Nampa, ID</v>
      </c>
      <c r="G450" s="216">
        <f>IF($A450="","",VLOOKUP($A450&amp;"-"&amp;$B450,'Order Summary'!$D:$U,18,FALSE))</f>
        <v>46265</v>
      </c>
      <c r="H450" s="55">
        <v>4</v>
      </c>
      <c r="I450" s="55">
        <v>695621</v>
      </c>
      <c r="J450" s="55" t="str">
        <f>VLOOKUP($I450,'Pricing Table - eff 27-Jan-2026'!$A:$R,2,FALSE)</f>
        <v>G1S 695621</v>
      </c>
      <c r="K450" s="55" t="str">
        <f>VLOOKUP($I450,'Pricing Table - eff 27-Jan-2026'!$A:$R,6,FALSE)&amp;" "&amp;VLOOKUP($I450,'Pricing Table - eff 27-Jan-2026'!$A:$R,7,FALSE)&amp;""" x "&amp;VLOOKUP($I450,'Pricing Table - eff 27-Jan-2026'!$A:$R,9,FALSE)&amp;""" "&amp;VLOOKUP($I450,'Pricing Table - eff 27-Jan-2026'!$A:$R,5,FALSE)</f>
        <v>2MM 49" x 108" ACP</v>
      </c>
      <c r="L450" s="55">
        <f>VLOOKUP($I450,'Pricing Table - eff 27-Jan-2026'!$A:$K,8,FALSE)</f>
        <v>1245</v>
      </c>
      <c r="M450" s="55">
        <f>VLOOKUP($I450,'Pricing Table - eff 27-Jan-2026'!$A:$K,10,FALSE)</f>
        <v>2745</v>
      </c>
      <c r="N450" s="55" t="str">
        <f>VLOOKUP($I450,'Pricing Table - eff 27-Jan-2026'!$A:$R,13,FALSE)&amp;" "&amp;VLOOKUP($I450,'Pricing Table - eff 27-Jan-2026'!$A:$R,12,FALSE)</f>
        <v>ASC 0105 INDIGO BLUE</v>
      </c>
      <c r="O450" s="56">
        <v>22.05</v>
      </c>
      <c r="P450" s="55">
        <f>(VLOOKUP($I450,'Pricing Table - eff 27-Jan-2026'!$A:$R,8,FALSE)/1000)*(VLOOKUP($I450,'Pricing Table - eff 27-Jan-2026'!$A:$R,10,FALSE)/1000)*Q450</f>
        <v>2050.5150000000003</v>
      </c>
      <c r="Q450" s="55">
        <f>ROUND(('Order Details'!$O450*1000)/((VLOOKUP($I450,'Pricing Table - eff 27-Jan-2026'!$A:$Q,7,FALSE)/12)*(VLOOKUP($I450,'Pricing Table - eff 27-Jan-2026'!$A:$Q,9,FALSE)/12))/5,0)*5</f>
        <v>600</v>
      </c>
      <c r="R450" s="71">
        <f>$Q450/IFERROR(VLOOKUP($F450&amp;RIGHT($K450,8),'Master Data'!$O$5:$P$10,2,FALSE),'Master Data'!$P$4)</f>
        <v>3</v>
      </c>
      <c r="S450" s="57">
        <f>VLOOKUP($I450,'Pricing Table - eff 27-Jan-2026'!$A:$Q,16,FALSE)</f>
        <v>770</v>
      </c>
      <c r="T450" s="57">
        <f>VLOOKUP(I450,'Pricing Table - eff 27-Jan-2026'!$A:$O,15,FALSE)</f>
        <v>8.27</v>
      </c>
      <c r="U450" s="57">
        <f t="shared" si="21"/>
        <v>16978.5</v>
      </c>
      <c r="V450" s="111">
        <f t="shared" si="22"/>
        <v>16957.759050000001</v>
      </c>
      <c r="W450" s="55">
        <f>VLOOKUP($I450,'Pricing Table - eff 27-Jan-2026'!$A:$R,18,FALSE)</f>
        <v>45</v>
      </c>
    </row>
    <row r="451" spans="1:23" ht="15" hidden="1" thickTop="1" x14ac:dyDescent="0.3">
      <c r="A451" s="55">
        <v>24189318</v>
      </c>
      <c r="B451" s="55">
        <v>0</v>
      </c>
      <c r="C451" s="55" t="str">
        <f>VLOOKUP(A451&amp;"-"&amp;B451,'Order Summary'!$D:$E,2,FALSE)</f>
        <v>Downpayment Received</v>
      </c>
      <c r="D451" s="216">
        <f>IF($A451="","",VLOOKUP($A451&amp;"-"&amp;$B451,'Order Summary'!$D:$U,3,FALSE))</f>
        <v>46063</v>
      </c>
      <c r="E451" s="55" t="str">
        <f>VLOOKUP(A451&amp;"-"&amp;B451,'Order Summary'!$D:$G,4,FALSE)</f>
        <v>Yes</v>
      </c>
      <c r="F451" s="55" t="str">
        <f>VLOOKUP($A451,'Order Summary'!$B:$I,8,FALSE)</f>
        <v>Gordon, PA</v>
      </c>
      <c r="G451" s="216">
        <f>IF($A451="","",VLOOKUP($A451&amp;"-"&amp;$B451,'Order Summary'!$D:$U,18,FALSE))</f>
        <v>46302</v>
      </c>
      <c r="H451" s="55">
        <v>1</v>
      </c>
      <c r="I451" s="55">
        <v>694432</v>
      </c>
      <c r="J451" s="55" t="str">
        <f>VLOOKUP($I451,'Pricing Table - eff 27-Jan-2026'!$A:$R,2,FALSE)</f>
        <v>G1S 694432</v>
      </c>
      <c r="K451" s="55" t="str">
        <f>VLOOKUP($I451,'Pricing Table - eff 27-Jan-2026'!$A:$R,6,FALSE)&amp;" "&amp;VLOOKUP($I451,'Pricing Table - eff 27-Jan-2026'!$A:$R,7,FALSE)&amp;""" x "&amp;VLOOKUP($I451,'Pricing Table - eff 27-Jan-2026'!$A:$R,9,FALSE)&amp;""" "&amp;VLOOKUP($I451,'Pricing Table - eff 27-Jan-2026'!$A:$R,5,FALSE)</f>
        <v>2MM 49" x 96" ACP</v>
      </c>
      <c r="L451" s="55">
        <f>VLOOKUP($I451,'Pricing Table - eff 27-Jan-2026'!$A:$K,8,FALSE)</f>
        <v>1245</v>
      </c>
      <c r="M451" s="55">
        <f>VLOOKUP($I451,'Pricing Table - eff 27-Jan-2026'!$A:$K,10,FALSE)</f>
        <v>2440</v>
      </c>
      <c r="N451" s="55" t="str">
        <f>VLOOKUP($I451,'Pricing Table - eff 27-Jan-2026'!$A:$R,13,FALSE)&amp;" "&amp;VLOOKUP($I451,'Pricing Table - eff 27-Jan-2026'!$A:$R,12,FALSE)</f>
        <v>ASC 0096 GLOSSY BLACK</v>
      </c>
      <c r="O451" s="56">
        <v>13.067</v>
      </c>
      <c r="P451" s="55">
        <f>(VLOOKUP($I451,'Pricing Table - eff 27-Jan-2026'!$A:$R,8,FALSE)/1000)*(VLOOKUP($I451,'Pricing Table - eff 27-Jan-2026'!$A:$R,10,FALSE)/1000)*Q451</f>
        <v>1215.1200000000001</v>
      </c>
      <c r="Q451" s="55">
        <f>ROUND(('Order Details'!$O451*1000)/((VLOOKUP($I451,'Pricing Table - eff 27-Jan-2026'!$A:$Q,7,FALSE)/12)*(VLOOKUP($I451,'Pricing Table - eff 27-Jan-2026'!$A:$Q,9,FALSE)/12))/5,0)*5</f>
        <v>400</v>
      </c>
      <c r="R451" s="71">
        <f>$Q451/IFERROR(VLOOKUP($F451&amp;RIGHT($K451,8),'Master Data'!$O$5:$P$10,2,FALSE),'Master Data'!$P$4)</f>
        <v>2</v>
      </c>
      <c r="S451" s="57">
        <f>VLOOKUP($I451,'Pricing Table - eff 27-Jan-2026'!$A:$Q,16,FALSE)</f>
        <v>720</v>
      </c>
      <c r="T451" s="57">
        <f>VLOOKUP(I451,'Pricing Table - eff 27-Jan-2026'!$A:$O,15,FALSE)</f>
        <v>7.73</v>
      </c>
      <c r="U451" s="57">
        <f t="shared" si="21"/>
        <v>9408.24</v>
      </c>
      <c r="V451" s="111">
        <f t="shared" si="22"/>
        <v>9392.8776000000016</v>
      </c>
      <c r="W451" s="55">
        <f>VLOOKUP($I451,'Pricing Table - eff 27-Jan-2026'!$A:$R,18,FALSE)</f>
        <v>45</v>
      </c>
    </row>
    <row r="452" spans="1:23" ht="15" hidden="1" thickTop="1" x14ac:dyDescent="0.3">
      <c r="A452" s="55">
        <v>24189318</v>
      </c>
      <c r="B452" s="55">
        <v>0</v>
      </c>
      <c r="C452" s="55" t="str">
        <f>VLOOKUP(A452&amp;"-"&amp;B452,'Order Summary'!$D:$E,2,FALSE)</f>
        <v>Downpayment Received</v>
      </c>
      <c r="D452" s="216">
        <f>IF($A452="","",VLOOKUP($A452&amp;"-"&amp;$B452,'Order Summary'!$D:$U,3,FALSE))</f>
        <v>46063</v>
      </c>
      <c r="E452" s="55" t="str">
        <f>VLOOKUP(A452&amp;"-"&amp;B452,'Order Summary'!$D:$G,4,FALSE)</f>
        <v>Yes</v>
      </c>
      <c r="F452" s="55" t="str">
        <f>VLOOKUP($A452,'Order Summary'!$B:$I,8,FALSE)</f>
        <v>Gordon, PA</v>
      </c>
      <c r="G452" s="216">
        <f>IF($A452="","",VLOOKUP($A452&amp;"-"&amp;$B452,'Order Summary'!$D:$U,18,FALSE))</f>
        <v>46302</v>
      </c>
      <c r="H452" s="55">
        <v>2</v>
      </c>
      <c r="I452" s="55">
        <v>694433</v>
      </c>
      <c r="J452" s="55" t="str">
        <f>VLOOKUP($I452,'Pricing Table - eff 27-Jan-2026'!$A:$R,2,FALSE)</f>
        <v>G1S 694433</v>
      </c>
      <c r="K452" s="55" t="str">
        <f>VLOOKUP($I452,'Pricing Table - eff 27-Jan-2026'!$A:$R,6,FALSE)&amp;" "&amp;VLOOKUP($I452,'Pricing Table - eff 27-Jan-2026'!$A:$R,7,FALSE)&amp;""" x "&amp;VLOOKUP($I452,'Pricing Table - eff 27-Jan-2026'!$A:$R,9,FALSE)&amp;""" "&amp;VLOOKUP($I452,'Pricing Table - eff 27-Jan-2026'!$A:$R,5,FALSE)</f>
        <v>2MM 49" x 108" ACP</v>
      </c>
      <c r="L452" s="55">
        <f>VLOOKUP($I452,'Pricing Table - eff 27-Jan-2026'!$A:$K,8,FALSE)</f>
        <v>1245</v>
      </c>
      <c r="M452" s="55">
        <f>VLOOKUP($I452,'Pricing Table - eff 27-Jan-2026'!$A:$K,10,FALSE)</f>
        <v>2745</v>
      </c>
      <c r="N452" s="55" t="str">
        <f>VLOOKUP($I452,'Pricing Table - eff 27-Jan-2026'!$A:$R,13,FALSE)&amp;" "&amp;VLOOKUP($I452,'Pricing Table - eff 27-Jan-2026'!$A:$R,12,FALSE)</f>
        <v>ASC 0096 GLOSSY BLACK</v>
      </c>
      <c r="O452" s="56">
        <v>14.7</v>
      </c>
      <c r="P452" s="55">
        <f>(VLOOKUP($I452,'Pricing Table - eff 27-Jan-2026'!$A:$R,8,FALSE)/1000)*(VLOOKUP($I452,'Pricing Table - eff 27-Jan-2026'!$A:$R,10,FALSE)/1000)*Q452</f>
        <v>1367.0100000000002</v>
      </c>
      <c r="Q452" s="55">
        <f>ROUND(('Order Details'!$O452*1000)/((VLOOKUP($I452,'Pricing Table - eff 27-Jan-2026'!$A:$Q,7,FALSE)/12)*(VLOOKUP($I452,'Pricing Table - eff 27-Jan-2026'!$A:$Q,9,FALSE)/12))/5,0)*5</f>
        <v>400</v>
      </c>
      <c r="R452" s="71">
        <f>$Q452/IFERROR(VLOOKUP($F452&amp;RIGHT($K452,8),'Master Data'!$O$5:$P$10,2,FALSE),'Master Data'!$P$4)</f>
        <v>2</v>
      </c>
      <c r="S452" s="57">
        <f>VLOOKUP($I452,'Pricing Table - eff 27-Jan-2026'!$A:$Q,16,FALSE)</f>
        <v>720</v>
      </c>
      <c r="T452" s="57">
        <f>VLOOKUP(I452,'Pricing Table - eff 27-Jan-2026'!$A:$O,15,FALSE)</f>
        <v>7.73</v>
      </c>
      <c r="U452" s="57">
        <f t="shared" si="21"/>
        <v>10584</v>
      </c>
      <c r="V452" s="111">
        <f t="shared" si="22"/>
        <v>10566.987300000003</v>
      </c>
      <c r="W452" s="55">
        <f>VLOOKUP($I452,'Pricing Table - eff 27-Jan-2026'!$A:$R,18,FALSE)</f>
        <v>45</v>
      </c>
    </row>
    <row r="453" spans="1:23" ht="15" hidden="1" thickTop="1" x14ac:dyDescent="0.3">
      <c r="A453" s="55">
        <v>24189318</v>
      </c>
      <c r="B453" s="55">
        <v>0</v>
      </c>
      <c r="C453" s="55" t="str">
        <f>VLOOKUP(A453&amp;"-"&amp;B453,'Order Summary'!$D:$E,2,FALSE)</f>
        <v>Downpayment Received</v>
      </c>
      <c r="D453" s="216">
        <f>IF($A453="","",VLOOKUP($A453&amp;"-"&amp;$B453,'Order Summary'!$D:$U,3,FALSE))</f>
        <v>46063</v>
      </c>
      <c r="E453" s="55" t="str">
        <f>VLOOKUP(A453&amp;"-"&amp;B453,'Order Summary'!$D:$G,4,FALSE)</f>
        <v>Yes</v>
      </c>
      <c r="F453" s="55" t="str">
        <f>VLOOKUP($A453,'Order Summary'!$B:$I,8,FALSE)</f>
        <v>Gordon, PA</v>
      </c>
      <c r="G453" s="216">
        <f>IF($A453="","",VLOOKUP($A453&amp;"-"&amp;$B453,'Order Summary'!$D:$U,18,FALSE))</f>
        <v>46302</v>
      </c>
      <c r="H453" s="55">
        <v>3</v>
      </c>
      <c r="I453" s="55">
        <v>694436</v>
      </c>
      <c r="J453" s="55" t="str">
        <f>VLOOKUP($I453,'Pricing Table - eff 27-Jan-2026'!$A:$R,2,FALSE)</f>
        <v>G1S 694436</v>
      </c>
      <c r="K453" s="55" t="str">
        <f>VLOOKUP($I453,'Pricing Table - eff 27-Jan-2026'!$A:$R,6,FALSE)&amp;" "&amp;VLOOKUP($I453,'Pricing Table - eff 27-Jan-2026'!$A:$R,7,FALSE)&amp;""" x "&amp;VLOOKUP($I453,'Pricing Table - eff 27-Jan-2026'!$A:$R,9,FALSE)&amp;""" "&amp;VLOOKUP($I453,'Pricing Table - eff 27-Jan-2026'!$A:$R,5,FALSE)</f>
        <v>2MM 49" x 96" ACP</v>
      </c>
      <c r="L453" s="55">
        <f>VLOOKUP($I453,'Pricing Table - eff 27-Jan-2026'!$A:$K,8,FALSE)</f>
        <v>1245</v>
      </c>
      <c r="M453" s="55">
        <f>VLOOKUP($I453,'Pricing Table - eff 27-Jan-2026'!$A:$K,10,FALSE)</f>
        <v>2440</v>
      </c>
      <c r="N453" s="55" t="str">
        <f>VLOOKUP($I453,'Pricing Table - eff 27-Jan-2026'!$A:$R,13,FALSE)&amp;" "&amp;VLOOKUP($I453,'Pricing Table - eff 27-Jan-2026'!$A:$R,12,FALSE)</f>
        <v>ASC 0069 GLOSSY WHITE</v>
      </c>
      <c r="O453" s="56">
        <v>13.067</v>
      </c>
      <c r="P453" s="55">
        <f>(VLOOKUP($I453,'Pricing Table - eff 27-Jan-2026'!$A:$R,8,FALSE)/1000)*(VLOOKUP($I453,'Pricing Table - eff 27-Jan-2026'!$A:$R,10,FALSE)/1000)*Q453</f>
        <v>1215.1200000000001</v>
      </c>
      <c r="Q453" s="55">
        <f>ROUND(('Order Details'!$O453*1000)/((VLOOKUP($I453,'Pricing Table - eff 27-Jan-2026'!$A:$Q,7,FALSE)/12)*(VLOOKUP($I453,'Pricing Table - eff 27-Jan-2026'!$A:$Q,9,FALSE)/12))/5,0)*5</f>
        <v>400</v>
      </c>
      <c r="R453" s="71">
        <f>$Q453/IFERROR(VLOOKUP($F453&amp;RIGHT($K453,8),'Master Data'!$O$5:$P$10,2,FALSE),'Master Data'!$P$4)</f>
        <v>2</v>
      </c>
      <c r="S453" s="57">
        <f>VLOOKUP($I453,'Pricing Table - eff 27-Jan-2026'!$A:$Q,16,FALSE)</f>
        <v>720</v>
      </c>
      <c r="T453" s="57">
        <f>VLOOKUP(I453,'Pricing Table - eff 27-Jan-2026'!$A:$O,15,FALSE)</f>
        <v>7.73</v>
      </c>
      <c r="U453" s="57">
        <f t="shared" si="21"/>
        <v>9408.24</v>
      </c>
      <c r="V453" s="111">
        <f t="shared" si="22"/>
        <v>9392.8776000000016</v>
      </c>
      <c r="W453" s="55">
        <f>VLOOKUP($I453,'Pricing Table - eff 27-Jan-2026'!$A:$R,18,FALSE)</f>
        <v>45</v>
      </c>
    </row>
    <row r="454" spans="1:23" ht="15" hidden="1" thickTop="1" x14ac:dyDescent="0.3">
      <c r="A454" s="55">
        <v>24189318</v>
      </c>
      <c r="B454" s="55">
        <v>0</v>
      </c>
      <c r="C454" s="55" t="str">
        <f>VLOOKUP(A454&amp;"-"&amp;B454,'Order Summary'!$D:$E,2,FALSE)</f>
        <v>Downpayment Received</v>
      </c>
      <c r="D454" s="216">
        <f>IF($A454="","",VLOOKUP($A454&amp;"-"&amp;$B454,'Order Summary'!$D:$U,3,FALSE))</f>
        <v>46063</v>
      </c>
      <c r="E454" s="55" t="str">
        <f>VLOOKUP(A454&amp;"-"&amp;B454,'Order Summary'!$D:$G,4,FALSE)</f>
        <v>Yes</v>
      </c>
      <c r="F454" s="55" t="str">
        <f>VLOOKUP($A454,'Order Summary'!$B:$I,8,FALSE)</f>
        <v>Gordon, PA</v>
      </c>
      <c r="G454" s="216">
        <f>IF($A454="","",VLOOKUP($A454&amp;"-"&amp;$B454,'Order Summary'!$D:$U,18,FALSE))</f>
        <v>46302</v>
      </c>
      <c r="H454" s="55">
        <v>4</v>
      </c>
      <c r="I454" s="55">
        <v>694437</v>
      </c>
      <c r="J454" s="55" t="str">
        <f>VLOOKUP($I454,'Pricing Table - eff 27-Jan-2026'!$A:$R,2,FALSE)</f>
        <v>G1S 694437</v>
      </c>
      <c r="K454" s="55" t="str">
        <f>VLOOKUP($I454,'Pricing Table - eff 27-Jan-2026'!$A:$R,6,FALSE)&amp;" "&amp;VLOOKUP($I454,'Pricing Table - eff 27-Jan-2026'!$A:$R,7,FALSE)&amp;""" x "&amp;VLOOKUP($I454,'Pricing Table - eff 27-Jan-2026'!$A:$R,9,FALSE)&amp;""" "&amp;VLOOKUP($I454,'Pricing Table - eff 27-Jan-2026'!$A:$R,5,FALSE)</f>
        <v>2MM 49" x 108" ACP</v>
      </c>
      <c r="L454" s="55">
        <f>VLOOKUP($I454,'Pricing Table - eff 27-Jan-2026'!$A:$K,8,FALSE)</f>
        <v>1245</v>
      </c>
      <c r="M454" s="55">
        <f>VLOOKUP($I454,'Pricing Table - eff 27-Jan-2026'!$A:$K,10,FALSE)</f>
        <v>2745</v>
      </c>
      <c r="N454" s="55" t="str">
        <f>VLOOKUP($I454,'Pricing Table - eff 27-Jan-2026'!$A:$R,13,FALSE)&amp;" "&amp;VLOOKUP($I454,'Pricing Table - eff 27-Jan-2026'!$A:$R,12,FALSE)</f>
        <v>ASC 0069 GLOSSY WHITE</v>
      </c>
      <c r="O454" s="56">
        <v>14.7</v>
      </c>
      <c r="P454" s="55">
        <f>(VLOOKUP($I454,'Pricing Table - eff 27-Jan-2026'!$A:$R,8,FALSE)/1000)*(VLOOKUP($I454,'Pricing Table - eff 27-Jan-2026'!$A:$R,10,FALSE)/1000)*Q454</f>
        <v>1367.0100000000002</v>
      </c>
      <c r="Q454" s="55">
        <f>ROUND(('Order Details'!$O454*1000)/((VLOOKUP($I454,'Pricing Table - eff 27-Jan-2026'!$A:$Q,7,FALSE)/12)*(VLOOKUP($I454,'Pricing Table - eff 27-Jan-2026'!$A:$Q,9,FALSE)/12))/5,0)*5</f>
        <v>400</v>
      </c>
      <c r="R454" s="71">
        <f>$Q454/IFERROR(VLOOKUP($F454&amp;RIGHT($K454,8),'Master Data'!$O$5:$P$10,2,FALSE),'Master Data'!$P$4)</f>
        <v>2</v>
      </c>
      <c r="S454" s="57">
        <f>VLOOKUP($I454,'Pricing Table - eff 27-Jan-2026'!$A:$Q,16,FALSE)</f>
        <v>720</v>
      </c>
      <c r="T454" s="57">
        <f>VLOOKUP(I454,'Pricing Table - eff 27-Jan-2026'!$A:$O,15,FALSE)</f>
        <v>7.73</v>
      </c>
      <c r="U454" s="57">
        <f t="shared" si="21"/>
        <v>10584</v>
      </c>
      <c r="V454" s="111">
        <f t="shared" si="22"/>
        <v>10566.987300000003</v>
      </c>
      <c r="W454" s="55">
        <f>VLOOKUP($I454,'Pricing Table - eff 27-Jan-2026'!$A:$R,18,FALSE)</f>
        <v>45</v>
      </c>
    </row>
    <row r="455" spans="1:23" ht="15" hidden="1" thickTop="1" x14ac:dyDescent="0.3">
      <c r="A455" s="55">
        <v>24189318</v>
      </c>
      <c r="B455" s="55">
        <v>0</v>
      </c>
      <c r="C455" s="55" t="str">
        <f>VLOOKUP(A455&amp;"-"&amp;B455,'Order Summary'!$D:$E,2,FALSE)</f>
        <v>Downpayment Received</v>
      </c>
      <c r="D455" s="216">
        <f>IF($A455="","",VLOOKUP($A455&amp;"-"&amp;$B455,'Order Summary'!$D:$U,3,FALSE))</f>
        <v>46063</v>
      </c>
      <c r="E455" s="55" t="str">
        <f>VLOOKUP(A455&amp;"-"&amp;B455,'Order Summary'!$D:$G,4,FALSE)</f>
        <v>Yes</v>
      </c>
      <c r="F455" s="55" t="str">
        <f>VLOOKUP($A455,'Order Summary'!$B:$I,8,FALSE)</f>
        <v>Gordon, PA</v>
      </c>
      <c r="G455" s="216">
        <f>IF($A455="","",VLOOKUP($A455&amp;"-"&amp;$B455,'Order Summary'!$D:$U,18,FALSE))</f>
        <v>46302</v>
      </c>
      <c r="H455" s="55">
        <v>5</v>
      </c>
      <c r="I455" s="55">
        <v>694441</v>
      </c>
      <c r="J455" s="55" t="str">
        <f>VLOOKUP($I455,'Pricing Table - eff 27-Jan-2026'!$A:$R,2,FALSE)</f>
        <v>G1S 694441</v>
      </c>
      <c r="K455" s="55" t="str">
        <f>VLOOKUP($I455,'Pricing Table - eff 27-Jan-2026'!$A:$R,6,FALSE)&amp;" "&amp;VLOOKUP($I455,'Pricing Table - eff 27-Jan-2026'!$A:$R,7,FALSE)&amp;""" x "&amp;VLOOKUP($I455,'Pricing Table - eff 27-Jan-2026'!$A:$R,9,FALSE)&amp;""" "&amp;VLOOKUP($I455,'Pricing Table - eff 27-Jan-2026'!$A:$R,5,FALSE)</f>
        <v>2MM 49" x 108" ACP</v>
      </c>
      <c r="L455" s="55">
        <f>VLOOKUP($I455,'Pricing Table - eff 27-Jan-2026'!$A:$K,8,FALSE)</f>
        <v>1245</v>
      </c>
      <c r="M455" s="55">
        <f>VLOOKUP($I455,'Pricing Table - eff 27-Jan-2026'!$A:$K,10,FALSE)</f>
        <v>2745</v>
      </c>
      <c r="N455" s="55" t="str">
        <f>VLOOKUP($I455,'Pricing Table - eff 27-Jan-2026'!$A:$R,13,FALSE)&amp;" "&amp;VLOOKUP($I455,'Pricing Table - eff 27-Jan-2026'!$A:$R,12,FALSE)</f>
        <v>AMC 0103 SILVER FROST</v>
      </c>
      <c r="O455" s="56">
        <v>14.7</v>
      </c>
      <c r="P455" s="55">
        <f>(VLOOKUP($I455,'Pricing Table - eff 27-Jan-2026'!$A:$R,8,FALSE)/1000)*(VLOOKUP($I455,'Pricing Table - eff 27-Jan-2026'!$A:$R,10,FALSE)/1000)*Q455</f>
        <v>1367.0100000000002</v>
      </c>
      <c r="Q455" s="55">
        <f>ROUND(('Order Details'!$O455*1000)/((VLOOKUP($I455,'Pricing Table - eff 27-Jan-2026'!$A:$Q,7,FALSE)/12)*(VLOOKUP($I455,'Pricing Table - eff 27-Jan-2026'!$A:$Q,9,FALSE)/12))/5,0)*5</f>
        <v>400</v>
      </c>
      <c r="R455" s="71">
        <f>$Q455/IFERROR(VLOOKUP($F455&amp;RIGHT($K455,8),'Master Data'!$O$5:$P$10,2,FALSE),'Master Data'!$P$4)</f>
        <v>2</v>
      </c>
      <c r="S455" s="57">
        <f>VLOOKUP($I455,'Pricing Table - eff 27-Jan-2026'!$A:$Q,16,FALSE)</f>
        <v>720</v>
      </c>
      <c r="T455" s="57">
        <f>VLOOKUP(I455,'Pricing Table - eff 27-Jan-2026'!$A:$O,15,FALSE)</f>
        <v>7.73</v>
      </c>
      <c r="U455" s="57">
        <f t="shared" si="21"/>
        <v>10584</v>
      </c>
      <c r="V455" s="111">
        <f t="shared" si="22"/>
        <v>10566.987300000003</v>
      </c>
      <c r="W455" s="55">
        <f>VLOOKUP($I455,'Pricing Table - eff 27-Jan-2026'!$A:$R,18,FALSE)</f>
        <v>90</v>
      </c>
    </row>
    <row r="456" spans="1:23" ht="15" hidden="1" thickTop="1" x14ac:dyDescent="0.3">
      <c r="A456" s="55">
        <v>24189318</v>
      </c>
      <c r="B456" s="55">
        <v>0</v>
      </c>
      <c r="C456" s="55" t="str">
        <f>VLOOKUP(A456&amp;"-"&amp;B456,'Order Summary'!$D:$E,2,FALSE)</f>
        <v>Downpayment Received</v>
      </c>
      <c r="D456" s="216">
        <f>IF($A456="","",VLOOKUP($A456&amp;"-"&amp;$B456,'Order Summary'!$D:$U,3,FALSE))</f>
        <v>46063</v>
      </c>
      <c r="E456" s="55" t="str">
        <f>VLOOKUP(A456&amp;"-"&amp;B456,'Order Summary'!$D:$G,4,FALSE)</f>
        <v>Yes</v>
      </c>
      <c r="F456" s="55" t="str">
        <f>VLOOKUP($A456,'Order Summary'!$B:$I,8,FALSE)</f>
        <v>Gordon, PA</v>
      </c>
      <c r="G456" s="216">
        <f>IF($A456="","",VLOOKUP($A456&amp;"-"&amp;$B456,'Order Summary'!$D:$U,18,FALSE))</f>
        <v>46302</v>
      </c>
      <c r="H456" s="55">
        <v>6</v>
      </c>
      <c r="I456">
        <v>694445</v>
      </c>
      <c r="J456" s="55" t="str">
        <f>VLOOKUP($I456,'Pricing Table - eff 27-Jan-2026'!$A:$R,2,FALSE)</f>
        <v>G1S 694445</v>
      </c>
      <c r="K456" s="55" t="str">
        <f>VLOOKUP($I456,'Pricing Table - eff 27-Jan-2026'!$A:$R,6,FALSE)&amp;" "&amp;VLOOKUP($I456,'Pricing Table - eff 27-Jan-2026'!$A:$R,7,FALSE)&amp;""" x "&amp;VLOOKUP($I456,'Pricing Table - eff 27-Jan-2026'!$A:$R,9,FALSE)&amp;""" "&amp;VLOOKUP($I456,'Pricing Table - eff 27-Jan-2026'!$A:$R,5,FALSE)</f>
        <v>2MM 49" x 108" ACP</v>
      </c>
      <c r="L456" s="55">
        <f>VLOOKUP($I456,'Pricing Table - eff 27-Jan-2026'!$A:$K,8,FALSE)</f>
        <v>1245</v>
      </c>
      <c r="M456" s="55">
        <f>VLOOKUP($I456,'Pricing Table - eff 27-Jan-2026'!$A:$K,10,FALSE)</f>
        <v>2745</v>
      </c>
      <c r="N456" s="55" t="str">
        <f>VLOOKUP($I456,'Pricing Table - eff 27-Jan-2026'!$A:$R,13,FALSE)&amp;" "&amp;VLOOKUP($I456,'Pricing Table - eff 27-Jan-2026'!$A:$R,12,FALSE)</f>
        <v>AMC 0086 CHARCOAL METALLIC</v>
      </c>
      <c r="O456" s="248">
        <v>14.7</v>
      </c>
      <c r="P456" s="55">
        <f>(VLOOKUP($I456,'Pricing Table - eff 27-Jan-2026'!$A:$R,8,FALSE)/1000)*(VLOOKUP($I456,'Pricing Table - eff 27-Jan-2026'!$A:$R,10,FALSE)/1000)*Q456</f>
        <v>1367.0100000000002</v>
      </c>
      <c r="Q456" s="55">
        <f>ROUND(('Order Details'!$O456*1000)/((VLOOKUP($I456,'Pricing Table - eff 27-Jan-2026'!$A:$Q,7,FALSE)/12)*(VLOOKUP($I456,'Pricing Table - eff 27-Jan-2026'!$A:$Q,9,FALSE)/12))/5,0)*5</f>
        <v>400</v>
      </c>
      <c r="R456" s="71">
        <f>$Q456/IFERROR(VLOOKUP($F456&amp;RIGHT($K456,8),'Master Data'!$O$5:$P$10,2,FALSE),'Master Data'!$P$4)</f>
        <v>2</v>
      </c>
      <c r="S456" s="57">
        <f>VLOOKUP($I456,'Pricing Table - eff 27-Jan-2026'!$A:$Q,16,FALSE)</f>
        <v>770</v>
      </c>
      <c r="T456" s="57">
        <f>VLOOKUP(I456,'Pricing Table - eff 27-Jan-2026'!$A:$O,15,FALSE)</f>
        <v>8.27</v>
      </c>
      <c r="U456" s="57">
        <f t="shared" si="21"/>
        <v>11319</v>
      </c>
      <c r="V456" s="111">
        <f t="shared" si="22"/>
        <v>11305.172700000001</v>
      </c>
      <c r="W456" s="55">
        <f>VLOOKUP($I456,'Pricing Table - eff 27-Jan-2026'!$A:$R,18,FALSE)</f>
        <v>45</v>
      </c>
    </row>
    <row r="457" spans="1:23" ht="15" hidden="1" thickTop="1" x14ac:dyDescent="0.3">
      <c r="A457" s="55">
        <v>52996502</v>
      </c>
      <c r="B457" s="55">
        <v>0</v>
      </c>
      <c r="C457" s="55" t="str">
        <f>VLOOKUP(A457&amp;"-"&amp;B457,'Order Summary'!$D:$E,2,FALSE)</f>
        <v>Downpayment Received</v>
      </c>
      <c r="D457" s="216">
        <f>IF($A457="","",VLOOKUP($A457&amp;"-"&amp;$B457,'Order Summary'!$D:$U,3,FALSE))</f>
        <v>46063</v>
      </c>
      <c r="E457" s="55" t="str">
        <f>VLOOKUP(A457&amp;"-"&amp;B457,'Order Summary'!$D:$G,4,FALSE)</f>
        <v>Yes</v>
      </c>
      <c r="F457" s="55" t="str">
        <f>VLOOKUP($A457,'Order Summary'!$B:$I,8,FALSE)</f>
        <v>Hillsboro, TX</v>
      </c>
      <c r="G457" s="216">
        <f>IF($A457="","",VLOOKUP($A457&amp;"-"&amp;$B457,'Order Summary'!$D:$U,18,FALSE))</f>
        <v>46297</v>
      </c>
      <c r="H457" s="55">
        <v>1</v>
      </c>
      <c r="I457" s="55">
        <v>694432</v>
      </c>
      <c r="J457" s="55" t="str">
        <f>VLOOKUP($I457,'Pricing Table - eff 27-Jan-2026'!$A:$R,2,FALSE)</f>
        <v>G1S 694432</v>
      </c>
      <c r="K457" s="55" t="str">
        <f>VLOOKUP($I457,'Pricing Table - eff 27-Jan-2026'!$A:$R,6,FALSE)&amp;" "&amp;VLOOKUP($I457,'Pricing Table - eff 27-Jan-2026'!$A:$R,7,FALSE)&amp;""" x "&amp;VLOOKUP($I457,'Pricing Table - eff 27-Jan-2026'!$A:$R,9,FALSE)&amp;""" "&amp;VLOOKUP($I457,'Pricing Table - eff 27-Jan-2026'!$A:$R,5,FALSE)</f>
        <v>2MM 49" x 96" ACP</v>
      </c>
      <c r="L457" s="55">
        <f>VLOOKUP($I457,'Pricing Table - eff 27-Jan-2026'!$A:$K,8,FALSE)</f>
        <v>1245</v>
      </c>
      <c r="M457" s="55">
        <f>VLOOKUP($I457,'Pricing Table - eff 27-Jan-2026'!$A:$K,10,FALSE)</f>
        <v>2440</v>
      </c>
      <c r="N457" s="55" t="str">
        <f>VLOOKUP($I457,'Pricing Table - eff 27-Jan-2026'!$A:$R,13,FALSE)&amp;" "&amp;VLOOKUP($I457,'Pricing Table - eff 27-Jan-2026'!$A:$R,12,FALSE)</f>
        <v>ASC 0096 GLOSSY BLACK</v>
      </c>
      <c r="O457" s="56">
        <v>6.5330000000000004</v>
      </c>
      <c r="P457" s="55">
        <f>(VLOOKUP($I457,'Pricing Table - eff 27-Jan-2026'!$A:$R,8,FALSE)/1000)*(VLOOKUP($I457,'Pricing Table - eff 27-Jan-2026'!$A:$R,10,FALSE)/1000)*Q457</f>
        <v>607.56000000000006</v>
      </c>
      <c r="Q457" s="55">
        <f>ROUND(('Order Details'!$O457*1000)/((VLOOKUP($I457,'Pricing Table - eff 27-Jan-2026'!$A:$Q,7,FALSE)/12)*(VLOOKUP($I457,'Pricing Table - eff 27-Jan-2026'!$A:$Q,9,FALSE)/12))/5,0)*5</f>
        <v>200</v>
      </c>
      <c r="R457" s="71">
        <f>$Q457/IFERROR(VLOOKUP($F457&amp;RIGHT($K457,8),'Master Data'!$O$5:$P$10,2,FALSE),'Master Data'!$P$4)</f>
        <v>1</v>
      </c>
      <c r="S457" s="57">
        <f>VLOOKUP($I457,'Pricing Table - eff 27-Jan-2026'!$A:$Q,16,FALSE)</f>
        <v>720</v>
      </c>
      <c r="T457" s="57">
        <f>VLOOKUP(I457,'Pricing Table - eff 27-Jan-2026'!$A:$O,15,FALSE)</f>
        <v>7.73</v>
      </c>
      <c r="U457" s="57">
        <f t="shared" si="21"/>
        <v>4703.76</v>
      </c>
      <c r="V457" s="111">
        <f t="shared" si="22"/>
        <v>4696.4388000000008</v>
      </c>
      <c r="W457" s="55">
        <f>VLOOKUP($I457,'Pricing Table - eff 27-Jan-2026'!$A:$R,18,FALSE)</f>
        <v>45</v>
      </c>
    </row>
    <row r="458" spans="1:23" ht="15" hidden="1" thickTop="1" x14ac:dyDescent="0.3">
      <c r="A458" s="55">
        <v>52996502</v>
      </c>
      <c r="B458" s="55">
        <v>0</v>
      </c>
      <c r="C458" s="55" t="str">
        <f>VLOOKUP(A458&amp;"-"&amp;B458,'Order Summary'!$D:$E,2,FALSE)</f>
        <v>Downpayment Received</v>
      </c>
      <c r="D458" s="216">
        <f>IF($A458="","",VLOOKUP($A458&amp;"-"&amp;$B458,'Order Summary'!$D:$U,3,FALSE))</f>
        <v>46063</v>
      </c>
      <c r="E458" s="55" t="str">
        <f>VLOOKUP(A458&amp;"-"&amp;B458,'Order Summary'!$D:$G,4,FALSE)</f>
        <v>Yes</v>
      </c>
      <c r="F458" s="55" t="str">
        <f>VLOOKUP($A458,'Order Summary'!$B:$I,8,FALSE)</f>
        <v>Hillsboro, TX</v>
      </c>
      <c r="G458" s="216">
        <f>IF($A458="","",VLOOKUP($A458&amp;"-"&amp;$B458,'Order Summary'!$D:$U,18,FALSE))</f>
        <v>46297</v>
      </c>
      <c r="H458" s="55">
        <v>2</v>
      </c>
      <c r="I458" s="55">
        <v>694433</v>
      </c>
      <c r="J458" s="55" t="str">
        <f>VLOOKUP($I458,'Pricing Table - eff 27-Jan-2026'!$A:$R,2,FALSE)</f>
        <v>G1S 694433</v>
      </c>
      <c r="K458" s="55" t="str">
        <f>VLOOKUP($I458,'Pricing Table - eff 27-Jan-2026'!$A:$R,6,FALSE)&amp;" "&amp;VLOOKUP($I458,'Pricing Table - eff 27-Jan-2026'!$A:$R,7,FALSE)&amp;""" x "&amp;VLOOKUP($I458,'Pricing Table - eff 27-Jan-2026'!$A:$R,9,FALSE)&amp;""" "&amp;VLOOKUP($I458,'Pricing Table - eff 27-Jan-2026'!$A:$R,5,FALSE)</f>
        <v>2MM 49" x 108" ACP</v>
      </c>
      <c r="L458" s="55">
        <f>VLOOKUP($I458,'Pricing Table - eff 27-Jan-2026'!$A:$K,8,FALSE)</f>
        <v>1245</v>
      </c>
      <c r="M458" s="55">
        <f>VLOOKUP($I458,'Pricing Table - eff 27-Jan-2026'!$A:$K,10,FALSE)</f>
        <v>2745</v>
      </c>
      <c r="N458" s="55" t="str">
        <f>VLOOKUP($I458,'Pricing Table - eff 27-Jan-2026'!$A:$R,13,FALSE)&amp;" "&amp;VLOOKUP($I458,'Pricing Table - eff 27-Jan-2026'!$A:$R,12,FALSE)</f>
        <v>ASC 0096 GLOSSY BLACK</v>
      </c>
      <c r="O458" s="56">
        <v>11.025</v>
      </c>
      <c r="P458" s="55">
        <f>(VLOOKUP($I458,'Pricing Table - eff 27-Jan-2026'!$A:$R,8,FALSE)/1000)*(VLOOKUP($I458,'Pricing Table - eff 27-Jan-2026'!$A:$R,10,FALSE)/1000)*Q458</f>
        <v>1025.2575000000002</v>
      </c>
      <c r="Q458" s="55">
        <f>ROUND(('Order Details'!$O458*1000)/((VLOOKUP($I458,'Pricing Table - eff 27-Jan-2026'!$A:$Q,7,FALSE)/12)*(VLOOKUP($I458,'Pricing Table - eff 27-Jan-2026'!$A:$Q,9,FALSE)/12))/5,0)*5</f>
        <v>300</v>
      </c>
      <c r="R458" s="71">
        <f>Q458/150</f>
        <v>2</v>
      </c>
      <c r="S458" s="57">
        <f>VLOOKUP($I458,'Pricing Table - eff 27-Jan-2026'!$A:$Q,16,FALSE)</f>
        <v>720</v>
      </c>
      <c r="T458" s="57">
        <f>VLOOKUP(I458,'Pricing Table - eff 27-Jan-2026'!$A:$O,15,FALSE)</f>
        <v>7.73</v>
      </c>
      <c r="U458" s="57">
        <f t="shared" si="21"/>
        <v>7938</v>
      </c>
      <c r="V458" s="111">
        <f t="shared" si="22"/>
        <v>7925.2404750000014</v>
      </c>
      <c r="W458" s="55">
        <f>VLOOKUP($I458,'Pricing Table - eff 27-Jan-2026'!$A:$R,18,FALSE)</f>
        <v>45</v>
      </c>
    </row>
    <row r="459" spans="1:23" ht="15" hidden="1" thickTop="1" x14ac:dyDescent="0.3">
      <c r="A459" s="55">
        <v>52996502</v>
      </c>
      <c r="B459" s="55">
        <v>0</v>
      </c>
      <c r="C459" s="55" t="str">
        <f>VLOOKUP(A459&amp;"-"&amp;B459,'Order Summary'!$D:$E,2,FALSE)</f>
        <v>Downpayment Received</v>
      </c>
      <c r="D459" s="216">
        <f>IF($A459="","",VLOOKUP($A459&amp;"-"&amp;$B459,'Order Summary'!$D:$U,3,FALSE))</f>
        <v>46063</v>
      </c>
      <c r="E459" s="55" t="str">
        <f>VLOOKUP(A459&amp;"-"&amp;B459,'Order Summary'!$D:$G,4,FALSE)</f>
        <v>Yes</v>
      </c>
      <c r="F459" s="55" t="str">
        <f>VLOOKUP($A459,'Order Summary'!$B:$I,8,FALSE)</f>
        <v>Hillsboro, TX</v>
      </c>
      <c r="G459" s="216">
        <f>IF($A459="","",VLOOKUP($A459&amp;"-"&amp;$B459,'Order Summary'!$D:$U,18,FALSE))</f>
        <v>46297</v>
      </c>
      <c r="H459" s="55">
        <v>3</v>
      </c>
      <c r="I459">
        <v>694434</v>
      </c>
      <c r="J459" s="55" t="str">
        <f>VLOOKUP($I459,'Pricing Table - eff 27-Jan-2026'!$A:$R,2,FALSE)</f>
        <v>G1S 694434</v>
      </c>
      <c r="K459" s="55" t="str">
        <f>VLOOKUP($I459,'Pricing Table - eff 27-Jan-2026'!$A:$R,6,FALSE)&amp;" "&amp;VLOOKUP($I459,'Pricing Table - eff 27-Jan-2026'!$A:$R,7,FALSE)&amp;""" x "&amp;VLOOKUP($I459,'Pricing Table - eff 27-Jan-2026'!$A:$R,9,FALSE)&amp;""" "&amp;VLOOKUP($I459,'Pricing Table - eff 27-Jan-2026'!$A:$R,5,FALSE)</f>
        <v>2MM 49" x 144" ACP</v>
      </c>
      <c r="L459" s="55">
        <f>VLOOKUP($I459,'Pricing Table - eff 27-Jan-2026'!$A:$K,8,FALSE)</f>
        <v>1245</v>
      </c>
      <c r="M459" s="55">
        <f>VLOOKUP($I459,'Pricing Table - eff 27-Jan-2026'!$A:$K,10,FALSE)</f>
        <v>3658</v>
      </c>
      <c r="N459" s="55" t="str">
        <f>VLOOKUP($I459,'Pricing Table - eff 27-Jan-2026'!$A:$R,13,FALSE)&amp;" "&amp;VLOOKUP($I459,'Pricing Table - eff 27-Jan-2026'!$A:$R,12,FALSE)</f>
        <v>ASC 0096 GLOSSY BLACK</v>
      </c>
      <c r="O459" s="56">
        <v>9.8000000000000007</v>
      </c>
      <c r="P459" s="55">
        <f>(VLOOKUP($I459,'Pricing Table - eff 27-Jan-2026'!$A:$R,8,FALSE)/1000)*(VLOOKUP($I459,'Pricing Table - eff 27-Jan-2026'!$A:$R,10,FALSE)/1000)*Q459</f>
        <v>910.8420000000001</v>
      </c>
      <c r="Q459" s="55">
        <f>ROUND(('Order Details'!$O459*1000)/((VLOOKUP($I459,'Pricing Table - eff 27-Jan-2026'!$A:$Q,7,FALSE)/12)*(VLOOKUP($I459,'Pricing Table - eff 27-Jan-2026'!$A:$Q,9,FALSE)/12))/5,0)*5</f>
        <v>200</v>
      </c>
      <c r="R459" s="71">
        <f>$Q459/IFERROR(VLOOKUP($F459&amp;RIGHT($K459,8),'Master Data'!$O$5:$P$10,2,FALSE),'Master Data'!$P$4)</f>
        <v>1</v>
      </c>
      <c r="S459" s="57">
        <f>VLOOKUP($I459,'Pricing Table - eff 27-Jan-2026'!$A:$Q,16,FALSE)</f>
        <v>720</v>
      </c>
      <c r="T459" s="57">
        <f>VLOOKUP(I459,'Pricing Table - eff 27-Jan-2026'!$A:$O,15,FALSE)</f>
        <v>7.73</v>
      </c>
      <c r="U459" s="57">
        <f t="shared" si="21"/>
        <v>7056.0000000000009</v>
      </c>
      <c r="V459" s="111">
        <f t="shared" si="22"/>
        <v>7040.8086600000015</v>
      </c>
      <c r="W459" s="55">
        <f>VLOOKUP($I459,'Pricing Table - eff 27-Jan-2026'!$A:$R,18,FALSE)</f>
        <v>45</v>
      </c>
    </row>
    <row r="460" spans="1:23" ht="15" hidden="1" thickTop="1" x14ac:dyDescent="0.3">
      <c r="A460" s="55">
        <v>52996502</v>
      </c>
      <c r="B460" s="55">
        <v>0</v>
      </c>
      <c r="C460" s="55" t="str">
        <f>VLOOKUP(A460&amp;"-"&amp;B460,'Order Summary'!$D:$E,2,FALSE)</f>
        <v>Downpayment Received</v>
      </c>
      <c r="D460" s="216">
        <f>IF($A460="","",VLOOKUP($A460&amp;"-"&amp;$B460,'Order Summary'!$D:$U,3,FALSE))</f>
        <v>46063</v>
      </c>
      <c r="E460" s="55" t="str">
        <f>VLOOKUP(A460&amp;"-"&amp;B460,'Order Summary'!$D:$G,4,FALSE)</f>
        <v>Yes</v>
      </c>
      <c r="F460" s="55" t="str">
        <f>VLOOKUP($A460,'Order Summary'!$B:$I,8,FALSE)</f>
        <v>Hillsboro, TX</v>
      </c>
      <c r="G460" s="216">
        <f>IF($A460="","",VLOOKUP($A460&amp;"-"&amp;$B460,'Order Summary'!$D:$U,18,FALSE))</f>
        <v>46297</v>
      </c>
      <c r="H460" s="55">
        <v>4</v>
      </c>
      <c r="I460" s="55">
        <v>694436</v>
      </c>
      <c r="J460" s="55" t="str">
        <f>VLOOKUP($I460,'Pricing Table - eff 27-Jan-2026'!$A:$R,2,FALSE)</f>
        <v>G1S 694436</v>
      </c>
      <c r="K460" s="55" t="str">
        <f>VLOOKUP($I460,'Pricing Table - eff 27-Jan-2026'!$A:$R,6,FALSE)&amp;" "&amp;VLOOKUP($I460,'Pricing Table - eff 27-Jan-2026'!$A:$R,7,FALSE)&amp;""" x "&amp;VLOOKUP($I460,'Pricing Table - eff 27-Jan-2026'!$A:$R,9,FALSE)&amp;""" "&amp;VLOOKUP($I460,'Pricing Table - eff 27-Jan-2026'!$A:$R,5,FALSE)</f>
        <v>2MM 49" x 96" ACP</v>
      </c>
      <c r="L460" s="55">
        <f>VLOOKUP($I460,'Pricing Table - eff 27-Jan-2026'!$A:$K,8,FALSE)</f>
        <v>1245</v>
      </c>
      <c r="M460" s="55">
        <f>VLOOKUP($I460,'Pricing Table - eff 27-Jan-2026'!$A:$K,10,FALSE)</f>
        <v>2440</v>
      </c>
      <c r="N460" s="55" t="str">
        <f>VLOOKUP($I460,'Pricing Table - eff 27-Jan-2026'!$A:$R,13,FALSE)&amp;" "&amp;VLOOKUP($I460,'Pricing Table - eff 27-Jan-2026'!$A:$R,12,FALSE)</f>
        <v>ASC 0069 GLOSSY WHITE</v>
      </c>
      <c r="O460" s="56">
        <v>6.5330000000000004</v>
      </c>
      <c r="P460" s="55">
        <f>(VLOOKUP($I460,'Pricing Table - eff 27-Jan-2026'!$A:$R,8,FALSE)/1000)*(VLOOKUP($I460,'Pricing Table - eff 27-Jan-2026'!$A:$R,10,FALSE)/1000)*Q460</f>
        <v>607.56000000000006</v>
      </c>
      <c r="Q460" s="55">
        <f>ROUND(('Order Details'!$O460*1000)/((VLOOKUP($I460,'Pricing Table - eff 27-Jan-2026'!$A:$Q,7,FALSE)/12)*(VLOOKUP($I460,'Pricing Table - eff 27-Jan-2026'!$A:$Q,9,FALSE)/12))/5,0)*5</f>
        <v>200</v>
      </c>
      <c r="R460" s="71">
        <f>$Q460/IFERROR(VLOOKUP($F460&amp;RIGHT($K460,8),'Master Data'!$O$5:$P$10,2,FALSE),'Master Data'!$P$4)</f>
        <v>1</v>
      </c>
      <c r="S460" s="57">
        <f>VLOOKUP($I460,'Pricing Table - eff 27-Jan-2026'!$A:$Q,16,FALSE)</f>
        <v>720</v>
      </c>
      <c r="T460" s="57">
        <f>VLOOKUP(I460,'Pricing Table - eff 27-Jan-2026'!$A:$O,15,FALSE)</f>
        <v>7.73</v>
      </c>
      <c r="U460" s="57">
        <f t="shared" si="21"/>
        <v>4703.76</v>
      </c>
      <c r="V460" s="111">
        <f t="shared" si="22"/>
        <v>4696.4388000000008</v>
      </c>
      <c r="W460" s="55">
        <f>VLOOKUP($I460,'Pricing Table - eff 27-Jan-2026'!$A:$R,18,FALSE)</f>
        <v>45</v>
      </c>
    </row>
    <row r="461" spans="1:23" ht="15" hidden="1" thickTop="1" x14ac:dyDescent="0.3">
      <c r="A461" s="55">
        <v>52996502</v>
      </c>
      <c r="B461" s="55">
        <v>0</v>
      </c>
      <c r="C461" s="55" t="str">
        <f>VLOOKUP(A461&amp;"-"&amp;B461,'Order Summary'!$D:$E,2,FALSE)</f>
        <v>Downpayment Received</v>
      </c>
      <c r="D461" s="216">
        <f>IF($A461="","",VLOOKUP($A461&amp;"-"&amp;$B461,'Order Summary'!$D:$U,3,FALSE))</f>
        <v>46063</v>
      </c>
      <c r="E461" s="55" t="str">
        <f>VLOOKUP(A461&amp;"-"&amp;B461,'Order Summary'!$D:$G,4,FALSE)</f>
        <v>Yes</v>
      </c>
      <c r="F461" s="55" t="str">
        <f>VLOOKUP($A461,'Order Summary'!$B:$I,8,FALSE)</f>
        <v>Hillsboro, TX</v>
      </c>
      <c r="G461" s="216">
        <f>IF($A461="","",VLOOKUP($A461&amp;"-"&amp;$B461,'Order Summary'!$D:$U,18,FALSE))</f>
        <v>46297</v>
      </c>
      <c r="H461" s="55">
        <v>5</v>
      </c>
      <c r="I461" s="55">
        <v>694437</v>
      </c>
      <c r="J461" s="55" t="str">
        <f>VLOOKUP($I461,'Pricing Table - eff 27-Jan-2026'!$A:$R,2,FALSE)</f>
        <v>G1S 694437</v>
      </c>
      <c r="K461" s="55" t="str">
        <f>VLOOKUP($I461,'Pricing Table - eff 27-Jan-2026'!$A:$R,6,FALSE)&amp;" "&amp;VLOOKUP($I461,'Pricing Table - eff 27-Jan-2026'!$A:$R,7,FALSE)&amp;""" x "&amp;VLOOKUP($I461,'Pricing Table - eff 27-Jan-2026'!$A:$R,9,FALSE)&amp;""" "&amp;VLOOKUP($I461,'Pricing Table - eff 27-Jan-2026'!$A:$R,5,FALSE)</f>
        <v>2MM 49" x 108" ACP</v>
      </c>
      <c r="L461" s="55">
        <f>VLOOKUP($I461,'Pricing Table - eff 27-Jan-2026'!$A:$K,8,FALSE)</f>
        <v>1245</v>
      </c>
      <c r="M461" s="55">
        <f>VLOOKUP($I461,'Pricing Table - eff 27-Jan-2026'!$A:$K,10,FALSE)</f>
        <v>2745</v>
      </c>
      <c r="N461" s="55" t="str">
        <f>VLOOKUP($I461,'Pricing Table - eff 27-Jan-2026'!$A:$R,13,FALSE)&amp;" "&amp;VLOOKUP($I461,'Pricing Table - eff 27-Jan-2026'!$A:$R,12,FALSE)</f>
        <v>ASC 0069 GLOSSY WHITE</v>
      </c>
      <c r="O461" s="56">
        <v>11.025</v>
      </c>
      <c r="P461" s="55">
        <f>(VLOOKUP($I461,'Pricing Table - eff 27-Jan-2026'!$A:$R,8,FALSE)/1000)*(VLOOKUP($I461,'Pricing Table - eff 27-Jan-2026'!$A:$R,10,FALSE)/1000)*Q461</f>
        <v>1025.2575000000002</v>
      </c>
      <c r="Q461" s="55">
        <f>ROUND(('Order Details'!$O461*1000)/((VLOOKUP($I461,'Pricing Table - eff 27-Jan-2026'!$A:$Q,7,FALSE)/12)*(VLOOKUP($I461,'Pricing Table - eff 27-Jan-2026'!$A:$Q,9,FALSE)/12))/5,0)*5</f>
        <v>300</v>
      </c>
      <c r="R461" s="71">
        <f t="shared" ref="R461:R462" si="23">Q461/150</f>
        <v>2</v>
      </c>
      <c r="S461" s="57">
        <f>VLOOKUP($I461,'Pricing Table - eff 27-Jan-2026'!$A:$Q,16,FALSE)</f>
        <v>720</v>
      </c>
      <c r="T461" s="57">
        <f>VLOOKUP(I461,'Pricing Table - eff 27-Jan-2026'!$A:$O,15,FALSE)</f>
        <v>7.73</v>
      </c>
      <c r="U461" s="57">
        <f t="shared" si="21"/>
        <v>7938</v>
      </c>
      <c r="V461" s="111">
        <f t="shared" si="22"/>
        <v>7925.2404750000014</v>
      </c>
      <c r="W461" s="55">
        <f>VLOOKUP($I461,'Pricing Table - eff 27-Jan-2026'!$A:$R,18,FALSE)</f>
        <v>45</v>
      </c>
    </row>
    <row r="462" spans="1:23" ht="15" hidden="1" thickTop="1" x14ac:dyDescent="0.3">
      <c r="A462" s="55">
        <v>52996502</v>
      </c>
      <c r="B462" s="55">
        <v>0</v>
      </c>
      <c r="C462" s="55" t="str">
        <f>VLOOKUP(A462&amp;"-"&amp;B462,'Order Summary'!$D:$E,2,FALSE)</f>
        <v>Downpayment Received</v>
      </c>
      <c r="D462" s="216">
        <f>IF($A462="","",VLOOKUP($A462&amp;"-"&amp;$B462,'Order Summary'!$D:$U,3,FALSE))</f>
        <v>46063</v>
      </c>
      <c r="E462" s="55" t="str">
        <f>VLOOKUP(A462&amp;"-"&amp;B462,'Order Summary'!$D:$G,4,FALSE)</f>
        <v>Yes</v>
      </c>
      <c r="F462" s="55" t="str">
        <f>VLOOKUP($A462,'Order Summary'!$B:$I,8,FALSE)</f>
        <v>Hillsboro, TX</v>
      </c>
      <c r="G462" s="216">
        <f>IF($A462="","",VLOOKUP($A462&amp;"-"&amp;$B462,'Order Summary'!$D:$U,18,FALSE))</f>
        <v>46297</v>
      </c>
      <c r="H462" s="55">
        <v>6</v>
      </c>
      <c r="I462" s="55">
        <v>694441</v>
      </c>
      <c r="J462" s="55" t="str">
        <f>VLOOKUP($I462,'Pricing Table - eff 27-Jan-2026'!$A:$R,2,FALSE)</f>
        <v>G1S 694441</v>
      </c>
      <c r="K462" s="55" t="str">
        <f>VLOOKUP($I462,'Pricing Table - eff 27-Jan-2026'!$A:$R,6,FALSE)&amp;" "&amp;VLOOKUP($I462,'Pricing Table - eff 27-Jan-2026'!$A:$R,7,FALSE)&amp;""" x "&amp;VLOOKUP($I462,'Pricing Table - eff 27-Jan-2026'!$A:$R,9,FALSE)&amp;""" "&amp;VLOOKUP($I462,'Pricing Table - eff 27-Jan-2026'!$A:$R,5,FALSE)</f>
        <v>2MM 49" x 108" ACP</v>
      </c>
      <c r="L462" s="55">
        <f>VLOOKUP($I462,'Pricing Table - eff 27-Jan-2026'!$A:$K,8,FALSE)</f>
        <v>1245</v>
      </c>
      <c r="M462" s="55">
        <f>VLOOKUP($I462,'Pricing Table - eff 27-Jan-2026'!$A:$K,10,FALSE)</f>
        <v>2745</v>
      </c>
      <c r="N462" s="55" t="str">
        <f>VLOOKUP($I462,'Pricing Table - eff 27-Jan-2026'!$A:$R,13,FALSE)&amp;" "&amp;VLOOKUP($I462,'Pricing Table - eff 27-Jan-2026'!$A:$R,12,FALSE)</f>
        <v>AMC 0103 SILVER FROST</v>
      </c>
      <c r="O462" s="56">
        <v>5.5129999999999999</v>
      </c>
      <c r="P462" s="55">
        <f>(VLOOKUP($I462,'Pricing Table - eff 27-Jan-2026'!$A:$R,8,FALSE)/1000)*(VLOOKUP($I462,'Pricing Table - eff 27-Jan-2026'!$A:$R,10,FALSE)/1000)*Q462</f>
        <v>512.62875000000008</v>
      </c>
      <c r="Q462" s="55">
        <f>ROUND(('Order Details'!$O462*1000)/((VLOOKUP($I462,'Pricing Table - eff 27-Jan-2026'!$A:$Q,7,FALSE)/12)*(VLOOKUP($I462,'Pricing Table - eff 27-Jan-2026'!$A:$Q,9,FALSE)/12))/5,0)*5</f>
        <v>150</v>
      </c>
      <c r="R462" s="71">
        <f t="shared" si="23"/>
        <v>1</v>
      </c>
      <c r="S462" s="57">
        <f>VLOOKUP($I462,'Pricing Table - eff 27-Jan-2026'!$A:$Q,16,FALSE)</f>
        <v>720</v>
      </c>
      <c r="T462" s="57">
        <f>VLOOKUP(I462,'Pricing Table - eff 27-Jan-2026'!$A:$O,15,FALSE)</f>
        <v>7.73</v>
      </c>
      <c r="U462" s="57">
        <f t="shared" si="21"/>
        <v>3969.36</v>
      </c>
      <c r="V462" s="111">
        <f t="shared" si="22"/>
        <v>3962.6202375000007</v>
      </c>
      <c r="W462" s="55">
        <f>VLOOKUP($I462,'Pricing Table - eff 27-Jan-2026'!$A:$R,18,FALSE)</f>
        <v>90</v>
      </c>
    </row>
    <row r="463" spans="1:23" ht="15" hidden="1" thickTop="1" x14ac:dyDescent="0.3">
      <c r="A463" s="55">
        <v>52996502</v>
      </c>
      <c r="B463" s="55">
        <v>0</v>
      </c>
      <c r="C463" s="55" t="str">
        <f>VLOOKUP(A463&amp;"-"&amp;B463,'Order Summary'!$D:$E,2,FALSE)</f>
        <v>Downpayment Received</v>
      </c>
      <c r="D463" s="216">
        <f>IF($A463="","",VLOOKUP($A463&amp;"-"&amp;$B463,'Order Summary'!$D:$U,3,FALSE))</f>
        <v>46063</v>
      </c>
      <c r="E463" s="55" t="str">
        <f>VLOOKUP(A463&amp;"-"&amp;B463,'Order Summary'!$D:$G,4,FALSE)</f>
        <v>Yes</v>
      </c>
      <c r="F463" s="55" t="str">
        <f>VLOOKUP($A463,'Order Summary'!$B:$I,8,FALSE)</f>
        <v>Hillsboro, TX</v>
      </c>
      <c r="G463" s="216">
        <f>IF($A463="","",VLOOKUP($A463&amp;"-"&amp;$B463,'Order Summary'!$D:$U,18,FALSE))</f>
        <v>46297</v>
      </c>
      <c r="H463" s="55">
        <v>7</v>
      </c>
      <c r="I463" s="55">
        <v>710941</v>
      </c>
      <c r="J463" s="55" t="str">
        <f>VLOOKUP($I463,'Pricing Table - eff 27-Jan-2026'!$A:$R,2,FALSE)</f>
        <v>G1S 710941</v>
      </c>
      <c r="K463" s="55" t="str">
        <f>VLOOKUP($I463,'Pricing Table - eff 27-Jan-2026'!$A:$R,6,FALSE)&amp;" "&amp;VLOOKUP($I463,'Pricing Table - eff 27-Jan-2026'!$A:$R,7,FALSE)&amp;""" x "&amp;VLOOKUP($I463,'Pricing Table - eff 27-Jan-2026'!$A:$R,9,FALSE)&amp;""" "&amp;VLOOKUP($I463,'Pricing Table - eff 27-Jan-2026'!$A:$R,5,FALSE)</f>
        <v>2MM 49" x 90.5" ACP</v>
      </c>
      <c r="L463" s="55">
        <f>VLOOKUP($I463,'Pricing Table - eff 27-Jan-2026'!$A:$K,8,FALSE)</f>
        <v>1245</v>
      </c>
      <c r="M463" s="55">
        <f>VLOOKUP($I463,'Pricing Table - eff 27-Jan-2026'!$A:$K,10,FALSE)</f>
        <v>2300</v>
      </c>
      <c r="N463" s="55" t="str">
        <f>VLOOKUP($I463,'Pricing Table - eff 27-Jan-2026'!$A:$R,13,FALSE)&amp;" "&amp;VLOOKUP($I463,'Pricing Table - eff 27-Jan-2026'!$A:$R,12,FALSE)</f>
        <v>ASC 0089 VICTORY RED</v>
      </c>
      <c r="O463" s="56">
        <v>6.1589999999999998</v>
      </c>
      <c r="P463" s="55">
        <f>(VLOOKUP($I463,'Pricing Table - eff 27-Jan-2026'!$A:$R,8,FALSE)/1000)*(VLOOKUP($I463,'Pricing Table - eff 27-Jan-2026'!$A:$R,10,FALSE)/1000)*Q463</f>
        <v>572.70000000000005</v>
      </c>
      <c r="Q463" s="55">
        <f>ROUND(('Order Details'!$O463*1000)/((VLOOKUP($I463,'Pricing Table - eff 27-Jan-2026'!$A:$Q,7,FALSE)/12)*(VLOOKUP($I463,'Pricing Table - eff 27-Jan-2026'!$A:$Q,9,FALSE)/12))/5,0)*5</f>
        <v>200</v>
      </c>
      <c r="R463" s="71">
        <f>$Q463/IFERROR(VLOOKUP($F463&amp;RIGHT($K463,8),'Master Data'!$O$5:$P$10,2,FALSE),'Master Data'!$P$4)</f>
        <v>1</v>
      </c>
      <c r="S463" s="57">
        <f>VLOOKUP($I463,'Pricing Table - eff 27-Jan-2026'!$A:$Q,16,FALSE)</f>
        <v>720</v>
      </c>
      <c r="T463" s="57">
        <f>VLOOKUP(I463,'Pricing Table - eff 27-Jan-2026'!$A:$O,15,FALSE)</f>
        <v>7.73</v>
      </c>
      <c r="U463" s="57">
        <f t="shared" si="21"/>
        <v>4434.4799999999996</v>
      </c>
      <c r="V463" s="111">
        <f t="shared" si="22"/>
        <v>4426.9710000000005</v>
      </c>
      <c r="W463" s="55">
        <f>VLOOKUP($I463,'Pricing Table - eff 27-Jan-2026'!$A:$R,18,FALSE)</f>
        <v>45</v>
      </c>
    </row>
    <row r="464" spans="1:23" ht="15" hidden="1" thickTop="1" x14ac:dyDescent="0.3">
      <c r="A464" s="55">
        <v>52996502</v>
      </c>
      <c r="B464" s="55">
        <v>0</v>
      </c>
      <c r="C464" s="55" t="str">
        <f>VLOOKUP(A464&amp;"-"&amp;B464,'Order Summary'!$D:$E,2,FALSE)</f>
        <v>Downpayment Received</v>
      </c>
      <c r="D464" s="216">
        <f>IF($A464="","",VLOOKUP($A464&amp;"-"&amp;$B464,'Order Summary'!$D:$U,3,FALSE))</f>
        <v>46063</v>
      </c>
      <c r="E464" s="55" t="str">
        <f>VLOOKUP(A464&amp;"-"&amp;B464,'Order Summary'!$D:$G,4,FALSE)</f>
        <v>Yes</v>
      </c>
      <c r="F464" s="55" t="str">
        <f>VLOOKUP($A464,'Order Summary'!$B:$I,8,FALSE)</f>
        <v>Hillsboro, TX</v>
      </c>
      <c r="G464" s="216">
        <f>IF($A464="","",VLOOKUP($A464&amp;"-"&amp;$B464,'Order Summary'!$D:$U,18,FALSE))</f>
        <v>46297</v>
      </c>
      <c r="H464" s="55">
        <v>8</v>
      </c>
      <c r="I464" s="55">
        <v>694672</v>
      </c>
      <c r="J464" s="55" t="str">
        <f>VLOOKUP($I464,'Pricing Table - eff 27-Jan-2026'!$A:$R,2,FALSE)</f>
        <v>G1S 694672</v>
      </c>
      <c r="K464" s="55" t="str">
        <f>VLOOKUP($I464,'Pricing Table - eff 27-Jan-2026'!$A:$R,6,FALSE)&amp;" "&amp;VLOOKUP($I464,'Pricing Table - eff 27-Jan-2026'!$A:$R,7,FALSE)&amp;""" x "&amp;VLOOKUP($I464,'Pricing Table - eff 27-Jan-2026'!$A:$R,9,FALSE)&amp;""" "&amp;VLOOKUP($I464,'Pricing Table - eff 27-Jan-2026'!$A:$R,5,FALSE)</f>
        <v>2MM 49" x 96" ACP</v>
      </c>
      <c r="L464" s="55">
        <f>VLOOKUP($I464,'Pricing Table - eff 27-Jan-2026'!$A:$K,8,FALSE)</f>
        <v>1245</v>
      </c>
      <c r="M464" s="55">
        <f>VLOOKUP($I464,'Pricing Table - eff 27-Jan-2026'!$A:$K,10,FALSE)</f>
        <v>2440</v>
      </c>
      <c r="N464" s="55" t="str">
        <f>VLOOKUP($I464,'Pricing Table - eff 27-Jan-2026'!$A:$R,13,FALSE)&amp;" "&amp;VLOOKUP($I464,'Pricing Table - eff 27-Jan-2026'!$A:$R,12,FALSE)</f>
        <v>ASC 0089 VICTORY RED</v>
      </c>
      <c r="O464" s="56">
        <v>6.5330000000000004</v>
      </c>
      <c r="P464" s="55">
        <f>(VLOOKUP($I464,'Pricing Table - eff 27-Jan-2026'!$A:$R,8,FALSE)/1000)*(VLOOKUP($I464,'Pricing Table - eff 27-Jan-2026'!$A:$R,10,FALSE)/1000)*Q464</f>
        <v>607.56000000000006</v>
      </c>
      <c r="Q464" s="55">
        <f>ROUND(('Order Details'!$O464*1000)/((VLOOKUP($I464,'Pricing Table - eff 27-Jan-2026'!$A:$Q,7,FALSE)/12)*(VLOOKUP($I464,'Pricing Table - eff 27-Jan-2026'!$A:$Q,9,FALSE)/12))/5,0)*5</f>
        <v>200</v>
      </c>
      <c r="R464" s="71">
        <f>$Q464/IFERROR(VLOOKUP($F464&amp;RIGHT($K464,8),'Master Data'!$O$5:$P$10,2,FALSE),'Master Data'!$P$4)</f>
        <v>1</v>
      </c>
      <c r="S464" s="57">
        <f>VLOOKUP($I464,'Pricing Table - eff 27-Jan-2026'!$A:$Q,16,FALSE)</f>
        <v>720</v>
      </c>
      <c r="T464" s="57">
        <f>VLOOKUP(I464,'Pricing Table - eff 27-Jan-2026'!$A:$O,15,FALSE)</f>
        <v>7.73</v>
      </c>
      <c r="U464" s="57">
        <f t="shared" si="21"/>
        <v>4703.76</v>
      </c>
      <c r="V464" s="111">
        <f t="shared" si="22"/>
        <v>4696.4388000000008</v>
      </c>
      <c r="W464" s="55">
        <f>VLOOKUP($I464,'Pricing Table - eff 27-Jan-2026'!$A:$R,18,FALSE)</f>
        <v>45</v>
      </c>
    </row>
    <row r="465" spans="1:23" ht="15" hidden="1" thickTop="1" x14ac:dyDescent="0.3">
      <c r="A465" s="55">
        <v>52996502</v>
      </c>
      <c r="B465" s="55">
        <v>0</v>
      </c>
      <c r="C465" s="55" t="str">
        <f>VLOOKUP(A465&amp;"-"&amp;B465,'Order Summary'!$D:$E,2,FALSE)</f>
        <v>Downpayment Received</v>
      </c>
      <c r="D465" s="216">
        <f>IF($A465="","",VLOOKUP($A465&amp;"-"&amp;$B465,'Order Summary'!$D:$U,3,FALSE))</f>
        <v>46063</v>
      </c>
      <c r="E465" s="55" t="str">
        <f>VLOOKUP(A465&amp;"-"&amp;B465,'Order Summary'!$D:$G,4,FALSE)</f>
        <v>Yes</v>
      </c>
      <c r="F465" s="55" t="str">
        <f>VLOOKUP($A465,'Order Summary'!$B:$I,8,FALSE)</f>
        <v>Hillsboro, TX</v>
      </c>
      <c r="G465" s="216">
        <f>IF($A465="","",VLOOKUP($A465&amp;"-"&amp;$B465,'Order Summary'!$D:$U,18,FALSE))</f>
        <v>46297</v>
      </c>
      <c r="H465" s="55">
        <v>9</v>
      </c>
      <c r="I465" s="55">
        <v>718152</v>
      </c>
      <c r="J465" s="55" t="str">
        <f>VLOOKUP($I465,'Pricing Table - eff 27-Jan-2026'!$A:$R,2,FALSE)</f>
        <v>G1S 718152</v>
      </c>
      <c r="K465" s="55" t="str">
        <f>VLOOKUP($I465,'Pricing Table - eff 27-Jan-2026'!$A:$R,6,FALSE)&amp;" "&amp;VLOOKUP($I465,'Pricing Table - eff 27-Jan-2026'!$A:$R,7,FALSE)&amp;""" x "&amp;VLOOKUP($I465,'Pricing Table - eff 27-Jan-2026'!$A:$R,9,FALSE)&amp;""" "&amp;VLOOKUP($I465,'Pricing Table - eff 27-Jan-2026'!$A:$R,5,FALSE)</f>
        <v>2MM 49" x 90.5" ACP</v>
      </c>
      <c r="L465" s="55">
        <f>VLOOKUP($I465,'Pricing Table - eff 27-Jan-2026'!$A:$K,8,FALSE)</f>
        <v>1245</v>
      </c>
      <c r="M465" s="55">
        <f>VLOOKUP($I465,'Pricing Table - eff 27-Jan-2026'!$A:$K,10,FALSE)</f>
        <v>2300</v>
      </c>
      <c r="N465" s="55" t="str">
        <f>VLOOKUP($I465,'Pricing Table - eff 27-Jan-2026'!$A:$R,13,FALSE)&amp;" "&amp;VLOOKUP($I465,'Pricing Table - eff 27-Jan-2026'!$A:$R,12,FALSE)</f>
        <v>ASC 0105 INDIGO BLUE</v>
      </c>
      <c r="O465" s="56">
        <v>12.318</v>
      </c>
      <c r="P465" s="55">
        <f>(VLOOKUP($I465,'Pricing Table - eff 27-Jan-2026'!$A:$R,8,FALSE)/1000)*(VLOOKUP($I465,'Pricing Table - eff 27-Jan-2026'!$A:$R,10,FALSE)/1000)*Q465</f>
        <v>1145.4000000000001</v>
      </c>
      <c r="Q465" s="55">
        <f>ROUND(('Order Details'!$O465*1000)/((VLOOKUP($I465,'Pricing Table - eff 27-Jan-2026'!$A:$Q,7,FALSE)/12)*(VLOOKUP($I465,'Pricing Table - eff 27-Jan-2026'!$A:$Q,9,FALSE)/12))/5,0)*5</f>
        <v>400</v>
      </c>
      <c r="R465" s="71">
        <f>$Q465/IFERROR(VLOOKUP($F465&amp;RIGHT($K465,8),'Master Data'!$O$5:$P$10,2,FALSE),'Master Data'!$P$4)</f>
        <v>2</v>
      </c>
      <c r="S465" s="57">
        <f>VLOOKUP($I465,'Pricing Table - eff 27-Jan-2026'!$A:$Q,16,FALSE)</f>
        <v>770</v>
      </c>
      <c r="T465" s="57">
        <f>VLOOKUP(I465,'Pricing Table - eff 27-Jan-2026'!$A:$O,15,FALSE)</f>
        <v>8.27</v>
      </c>
      <c r="U465" s="57">
        <f t="shared" si="21"/>
        <v>9484.86</v>
      </c>
      <c r="V465" s="111">
        <f t="shared" si="22"/>
        <v>9472.4580000000005</v>
      </c>
      <c r="W465" s="55">
        <f>VLOOKUP($I465,'Pricing Table - eff 27-Jan-2026'!$A:$R,18,FALSE)</f>
        <v>45</v>
      </c>
    </row>
    <row r="466" spans="1:23" ht="15" hidden="1" thickTop="1" x14ac:dyDescent="0.3">
      <c r="A466" s="55">
        <v>52996502</v>
      </c>
      <c r="B466" s="55">
        <v>0</v>
      </c>
      <c r="C466" s="55" t="str">
        <f>VLOOKUP(A466&amp;"-"&amp;B466,'Order Summary'!$D:$E,2,FALSE)</f>
        <v>Downpayment Received</v>
      </c>
      <c r="D466" s="216">
        <f>IF($A466="","",VLOOKUP($A466&amp;"-"&amp;$B466,'Order Summary'!$D:$U,3,FALSE))</f>
        <v>46063</v>
      </c>
      <c r="E466" s="55" t="str">
        <f>VLOOKUP(A466&amp;"-"&amp;B466,'Order Summary'!$D:$G,4,FALSE)</f>
        <v>Yes</v>
      </c>
      <c r="F466" s="55" t="str">
        <f>VLOOKUP($A466,'Order Summary'!$B:$I,8,FALSE)</f>
        <v>Hillsboro, TX</v>
      </c>
      <c r="G466" s="216">
        <f>IF($A466="","",VLOOKUP($A466&amp;"-"&amp;$B466,'Order Summary'!$D:$U,18,FALSE))</f>
        <v>46297</v>
      </c>
      <c r="H466" s="55">
        <v>10</v>
      </c>
      <c r="I466" s="55">
        <v>695620</v>
      </c>
      <c r="J466" s="55" t="str">
        <f>VLOOKUP($I466,'Pricing Table - eff 27-Jan-2026'!$A:$R,2,FALSE)</f>
        <v>G1S 695620</v>
      </c>
      <c r="K466" s="55" t="str">
        <f>VLOOKUP($I466,'Pricing Table - eff 27-Jan-2026'!$A:$R,6,FALSE)&amp;" "&amp;VLOOKUP($I466,'Pricing Table - eff 27-Jan-2026'!$A:$R,7,FALSE)&amp;""" x "&amp;VLOOKUP($I466,'Pricing Table - eff 27-Jan-2026'!$A:$R,9,FALSE)&amp;""" "&amp;VLOOKUP($I466,'Pricing Table - eff 27-Jan-2026'!$A:$R,5,FALSE)</f>
        <v>2MM 49" x 96" ACP</v>
      </c>
      <c r="L466" s="55">
        <f>VLOOKUP($I466,'Pricing Table - eff 27-Jan-2026'!$A:$K,8,FALSE)</f>
        <v>1245</v>
      </c>
      <c r="M466" s="55">
        <f>VLOOKUP($I466,'Pricing Table - eff 27-Jan-2026'!$A:$K,10,FALSE)</f>
        <v>2440</v>
      </c>
      <c r="N466" s="55" t="str">
        <f>VLOOKUP($I466,'Pricing Table - eff 27-Jan-2026'!$A:$R,13,FALSE)&amp;" "&amp;VLOOKUP($I466,'Pricing Table - eff 27-Jan-2026'!$A:$R,12,FALSE)</f>
        <v>ASC 0105 INDIGO BLUE</v>
      </c>
      <c r="O466" s="56">
        <v>13.067</v>
      </c>
      <c r="P466" s="55">
        <f>(VLOOKUP($I466,'Pricing Table - eff 27-Jan-2026'!$A:$R,8,FALSE)/1000)*(VLOOKUP($I466,'Pricing Table - eff 27-Jan-2026'!$A:$R,10,FALSE)/1000)*Q466</f>
        <v>1215.1200000000001</v>
      </c>
      <c r="Q466" s="55">
        <f>ROUND(('Order Details'!$O466*1000)/((VLOOKUP($I466,'Pricing Table - eff 27-Jan-2026'!$A:$Q,7,FALSE)/12)*(VLOOKUP($I466,'Pricing Table - eff 27-Jan-2026'!$A:$Q,9,FALSE)/12))/5,0)*5</f>
        <v>400</v>
      </c>
      <c r="R466" s="71">
        <f>$Q466/IFERROR(VLOOKUP($F466&amp;RIGHT($K466,8),'Master Data'!$O$5:$P$10,2,FALSE),'Master Data'!$P$4)</f>
        <v>2</v>
      </c>
      <c r="S466" s="57">
        <f>VLOOKUP($I466,'Pricing Table - eff 27-Jan-2026'!$A:$Q,16,FALSE)</f>
        <v>770</v>
      </c>
      <c r="T466" s="57">
        <f>VLOOKUP(I466,'Pricing Table - eff 27-Jan-2026'!$A:$O,15,FALSE)</f>
        <v>8.27</v>
      </c>
      <c r="U466" s="57">
        <f t="shared" si="21"/>
        <v>10061.59</v>
      </c>
      <c r="V466" s="111">
        <f t="shared" si="22"/>
        <v>10049.0424</v>
      </c>
      <c r="W466" s="55">
        <f>VLOOKUP($I466,'Pricing Table - eff 27-Jan-2026'!$A:$R,18,FALSE)</f>
        <v>45</v>
      </c>
    </row>
    <row r="467" spans="1:23" ht="15" hidden="1" thickTop="1" x14ac:dyDescent="0.3">
      <c r="A467" s="55">
        <v>24202598</v>
      </c>
      <c r="B467" s="55">
        <v>0</v>
      </c>
      <c r="C467" s="55" t="str">
        <f>VLOOKUP(A467&amp;"-"&amp;B467,'Order Summary'!$D:$E,2,FALSE)</f>
        <v>Proforma Invoice Sent</v>
      </c>
      <c r="D467" s="216">
        <f>IF($A467="","",VLOOKUP($A467&amp;"-"&amp;$B467,'Order Summary'!$D:$U,3,FALSE))</f>
        <v>46073</v>
      </c>
      <c r="E467" s="55" t="str">
        <f>VLOOKUP(A467&amp;"-"&amp;B467,'Order Summary'!$D:$G,4,FALSE)</f>
        <v>Yes</v>
      </c>
      <c r="F467" s="55" t="str">
        <f>VLOOKUP($A467,'Order Summary'!$B:$I,8,FALSE)</f>
        <v>Gordon, PA</v>
      </c>
      <c r="G467" s="216" t="str">
        <f>IF($A467="","",VLOOKUP($A467&amp;"-"&amp;$B467,'Order Summary'!$D:$U,18,FALSE))</f>
        <v/>
      </c>
      <c r="H467" s="55">
        <v>1</v>
      </c>
      <c r="I467" s="55">
        <v>694432</v>
      </c>
      <c r="J467" s="55" t="str">
        <f>VLOOKUP($I467,'Pricing Table - eff 27-Jan-2026'!$A:$R,2,FALSE)</f>
        <v>G1S 694432</v>
      </c>
      <c r="K467" s="55" t="str">
        <f>VLOOKUP($I467,'Pricing Table - eff 27-Jan-2026'!$A:$R,6,FALSE)&amp;" "&amp;VLOOKUP($I467,'Pricing Table - eff 27-Jan-2026'!$A:$R,7,FALSE)&amp;""" x "&amp;VLOOKUP($I467,'Pricing Table - eff 27-Jan-2026'!$A:$R,9,FALSE)&amp;""" "&amp;VLOOKUP($I467,'Pricing Table - eff 27-Jan-2026'!$A:$R,5,FALSE)</f>
        <v>2MM 49" x 96" ACP</v>
      </c>
      <c r="L467" s="55">
        <f>VLOOKUP($I467,'Pricing Table - eff 27-Jan-2026'!$A:$K,8,FALSE)</f>
        <v>1245</v>
      </c>
      <c r="M467" s="55">
        <f>VLOOKUP($I467,'Pricing Table - eff 27-Jan-2026'!$A:$K,10,FALSE)</f>
        <v>2440</v>
      </c>
      <c r="N467" s="55" t="str">
        <f>VLOOKUP($I467,'Pricing Table - eff 27-Jan-2026'!$A:$R,13,FALSE)&amp;" "&amp;VLOOKUP($I467,'Pricing Table - eff 27-Jan-2026'!$A:$R,12,FALSE)</f>
        <v>ASC 0096 GLOSSY BLACK</v>
      </c>
      <c r="O467" s="56">
        <v>45.732999999999997</v>
      </c>
      <c r="P467" s="55">
        <f>(VLOOKUP($I467,'Pricing Table - eff 27-Jan-2026'!$A:$R,8,FALSE)/1000)*(VLOOKUP($I467,'Pricing Table - eff 27-Jan-2026'!$A:$R,10,FALSE)/1000)*Q467</f>
        <v>4252.92</v>
      </c>
      <c r="Q467" s="55">
        <f>ROUND(('Order Details'!$O467*1000)/((VLOOKUP($I467,'Pricing Table - eff 27-Jan-2026'!$A:$Q,7,FALSE)/12)*(VLOOKUP($I467,'Pricing Table - eff 27-Jan-2026'!$A:$Q,9,FALSE)/12))/5,0)*5</f>
        <v>1400</v>
      </c>
      <c r="R467" s="71">
        <f>$Q467/IFERROR(VLOOKUP($F467&amp;RIGHT($K467,8),'Master Data'!$O$5:$P$10,2,FALSE),'Master Data'!$P$4)</f>
        <v>7</v>
      </c>
      <c r="S467" s="57">
        <f>VLOOKUP($I467,'Pricing Table - eff 27-Jan-2026'!$A:$Q,16,FALSE)</f>
        <v>720</v>
      </c>
      <c r="T467" s="57">
        <f>VLOOKUP(I467,'Pricing Table - eff 27-Jan-2026'!$A:$O,15,FALSE)</f>
        <v>7.73</v>
      </c>
      <c r="U467" s="57">
        <f t="shared" si="21"/>
        <v>32927.759999999995</v>
      </c>
      <c r="V467" s="111">
        <f t="shared" si="22"/>
        <v>32875.071600000003</v>
      </c>
      <c r="W467" s="55">
        <f>VLOOKUP($I467,'Pricing Table - eff 27-Jan-2026'!$A:$R,18,FALSE)</f>
        <v>45</v>
      </c>
    </row>
    <row r="468" spans="1:23" ht="15" hidden="1" thickTop="1" x14ac:dyDescent="0.3">
      <c r="A468" s="55">
        <v>24202598</v>
      </c>
      <c r="B468" s="55">
        <v>0</v>
      </c>
      <c r="C468" s="55" t="str">
        <f>VLOOKUP(A468&amp;"-"&amp;B468,'Order Summary'!$D:$E,2,FALSE)</f>
        <v>Proforma Invoice Sent</v>
      </c>
      <c r="D468" s="216">
        <f>IF($A468="","",VLOOKUP($A468&amp;"-"&amp;$B468,'Order Summary'!$D:$U,3,FALSE))</f>
        <v>46073</v>
      </c>
      <c r="E468" s="55" t="str">
        <f>VLOOKUP(A468&amp;"-"&amp;B468,'Order Summary'!$D:$G,4,FALSE)</f>
        <v>Yes</v>
      </c>
      <c r="F468" s="55" t="str">
        <f>VLOOKUP($A468,'Order Summary'!$B:$I,8,FALSE)</f>
        <v>Gordon, PA</v>
      </c>
      <c r="G468" s="216" t="str">
        <f>IF($A468="","",VLOOKUP($A468&amp;"-"&amp;$B468,'Order Summary'!$D:$U,18,FALSE))</f>
        <v/>
      </c>
      <c r="H468" s="55">
        <v>2</v>
      </c>
      <c r="I468" s="55">
        <v>694436</v>
      </c>
      <c r="J468" s="55" t="str">
        <f>VLOOKUP($I468,'Pricing Table - eff 27-Jan-2026'!$A:$R,2,FALSE)</f>
        <v>G1S 694436</v>
      </c>
      <c r="K468" s="55" t="str">
        <f>VLOOKUP($I468,'Pricing Table - eff 27-Jan-2026'!$A:$R,6,FALSE)&amp;" "&amp;VLOOKUP($I468,'Pricing Table - eff 27-Jan-2026'!$A:$R,7,FALSE)&amp;""" x "&amp;VLOOKUP($I468,'Pricing Table - eff 27-Jan-2026'!$A:$R,9,FALSE)&amp;""" "&amp;VLOOKUP($I468,'Pricing Table - eff 27-Jan-2026'!$A:$R,5,FALSE)</f>
        <v>2MM 49" x 96" ACP</v>
      </c>
      <c r="L468" s="55">
        <f>VLOOKUP($I468,'Pricing Table - eff 27-Jan-2026'!$A:$K,8,FALSE)</f>
        <v>1245</v>
      </c>
      <c r="M468" s="55">
        <f>VLOOKUP($I468,'Pricing Table - eff 27-Jan-2026'!$A:$K,10,FALSE)</f>
        <v>2440</v>
      </c>
      <c r="N468" s="55" t="str">
        <f>VLOOKUP($I468,'Pricing Table - eff 27-Jan-2026'!$A:$R,13,FALSE)&amp;" "&amp;VLOOKUP($I468,'Pricing Table - eff 27-Jan-2026'!$A:$R,12,FALSE)</f>
        <v>ASC 0069 GLOSSY WHITE</v>
      </c>
      <c r="O468" s="56">
        <v>45.732999999999997</v>
      </c>
      <c r="P468" s="55">
        <f>(VLOOKUP($I468,'Pricing Table - eff 27-Jan-2026'!$A:$R,8,FALSE)/1000)*(VLOOKUP($I468,'Pricing Table - eff 27-Jan-2026'!$A:$R,10,FALSE)/1000)*Q468</f>
        <v>4252.92</v>
      </c>
      <c r="Q468" s="55">
        <f>ROUND(('Order Details'!$O468*1000)/((VLOOKUP($I468,'Pricing Table - eff 27-Jan-2026'!$A:$Q,7,FALSE)/12)*(VLOOKUP($I468,'Pricing Table - eff 27-Jan-2026'!$A:$Q,9,FALSE)/12))/5,0)*5</f>
        <v>1400</v>
      </c>
      <c r="R468" s="71">
        <f>$Q468/IFERROR(VLOOKUP($F468&amp;RIGHT($K468,8),'Master Data'!$O$5:$P$10,2,FALSE),'Master Data'!$P$4)</f>
        <v>7</v>
      </c>
      <c r="S468" s="57">
        <f>VLOOKUP($I468,'Pricing Table - eff 27-Jan-2026'!$A:$Q,16,FALSE)</f>
        <v>720</v>
      </c>
      <c r="T468" s="57">
        <f>VLOOKUP(I468,'Pricing Table - eff 27-Jan-2026'!$A:$O,15,FALSE)</f>
        <v>7.73</v>
      </c>
      <c r="U468" s="57">
        <f t="shared" si="21"/>
        <v>32927.759999999995</v>
      </c>
      <c r="V468" s="111">
        <f t="shared" si="22"/>
        <v>32875.071600000003</v>
      </c>
      <c r="W468" s="55">
        <f>VLOOKUP($I468,'Pricing Table - eff 27-Jan-2026'!$A:$R,18,FALSE)</f>
        <v>45</v>
      </c>
    </row>
    <row r="469" spans="1:23" ht="15" hidden="1" thickTop="1" x14ac:dyDescent="0.3">
      <c r="A469" s="55">
        <v>24202599</v>
      </c>
      <c r="B469" s="55">
        <v>0</v>
      </c>
      <c r="C469" s="55" t="str">
        <f>VLOOKUP(A469&amp;"-"&amp;B469,'Order Summary'!$D:$E,2,FALSE)</f>
        <v>Proforma Invoice Sent</v>
      </c>
      <c r="D469" s="216">
        <f>IF($A469="","",VLOOKUP($A469&amp;"-"&amp;$B469,'Order Summary'!$D:$U,3,FALSE))</f>
        <v>46073</v>
      </c>
      <c r="E469" s="55" t="str">
        <f>VLOOKUP(A469&amp;"-"&amp;B469,'Order Summary'!$D:$G,4,FALSE)</f>
        <v>Yes</v>
      </c>
      <c r="F469" s="55" t="str">
        <f>VLOOKUP($A469,'Order Summary'!$B:$I,8,FALSE)</f>
        <v>Gordon, PA</v>
      </c>
      <c r="G469" s="216" t="str">
        <f>IF($A469="","",VLOOKUP($A469&amp;"-"&amp;$B469,'Order Summary'!$D:$U,18,FALSE))</f>
        <v/>
      </c>
      <c r="H469" s="55">
        <v>1</v>
      </c>
      <c r="I469" s="55">
        <v>694432</v>
      </c>
      <c r="J469" s="55" t="str">
        <f>VLOOKUP($I469,'Pricing Table - eff 27-Jan-2026'!$A:$R,2,FALSE)</f>
        <v>G1S 694432</v>
      </c>
      <c r="K469" s="55" t="str">
        <f>VLOOKUP($I469,'Pricing Table - eff 27-Jan-2026'!$A:$R,6,FALSE)&amp;" "&amp;VLOOKUP($I469,'Pricing Table - eff 27-Jan-2026'!$A:$R,7,FALSE)&amp;""" x "&amp;VLOOKUP($I469,'Pricing Table - eff 27-Jan-2026'!$A:$R,9,FALSE)&amp;""" "&amp;VLOOKUP($I469,'Pricing Table - eff 27-Jan-2026'!$A:$R,5,FALSE)</f>
        <v>2MM 49" x 96" ACP</v>
      </c>
      <c r="L469" s="55">
        <f>VLOOKUP($I469,'Pricing Table - eff 27-Jan-2026'!$A:$K,8,FALSE)</f>
        <v>1245</v>
      </c>
      <c r="M469" s="55">
        <f>VLOOKUP($I469,'Pricing Table - eff 27-Jan-2026'!$A:$K,10,FALSE)</f>
        <v>2440</v>
      </c>
      <c r="N469" s="55" t="str">
        <f>VLOOKUP($I469,'Pricing Table - eff 27-Jan-2026'!$A:$R,13,FALSE)&amp;" "&amp;VLOOKUP($I469,'Pricing Table - eff 27-Jan-2026'!$A:$R,12,FALSE)</f>
        <v>ASC 0096 GLOSSY BLACK</v>
      </c>
      <c r="O469" s="56">
        <v>45.732999999999997</v>
      </c>
      <c r="P469" s="55">
        <f>(VLOOKUP($I469,'Pricing Table - eff 27-Jan-2026'!$A:$R,8,FALSE)/1000)*(VLOOKUP($I469,'Pricing Table - eff 27-Jan-2026'!$A:$R,10,FALSE)/1000)*Q469</f>
        <v>4252.92</v>
      </c>
      <c r="Q469" s="55">
        <f>ROUND(('Order Details'!$O469*1000)/((VLOOKUP($I469,'Pricing Table - eff 27-Jan-2026'!$A:$Q,7,FALSE)/12)*(VLOOKUP($I469,'Pricing Table - eff 27-Jan-2026'!$A:$Q,9,FALSE)/12))/5,0)*5</f>
        <v>1400</v>
      </c>
      <c r="R469" s="71">
        <f>$Q469/IFERROR(VLOOKUP($F469&amp;RIGHT($K469,8),'Master Data'!$O$5:$P$10,2,FALSE),'Master Data'!$P$4)</f>
        <v>7</v>
      </c>
      <c r="S469" s="57">
        <f>VLOOKUP($I469,'Pricing Table - eff 27-Jan-2026'!$A:$Q,16,FALSE)</f>
        <v>720</v>
      </c>
      <c r="T469" s="57">
        <f>VLOOKUP(I469,'Pricing Table - eff 27-Jan-2026'!$A:$O,15,FALSE)</f>
        <v>7.73</v>
      </c>
      <c r="U469" s="57">
        <f t="shared" si="21"/>
        <v>32927.759999999995</v>
      </c>
      <c r="V469" s="111">
        <f t="shared" si="22"/>
        <v>32875.071600000003</v>
      </c>
      <c r="W469" s="55">
        <f>VLOOKUP($I469,'Pricing Table - eff 27-Jan-2026'!$A:$R,18,FALSE)</f>
        <v>45</v>
      </c>
    </row>
    <row r="470" spans="1:23" ht="15" hidden="1" thickTop="1" x14ac:dyDescent="0.3">
      <c r="A470" s="55">
        <v>24202599</v>
      </c>
      <c r="B470" s="55">
        <v>0</v>
      </c>
      <c r="C470" s="55" t="str">
        <f>VLOOKUP(A470&amp;"-"&amp;B470,'Order Summary'!$D:$E,2,FALSE)</f>
        <v>Proforma Invoice Sent</v>
      </c>
      <c r="D470" s="216">
        <f>IF($A470="","",VLOOKUP($A470&amp;"-"&amp;$B470,'Order Summary'!$D:$U,3,FALSE))</f>
        <v>46073</v>
      </c>
      <c r="E470" s="55" t="str">
        <f>VLOOKUP(A470&amp;"-"&amp;B470,'Order Summary'!$D:$G,4,FALSE)</f>
        <v>Yes</v>
      </c>
      <c r="F470" s="55" t="str">
        <f>VLOOKUP($A470,'Order Summary'!$B:$I,8,FALSE)</f>
        <v>Gordon, PA</v>
      </c>
      <c r="G470" s="216" t="str">
        <f>IF($A470="","",VLOOKUP($A470&amp;"-"&amp;$B470,'Order Summary'!$D:$U,18,FALSE))</f>
        <v/>
      </c>
      <c r="H470" s="55">
        <v>2</v>
      </c>
      <c r="I470" s="55">
        <v>694436</v>
      </c>
      <c r="J470" s="55" t="str">
        <f>VLOOKUP($I470,'Pricing Table - eff 27-Jan-2026'!$A:$R,2,FALSE)</f>
        <v>G1S 694436</v>
      </c>
      <c r="K470" s="55" t="str">
        <f>VLOOKUP($I470,'Pricing Table - eff 27-Jan-2026'!$A:$R,6,FALSE)&amp;" "&amp;VLOOKUP($I470,'Pricing Table - eff 27-Jan-2026'!$A:$R,7,FALSE)&amp;""" x "&amp;VLOOKUP($I470,'Pricing Table - eff 27-Jan-2026'!$A:$R,9,FALSE)&amp;""" "&amp;VLOOKUP($I470,'Pricing Table - eff 27-Jan-2026'!$A:$R,5,FALSE)</f>
        <v>2MM 49" x 96" ACP</v>
      </c>
      <c r="L470" s="55">
        <f>VLOOKUP($I470,'Pricing Table - eff 27-Jan-2026'!$A:$K,8,FALSE)</f>
        <v>1245</v>
      </c>
      <c r="M470" s="55">
        <f>VLOOKUP($I470,'Pricing Table - eff 27-Jan-2026'!$A:$K,10,FALSE)</f>
        <v>2440</v>
      </c>
      <c r="N470" s="55" t="str">
        <f>VLOOKUP($I470,'Pricing Table - eff 27-Jan-2026'!$A:$R,13,FALSE)&amp;" "&amp;VLOOKUP($I470,'Pricing Table - eff 27-Jan-2026'!$A:$R,12,FALSE)</f>
        <v>ASC 0069 GLOSSY WHITE</v>
      </c>
      <c r="O470" s="56">
        <v>45.732999999999997</v>
      </c>
      <c r="P470" s="55">
        <f>(VLOOKUP($I470,'Pricing Table - eff 27-Jan-2026'!$A:$R,8,FALSE)/1000)*(VLOOKUP($I470,'Pricing Table - eff 27-Jan-2026'!$A:$R,10,FALSE)/1000)*Q470</f>
        <v>4252.92</v>
      </c>
      <c r="Q470" s="55">
        <f>ROUND(('Order Details'!$O470*1000)/((VLOOKUP($I470,'Pricing Table - eff 27-Jan-2026'!$A:$Q,7,FALSE)/12)*(VLOOKUP($I470,'Pricing Table - eff 27-Jan-2026'!$A:$Q,9,FALSE)/12))/5,0)*5</f>
        <v>1400</v>
      </c>
      <c r="R470" s="71">
        <f>$Q470/IFERROR(VLOOKUP($F470&amp;RIGHT($K470,8),'Master Data'!$O$5:$P$10,2,FALSE),'Master Data'!$P$4)</f>
        <v>7</v>
      </c>
      <c r="S470" s="57">
        <f>VLOOKUP($I470,'Pricing Table - eff 27-Jan-2026'!$A:$Q,16,FALSE)</f>
        <v>720</v>
      </c>
      <c r="T470" s="57">
        <f>VLOOKUP(I470,'Pricing Table - eff 27-Jan-2026'!$A:$O,15,FALSE)</f>
        <v>7.73</v>
      </c>
      <c r="U470" s="57">
        <f t="shared" si="21"/>
        <v>32927.759999999995</v>
      </c>
      <c r="V470" s="111">
        <f t="shared" si="22"/>
        <v>32875.071600000003</v>
      </c>
      <c r="W470" s="55">
        <f>VLOOKUP($I470,'Pricing Table - eff 27-Jan-2026'!$A:$R,18,FALSE)</f>
        <v>45</v>
      </c>
    </row>
    <row r="471" spans="1:23" ht="15" hidden="1" thickTop="1" x14ac:dyDescent="0.3">
      <c r="A471" s="55">
        <v>24202600</v>
      </c>
      <c r="B471" s="55">
        <v>0</v>
      </c>
      <c r="C471" s="55" t="str">
        <f>VLOOKUP(A471&amp;"-"&amp;B471,'Order Summary'!$D:$E,2,FALSE)</f>
        <v>Proforma Invoice Sent</v>
      </c>
      <c r="D471" s="216">
        <f>IF($A471="","",VLOOKUP($A471&amp;"-"&amp;$B471,'Order Summary'!$D:$U,3,FALSE))</f>
        <v>46073</v>
      </c>
      <c r="E471" s="55" t="str">
        <f>VLOOKUP(A471&amp;"-"&amp;B471,'Order Summary'!$D:$G,4,FALSE)</f>
        <v>Yes</v>
      </c>
      <c r="F471" s="55" t="str">
        <f>VLOOKUP($A471,'Order Summary'!$B:$I,8,FALSE)</f>
        <v>Gordon, PA</v>
      </c>
      <c r="G471" s="216" t="str">
        <f>IF($A471="","",VLOOKUP($A471&amp;"-"&amp;$B471,'Order Summary'!$D:$U,18,FALSE))</f>
        <v/>
      </c>
      <c r="H471" s="55">
        <v>1</v>
      </c>
      <c r="I471" s="55">
        <v>694437</v>
      </c>
      <c r="J471" s="55" t="str">
        <f>VLOOKUP($I471,'Pricing Table - eff 27-Jan-2026'!$A:$R,2,FALSE)</f>
        <v>G1S 694437</v>
      </c>
      <c r="K471" s="55" t="str">
        <f>VLOOKUP($I471,'Pricing Table - eff 27-Jan-2026'!$A:$R,6,FALSE)&amp;" "&amp;VLOOKUP($I471,'Pricing Table - eff 27-Jan-2026'!$A:$R,7,FALSE)&amp;""" x "&amp;VLOOKUP($I471,'Pricing Table - eff 27-Jan-2026'!$A:$R,9,FALSE)&amp;""" "&amp;VLOOKUP($I471,'Pricing Table - eff 27-Jan-2026'!$A:$R,5,FALSE)</f>
        <v>2MM 49" x 108" ACP</v>
      </c>
      <c r="L471" s="55">
        <f>VLOOKUP($I471,'Pricing Table - eff 27-Jan-2026'!$A:$K,8,FALSE)</f>
        <v>1245</v>
      </c>
      <c r="M471" s="55">
        <f>VLOOKUP($I471,'Pricing Table - eff 27-Jan-2026'!$A:$K,10,FALSE)</f>
        <v>2745</v>
      </c>
      <c r="N471" s="55" t="str">
        <f>VLOOKUP($I471,'Pricing Table - eff 27-Jan-2026'!$A:$R,13,FALSE)&amp;" "&amp;VLOOKUP($I471,'Pricing Table - eff 27-Jan-2026'!$A:$R,12,FALSE)</f>
        <v>ASC 0069 GLOSSY WHITE</v>
      </c>
      <c r="O471" s="56">
        <v>44.1</v>
      </c>
      <c r="P471" s="55">
        <f>(VLOOKUP($I471,'Pricing Table - eff 27-Jan-2026'!$A:$R,8,FALSE)/1000)*(VLOOKUP($I471,'Pricing Table - eff 27-Jan-2026'!$A:$R,10,FALSE)/1000)*Q471</f>
        <v>4101.0300000000007</v>
      </c>
      <c r="Q471" s="55">
        <f>ROUND(('Order Details'!$O471*1000)/((VLOOKUP($I471,'Pricing Table - eff 27-Jan-2026'!$A:$Q,7,FALSE)/12)*(VLOOKUP($I471,'Pricing Table - eff 27-Jan-2026'!$A:$Q,9,FALSE)/12))/5,0)*5</f>
        <v>1200</v>
      </c>
      <c r="R471" s="71">
        <f>$Q471/IFERROR(VLOOKUP($F471&amp;RIGHT($K471,8),'Master Data'!$O$5:$P$10,2,FALSE),'Master Data'!$P$4)</f>
        <v>6</v>
      </c>
      <c r="S471" s="57">
        <f>VLOOKUP($I471,'Pricing Table - eff 27-Jan-2026'!$A:$Q,16,FALSE)</f>
        <v>720</v>
      </c>
      <c r="T471" s="57">
        <f>VLOOKUP(I471,'Pricing Table - eff 27-Jan-2026'!$A:$O,15,FALSE)</f>
        <v>7.73</v>
      </c>
      <c r="U471" s="57">
        <f t="shared" si="21"/>
        <v>31752</v>
      </c>
      <c r="V471" s="111">
        <f t="shared" si="22"/>
        <v>31700.961900000006</v>
      </c>
      <c r="W471" s="55">
        <f>VLOOKUP($I471,'Pricing Table - eff 27-Jan-2026'!$A:$R,18,FALSE)</f>
        <v>45</v>
      </c>
    </row>
    <row r="472" spans="1:23" ht="15" hidden="1" thickTop="1" x14ac:dyDescent="0.3">
      <c r="A472" s="55">
        <v>24202600</v>
      </c>
      <c r="B472" s="55">
        <v>0</v>
      </c>
      <c r="C472" s="55" t="str">
        <f>VLOOKUP(A472&amp;"-"&amp;B472,'Order Summary'!$D:$E,2,FALSE)</f>
        <v>Proforma Invoice Sent</v>
      </c>
      <c r="D472" s="216">
        <f>IF($A472="","",VLOOKUP($A472&amp;"-"&amp;$B472,'Order Summary'!$D:$U,3,FALSE))</f>
        <v>46073</v>
      </c>
      <c r="E472" s="55" t="str">
        <f>VLOOKUP(A472&amp;"-"&amp;B472,'Order Summary'!$D:$G,4,FALSE)</f>
        <v>Yes</v>
      </c>
      <c r="F472" s="55" t="str">
        <f>VLOOKUP($A472,'Order Summary'!$B:$I,8,FALSE)</f>
        <v>Gordon, PA</v>
      </c>
      <c r="G472" s="216" t="str">
        <f>IF($A472="","",VLOOKUP($A472&amp;"-"&amp;$B472,'Order Summary'!$D:$U,18,FALSE))</f>
        <v/>
      </c>
      <c r="H472" s="55">
        <v>2</v>
      </c>
      <c r="I472" s="55">
        <v>694433</v>
      </c>
      <c r="J472" s="55" t="str">
        <f>VLOOKUP($I472,'Pricing Table - eff 27-Jan-2026'!$A:$R,2,FALSE)</f>
        <v>G1S 694433</v>
      </c>
      <c r="K472" s="55" t="str">
        <f>VLOOKUP($I472,'Pricing Table - eff 27-Jan-2026'!$A:$R,6,FALSE)&amp;" "&amp;VLOOKUP($I472,'Pricing Table - eff 27-Jan-2026'!$A:$R,7,FALSE)&amp;""" x "&amp;VLOOKUP($I472,'Pricing Table - eff 27-Jan-2026'!$A:$R,9,FALSE)&amp;""" "&amp;VLOOKUP($I472,'Pricing Table - eff 27-Jan-2026'!$A:$R,5,FALSE)</f>
        <v>2MM 49" x 108" ACP</v>
      </c>
      <c r="L472" s="55">
        <f>VLOOKUP($I472,'Pricing Table - eff 27-Jan-2026'!$A:$K,8,FALSE)</f>
        <v>1245</v>
      </c>
      <c r="M472" s="55">
        <f>VLOOKUP($I472,'Pricing Table - eff 27-Jan-2026'!$A:$K,10,FALSE)</f>
        <v>2745</v>
      </c>
      <c r="N472" s="55" t="str">
        <f>VLOOKUP($I472,'Pricing Table - eff 27-Jan-2026'!$A:$R,13,FALSE)&amp;" "&amp;VLOOKUP($I472,'Pricing Table - eff 27-Jan-2026'!$A:$R,12,FALSE)</f>
        <v>ASC 0096 GLOSSY BLACK</v>
      </c>
      <c r="O472" s="56">
        <v>44.1</v>
      </c>
      <c r="P472" s="55">
        <f>(VLOOKUP($I472,'Pricing Table - eff 27-Jan-2026'!$A:$R,8,FALSE)/1000)*(VLOOKUP($I472,'Pricing Table - eff 27-Jan-2026'!$A:$R,10,FALSE)/1000)*Q472</f>
        <v>4101.0300000000007</v>
      </c>
      <c r="Q472" s="55">
        <f>ROUND(('Order Details'!$O472*1000)/((VLOOKUP($I472,'Pricing Table - eff 27-Jan-2026'!$A:$Q,7,FALSE)/12)*(VLOOKUP($I472,'Pricing Table - eff 27-Jan-2026'!$A:$Q,9,FALSE)/12))/5,0)*5</f>
        <v>1200</v>
      </c>
      <c r="R472" s="71">
        <f>$Q472/IFERROR(VLOOKUP($F472&amp;RIGHT($K472,8),'Master Data'!$O$5:$P$10,2,FALSE),'Master Data'!$P$4)</f>
        <v>6</v>
      </c>
      <c r="S472" s="57">
        <f>VLOOKUP($I472,'Pricing Table - eff 27-Jan-2026'!$A:$Q,16,FALSE)</f>
        <v>720</v>
      </c>
      <c r="T472" s="57">
        <f>VLOOKUP(I472,'Pricing Table - eff 27-Jan-2026'!$A:$O,15,FALSE)</f>
        <v>7.73</v>
      </c>
      <c r="U472" s="57">
        <f t="shared" si="21"/>
        <v>31752</v>
      </c>
      <c r="V472" s="111">
        <f t="shared" si="22"/>
        <v>31700.961900000006</v>
      </c>
      <c r="W472" s="55">
        <f>VLOOKUP($I472,'Pricing Table - eff 27-Jan-2026'!$A:$R,18,FALSE)</f>
        <v>45</v>
      </c>
    </row>
    <row r="473" spans="1:23" ht="15" hidden="1" thickTop="1" x14ac:dyDescent="0.3">
      <c r="A473" s="55">
        <v>24202605</v>
      </c>
      <c r="B473" s="55">
        <v>0</v>
      </c>
      <c r="C473" s="55" t="str">
        <f>VLOOKUP(A473&amp;"-"&amp;B473,'Order Summary'!$D:$E,2,FALSE)</f>
        <v>Proforma Invoice Sent</v>
      </c>
      <c r="D473" s="216">
        <f>IF($A473="","",VLOOKUP($A473&amp;"-"&amp;$B473,'Order Summary'!$D:$U,3,FALSE))</f>
        <v>46073</v>
      </c>
      <c r="E473" s="55" t="str">
        <f>VLOOKUP(A473&amp;"-"&amp;B473,'Order Summary'!$D:$G,4,FALSE)</f>
        <v>Yes</v>
      </c>
      <c r="F473" s="55" t="str">
        <f>VLOOKUP($A473,'Order Summary'!$B:$I,8,FALSE)</f>
        <v>Gordon, PA</v>
      </c>
      <c r="G473" s="216" t="str">
        <f>IF($A473="","",VLOOKUP($A473&amp;"-"&amp;$B473,'Order Summary'!$D:$U,18,FALSE))</f>
        <v/>
      </c>
      <c r="H473" s="55">
        <v>1</v>
      </c>
      <c r="I473" s="55">
        <v>694437</v>
      </c>
      <c r="J473" s="55" t="str">
        <f>VLOOKUP($I473,'Pricing Table - eff 27-Jan-2026'!$A:$R,2,FALSE)</f>
        <v>G1S 694437</v>
      </c>
      <c r="K473" s="55" t="str">
        <f>VLOOKUP($I473,'Pricing Table - eff 27-Jan-2026'!$A:$R,6,FALSE)&amp;" "&amp;VLOOKUP($I473,'Pricing Table - eff 27-Jan-2026'!$A:$R,7,FALSE)&amp;""" x "&amp;VLOOKUP($I473,'Pricing Table - eff 27-Jan-2026'!$A:$R,9,FALSE)&amp;""" "&amp;VLOOKUP($I473,'Pricing Table - eff 27-Jan-2026'!$A:$R,5,FALSE)</f>
        <v>2MM 49" x 108" ACP</v>
      </c>
      <c r="L473" s="55">
        <f>VLOOKUP($I473,'Pricing Table - eff 27-Jan-2026'!$A:$K,8,FALSE)</f>
        <v>1245</v>
      </c>
      <c r="M473" s="55">
        <f>VLOOKUP($I473,'Pricing Table - eff 27-Jan-2026'!$A:$K,10,FALSE)</f>
        <v>2745</v>
      </c>
      <c r="N473" s="55" t="str">
        <f>VLOOKUP($I473,'Pricing Table - eff 27-Jan-2026'!$A:$R,13,FALSE)&amp;" "&amp;VLOOKUP($I473,'Pricing Table - eff 27-Jan-2026'!$A:$R,12,FALSE)</f>
        <v>ASC 0069 GLOSSY WHITE</v>
      </c>
      <c r="O473" s="56">
        <v>44.1</v>
      </c>
      <c r="P473" s="55">
        <f>(VLOOKUP($I473,'Pricing Table - eff 27-Jan-2026'!$A:$R,8,FALSE)/1000)*(VLOOKUP($I473,'Pricing Table - eff 27-Jan-2026'!$A:$R,10,FALSE)/1000)*Q473</f>
        <v>4101.0300000000007</v>
      </c>
      <c r="Q473" s="55">
        <f>ROUND(('Order Details'!$O473*1000)/((VLOOKUP($I473,'Pricing Table - eff 27-Jan-2026'!$A:$Q,7,FALSE)/12)*(VLOOKUP($I473,'Pricing Table - eff 27-Jan-2026'!$A:$Q,9,FALSE)/12))/5,0)*5</f>
        <v>1200</v>
      </c>
      <c r="R473" s="71">
        <f>$Q473/IFERROR(VLOOKUP($F473&amp;RIGHT($K473,8),'Master Data'!$O$5:$P$10,2,FALSE),'Master Data'!$P$4)</f>
        <v>6</v>
      </c>
      <c r="S473" s="57">
        <f>VLOOKUP($I473,'Pricing Table - eff 27-Jan-2026'!$A:$Q,16,FALSE)</f>
        <v>720</v>
      </c>
      <c r="T473" s="57">
        <f>VLOOKUP(I473,'Pricing Table - eff 27-Jan-2026'!$A:$O,15,FALSE)</f>
        <v>7.73</v>
      </c>
      <c r="U473" s="57">
        <f t="shared" si="21"/>
        <v>31752</v>
      </c>
      <c r="V473" s="111">
        <f t="shared" si="22"/>
        <v>31700.961900000006</v>
      </c>
      <c r="W473" s="55">
        <f>VLOOKUP($I473,'Pricing Table - eff 27-Jan-2026'!$A:$R,18,FALSE)</f>
        <v>45</v>
      </c>
    </row>
    <row r="474" spans="1:23" ht="15" hidden="1" thickTop="1" x14ac:dyDescent="0.3">
      <c r="A474" s="55">
        <v>24202605</v>
      </c>
      <c r="B474" s="55">
        <v>0</v>
      </c>
      <c r="C474" s="55" t="str">
        <f>VLOOKUP(A474&amp;"-"&amp;B474,'Order Summary'!$D:$E,2,FALSE)</f>
        <v>Proforma Invoice Sent</v>
      </c>
      <c r="D474" s="216">
        <f>IF($A474="","",VLOOKUP($A474&amp;"-"&amp;$B474,'Order Summary'!$D:$U,3,FALSE))</f>
        <v>46073</v>
      </c>
      <c r="E474" s="55" t="str">
        <f>VLOOKUP(A474&amp;"-"&amp;B474,'Order Summary'!$D:$G,4,FALSE)</f>
        <v>Yes</v>
      </c>
      <c r="F474" s="55" t="str">
        <f>VLOOKUP($A474,'Order Summary'!$B:$I,8,FALSE)</f>
        <v>Gordon, PA</v>
      </c>
      <c r="G474" s="216" t="str">
        <f>IF($A474="","",VLOOKUP($A474&amp;"-"&amp;$B474,'Order Summary'!$D:$U,18,FALSE))</f>
        <v/>
      </c>
      <c r="H474" s="55">
        <v>2</v>
      </c>
      <c r="I474" s="55">
        <v>694433</v>
      </c>
      <c r="J474" s="55" t="str">
        <f>VLOOKUP($I474,'Pricing Table - eff 27-Jan-2026'!$A:$R,2,FALSE)</f>
        <v>G1S 694433</v>
      </c>
      <c r="K474" s="55" t="str">
        <f>VLOOKUP($I474,'Pricing Table - eff 27-Jan-2026'!$A:$R,6,FALSE)&amp;" "&amp;VLOOKUP($I474,'Pricing Table - eff 27-Jan-2026'!$A:$R,7,FALSE)&amp;""" x "&amp;VLOOKUP($I474,'Pricing Table - eff 27-Jan-2026'!$A:$R,9,FALSE)&amp;""" "&amp;VLOOKUP($I474,'Pricing Table - eff 27-Jan-2026'!$A:$R,5,FALSE)</f>
        <v>2MM 49" x 108" ACP</v>
      </c>
      <c r="L474" s="55">
        <f>VLOOKUP($I474,'Pricing Table - eff 27-Jan-2026'!$A:$K,8,FALSE)</f>
        <v>1245</v>
      </c>
      <c r="M474" s="55">
        <f>VLOOKUP($I474,'Pricing Table - eff 27-Jan-2026'!$A:$K,10,FALSE)</f>
        <v>2745</v>
      </c>
      <c r="N474" s="55" t="str">
        <f>VLOOKUP($I474,'Pricing Table - eff 27-Jan-2026'!$A:$R,13,FALSE)&amp;" "&amp;VLOOKUP($I474,'Pricing Table - eff 27-Jan-2026'!$A:$R,12,FALSE)</f>
        <v>ASC 0096 GLOSSY BLACK</v>
      </c>
      <c r="O474" s="56">
        <v>44.1</v>
      </c>
      <c r="P474" s="55">
        <f>(VLOOKUP($I474,'Pricing Table - eff 27-Jan-2026'!$A:$R,8,FALSE)/1000)*(VLOOKUP($I474,'Pricing Table - eff 27-Jan-2026'!$A:$R,10,FALSE)/1000)*Q474</f>
        <v>4101.0300000000007</v>
      </c>
      <c r="Q474" s="55">
        <f>ROUND(('Order Details'!$O474*1000)/((VLOOKUP($I474,'Pricing Table - eff 27-Jan-2026'!$A:$Q,7,FALSE)/12)*(VLOOKUP($I474,'Pricing Table - eff 27-Jan-2026'!$A:$Q,9,FALSE)/12))/5,0)*5</f>
        <v>1200</v>
      </c>
      <c r="R474" s="71">
        <f>$Q474/IFERROR(VLOOKUP($F474&amp;RIGHT($K474,8),'Master Data'!$O$5:$P$10,2,FALSE),'Master Data'!$P$4)</f>
        <v>6</v>
      </c>
      <c r="S474" s="57">
        <f>VLOOKUP($I474,'Pricing Table - eff 27-Jan-2026'!$A:$Q,16,FALSE)</f>
        <v>720</v>
      </c>
      <c r="T474" s="57">
        <f>VLOOKUP(I474,'Pricing Table - eff 27-Jan-2026'!$A:$O,15,FALSE)</f>
        <v>7.73</v>
      </c>
      <c r="U474" s="57">
        <f t="shared" si="21"/>
        <v>31752</v>
      </c>
      <c r="V474" s="111">
        <f t="shared" si="22"/>
        <v>31700.961900000006</v>
      </c>
      <c r="W474" s="55">
        <f>VLOOKUP($I474,'Pricing Table - eff 27-Jan-2026'!$A:$R,18,FALSE)</f>
        <v>45</v>
      </c>
    </row>
    <row r="475" spans="1:23" ht="15" hidden="1" thickTop="1" x14ac:dyDescent="0.3">
      <c r="A475" s="55">
        <v>24202656</v>
      </c>
      <c r="B475" s="55">
        <v>0</v>
      </c>
      <c r="C475" s="55" t="str">
        <f>VLOOKUP(A475&amp;"-"&amp;B475,'Order Summary'!$D:$E,2,FALSE)</f>
        <v>Proforma Invoice Sent</v>
      </c>
      <c r="D475" s="216">
        <f>IF($A475="","",VLOOKUP($A475&amp;"-"&amp;$B475,'Order Summary'!$D:$U,3,FALSE))</f>
        <v>46073</v>
      </c>
      <c r="E475" s="55" t="str">
        <f>VLOOKUP(A475&amp;"-"&amp;B475,'Order Summary'!$D:$G,4,FALSE)</f>
        <v>Yes</v>
      </c>
      <c r="F475" s="55" t="str">
        <f>VLOOKUP($A475,'Order Summary'!$B:$I,8,FALSE)</f>
        <v>Gordon, PA</v>
      </c>
      <c r="G475" s="216" t="str">
        <f>IF($A475="","",VLOOKUP($A475&amp;"-"&amp;$B475,'Order Summary'!$D:$U,18,FALSE))</f>
        <v/>
      </c>
      <c r="H475" s="55">
        <v>1</v>
      </c>
      <c r="I475" s="55">
        <v>694432</v>
      </c>
      <c r="J475" s="55" t="str">
        <f>VLOOKUP($I475,'Pricing Table - eff 27-Jan-2026'!$A:$R,2,FALSE)</f>
        <v>G1S 694432</v>
      </c>
      <c r="K475" s="55" t="str">
        <f>VLOOKUP($I475,'Pricing Table - eff 27-Jan-2026'!$A:$R,6,FALSE)&amp;" "&amp;VLOOKUP($I475,'Pricing Table - eff 27-Jan-2026'!$A:$R,7,FALSE)&amp;""" x "&amp;VLOOKUP($I475,'Pricing Table - eff 27-Jan-2026'!$A:$R,9,FALSE)&amp;""" "&amp;VLOOKUP($I475,'Pricing Table - eff 27-Jan-2026'!$A:$R,5,FALSE)</f>
        <v>2MM 49" x 96" ACP</v>
      </c>
      <c r="L475" s="55">
        <f>VLOOKUP($I475,'Pricing Table - eff 27-Jan-2026'!$A:$K,8,FALSE)</f>
        <v>1245</v>
      </c>
      <c r="M475" s="55">
        <f>VLOOKUP($I475,'Pricing Table - eff 27-Jan-2026'!$A:$K,10,FALSE)</f>
        <v>2440</v>
      </c>
      <c r="N475" s="55" t="str">
        <f>VLOOKUP($I475,'Pricing Table - eff 27-Jan-2026'!$A:$R,13,FALSE)&amp;" "&amp;VLOOKUP($I475,'Pricing Table - eff 27-Jan-2026'!$A:$R,12,FALSE)</f>
        <v>ASC 0096 GLOSSY BLACK</v>
      </c>
      <c r="O475" s="56">
        <v>32.667000000000002</v>
      </c>
      <c r="P475" s="55">
        <f>(VLOOKUP($I475,'Pricing Table - eff 27-Jan-2026'!$A:$R,8,FALSE)/1000)*(VLOOKUP($I475,'Pricing Table - eff 27-Jan-2026'!$A:$R,10,FALSE)/1000)*Q475</f>
        <v>3037.8</v>
      </c>
      <c r="Q475" s="55">
        <f>ROUND(('Order Details'!$O475*1000)/((VLOOKUP($I475,'Pricing Table - eff 27-Jan-2026'!$A:$Q,7,FALSE)/12)*(VLOOKUP($I475,'Pricing Table - eff 27-Jan-2026'!$A:$Q,9,FALSE)/12))/5,0)*5</f>
        <v>1000</v>
      </c>
      <c r="R475" s="71">
        <f>$Q475/IFERROR(VLOOKUP($F475&amp;RIGHT($K475,8),'Master Data'!$O$5:$P$10,2,FALSE),'Master Data'!$P$4)</f>
        <v>5</v>
      </c>
      <c r="S475" s="57">
        <f>VLOOKUP($I475,'Pricing Table - eff 27-Jan-2026'!$A:$Q,16,FALSE)</f>
        <v>720</v>
      </c>
      <c r="T475" s="57">
        <f>VLOOKUP(I475,'Pricing Table - eff 27-Jan-2026'!$A:$O,15,FALSE)</f>
        <v>7.73</v>
      </c>
      <c r="U475" s="57">
        <f t="shared" si="21"/>
        <v>23520.240000000002</v>
      </c>
      <c r="V475" s="111">
        <f t="shared" si="22"/>
        <v>23482.194000000003</v>
      </c>
      <c r="W475" s="55">
        <f>VLOOKUP($I475,'Pricing Table - eff 27-Jan-2026'!$A:$R,18,FALSE)</f>
        <v>45</v>
      </c>
    </row>
    <row r="476" spans="1:23" ht="15" hidden="1" thickTop="1" x14ac:dyDescent="0.3">
      <c r="A476" s="55">
        <v>24202656</v>
      </c>
      <c r="B476" s="55">
        <v>0</v>
      </c>
      <c r="C476" s="55" t="str">
        <f>VLOOKUP(A476&amp;"-"&amp;B476,'Order Summary'!$D:$E,2,FALSE)</f>
        <v>Proforma Invoice Sent</v>
      </c>
      <c r="D476" s="216">
        <f>IF($A476="","",VLOOKUP($A476&amp;"-"&amp;$B476,'Order Summary'!$D:$U,3,FALSE))</f>
        <v>46073</v>
      </c>
      <c r="E476" s="55" t="str">
        <f>VLOOKUP(A476&amp;"-"&amp;B476,'Order Summary'!$D:$G,4,FALSE)</f>
        <v>Yes</v>
      </c>
      <c r="F476" s="55" t="str">
        <f>VLOOKUP($A476,'Order Summary'!$B:$I,8,FALSE)</f>
        <v>Gordon, PA</v>
      </c>
      <c r="G476" s="216" t="str">
        <f>IF($A476="","",VLOOKUP($A476&amp;"-"&amp;$B476,'Order Summary'!$D:$U,18,FALSE))</f>
        <v/>
      </c>
      <c r="H476" s="55">
        <v>2</v>
      </c>
      <c r="I476" s="55">
        <v>694436</v>
      </c>
      <c r="J476" s="55" t="str">
        <f>VLOOKUP($I476,'Pricing Table - eff 27-Jan-2026'!$A:$R,2,FALSE)</f>
        <v>G1S 694436</v>
      </c>
      <c r="K476" s="55" t="str">
        <f>VLOOKUP($I476,'Pricing Table - eff 27-Jan-2026'!$A:$R,6,FALSE)&amp;" "&amp;VLOOKUP($I476,'Pricing Table - eff 27-Jan-2026'!$A:$R,7,FALSE)&amp;""" x "&amp;VLOOKUP($I476,'Pricing Table - eff 27-Jan-2026'!$A:$R,9,FALSE)&amp;""" "&amp;VLOOKUP($I476,'Pricing Table - eff 27-Jan-2026'!$A:$R,5,FALSE)</f>
        <v>2MM 49" x 96" ACP</v>
      </c>
      <c r="L476" s="55">
        <f>VLOOKUP($I476,'Pricing Table - eff 27-Jan-2026'!$A:$K,8,FALSE)</f>
        <v>1245</v>
      </c>
      <c r="M476" s="55">
        <f>VLOOKUP($I476,'Pricing Table - eff 27-Jan-2026'!$A:$K,10,FALSE)</f>
        <v>2440</v>
      </c>
      <c r="N476" s="55" t="str">
        <f>VLOOKUP($I476,'Pricing Table - eff 27-Jan-2026'!$A:$R,13,FALSE)&amp;" "&amp;VLOOKUP($I476,'Pricing Table - eff 27-Jan-2026'!$A:$R,12,FALSE)</f>
        <v>ASC 0069 GLOSSY WHITE</v>
      </c>
      <c r="O476" s="56">
        <v>32.667000000000002</v>
      </c>
      <c r="P476" s="55">
        <f>(VLOOKUP($I476,'Pricing Table - eff 27-Jan-2026'!$A:$R,8,FALSE)/1000)*(VLOOKUP($I476,'Pricing Table - eff 27-Jan-2026'!$A:$R,10,FALSE)/1000)*Q476</f>
        <v>3037.8</v>
      </c>
      <c r="Q476" s="55">
        <f>ROUND(('Order Details'!$O476*1000)/((VLOOKUP($I476,'Pricing Table - eff 27-Jan-2026'!$A:$Q,7,FALSE)/12)*(VLOOKUP($I476,'Pricing Table - eff 27-Jan-2026'!$A:$Q,9,FALSE)/12))/5,0)*5</f>
        <v>1000</v>
      </c>
      <c r="R476" s="71">
        <f>$Q476/IFERROR(VLOOKUP($F476&amp;RIGHT($K476,8),'Master Data'!$O$5:$P$10,2,FALSE),'Master Data'!$P$4)</f>
        <v>5</v>
      </c>
      <c r="S476" s="57">
        <f>VLOOKUP($I476,'Pricing Table - eff 27-Jan-2026'!$A:$Q,16,FALSE)</f>
        <v>720</v>
      </c>
      <c r="T476" s="57">
        <f>VLOOKUP(I476,'Pricing Table - eff 27-Jan-2026'!$A:$O,15,FALSE)</f>
        <v>7.73</v>
      </c>
      <c r="U476" s="57">
        <f>O476*S476</f>
        <v>23520.240000000002</v>
      </c>
      <c r="V476" s="111">
        <f t="shared" si="22"/>
        <v>23482.194000000003</v>
      </c>
      <c r="W476" s="55">
        <f>VLOOKUP($I476,'Pricing Table - eff 27-Jan-2026'!$A:$R,18,FALSE)</f>
        <v>45</v>
      </c>
    </row>
    <row r="477" spans="1:23" ht="15" hidden="1" thickTop="1" x14ac:dyDescent="0.3">
      <c r="A477" s="55">
        <v>24202656</v>
      </c>
      <c r="B477" s="55">
        <v>0</v>
      </c>
      <c r="C477" s="55" t="str">
        <f>VLOOKUP(A477&amp;"-"&amp;B477,'Order Summary'!$D:$E,2,FALSE)</f>
        <v>Proforma Invoice Sent</v>
      </c>
      <c r="D477" s="216">
        <f>IF($A477="","",VLOOKUP($A477&amp;"-"&amp;$B477,'Order Summary'!$D:$U,3,FALSE))</f>
        <v>46073</v>
      </c>
      <c r="E477" s="55" t="str">
        <f>VLOOKUP(A477&amp;"-"&amp;B477,'Order Summary'!$D:$G,4,FALSE)</f>
        <v>Yes</v>
      </c>
      <c r="F477" s="55" t="str">
        <f>VLOOKUP($A477,'Order Summary'!$B:$I,8,FALSE)</f>
        <v>Gordon, PA</v>
      </c>
      <c r="G477" s="216" t="str">
        <f>IF($A477="","",VLOOKUP($A477&amp;"-"&amp;$B477,'Order Summary'!$D:$U,18,FALSE))</f>
        <v/>
      </c>
      <c r="H477" s="55">
        <v>3</v>
      </c>
      <c r="I477" s="55">
        <v>694440</v>
      </c>
      <c r="J477" s="55" t="str">
        <f>VLOOKUP($I477,'Pricing Table - eff 27-Jan-2026'!$A:$R,2,FALSE)</f>
        <v>G1S 694440</v>
      </c>
      <c r="K477" s="55" t="str">
        <f>VLOOKUP($I477,'Pricing Table - eff 27-Jan-2026'!$A:$R,6,FALSE)&amp;" "&amp;VLOOKUP($I477,'Pricing Table - eff 27-Jan-2026'!$A:$R,7,FALSE)&amp;""" x "&amp;VLOOKUP($I477,'Pricing Table - eff 27-Jan-2026'!$A:$R,9,FALSE)&amp;""" "&amp;VLOOKUP($I477,'Pricing Table - eff 27-Jan-2026'!$A:$R,5,FALSE)</f>
        <v>2MM 49" x 96" ACP</v>
      </c>
      <c r="L477" s="55">
        <f>VLOOKUP($I477,'Pricing Table - eff 27-Jan-2026'!$A:$K,8,FALSE)</f>
        <v>1245</v>
      </c>
      <c r="M477" s="55">
        <f>VLOOKUP($I477,'Pricing Table - eff 27-Jan-2026'!$A:$K,10,FALSE)</f>
        <v>2440</v>
      </c>
      <c r="N477" s="55" t="str">
        <f>VLOOKUP($I477,'Pricing Table - eff 27-Jan-2026'!$A:$R,13,FALSE)&amp;" "&amp;VLOOKUP($I477,'Pricing Table - eff 27-Jan-2026'!$A:$R,12,FALSE)</f>
        <v>AMC 0103 SILVER FROST</v>
      </c>
      <c r="O477" s="56">
        <v>13.067</v>
      </c>
      <c r="P477" s="55">
        <f>(VLOOKUP($I477,'Pricing Table - eff 27-Jan-2026'!$A:$R,8,FALSE)/1000)*(VLOOKUP($I477,'Pricing Table - eff 27-Jan-2026'!$A:$R,10,FALSE)/1000)*Q477</f>
        <v>1215.1200000000001</v>
      </c>
      <c r="Q477" s="55">
        <f>ROUND(('Order Details'!$O477*1000)/((VLOOKUP($I477,'Pricing Table - eff 27-Jan-2026'!$A:$Q,7,FALSE)/12)*(VLOOKUP($I477,'Pricing Table - eff 27-Jan-2026'!$A:$Q,9,FALSE)/12))/5,0)*5</f>
        <v>400</v>
      </c>
      <c r="R477" s="71">
        <f>$Q477/IFERROR(VLOOKUP($F477&amp;RIGHT($K477,8),'Master Data'!$O$5:$P$10,2,FALSE),'Master Data'!$P$4)</f>
        <v>2</v>
      </c>
      <c r="S477" s="57">
        <f>VLOOKUP($I477,'Pricing Table - eff 27-Jan-2026'!$A:$Q,16,FALSE)</f>
        <v>720</v>
      </c>
      <c r="T477" s="57">
        <f>VLOOKUP(I477,'Pricing Table - eff 27-Jan-2026'!$A:$O,15,FALSE)</f>
        <v>7.73</v>
      </c>
      <c r="U477" s="57">
        <f>O477*S477</f>
        <v>9408.24</v>
      </c>
      <c r="V477" s="111">
        <f t="shared" si="22"/>
        <v>9392.8776000000016</v>
      </c>
      <c r="W477" s="55">
        <f>VLOOKUP($I477,'Pricing Table - eff 27-Jan-2026'!$A:$R,18,FALSE)</f>
        <v>90</v>
      </c>
    </row>
    <row r="478" spans="1:23" ht="15" hidden="1" thickTop="1" x14ac:dyDescent="0.3">
      <c r="A478" s="55">
        <v>24202656</v>
      </c>
      <c r="B478" s="55">
        <v>0</v>
      </c>
      <c r="C478" s="55" t="str">
        <f>VLOOKUP(A478&amp;"-"&amp;B478,'Order Summary'!$D:$E,2,FALSE)</f>
        <v>Proforma Invoice Sent</v>
      </c>
      <c r="D478" s="216">
        <f>IF($A478="","",VLOOKUP($A478&amp;"-"&amp;$B478,'Order Summary'!$D:$U,3,FALSE))</f>
        <v>46073</v>
      </c>
      <c r="E478" s="55" t="str">
        <f>VLOOKUP(A478&amp;"-"&amp;B478,'Order Summary'!$D:$G,4,FALSE)</f>
        <v>Yes</v>
      </c>
      <c r="F478" s="55" t="str">
        <f>VLOOKUP($A478,'Order Summary'!$B:$I,8,FALSE)</f>
        <v>Gordon, PA</v>
      </c>
      <c r="G478" s="216" t="str">
        <f>IF($A478="","",VLOOKUP($A478&amp;"-"&amp;$B478,'Order Summary'!$D:$U,18,FALSE))</f>
        <v/>
      </c>
      <c r="H478" s="55">
        <v>4</v>
      </c>
      <c r="I478" s="55">
        <v>694444</v>
      </c>
      <c r="J478" s="55" t="str">
        <f>VLOOKUP($I478,'Pricing Table - eff 27-Jan-2026'!$A:$R,2,FALSE)</f>
        <v>G1S 694444</v>
      </c>
      <c r="K478" s="55" t="str">
        <f>VLOOKUP($I478,'Pricing Table - eff 27-Jan-2026'!$A:$R,6,FALSE)&amp;" "&amp;VLOOKUP($I478,'Pricing Table - eff 27-Jan-2026'!$A:$R,7,FALSE)&amp;""" x "&amp;VLOOKUP($I478,'Pricing Table - eff 27-Jan-2026'!$A:$R,9,FALSE)&amp;""" "&amp;VLOOKUP($I478,'Pricing Table - eff 27-Jan-2026'!$A:$R,5,FALSE)</f>
        <v>2MM 49" x 96" ACP</v>
      </c>
      <c r="L478" s="55">
        <f>VLOOKUP($I478,'Pricing Table - eff 27-Jan-2026'!$A:$K,8,FALSE)</f>
        <v>1245</v>
      </c>
      <c r="M478" s="55">
        <f>VLOOKUP($I478,'Pricing Table - eff 27-Jan-2026'!$A:$K,10,FALSE)</f>
        <v>2440</v>
      </c>
      <c r="N478" s="55" t="str">
        <f>VLOOKUP($I478,'Pricing Table - eff 27-Jan-2026'!$A:$R,13,FALSE)&amp;" "&amp;VLOOKUP($I478,'Pricing Table - eff 27-Jan-2026'!$A:$R,12,FALSE)</f>
        <v>AMC 0086 CHARCOAL METALLIC</v>
      </c>
      <c r="O478" s="56">
        <v>13.067</v>
      </c>
      <c r="P478" s="55">
        <f>(VLOOKUP($I478,'Pricing Table - eff 27-Jan-2026'!$A:$R,8,FALSE)/1000)*(VLOOKUP($I478,'Pricing Table - eff 27-Jan-2026'!$A:$R,10,FALSE)/1000)*Q478</f>
        <v>1215.1200000000001</v>
      </c>
      <c r="Q478" s="55">
        <f>ROUND(('Order Details'!$O478*1000)/((VLOOKUP($I478,'Pricing Table - eff 27-Jan-2026'!$A:$Q,7,FALSE)/12)*(VLOOKUP($I478,'Pricing Table - eff 27-Jan-2026'!$A:$Q,9,FALSE)/12))/5,0)*5</f>
        <v>400</v>
      </c>
      <c r="R478" s="71">
        <f>$Q478/IFERROR(VLOOKUP($F478&amp;RIGHT($K478,8),'Master Data'!$O$5:$P$10,2,FALSE),'Master Data'!$P$4)</f>
        <v>2</v>
      </c>
      <c r="S478" s="57">
        <f>VLOOKUP($I478,'Pricing Table - eff 27-Jan-2026'!$A:$Q,16,FALSE)</f>
        <v>770</v>
      </c>
      <c r="T478" s="57">
        <f>VLOOKUP(I478,'Pricing Table - eff 27-Jan-2026'!$A:$O,15,FALSE)</f>
        <v>8.27</v>
      </c>
      <c r="U478" s="57">
        <f t="shared" si="21"/>
        <v>10061.59</v>
      </c>
      <c r="V478" s="111">
        <f t="shared" si="22"/>
        <v>10049.0424</v>
      </c>
      <c r="W478" s="55">
        <f>VLOOKUP($I478,'Pricing Table - eff 27-Jan-2026'!$A:$R,18,FALSE)</f>
        <v>45</v>
      </c>
    </row>
    <row r="479" spans="1:23" ht="15" hidden="1" thickTop="1" x14ac:dyDescent="0.3">
      <c r="A479" s="55">
        <v>24202686</v>
      </c>
      <c r="B479" s="55">
        <v>0</v>
      </c>
      <c r="C479" s="55" t="str">
        <f>VLOOKUP(A479&amp;"-"&amp;B479,'Order Summary'!$D:$E,2,FALSE)</f>
        <v>PO Revised</v>
      </c>
      <c r="D479" s="216">
        <f>IF($A479="","",VLOOKUP($A479&amp;"-"&amp;$B479,'Order Summary'!$D:$U,3,FALSE))</f>
        <v>46073</v>
      </c>
      <c r="E479" s="55" t="str">
        <f>VLOOKUP(A479&amp;"-"&amp;B479,'Order Summary'!$D:$G,4,FALSE)</f>
        <v>No</v>
      </c>
      <c r="F479" s="55" t="str">
        <f>VLOOKUP($A479,'Order Summary'!$B:$I,8,FALSE)</f>
        <v>Gordon, PA</v>
      </c>
      <c r="G479" s="216" t="str">
        <f>IF($A479="","",VLOOKUP($A479&amp;"-"&amp;$B479,'Order Summary'!$D:$U,18,FALSE))</f>
        <v/>
      </c>
      <c r="H479" s="55">
        <v>1</v>
      </c>
      <c r="I479" s="55">
        <v>694432</v>
      </c>
      <c r="J479" s="55" t="str">
        <f>VLOOKUP($I479,'Pricing Table - eff 27-Jan-2026'!$A:$R,2,FALSE)</f>
        <v>G1S 694432</v>
      </c>
      <c r="K479" s="55" t="str">
        <f>VLOOKUP($I479,'Pricing Table - eff 27-Jan-2026'!$A:$R,6,FALSE)&amp;" "&amp;VLOOKUP($I479,'Pricing Table - eff 27-Jan-2026'!$A:$R,7,FALSE)&amp;""" x "&amp;VLOOKUP($I479,'Pricing Table - eff 27-Jan-2026'!$A:$R,9,FALSE)&amp;""" "&amp;VLOOKUP($I479,'Pricing Table - eff 27-Jan-2026'!$A:$R,5,FALSE)</f>
        <v>2MM 49" x 96" ACP</v>
      </c>
      <c r="L479" s="55">
        <f>VLOOKUP($I479,'Pricing Table - eff 27-Jan-2026'!$A:$K,8,FALSE)</f>
        <v>1245</v>
      </c>
      <c r="M479" s="55">
        <f>VLOOKUP($I479,'Pricing Table - eff 27-Jan-2026'!$A:$K,10,FALSE)</f>
        <v>2440</v>
      </c>
      <c r="N479" s="55" t="str">
        <f>VLOOKUP($I479,'Pricing Table - eff 27-Jan-2026'!$A:$R,13,FALSE)&amp;" "&amp;VLOOKUP($I479,'Pricing Table - eff 27-Jan-2026'!$A:$R,12,FALSE)</f>
        <v>ASC 0096 GLOSSY BLACK</v>
      </c>
      <c r="O479" s="56">
        <v>19.600000000000001</v>
      </c>
      <c r="P479" s="55">
        <f>(VLOOKUP($I479,'Pricing Table - eff 27-Jan-2026'!$A:$R,8,FALSE)/1000)*(VLOOKUP($I479,'Pricing Table - eff 27-Jan-2026'!$A:$R,10,FALSE)/1000)*Q479</f>
        <v>1822.68</v>
      </c>
      <c r="Q479" s="55">
        <f>ROUND(('Order Details'!$O479*1000)/((VLOOKUP($I479,'Pricing Table - eff 27-Jan-2026'!$A:$Q,7,FALSE)/12)*(VLOOKUP($I479,'Pricing Table - eff 27-Jan-2026'!$A:$Q,9,FALSE)/12))/5,0)*5</f>
        <v>600</v>
      </c>
      <c r="R479" s="71">
        <f>$Q479/IFERROR(VLOOKUP($F479&amp;RIGHT($K479,8),'Master Data'!$O$5:$P$10,2,FALSE),'Master Data'!$P$4)</f>
        <v>3</v>
      </c>
      <c r="S479" s="57">
        <f>VLOOKUP($I479,'Pricing Table - eff 27-Jan-2026'!$A:$Q,16,FALSE)</f>
        <v>720</v>
      </c>
      <c r="T479" s="57">
        <f>VLOOKUP(I479,'Pricing Table - eff 27-Jan-2026'!$A:$O,15,FALSE)</f>
        <v>7.73</v>
      </c>
      <c r="U479" s="57">
        <f t="shared" si="21"/>
        <v>14112.000000000002</v>
      </c>
      <c r="V479" s="111">
        <f t="shared" si="22"/>
        <v>14089.316400000002</v>
      </c>
      <c r="W479" s="55">
        <f>VLOOKUP($I479,'Pricing Table - eff 27-Jan-2026'!$A:$R,18,FALSE)</f>
        <v>45</v>
      </c>
    </row>
    <row r="480" spans="1:23" ht="15" hidden="1" thickTop="1" x14ac:dyDescent="0.3">
      <c r="A480" s="55">
        <v>24202686</v>
      </c>
      <c r="B480" s="55">
        <v>0</v>
      </c>
      <c r="C480" s="55" t="str">
        <f>VLOOKUP(A480&amp;"-"&amp;B480,'Order Summary'!$D:$E,2,FALSE)</f>
        <v>PO Revised</v>
      </c>
      <c r="D480" s="216">
        <f>IF($A480="","",VLOOKUP($A480&amp;"-"&amp;$B480,'Order Summary'!$D:$U,3,FALSE))</f>
        <v>46073</v>
      </c>
      <c r="E480" s="55" t="str">
        <f>VLOOKUP(A480&amp;"-"&amp;B480,'Order Summary'!$D:$G,4,FALSE)</f>
        <v>No</v>
      </c>
      <c r="F480" s="55" t="str">
        <f>VLOOKUP($A480,'Order Summary'!$B:$I,8,FALSE)</f>
        <v>Gordon, PA</v>
      </c>
      <c r="G480" s="216" t="str">
        <f>IF($A480="","",VLOOKUP($A480&amp;"-"&amp;$B480,'Order Summary'!$D:$U,18,FALSE))</f>
        <v/>
      </c>
      <c r="H480" s="55">
        <v>2</v>
      </c>
      <c r="I480" s="55">
        <v>694436</v>
      </c>
      <c r="J480" s="55" t="str">
        <f>VLOOKUP($I480,'Pricing Table - eff 27-Jan-2026'!$A:$R,2,FALSE)</f>
        <v>G1S 694436</v>
      </c>
      <c r="K480" s="55" t="str">
        <f>VLOOKUP($I480,'Pricing Table - eff 27-Jan-2026'!$A:$R,6,FALSE)&amp;" "&amp;VLOOKUP($I480,'Pricing Table - eff 27-Jan-2026'!$A:$R,7,FALSE)&amp;""" x "&amp;VLOOKUP($I480,'Pricing Table - eff 27-Jan-2026'!$A:$R,9,FALSE)&amp;""" "&amp;VLOOKUP($I480,'Pricing Table - eff 27-Jan-2026'!$A:$R,5,FALSE)</f>
        <v>2MM 49" x 96" ACP</v>
      </c>
      <c r="L480" s="55">
        <f>VLOOKUP($I480,'Pricing Table - eff 27-Jan-2026'!$A:$K,8,FALSE)</f>
        <v>1245</v>
      </c>
      <c r="M480" s="55">
        <f>VLOOKUP($I480,'Pricing Table - eff 27-Jan-2026'!$A:$K,10,FALSE)</f>
        <v>2440</v>
      </c>
      <c r="N480" s="55" t="str">
        <f>VLOOKUP($I480,'Pricing Table - eff 27-Jan-2026'!$A:$R,13,FALSE)&amp;" "&amp;VLOOKUP($I480,'Pricing Table - eff 27-Jan-2026'!$A:$R,12,FALSE)</f>
        <v>ASC 0069 GLOSSY WHITE</v>
      </c>
      <c r="O480" s="56">
        <v>32.667000000000002</v>
      </c>
      <c r="P480" s="55">
        <f>(VLOOKUP($I480,'Pricing Table - eff 27-Jan-2026'!$A:$R,8,FALSE)/1000)*(VLOOKUP($I480,'Pricing Table - eff 27-Jan-2026'!$A:$R,10,FALSE)/1000)*Q480</f>
        <v>3037.8</v>
      </c>
      <c r="Q480" s="55">
        <f>ROUND(('Order Details'!$O480*1000)/((VLOOKUP($I480,'Pricing Table - eff 27-Jan-2026'!$A:$Q,7,FALSE)/12)*(VLOOKUP($I480,'Pricing Table - eff 27-Jan-2026'!$A:$Q,9,FALSE)/12))/5,0)*5</f>
        <v>1000</v>
      </c>
      <c r="R480" s="71">
        <f>$Q480/IFERROR(VLOOKUP($F480&amp;RIGHT($K480,8),'Master Data'!$O$5:$P$10,2,FALSE),'Master Data'!$P$4)</f>
        <v>5</v>
      </c>
      <c r="S480" s="57">
        <f>VLOOKUP($I480,'Pricing Table - eff 27-Jan-2026'!$A:$Q,16,FALSE)</f>
        <v>720</v>
      </c>
      <c r="T480" s="57">
        <f>VLOOKUP(I480,'Pricing Table - eff 27-Jan-2026'!$A:$O,15,FALSE)</f>
        <v>7.73</v>
      </c>
      <c r="U480" s="57">
        <f t="shared" si="21"/>
        <v>23520.240000000002</v>
      </c>
      <c r="V480" s="111">
        <f t="shared" si="22"/>
        <v>23482.194000000003</v>
      </c>
      <c r="W480" s="55">
        <f>VLOOKUP($I480,'Pricing Table - eff 27-Jan-2026'!$A:$R,18,FALSE)</f>
        <v>45</v>
      </c>
    </row>
    <row r="481" spans="1:23" ht="15" hidden="1" thickTop="1" x14ac:dyDescent="0.3">
      <c r="A481" s="55">
        <v>24202686</v>
      </c>
      <c r="B481" s="55">
        <v>0</v>
      </c>
      <c r="C481" s="55" t="str">
        <f>VLOOKUP(A481&amp;"-"&amp;B481,'Order Summary'!$D:$E,2,FALSE)</f>
        <v>PO Revised</v>
      </c>
      <c r="D481" s="216">
        <f>IF($A481="","",VLOOKUP($A481&amp;"-"&amp;$B481,'Order Summary'!$D:$U,3,FALSE))</f>
        <v>46073</v>
      </c>
      <c r="E481" s="55" t="str">
        <f>VLOOKUP(A481&amp;"-"&amp;B481,'Order Summary'!$D:$G,4,FALSE)</f>
        <v>No</v>
      </c>
      <c r="F481" s="55" t="str">
        <f>VLOOKUP($A481,'Order Summary'!$B:$I,8,FALSE)</f>
        <v>Gordon, PA</v>
      </c>
      <c r="G481" s="216" t="str">
        <f>IF($A481="","",VLOOKUP($A481&amp;"-"&amp;$B481,'Order Summary'!$D:$U,18,FALSE))</f>
        <v/>
      </c>
      <c r="H481" s="55">
        <v>3</v>
      </c>
      <c r="I481" s="55">
        <v>694444</v>
      </c>
      <c r="J481" s="55" t="str">
        <f>VLOOKUP($I481,'Pricing Table - eff 27-Jan-2026'!$A:$R,2,FALSE)</f>
        <v>G1S 694444</v>
      </c>
      <c r="K481" s="55" t="str">
        <f>VLOOKUP($I481,'Pricing Table - eff 27-Jan-2026'!$A:$R,6,FALSE)&amp;" "&amp;VLOOKUP($I481,'Pricing Table - eff 27-Jan-2026'!$A:$R,7,FALSE)&amp;""" x "&amp;VLOOKUP($I481,'Pricing Table - eff 27-Jan-2026'!$A:$R,9,FALSE)&amp;""" "&amp;VLOOKUP($I481,'Pricing Table - eff 27-Jan-2026'!$A:$R,5,FALSE)</f>
        <v>2MM 49" x 96" ACP</v>
      </c>
      <c r="L481" s="55">
        <f>VLOOKUP($I481,'Pricing Table - eff 27-Jan-2026'!$A:$K,8,FALSE)</f>
        <v>1245</v>
      </c>
      <c r="M481" s="55">
        <f>VLOOKUP($I481,'Pricing Table - eff 27-Jan-2026'!$A:$K,10,FALSE)</f>
        <v>2440</v>
      </c>
      <c r="N481" s="55" t="str">
        <f>VLOOKUP($I481,'Pricing Table - eff 27-Jan-2026'!$A:$R,13,FALSE)&amp;" "&amp;VLOOKUP($I481,'Pricing Table - eff 27-Jan-2026'!$A:$R,12,FALSE)</f>
        <v>AMC 0086 CHARCOAL METALLIC</v>
      </c>
      <c r="O481" s="56">
        <v>32.667000000000002</v>
      </c>
      <c r="P481" s="55">
        <f>(VLOOKUP($I481,'Pricing Table - eff 27-Jan-2026'!$A:$R,8,FALSE)/1000)*(VLOOKUP($I481,'Pricing Table - eff 27-Jan-2026'!$A:$R,10,FALSE)/1000)*Q481</f>
        <v>3037.8</v>
      </c>
      <c r="Q481" s="55">
        <f>ROUND(('Order Details'!$O481*1000)/((VLOOKUP($I481,'Pricing Table - eff 27-Jan-2026'!$A:$Q,7,FALSE)/12)*(VLOOKUP($I481,'Pricing Table - eff 27-Jan-2026'!$A:$Q,9,FALSE)/12))/5,0)*5</f>
        <v>1000</v>
      </c>
      <c r="R481" s="71">
        <f>$Q481/IFERROR(VLOOKUP($F481&amp;RIGHT($K481,8),'Master Data'!$O$5:$P$10,2,FALSE),'Master Data'!$P$4)</f>
        <v>5</v>
      </c>
      <c r="S481" s="57">
        <f>VLOOKUP($I481,'Pricing Table - eff 27-Jan-2026'!$A:$Q,16,FALSE)</f>
        <v>770</v>
      </c>
      <c r="T481" s="57">
        <f>VLOOKUP(I481,'Pricing Table - eff 27-Jan-2026'!$A:$O,15,FALSE)</f>
        <v>8.27</v>
      </c>
      <c r="U481" s="57">
        <f t="shared" si="21"/>
        <v>25153.59</v>
      </c>
      <c r="V481" s="111">
        <f t="shared" si="22"/>
        <v>25122.606</v>
      </c>
      <c r="W481" s="55">
        <f>VLOOKUP($I481,'Pricing Table - eff 27-Jan-2026'!$A:$R,18,FALSE)</f>
        <v>45</v>
      </c>
    </row>
    <row r="482" spans="1:23" ht="15" hidden="1" thickTop="1" x14ac:dyDescent="0.3">
      <c r="A482" s="55">
        <v>24202686</v>
      </c>
      <c r="B482" s="55">
        <v>0</v>
      </c>
      <c r="C482" s="55" t="str">
        <f>VLOOKUP(A482&amp;"-"&amp;B482,'Order Summary'!$D:$E,2,FALSE)</f>
        <v>PO Revised</v>
      </c>
      <c r="D482" s="216">
        <f>IF($A482="","",VLOOKUP($A482&amp;"-"&amp;$B482,'Order Summary'!$D:$U,3,FALSE))</f>
        <v>46073</v>
      </c>
      <c r="E482" s="55" t="str">
        <f>VLOOKUP(A482&amp;"-"&amp;B482,'Order Summary'!$D:$G,4,FALSE)</f>
        <v>No</v>
      </c>
      <c r="F482" s="55" t="str">
        <f>VLOOKUP($A482,'Order Summary'!$B:$I,8,FALSE)</f>
        <v>Gordon, PA</v>
      </c>
      <c r="G482" s="216" t="str">
        <f>IF($A482="","",VLOOKUP($A482&amp;"-"&amp;$B482,'Order Summary'!$D:$U,18,FALSE))</f>
        <v/>
      </c>
      <c r="H482" s="55">
        <v>4</v>
      </c>
      <c r="I482" s="55">
        <v>694668</v>
      </c>
      <c r="J482" s="55" t="str">
        <f>VLOOKUP($I482,'Pricing Table - eff 27-Jan-2026'!$A:$R,2,FALSE)</f>
        <v>G1S 694668</v>
      </c>
      <c r="K482" s="55" t="str">
        <f>VLOOKUP($I482,'Pricing Table - eff 27-Jan-2026'!$A:$R,6,FALSE)&amp;" "&amp;VLOOKUP($I482,'Pricing Table - eff 27-Jan-2026'!$A:$R,7,FALSE)&amp;""" x "&amp;VLOOKUP($I482,'Pricing Table - eff 27-Jan-2026'!$A:$R,9,FALSE)&amp;""" "&amp;VLOOKUP($I482,'Pricing Table - eff 27-Jan-2026'!$A:$R,5,FALSE)</f>
        <v>2MM 49" x 96" ACP</v>
      </c>
      <c r="L482" s="55">
        <f>VLOOKUP($I482,'Pricing Table - eff 27-Jan-2026'!$A:$K,8,FALSE)</f>
        <v>1245</v>
      </c>
      <c r="M482" s="55">
        <f>VLOOKUP($I482,'Pricing Table - eff 27-Jan-2026'!$A:$K,10,FALSE)</f>
        <v>2440</v>
      </c>
      <c r="N482" s="55" t="str">
        <f>VLOOKUP($I482,'Pricing Table - eff 27-Jan-2026'!$A:$R,13,FALSE)&amp;" "&amp;VLOOKUP($I482,'Pricing Table - eff 27-Jan-2026'!$A:$R,12,FALSE)</f>
        <v>ASC 0092 PEPSI BLUE</v>
      </c>
      <c r="O482" s="56">
        <v>6.5330000000000004</v>
      </c>
      <c r="P482" s="55">
        <f>(VLOOKUP($I482,'Pricing Table - eff 27-Jan-2026'!$A:$R,8,FALSE)/1000)*(VLOOKUP($I482,'Pricing Table - eff 27-Jan-2026'!$A:$R,10,FALSE)/1000)*Q482</f>
        <v>607.56000000000006</v>
      </c>
      <c r="Q482" s="55">
        <f>ROUND(('Order Details'!$O482*1000)/((VLOOKUP($I482,'Pricing Table - eff 27-Jan-2026'!$A:$Q,7,FALSE)/12)*(VLOOKUP($I482,'Pricing Table - eff 27-Jan-2026'!$A:$Q,9,FALSE)/12))/5,0)*5</f>
        <v>200</v>
      </c>
      <c r="R482" s="71">
        <f>$Q482/IFERROR(VLOOKUP($F482&amp;RIGHT($K482,8),'Master Data'!$O$5:$P$10,2,FALSE),'Master Data'!$P$4)</f>
        <v>1</v>
      </c>
      <c r="S482" s="57">
        <f>VLOOKUP($I482,'Pricing Table - eff 27-Jan-2026'!$A:$Q,16,FALSE)</f>
        <v>720</v>
      </c>
      <c r="T482" s="57">
        <f>VLOOKUP(I482,'Pricing Table - eff 27-Jan-2026'!$A:$O,15,FALSE)</f>
        <v>7.73</v>
      </c>
      <c r="U482" s="57">
        <f t="shared" si="21"/>
        <v>4703.76</v>
      </c>
      <c r="V482" s="111">
        <f t="shared" si="22"/>
        <v>4696.4388000000008</v>
      </c>
      <c r="W482" s="55">
        <f>VLOOKUP($I482,'Pricing Table - eff 27-Jan-2026'!$A:$R,18,FALSE)</f>
        <v>90</v>
      </c>
    </row>
    <row r="483" spans="1:23" ht="15" hidden="1" thickTop="1" x14ac:dyDescent="0.3">
      <c r="A483" s="55">
        <v>24202721</v>
      </c>
      <c r="B483" s="55">
        <v>0</v>
      </c>
      <c r="C483" s="55" t="str">
        <f>VLOOKUP(A483&amp;"-"&amp;B483,'Order Summary'!$D:$E,2,FALSE)</f>
        <v>PO Revised</v>
      </c>
      <c r="D483" s="216">
        <f>IF($A483="","",VLOOKUP($A483&amp;"-"&amp;$B483,'Order Summary'!$D:$U,3,FALSE))</f>
        <v>46073</v>
      </c>
      <c r="E483" s="55" t="str">
        <f>VLOOKUP(A483&amp;"-"&amp;B483,'Order Summary'!$D:$G,4,FALSE)</f>
        <v>No</v>
      </c>
      <c r="F483" s="55" t="str">
        <f>VLOOKUP($A483,'Order Summary'!$B:$I,8,FALSE)</f>
        <v>Gordon, PA</v>
      </c>
      <c r="G483" s="216" t="str">
        <f>IF($A483="","",VLOOKUP($A483&amp;"-"&amp;$B483,'Order Summary'!$D:$U,18,FALSE))</f>
        <v/>
      </c>
      <c r="H483" s="55">
        <v>1</v>
      </c>
      <c r="I483" s="55">
        <v>694432</v>
      </c>
      <c r="J483" s="55" t="str">
        <f>VLOOKUP($I483,'Pricing Table - eff 27-Jan-2026'!$A:$R,2,FALSE)</f>
        <v>G1S 694432</v>
      </c>
      <c r="K483" s="55" t="str">
        <f>VLOOKUP($I483,'Pricing Table - eff 27-Jan-2026'!$A:$R,6,FALSE)&amp;" "&amp;VLOOKUP($I483,'Pricing Table - eff 27-Jan-2026'!$A:$R,7,FALSE)&amp;""" x "&amp;VLOOKUP($I483,'Pricing Table - eff 27-Jan-2026'!$A:$R,9,FALSE)&amp;""" "&amp;VLOOKUP($I483,'Pricing Table - eff 27-Jan-2026'!$A:$R,5,FALSE)</f>
        <v>2MM 49" x 96" ACP</v>
      </c>
      <c r="L483" s="55">
        <f>VLOOKUP($I483,'Pricing Table - eff 27-Jan-2026'!$A:$K,8,FALSE)</f>
        <v>1245</v>
      </c>
      <c r="M483" s="55">
        <f>VLOOKUP($I483,'Pricing Table - eff 27-Jan-2026'!$A:$K,10,FALSE)</f>
        <v>2440</v>
      </c>
      <c r="N483" s="55" t="str">
        <f>VLOOKUP($I483,'Pricing Table - eff 27-Jan-2026'!$A:$R,13,FALSE)&amp;" "&amp;VLOOKUP($I483,'Pricing Table - eff 27-Jan-2026'!$A:$R,12,FALSE)</f>
        <v>ASC 0096 GLOSSY BLACK</v>
      </c>
      <c r="O483" s="56">
        <v>26.132999999999999</v>
      </c>
      <c r="P483" s="55">
        <f>(VLOOKUP($I483,'Pricing Table - eff 27-Jan-2026'!$A:$R,8,FALSE)/1000)*(VLOOKUP($I483,'Pricing Table - eff 27-Jan-2026'!$A:$R,10,FALSE)/1000)*Q483</f>
        <v>2430.2400000000002</v>
      </c>
      <c r="Q483" s="55">
        <f>ROUND(('Order Details'!$O483*1000)/((VLOOKUP($I483,'Pricing Table - eff 27-Jan-2026'!$A:$Q,7,FALSE)/12)*(VLOOKUP($I483,'Pricing Table - eff 27-Jan-2026'!$A:$Q,9,FALSE)/12))/5,0)*5</f>
        <v>800</v>
      </c>
      <c r="R483" s="71">
        <f>$Q483/IFERROR(VLOOKUP($F483&amp;RIGHT($K483,8),'Master Data'!$O$5:$P$10,2,FALSE),'Master Data'!$P$4)</f>
        <v>4</v>
      </c>
      <c r="S483" s="57">
        <f>VLOOKUP($I483,'Pricing Table - eff 27-Jan-2026'!$A:$Q,16,FALSE)</f>
        <v>720</v>
      </c>
      <c r="T483" s="57">
        <f>VLOOKUP(I483,'Pricing Table - eff 27-Jan-2026'!$A:$O,15,FALSE)</f>
        <v>7.73</v>
      </c>
      <c r="U483" s="57">
        <f t="shared" si="21"/>
        <v>18815.759999999998</v>
      </c>
      <c r="V483" s="111">
        <f t="shared" si="22"/>
        <v>18785.755200000003</v>
      </c>
      <c r="W483" s="55">
        <f>VLOOKUP($I483,'Pricing Table - eff 27-Jan-2026'!$A:$R,18,FALSE)</f>
        <v>45</v>
      </c>
    </row>
    <row r="484" spans="1:23" ht="15" hidden="1" thickTop="1" x14ac:dyDescent="0.3">
      <c r="A484" s="55">
        <v>24202721</v>
      </c>
      <c r="B484" s="55">
        <v>0</v>
      </c>
      <c r="C484" s="55" t="str">
        <f>VLOOKUP(A484&amp;"-"&amp;B484,'Order Summary'!$D:$E,2,FALSE)</f>
        <v>PO Revised</v>
      </c>
      <c r="D484" s="216">
        <f>IF($A484="","",VLOOKUP($A484&amp;"-"&amp;$B484,'Order Summary'!$D:$U,3,FALSE))</f>
        <v>46073</v>
      </c>
      <c r="E484" s="55" t="str">
        <f>VLOOKUP(A484&amp;"-"&amp;B484,'Order Summary'!$D:$G,4,FALSE)</f>
        <v>No</v>
      </c>
      <c r="F484" s="55" t="str">
        <f>VLOOKUP($A484,'Order Summary'!$B:$I,8,FALSE)</f>
        <v>Gordon, PA</v>
      </c>
      <c r="G484" s="216" t="str">
        <f>IF($A484="","",VLOOKUP($A484&amp;"-"&amp;$B484,'Order Summary'!$D:$U,18,FALSE))</f>
        <v/>
      </c>
      <c r="H484" s="55">
        <v>2</v>
      </c>
      <c r="I484" s="55">
        <v>694436</v>
      </c>
      <c r="J484" s="55" t="str">
        <f>VLOOKUP($I484,'Pricing Table - eff 27-Jan-2026'!$A:$R,2,FALSE)</f>
        <v>G1S 694436</v>
      </c>
      <c r="K484" s="55" t="str">
        <f>VLOOKUP($I484,'Pricing Table - eff 27-Jan-2026'!$A:$R,6,FALSE)&amp;" "&amp;VLOOKUP($I484,'Pricing Table - eff 27-Jan-2026'!$A:$R,7,FALSE)&amp;""" x "&amp;VLOOKUP($I484,'Pricing Table - eff 27-Jan-2026'!$A:$R,9,FALSE)&amp;""" "&amp;VLOOKUP($I484,'Pricing Table - eff 27-Jan-2026'!$A:$R,5,FALSE)</f>
        <v>2MM 49" x 96" ACP</v>
      </c>
      <c r="L484" s="55">
        <f>VLOOKUP($I484,'Pricing Table - eff 27-Jan-2026'!$A:$K,8,FALSE)</f>
        <v>1245</v>
      </c>
      <c r="M484" s="55">
        <f>VLOOKUP($I484,'Pricing Table - eff 27-Jan-2026'!$A:$K,10,FALSE)</f>
        <v>2440</v>
      </c>
      <c r="N484" s="55" t="str">
        <f>VLOOKUP($I484,'Pricing Table - eff 27-Jan-2026'!$A:$R,13,FALSE)&amp;" "&amp;VLOOKUP($I484,'Pricing Table - eff 27-Jan-2026'!$A:$R,12,FALSE)</f>
        <v>ASC 0069 GLOSSY WHITE</v>
      </c>
      <c r="O484" s="56">
        <v>26.132999999999999</v>
      </c>
      <c r="P484" s="55">
        <f>(VLOOKUP($I484,'Pricing Table - eff 27-Jan-2026'!$A:$R,8,FALSE)/1000)*(VLOOKUP($I484,'Pricing Table - eff 27-Jan-2026'!$A:$R,10,FALSE)/1000)*Q484</f>
        <v>2430.2400000000002</v>
      </c>
      <c r="Q484" s="55">
        <f>ROUND(('Order Details'!$O484*1000)/((VLOOKUP($I484,'Pricing Table - eff 27-Jan-2026'!$A:$Q,7,FALSE)/12)*(VLOOKUP($I484,'Pricing Table - eff 27-Jan-2026'!$A:$Q,9,FALSE)/12))/5,0)*5</f>
        <v>800</v>
      </c>
      <c r="R484" s="71">
        <f>$Q484/IFERROR(VLOOKUP($F484&amp;RIGHT($K484,8),'Master Data'!$O$5:$P$10,2,FALSE),'Master Data'!$P$4)</f>
        <v>4</v>
      </c>
      <c r="S484" s="57">
        <f>VLOOKUP($I484,'Pricing Table - eff 27-Jan-2026'!$A:$Q,16,FALSE)</f>
        <v>720</v>
      </c>
      <c r="T484" s="57">
        <f>VLOOKUP(I484,'Pricing Table - eff 27-Jan-2026'!$A:$O,15,FALSE)</f>
        <v>7.73</v>
      </c>
      <c r="U484" s="57">
        <f t="shared" si="21"/>
        <v>18815.759999999998</v>
      </c>
      <c r="V484" s="111">
        <f t="shared" si="22"/>
        <v>18785.755200000003</v>
      </c>
      <c r="W484" s="55">
        <f>VLOOKUP($I484,'Pricing Table - eff 27-Jan-2026'!$A:$R,18,FALSE)</f>
        <v>45</v>
      </c>
    </row>
    <row r="485" spans="1:23" ht="15" hidden="1" thickTop="1" x14ac:dyDescent="0.3">
      <c r="A485" s="55">
        <v>24202721</v>
      </c>
      <c r="B485" s="55">
        <v>0</v>
      </c>
      <c r="C485" s="55" t="str">
        <f>VLOOKUP(A485&amp;"-"&amp;B485,'Order Summary'!$D:$E,2,FALSE)</f>
        <v>PO Revised</v>
      </c>
      <c r="D485" s="216">
        <f>IF($A485="","",VLOOKUP($A485&amp;"-"&amp;$B485,'Order Summary'!$D:$U,3,FALSE))</f>
        <v>46073</v>
      </c>
      <c r="E485" s="55" t="str">
        <f>VLOOKUP(A485&amp;"-"&amp;B485,'Order Summary'!$D:$G,4,FALSE)</f>
        <v>No</v>
      </c>
      <c r="F485" s="55" t="str">
        <f>VLOOKUP($A485,'Order Summary'!$B:$I,8,FALSE)</f>
        <v>Gordon, PA</v>
      </c>
      <c r="G485" s="216" t="str">
        <f>IF($A485="","",VLOOKUP($A485&amp;"-"&amp;$B485,'Order Summary'!$D:$U,18,FALSE))</f>
        <v/>
      </c>
      <c r="H485" s="55">
        <v>3</v>
      </c>
      <c r="I485" s="55">
        <v>694440</v>
      </c>
      <c r="J485" s="55" t="str">
        <f>VLOOKUP($I485,'Pricing Table - eff 27-Jan-2026'!$A:$R,2,FALSE)</f>
        <v>G1S 694440</v>
      </c>
      <c r="K485" s="55" t="str">
        <f>VLOOKUP($I485,'Pricing Table - eff 27-Jan-2026'!$A:$R,6,FALSE)&amp;" "&amp;VLOOKUP($I485,'Pricing Table - eff 27-Jan-2026'!$A:$R,7,FALSE)&amp;""" x "&amp;VLOOKUP($I485,'Pricing Table - eff 27-Jan-2026'!$A:$R,9,FALSE)&amp;""" "&amp;VLOOKUP($I485,'Pricing Table - eff 27-Jan-2026'!$A:$R,5,FALSE)</f>
        <v>2MM 49" x 96" ACP</v>
      </c>
      <c r="L485" s="55">
        <f>VLOOKUP($I485,'Pricing Table - eff 27-Jan-2026'!$A:$K,8,FALSE)</f>
        <v>1245</v>
      </c>
      <c r="M485" s="55">
        <f>VLOOKUP($I485,'Pricing Table - eff 27-Jan-2026'!$A:$K,10,FALSE)</f>
        <v>2440</v>
      </c>
      <c r="N485" s="55" t="str">
        <f>VLOOKUP($I485,'Pricing Table - eff 27-Jan-2026'!$A:$R,13,FALSE)&amp;" "&amp;VLOOKUP($I485,'Pricing Table - eff 27-Jan-2026'!$A:$R,12,FALSE)</f>
        <v>AMC 0103 SILVER FROST</v>
      </c>
      <c r="O485" s="56">
        <v>13.067</v>
      </c>
      <c r="P485" s="55">
        <f>(VLOOKUP($I485,'Pricing Table - eff 27-Jan-2026'!$A:$R,8,FALSE)/1000)*(VLOOKUP($I485,'Pricing Table - eff 27-Jan-2026'!$A:$R,10,FALSE)/1000)*Q485</f>
        <v>1215.1200000000001</v>
      </c>
      <c r="Q485" s="55">
        <f>ROUND(('Order Details'!$O485*1000)/((VLOOKUP($I485,'Pricing Table - eff 27-Jan-2026'!$A:$Q,7,FALSE)/12)*(VLOOKUP($I485,'Pricing Table - eff 27-Jan-2026'!$A:$Q,9,FALSE)/12))/5,0)*5</f>
        <v>400</v>
      </c>
      <c r="R485" s="71">
        <f>$Q485/IFERROR(VLOOKUP($F485&amp;RIGHT($K485,8),'Master Data'!$O$5:$P$10,2,FALSE),'Master Data'!$P$4)</f>
        <v>2</v>
      </c>
      <c r="S485" s="57">
        <f>VLOOKUP($I485,'Pricing Table - eff 27-Jan-2026'!$A:$Q,16,FALSE)</f>
        <v>720</v>
      </c>
      <c r="T485" s="57">
        <f>VLOOKUP(I485,'Pricing Table - eff 27-Jan-2026'!$A:$O,15,FALSE)</f>
        <v>7.73</v>
      </c>
      <c r="U485" s="57">
        <f t="shared" si="21"/>
        <v>9408.24</v>
      </c>
      <c r="V485" s="111">
        <f t="shared" si="22"/>
        <v>9392.8776000000016</v>
      </c>
      <c r="W485" s="55">
        <f>VLOOKUP($I485,'Pricing Table - eff 27-Jan-2026'!$A:$R,18,FALSE)</f>
        <v>90</v>
      </c>
    </row>
    <row r="486" spans="1:23" ht="15" hidden="1" thickTop="1" x14ac:dyDescent="0.3">
      <c r="A486" s="55">
        <v>24202721</v>
      </c>
      <c r="B486" s="55">
        <v>0</v>
      </c>
      <c r="C486" s="55" t="str">
        <f>VLOOKUP(A486&amp;"-"&amp;B486,'Order Summary'!$D:$E,2,FALSE)</f>
        <v>PO Revised</v>
      </c>
      <c r="D486" s="216">
        <f>IF($A486="","",VLOOKUP($A486&amp;"-"&amp;$B486,'Order Summary'!$D:$U,3,FALSE))</f>
        <v>46073</v>
      </c>
      <c r="E486" s="55" t="str">
        <f>VLOOKUP(A486&amp;"-"&amp;B486,'Order Summary'!$D:$G,4,FALSE)</f>
        <v>No</v>
      </c>
      <c r="F486" s="55" t="str">
        <f>VLOOKUP($A486,'Order Summary'!$B:$I,8,FALSE)</f>
        <v>Gordon, PA</v>
      </c>
      <c r="G486" s="216" t="str">
        <f>IF($A486="","",VLOOKUP($A486&amp;"-"&amp;$B486,'Order Summary'!$D:$U,18,FALSE))</f>
        <v/>
      </c>
      <c r="H486" s="55">
        <v>4</v>
      </c>
      <c r="I486" s="55">
        <v>694444</v>
      </c>
      <c r="J486" s="55" t="str">
        <f>VLOOKUP($I486,'Pricing Table - eff 27-Jan-2026'!$A:$R,2,FALSE)</f>
        <v>G1S 694444</v>
      </c>
      <c r="K486" s="55" t="str">
        <f>VLOOKUP($I486,'Pricing Table - eff 27-Jan-2026'!$A:$R,6,FALSE)&amp;" "&amp;VLOOKUP($I486,'Pricing Table - eff 27-Jan-2026'!$A:$R,7,FALSE)&amp;""" x "&amp;VLOOKUP($I486,'Pricing Table - eff 27-Jan-2026'!$A:$R,9,FALSE)&amp;""" "&amp;VLOOKUP($I486,'Pricing Table - eff 27-Jan-2026'!$A:$R,5,FALSE)</f>
        <v>2MM 49" x 96" ACP</v>
      </c>
      <c r="L486" s="55">
        <f>VLOOKUP($I486,'Pricing Table - eff 27-Jan-2026'!$A:$K,8,FALSE)</f>
        <v>1245</v>
      </c>
      <c r="M486" s="55">
        <f>VLOOKUP($I486,'Pricing Table - eff 27-Jan-2026'!$A:$K,10,FALSE)</f>
        <v>2440</v>
      </c>
      <c r="N486" s="55" t="str">
        <f>VLOOKUP($I486,'Pricing Table - eff 27-Jan-2026'!$A:$R,13,FALSE)&amp;" "&amp;VLOOKUP($I486,'Pricing Table - eff 27-Jan-2026'!$A:$R,12,FALSE)</f>
        <v>AMC 0086 CHARCOAL METALLIC</v>
      </c>
      <c r="O486">
        <v>13.067</v>
      </c>
      <c r="P486" s="55">
        <f>(VLOOKUP($I486,'Pricing Table - eff 27-Jan-2026'!$A:$R,8,FALSE)/1000)*(VLOOKUP($I486,'Pricing Table - eff 27-Jan-2026'!$A:$R,10,FALSE)/1000)*Q486</f>
        <v>1215.1200000000001</v>
      </c>
      <c r="Q486" s="55">
        <f>ROUND(('Order Details'!$O486*1000)/((VLOOKUP($I486,'Pricing Table - eff 27-Jan-2026'!$A:$Q,7,FALSE)/12)*(VLOOKUP($I486,'Pricing Table - eff 27-Jan-2026'!$A:$Q,9,FALSE)/12))/5,0)*5</f>
        <v>400</v>
      </c>
      <c r="R486" s="71">
        <f>$Q486/IFERROR(VLOOKUP($F486&amp;RIGHT($K486,8),'Master Data'!$O$5:$P$10,2,FALSE),'Master Data'!$P$4)</f>
        <v>2</v>
      </c>
      <c r="S486" s="57">
        <f>VLOOKUP($I486,'Pricing Table - eff 27-Jan-2026'!$A:$Q,16,FALSE)</f>
        <v>770</v>
      </c>
      <c r="T486" s="57">
        <f>VLOOKUP(I486,'Pricing Table - eff 27-Jan-2026'!$A:$O,15,FALSE)</f>
        <v>8.27</v>
      </c>
      <c r="U486" s="57">
        <f t="shared" si="21"/>
        <v>10061.59</v>
      </c>
      <c r="V486" s="111">
        <f t="shared" si="22"/>
        <v>10049.0424</v>
      </c>
      <c r="W486" s="55">
        <f>VLOOKUP($I486,'Pricing Table - eff 27-Jan-2026'!$A:$R,18,FALSE)</f>
        <v>45</v>
      </c>
    </row>
    <row r="487" spans="1:23" ht="15" hidden="1" thickTop="1" x14ac:dyDescent="0.3">
      <c r="A487" s="55">
        <v>24202721</v>
      </c>
      <c r="B487" s="55">
        <v>0</v>
      </c>
      <c r="C487" s="55" t="str">
        <f>VLOOKUP(A487&amp;"-"&amp;B487,'Order Summary'!$D:$E,2,FALSE)</f>
        <v>PO Revised</v>
      </c>
      <c r="D487" s="216">
        <f>IF($A487="","",VLOOKUP($A487&amp;"-"&amp;$B487,'Order Summary'!$D:$U,3,FALSE))</f>
        <v>46073</v>
      </c>
      <c r="E487" s="55" t="str">
        <f>VLOOKUP(A487&amp;"-"&amp;B487,'Order Summary'!$D:$G,4,FALSE)</f>
        <v>No</v>
      </c>
      <c r="F487" s="55" t="str">
        <f>VLOOKUP($A487,'Order Summary'!$B:$I,8,FALSE)</f>
        <v>Gordon, PA</v>
      </c>
      <c r="G487" s="216" t="str">
        <f>IF($A487="","",VLOOKUP($A487&amp;"-"&amp;$B487,'Order Summary'!$D:$U,18,FALSE))</f>
        <v/>
      </c>
      <c r="H487" s="55">
        <v>5</v>
      </c>
      <c r="I487" s="55">
        <v>694672</v>
      </c>
      <c r="J487" s="55" t="str">
        <f>VLOOKUP($I487,'Pricing Table - eff 27-Jan-2026'!$A:$R,2,FALSE)</f>
        <v>G1S 694672</v>
      </c>
      <c r="K487" s="55" t="str">
        <f>VLOOKUP($I487,'Pricing Table - eff 27-Jan-2026'!$A:$R,6,FALSE)&amp;" "&amp;VLOOKUP($I487,'Pricing Table - eff 27-Jan-2026'!$A:$R,7,FALSE)&amp;""" x "&amp;VLOOKUP($I487,'Pricing Table - eff 27-Jan-2026'!$A:$R,9,FALSE)&amp;""" "&amp;VLOOKUP($I487,'Pricing Table - eff 27-Jan-2026'!$A:$R,5,FALSE)</f>
        <v>2MM 49" x 96" ACP</v>
      </c>
      <c r="L487" s="55">
        <f>VLOOKUP($I487,'Pricing Table - eff 27-Jan-2026'!$A:$K,8,FALSE)</f>
        <v>1245</v>
      </c>
      <c r="M487" s="55">
        <f>VLOOKUP($I487,'Pricing Table - eff 27-Jan-2026'!$A:$K,10,FALSE)</f>
        <v>2440</v>
      </c>
      <c r="N487" s="55" t="str">
        <f>VLOOKUP($I487,'Pricing Table - eff 27-Jan-2026'!$A:$R,13,FALSE)&amp;" "&amp;VLOOKUP($I487,'Pricing Table - eff 27-Jan-2026'!$A:$R,12,FALSE)</f>
        <v>ASC 0089 VICTORY RED</v>
      </c>
      <c r="O487" s="56">
        <v>6.5330000000000004</v>
      </c>
      <c r="P487" s="55">
        <f>(VLOOKUP($I487,'Pricing Table - eff 27-Jan-2026'!$A:$R,8,FALSE)/1000)*(VLOOKUP($I487,'Pricing Table - eff 27-Jan-2026'!$A:$R,10,FALSE)/1000)*Q487</f>
        <v>607.56000000000006</v>
      </c>
      <c r="Q487" s="55">
        <f>ROUND(('Order Details'!$O487*1000)/((VLOOKUP($I487,'Pricing Table - eff 27-Jan-2026'!$A:$Q,7,FALSE)/12)*(VLOOKUP($I487,'Pricing Table - eff 27-Jan-2026'!$A:$Q,9,FALSE)/12))/5,0)*5</f>
        <v>200</v>
      </c>
      <c r="R487" s="71">
        <f>$Q487/IFERROR(VLOOKUP($F487&amp;RIGHT($K487,8),'Master Data'!$O$5:$P$10,2,FALSE),'Master Data'!$P$4)</f>
        <v>1</v>
      </c>
      <c r="S487" s="57">
        <f>VLOOKUP($I487,'Pricing Table - eff 27-Jan-2026'!$A:$Q,16,FALSE)</f>
        <v>720</v>
      </c>
      <c r="T487" s="57">
        <f>VLOOKUP(I487,'Pricing Table - eff 27-Jan-2026'!$A:$O,15,FALSE)</f>
        <v>7.73</v>
      </c>
      <c r="U487" s="57">
        <f t="shared" si="21"/>
        <v>4703.76</v>
      </c>
      <c r="V487" s="111">
        <f t="shared" si="22"/>
        <v>4696.4388000000008</v>
      </c>
      <c r="W487" s="55">
        <f>VLOOKUP($I487,'Pricing Table - eff 27-Jan-2026'!$A:$R,18,FALSE)</f>
        <v>45</v>
      </c>
    </row>
    <row r="488" spans="1:23" ht="15" hidden="1" thickTop="1" x14ac:dyDescent="0.3">
      <c r="A488" s="55">
        <v>24202721</v>
      </c>
      <c r="B488" s="55">
        <v>0</v>
      </c>
      <c r="C488" s="55" t="str">
        <f>VLOOKUP(A488&amp;"-"&amp;B488,'Order Summary'!$D:$E,2,FALSE)</f>
        <v>PO Revised</v>
      </c>
      <c r="D488" s="216">
        <f>IF($A488="","",VLOOKUP($A488&amp;"-"&amp;$B488,'Order Summary'!$D:$U,3,FALSE))</f>
        <v>46073</v>
      </c>
      <c r="E488" s="55" t="str">
        <f>VLOOKUP(A488&amp;"-"&amp;B488,'Order Summary'!$D:$G,4,FALSE)</f>
        <v>No</v>
      </c>
      <c r="F488" s="55" t="str">
        <f>VLOOKUP($A488,'Order Summary'!$B:$I,8,FALSE)</f>
        <v>Gordon, PA</v>
      </c>
      <c r="G488" s="216" t="str">
        <f>IF($A488="","",VLOOKUP($A488&amp;"-"&amp;$B488,'Order Summary'!$D:$U,18,FALSE))</f>
        <v/>
      </c>
      <c r="H488" s="55">
        <v>6</v>
      </c>
      <c r="I488" s="55">
        <v>694668</v>
      </c>
      <c r="J488" s="55" t="str">
        <f>VLOOKUP($I488,'Pricing Table - eff 27-Jan-2026'!$A:$R,2,FALSE)</f>
        <v>G1S 694668</v>
      </c>
      <c r="K488" s="55" t="str">
        <f>VLOOKUP($I488,'Pricing Table - eff 27-Jan-2026'!$A:$R,6,FALSE)&amp;" "&amp;VLOOKUP($I488,'Pricing Table - eff 27-Jan-2026'!$A:$R,7,FALSE)&amp;""" x "&amp;VLOOKUP($I488,'Pricing Table - eff 27-Jan-2026'!$A:$R,9,FALSE)&amp;""" "&amp;VLOOKUP($I488,'Pricing Table - eff 27-Jan-2026'!$A:$R,5,FALSE)</f>
        <v>2MM 49" x 96" ACP</v>
      </c>
      <c r="L488" s="55">
        <f>VLOOKUP($I488,'Pricing Table - eff 27-Jan-2026'!$A:$K,8,FALSE)</f>
        <v>1245</v>
      </c>
      <c r="M488" s="55">
        <f>VLOOKUP($I488,'Pricing Table - eff 27-Jan-2026'!$A:$K,10,FALSE)</f>
        <v>2440</v>
      </c>
      <c r="N488" s="55" t="str">
        <f>VLOOKUP($I488,'Pricing Table - eff 27-Jan-2026'!$A:$R,13,FALSE)&amp;" "&amp;VLOOKUP($I488,'Pricing Table - eff 27-Jan-2026'!$A:$R,12,FALSE)</f>
        <v>ASC 0092 PEPSI BLUE</v>
      </c>
      <c r="O488">
        <v>6.5330000000000004</v>
      </c>
      <c r="P488" s="55">
        <f>(VLOOKUP($I488,'Pricing Table - eff 27-Jan-2026'!$A:$R,8,FALSE)/1000)*(VLOOKUP($I488,'Pricing Table - eff 27-Jan-2026'!$A:$R,10,FALSE)/1000)*Q488</f>
        <v>607.56000000000006</v>
      </c>
      <c r="Q488" s="55">
        <f>ROUND(('Order Details'!$O488*1000)/((VLOOKUP($I488,'Pricing Table - eff 27-Jan-2026'!$A:$Q,7,FALSE)/12)*(VLOOKUP($I488,'Pricing Table - eff 27-Jan-2026'!$A:$Q,9,FALSE)/12))/5,0)*5</f>
        <v>200</v>
      </c>
      <c r="R488" s="71">
        <f>$Q488/IFERROR(VLOOKUP($F488&amp;RIGHT($K488,8),'Master Data'!$O$5:$P$10,2,FALSE),'Master Data'!$P$4)</f>
        <v>1</v>
      </c>
      <c r="S488" s="57">
        <f>VLOOKUP($I488,'Pricing Table - eff 27-Jan-2026'!$A:$Q,16,FALSE)</f>
        <v>720</v>
      </c>
      <c r="T488" s="57">
        <f>VLOOKUP(I488,'Pricing Table - eff 27-Jan-2026'!$A:$O,15,FALSE)</f>
        <v>7.73</v>
      </c>
      <c r="U488" s="57">
        <f t="shared" ref="U488:U551" si="24">O488*S488</f>
        <v>4703.76</v>
      </c>
      <c r="V488" s="111">
        <f t="shared" si="22"/>
        <v>4696.4388000000008</v>
      </c>
      <c r="W488" s="55">
        <f>VLOOKUP($I488,'Pricing Table - eff 27-Jan-2026'!$A:$R,18,FALSE)</f>
        <v>90</v>
      </c>
    </row>
    <row r="489" spans="1:23" ht="15" hidden="1" thickTop="1" x14ac:dyDescent="0.3">
      <c r="A489" s="55">
        <v>24202860</v>
      </c>
      <c r="B489" s="55">
        <v>0</v>
      </c>
      <c r="C489" s="55" t="str">
        <f>VLOOKUP(A489&amp;"-"&amp;B489,'Order Summary'!$D:$E,2,FALSE)</f>
        <v>Proforma Invoice Sent</v>
      </c>
      <c r="D489" s="216">
        <f>IF($A489="","",VLOOKUP($A489&amp;"-"&amp;$B489,'Order Summary'!$D:$U,3,FALSE))</f>
        <v>46073</v>
      </c>
      <c r="E489" s="55" t="str">
        <f>VLOOKUP(A489&amp;"-"&amp;B489,'Order Summary'!$D:$G,4,FALSE)</f>
        <v>Yes</v>
      </c>
      <c r="F489" s="55" t="str">
        <f>VLOOKUP($A489,'Order Summary'!$B:$I,8,FALSE)</f>
        <v>South Paris, ME</v>
      </c>
      <c r="G489" s="216" t="str">
        <f>IF($A489="","",VLOOKUP($A489&amp;"-"&amp;$B489,'Order Summary'!$D:$U,18,FALSE))</f>
        <v/>
      </c>
      <c r="H489" s="55">
        <v>1</v>
      </c>
      <c r="I489" s="55">
        <v>694433</v>
      </c>
      <c r="J489" s="55" t="str">
        <f>VLOOKUP($I489,'Pricing Table - eff 27-Jan-2026'!$A:$R,2,FALSE)</f>
        <v>G1S 694433</v>
      </c>
      <c r="K489" s="55" t="str">
        <f>VLOOKUP($I489,'Pricing Table - eff 27-Jan-2026'!$A:$R,6,FALSE)&amp;" "&amp;VLOOKUP($I489,'Pricing Table - eff 27-Jan-2026'!$A:$R,7,FALSE)&amp;""" x "&amp;VLOOKUP($I489,'Pricing Table - eff 27-Jan-2026'!$A:$R,9,FALSE)&amp;""" "&amp;VLOOKUP($I489,'Pricing Table - eff 27-Jan-2026'!$A:$R,5,FALSE)</f>
        <v>2MM 49" x 108" ACP</v>
      </c>
      <c r="L489" s="55">
        <f>VLOOKUP($I489,'Pricing Table - eff 27-Jan-2026'!$A:$K,8,FALSE)</f>
        <v>1245</v>
      </c>
      <c r="M489" s="55">
        <f>VLOOKUP($I489,'Pricing Table - eff 27-Jan-2026'!$A:$K,10,FALSE)</f>
        <v>2745</v>
      </c>
      <c r="N489" s="55" t="str">
        <f>VLOOKUP($I489,'Pricing Table - eff 27-Jan-2026'!$A:$R,13,FALSE)&amp;" "&amp;VLOOKUP($I489,'Pricing Table - eff 27-Jan-2026'!$A:$R,12,FALSE)</f>
        <v>ASC 0096 GLOSSY BLACK</v>
      </c>
      <c r="O489" s="56">
        <v>22.05</v>
      </c>
      <c r="P489" s="55">
        <f>(VLOOKUP($I489,'Pricing Table - eff 27-Jan-2026'!$A:$R,8,FALSE)/1000)*(VLOOKUP($I489,'Pricing Table - eff 27-Jan-2026'!$A:$R,10,FALSE)/1000)*Q489</f>
        <v>2050.5150000000003</v>
      </c>
      <c r="Q489" s="55">
        <f>ROUND(('Order Details'!$O489*1000)/((VLOOKUP($I489,'Pricing Table - eff 27-Jan-2026'!$A:$Q,7,FALSE)/12)*(VLOOKUP($I489,'Pricing Table - eff 27-Jan-2026'!$A:$Q,9,FALSE)/12))/5,0)*5</f>
        <v>600</v>
      </c>
      <c r="R489" s="71">
        <f>$Q489/IFERROR(VLOOKUP($F489&amp;RIGHT($K489,8),'Master Data'!$O$5:$P$10,2,FALSE),'Master Data'!$P$4)</f>
        <v>3</v>
      </c>
      <c r="S489" s="57">
        <f>VLOOKUP($I489,'Pricing Table - eff 27-Jan-2026'!$A:$Q,16,FALSE)</f>
        <v>720</v>
      </c>
      <c r="T489" s="57">
        <f>VLOOKUP(I489,'Pricing Table - eff 27-Jan-2026'!$A:$O,15,FALSE)</f>
        <v>7.73</v>
      </c>
      <c r="U489" s="57">
        <f t="shared" si="24"/>
        <v>15876</v>
      </c>
      <c r="V489" s="111">
        <f t="shared" si="22"/>
        <v>15850.480950000003</v>
      </c>
      <c r="W489" s="55">
        <f>VLOOKUP($I489,'Pricing Table - eff 27-Jan-2026'!$A:$R,18,FALSE)</f>
        <v>45</v>
      </c>
    </row>
    <row r="490" spans="1:23" ht="15" hidden="1" thickTop="1" x14ac:dyDescent="0.3">
      <c r="A490" s="55">
        <v>24202860</v>
      </c>
      <c r="B490" s="55">
        <v>0</v>
      </c>
      <c r="C490" s="55" t="str">
        <f>VLOOKUP(A490&amp;"-"&amp;B490,'Order Summary'!$D:$E,2,FALSE)</f>
        <v>Proforma Invoice Sent</v>
      </c>
      <c r="D490" s="216">
        <f>IF($A490="","",VLOOKUP($A490&amp;"-"&amp;$B490,'Order Summary'!$D:$U,3,FALSE))</f>
        <v>46073</v>
      </c>
      <c r="E490" s="55" t="str">
        <f>VLOOKUP(A490&amp;"-"&amp;B490,'Order Summary'!$D:$G,4,FALSE)</f>
        <v>Yes</v>
      </c>
      <c r="F490" s="55" t="str">
        <f>VLOOKUP($A490,'Order Summary'!$B:$I,8,FALSE)</f>
        <v>South Paris, ME</v>
      </c>
      <c r="G490" s="216" t="str">
        <f>IF($A490="","",VLOOKUP($A490&amp;"-"&amp;$B490,'Order Summary'!$D:$U,18,FALSE))</f>
        <v/>
      </c>
      <c r="H490" s="55">
        <v>2</v>
      </c>
      <c r="I490" s="55">
        <v>694437</v>
      </c>
      <c r="J490" s="55" t="str">
        <f>VLOOKUP($I490,'Pricing Table - eff 27-Jan-2026'!$A:$R,2,FALSE)</f>
        <v>G1S 694437</v>
      </c>
      <c r="K490" s="55" t="str">
        <f>VLOOKUP($I490,'Pricing Table - eff 27-Jan-2026'!$A:$R,6,FALSE)&amp;" "&amp;VLOOKUP($I490,'Pricing Table - eff 27-Jan-2026'!$A:$R,7,FALSE)&amp;""" x "&amp;VLOOKUP($I490,'Pricing Table - eff 27-Jan-2026'!$A:$R,9,FALSE)&amp;""" "&amp;VLOOKUP($I490,'Pricing Table - eff 27-Jan-2026'!$A:$R,5,FALSE)</f>
        <v>2MM 49" x 108" ACP</v>
      </c>
      <c r="L490" s="55">
        <f>VLOOKUP($I490,'Pricing Table - eff 27-Jan-2026'!$A:$K,8,FALSE)</f>
        <v>1245</v>
      </c>
      <c r="M490" s="55">
        <f>VLOOKUP($I490,'Pricing Table - eff 27-Jan-2026'!$A:$K,10,FALSE)</f>
        <v>2745</v>
      </c>
      <c r="N490" s="55" t="str">
        <f>VLOOKUP($I490,'Pricing Table - eff 27-Jan-2026'!$A:$R,13,FALSE)&amp;" "&amp;VLOOKUP($I490,'Pricing Table - eff 27-Jan-2026'!$A:$R,12,FALSE)</f>
        <v>ASC 0069 GLOSSY WHITE</v>
      </c>
      <c r="O490" s="56">
        <v>22.05</v>
      </c>
      <c r="P490" s="55">
        <f>(VLOOKUP($I490,'Pricing Table - eff 27-Jan-2026'!$A:$R,8,FALSE)/1000)*(VLOOKUP($I490,'Pricing Table - eff 27-Jan-2026'!$A:$R,10,FALSE)/1000)*Q490</f>
        <v>2050.5150000000003</v>
      </c>
      <c r="Q490" s="55">
        <f>ROUND(('Order Details'!$O490*1000)/((VLOOKUP($I490,'Pricing Table - eff 27-Jan-2026'!$A:$Q,7,FALSE)/12)*(VLOOKUP($I490,'Pricing Table - eff 27-Jan-2026'!$A:$Q,9,FALSE)/12))/5,0)*5</f>
        <v>600</v>
      </c>
      <c r="R490" s="71">
        <f>$Q490/IFERROR(VLOOKUP($F490&amp;RIGHT($K490,8),'Master Data'!$O$5:$P$10,2,FALSE),'Master Data'!$P$4)</f>
        <v>3</v>
      </c>
      <c r="S490" s="57">
        <f>VLOOKUP($I490,'Pricing Table - eff 27-Jan-2026'!$A:$Q,16,FALSE)</f>
        <v>720</v>
      </c>
      <c r="T490" s="57">
        <f>VLOOKUP(I490,'Pricing Table - eff 27-Jan-2026'!$A:$O,15,FALSE)</f>
        <v>7.73</v>
      </c>
      <c r="U490" s="57">
        <f t="shared" si="24"/>
        <v>15876</v>
      </c>
      <c r="V490" s="111">
        <f t="shared" si="22"/>
        <v>15850.480950000003</v>
      </c>
      <c r="W490" s="55">
        <f>VLOOKUP($I490,'Pricing Table - eff 27-Jan-2026'!$A:$R,18,FALSE)</f>
        <v>45</v>
      </c>
    </row>
    <row r="491" spans="1:23" ht="15" hidden="1" thickTop="1" x14ac:dyDescent="0.3">
      <c r="A491" s="55">
        <v>24202860</v>
      </c>
      <c r="B491" s="55">
        <v>0</v>
      </c>
      <c r="C491" s="55" t="str">
        <f>VLOOKUP(A491&amp;"-"&amp;B491,'Order Summary'!$D:$E,2,FALSE)</f>
        <v>Proforma Invoice Sent</v>
      </c>
      <c r="D491" s="216">
        <f>IF($A491="","",VLOOKUP($A491&amp;"-"&amp;$B491,'Order Summary'!$D:$U,3,FALSE))</f>
        <v>46073</v>
      </c>
      <c r="E491" s="55" t="str">
        <f>VLOOKUP(A491&amp;"-"&amp;B491,'Order Summary'!$D:$G,4,FALSE)</f>
        <v>Yes</v>
      </c>
      <c r="F491" s="55" t="str">
        <f>VLOOKUP($A491,'Order Summary'!$B:$I,8,FALSE)</f>
        <v>South Paris, ME</v>
      </c>
      <c r="G491" s="216" t="str">
        <f>IF($A491="","",VLOOKUP($A491&amp;"-"&amp;$B491,'Order Summary'!$D:$U,18,FALSE))</f>
        <v/>
      </c>
      <c r="H491" s="55">
        <v>3</v>
      </c>
      <c r="I491" s="55">
        <v>694441</v>
      </c>
      <c r="J491" s="55" t="str">
        <f>VLOOKUP($I491,'Pricing Table - eff 27-Jan-2026'!$A:$R,2,FALSE)</f>
        <v>G1S 694441</v>
      </c>
      <c r="K491" s="55" t="str">
        <f>VLOOKUP($I491,'Pricing Table - eff 27-Jan-2026'!$A:$R,6,FALSE)&amp;" "&amp;VLOOKUP($I491,'Pricing Table - eff 27-Jan-2026'!$A:$R,7,FALSE)&amp;""" x "&amp;VLOOKUP($I491,'Pricing Table - eff 27-Jan-2026'!$A:$R,9,FALSE)&amp;""" "&amp;VLOOKUP($I491,'Pricing Table - eff 27-Jan-2026'!$A:$R,5,FALSE)</f>
        <v>2MM 49" x 108" ACP</v>
      </c>
      <c r="L491" s="55">
        <f>VLOOKUP($I491,'Pricing Table - eff 27-Jan-2026'!$A:$K,8,FALSE)</f>
        <v>1245</v>
      </c>
      <c r="M491" s="55">
        <f>VLOOKUP($I491,'Pricing Table - eff 27-Jan-2026'!$A:$K,10,FALSE)</f>
        <v>2745</v>
      </c>
      <c r="N491" s="55" t="str">
        <f>VLOOKUP($I491,'Pricing Table - eff 27-Jan-2026'!$A:$R,13,FALSE)&amp;" "&amp;VLOOKUP($I491,'Pricing Table - eff 27-Jan-2026'!$A:$R,12,FALSE)</f>
        <v>AMC 0103 SILVER FROST</v>
      </c>
      <c r="O491" s="56">
        <v>22.05</v>
      </c>
      <c r="P491" s="55">
        <f>(VLOOKUP($I491,'Pricing Table - eff 27-Jan-2026'!$A:$R,8,FALSE)/1000)*(VLOOKUP($I491,'Pricing Table - eff 27-Jan-2026'!$A:$R,10,FALSE)/1000)*Q491</f>
        <v>2050.5150000000003</v>
      </c>
      <c r="Q491" s="55">
        <f>ROUND(('Order Details'!$O491*1000)/((VLOOKUP($I491,'Pricing Table - eff 27-Jan-2026'!$A:$Q,7,FALSE)/12)*(VLOOKUP($I491,'Pricing Table - eff 27-Jan-2026'!$A:$Q,9,FALSE)/12))/5,0)*5</f>
        <v>600</v>
      </c>
      <c r="R491" s="71">
        <f>$Q491/IFERROR(VLOOKUP($F491&amp;RIGHT($K491,8),'Master Data'!$O$5:$P$10,2,FALSE),'Master Data'!$P$4)</f>
        <v>3</v>
      </c>
      <c r="S491" s="57">
        <f>VLOOKUP($I491,'Pricing Table - eff 27-Jan-2026'!$A:$Q,16,FALSE)</f>
        <v>720</v>
      </c>
      <c r="T491" s="57">
        <f>VLOOKUP(I491,'Pricing Table - eff 27-Jan-2026'!$A:$O,15,FALSE)</f>
        <v>7.73</v>
      </c>
      <c r="U491" s="57">
        <f t="shared" si="24"/>
        <v>15876</v>
      </c>
      <c r="V491" s="111">
        <f t="shared" si="22"/>
        <v>15850.480950000003</v>
      </c>
      <c r="W491" s="55">
        <f>VLOOKUP($I491,'Pricing Table - eff 27-Jan-2026'!$A:$R,18,FALSE)</f>
        <v>90</v>
      </c>
    </row>
    <row r="492" spans="1:23" ht="15" hidden="1" thickTop="1" x14ac:dyDescent="0.3">
      <c r="A492" s="55">
        <v>24202860</v>
      </c>
      <c r="B492" s="55">
        <v>0</v>
      </c>
      <c r="C492" s="55" t="str">
        <f>VLOOKUP(A492&amp;"-"&amp;B492,'Order Summary'!$D:$E,2,FALSE)</f>
        <v>Proforma Invoice Sent</v>
      </c>
      <c r="D492" s="216">
        <f>IF($A492="","",VLOOKUP($A492&amp;"-"&amp;$B492,'Order Summary'!$D:$U,3,FALSE))</f>
        <v>46073</v>
      </c>
      <c r="E492" s="55" t="str">
        <f>VLOOKUP(A492&amp;"-"&amp;B492,'Order Summary'!$D:$G,4,FALSE)</f>
        <v>Yes</v>
      </c>
      <c r="F492" s="55" t="str">
        <f>VLOOKUP($A492,'Order Summary'!$B:$I,8,FALSE)</f>
        <v>South Paris, ME</v>
      </c>
      <c r="G492" s="216" t="str">
        <f>IF($A492="","",VLOOKUP($A492&amp;"-"&amp;$B492,'Order Summary'!$D:$U,18,FALSE))</f>
        <v/>
      </c>
      <c r="H492" s="55">
        <v>4</v>
      </c>
      <c r="I492" s="71">
        <v>694445</v>
      </c>
      <c r="J492" s="55" t="str">
        <f>VLOOKUP($I492,'Pricing Table - eff 27-Jan-2026'!$A:$R,2,FALSE)</f>
        <v>G1S 694445</v>
      </c>
      <c r="K492" s="55" t="str">
        <f>VLOOKUP($I492,'Pricing Table - eff 27-Jan-2026'!$A:$R,6,FALSE)&amp;" "&amp;VLOOKUP($I492,'Pricing Table - eff 27-Jan-2026'!$A:$R,7,FALSE)&amp;""" x "&amp;VLOOKUP($I492,'Pricing Table - eff 27-Jan-2026'!$A:$R,9,FALSE)&amp;""" "&amp;VLOOKUP($I492,'Pricing Table - eff 27-Jan-2026'!$A:$R,5,FALSE)</f>
        <v>2MM 49" x 108" ACP</v>
      </c>
      <c r="L492" s="55">
        <f>VLOOKUP($I492,'Pricing Table - eff 27-Jan-2026'!$A:$K,8,FALSE)</f>
        <v>1245</v>
      </c>
      <c r="M492" s="55">
        <f>VLOOKUP($I492,'Pricing Table - eff 27-Jan-2026'!$A:$K,10,FALSE)</f>
        <v>2745</v>
      </c>
      <c r="N492" s="55" t="str">
        <f>VLOOKUP($I492,'Pricing Table - eff 27-Jan-2026'!$A:$R,13,FALSE)&amp;" "&amp;VLOOKUP($I492,'Pricing Table - eff 27-Jan-2026'!$A:$R,12,FALSE)</f>
        <v>AMC 0086 CHARCOAL METALLIC</v>
      </c>
      <c r="O492" s="56">
        <v>22.05</v>
      </c>
      <c r="P492" s="55">
        <f>(VLOOKUP($I492,'Pricing Table - eff 27-Jan-2026'!$A:$R,8,FALSE)/1000)*(VLOOKUP($I492,'Pricing Table - eff 27-Jan-2026'!$A:$R,10,FALSE)/1000)*Q492</f>
        <v>2050.5150000000003</v>
      </c>
      <c r="Q492" s="55">
        <f>ROUND(('Order Details'!$O492*1000)/((VLOOKUP($I492,'Pricing Table - eff 27-Jan-2026'!$A:$Q,7,FALSE)/12)*(VLOOKUP($I492,'Pricing Table - eff 27-Jan-2026'!$A:$Q,9,FALSE)/12))/5,0)*5</f>
        <v>600</v>
      </c>
      <c r="R492" s="71">
        <f>$Q492/IFERROR(VLOOKUP($F492&amp;RIGHT($K492,8),'Master Data'!$O$5:$P$10,2,FALSE),'Master Data'!$P$4)</f>
        <v>3</v>
      </c>
      <c r="S492" s="57">
        <f>VLOOKUP($I492,'Pricing Table - eff 27-Jan-2026'!$A:$Q,16,FALSE)</f>
        <v>770</v>
      </c>
      <c r="T492" s="57">
        <f>VLOOKUP(I492,'Pricing Table - eff 27-Jan-2026'!$A:$O,15,FALSE)</f>
        <v>8.27</v>
      </c>
      <c r="U492" s="57">
        <f t="shared" si="24"/>
        <v>16978.5</v>
      </c>
      <c r="V492" s="111">
        <f t="shared" si="22"/>
        <v>16957.759050000001</v>
      </c>
      <c r="W492" s="55">
        <f>VLOOKUP($I492,'Pricing Table - eff 27-Jan-2026'!$A:$R,18,FALSE)</f>
        <v>45</v>
      </c>
    </row>
    <row r="493" spans="1:23" ht="15" hidden="1" thickTop="1" x14ac:dyDescent="0.3">
      <c r="A493" s="55">
        <v>53004426</v>
      </c>
      <c r="B493" s="55">
        <v>0</v>
      </c>
      <c r="C493" s="55" t="str">
        <f>VLOOKUP(A493&amp;"-"&amp;B493,'Order Summary'!$D:$E,2,FALSE)</f>
        <v>Proforma Invoice Sent</v>
      </c>
      <c r="D493" s="216">
        <f>IF($A493="","",VLOOKUP($A493&amp;"-"&amp;$B493,'Order Summary'!$D:$U,3,FALSE))</f>
        <v>46073</v>
      </c>
      <c r="E493" s="55" t="str">
        <f>VLOOKUP(A493&amp;"-"&amp;B493,'Order Summary'!$D:$G,4,FALSE)</f>
        <v>Yes</v>
      </c>
      <c r="F493" s="55" t="str">
        <f>VLOOKUP($A493,'Order Summary'!$B:$I,8,FALSE)</f>
        <v>Hillsboro, TX</v>
      </c>
      <c r="G493" s="216" t="str">
        <f>IF($A493="","",VLOOKUP($A493&amp;"-"&amp;$B493,'Order Summary'!$D:$U,18,FALSE))</f>
        <v/>
      </c>
      <c r="H493" s="55">
        <v>1</v>
      </c>
      <c r="I493" s="55">
        <v>694433</v>
      </c>
      <c r="J493" s="55" t="str">
        <f>VLOOKUP($I493,'Pricing Table - eff 27-Jan-2026'!$A:$R,2,FALSE)</f>
        <v>G1S 694433</v>
      </c>
      <c r="K493" s="55" t="str">
        <f>VLOOKUP($I493,'Pricing Table - eff 27-Jan-2026'!$A:$R,6,FALSE)&amp;" "&amp;VLOOKUP($I493,'Pricing Table - eff 27-Jan-2026'!$A:$R,7,FALSE)&amp;""" x "&amp;VLOOKUP($I493,'Pricing Table - eff 27-Jan-2026'!$A:$R,9,FALSE)&amp;""" "&amp;VLOOKUP($I493,'Pricing Table - eff 27-Jan-2026'!$A:$R,5,FALSE)</f>
        <v>2MM 49" x 108" ACP</v>
      </c>
      <c r="L493" s="55">
        <f>VLOOKUP($I493,'Pricing Table - eff 27-Jan-2026'!$A:$K,8,FALSE)</f>
        <v>1245</v>
      </c>
      <c r="M493" s="55">
        <f>VLOOKUP($I493,'Pricing Table - eff 27-Jan-2026'!$A:$K,10,FALSE)</f>
        <v>2745</v>
      </c>
      <c r="N493" s="55" t="str">
        <f>VLOOKUP($I493,'Pricing Table - eff 27-Jan-2026'!$A:$R,13,FALSE)&amp;" "&amp;VLOOKUP($I493,'Pricing Table - eff 27-Jan-2026'!$A:$R,12,FALSE)</f>
        <v>ASC 0096 GLOSSY BLACK</v>
      </c>
      <c r="O493" s="56">
        <v>5.5129999999999999</v>
      </c>
      <c r="P493" s="55">
        <f>(VLOOKUP($I493,'Pricing Table - eff 27-Jan-2026'!$A:$R,8,FALSE)/1000)*(VLOOKUP($I493,'Pricing Table - eff 27-Jan-2026'!$A:$R,10,FALSE)/1000)*Q493</f>
        <v>512.62875000000008</v>
      </c>
      <c r="Q493" s="55">
        <f>ROUND(('Order Details'!$O493*1000)/((VLOOKUP($I493,'Pricing Table - eff 27-Jan-2026'!$A:$Q,7,FALSE)/12)*(VLOOKUP($I493,'Pricing Table - eff 27-Jan-2026'!$A:$Q,9,FALSE)/12))/5,0)*5</f>
        <v>150</v>
      </c>
      <c r="R493" s="71">
        <f t="shared" ref="R493:R495" si="25">Q493/150</f>
        <v>1</v>
      </c>
      <c r="S493" s="57">
        <f>VLOOKUP($I493,'Pricing Table - eff 27-Jan-2026'!$A:$Q,16,FALSE)</f>
        <v>720</v>
      </c>
      <c r="T493" s="57">
        <f>VLOOKUP(I493,'Pricing Table - eff 27-Jan-2026'!$A:$O,15,FALSE)</f>
        <v>7.73</v>
      </c>
      <c r="U493" s="57">
        <f t="shared" si="24"/>
        <v>3969.36</v>
      </c>
      <c r="V493" s="111">
        <f t="shared" si="22"/>
        <v>3962.6202375000007</v>
      </c>
      <c r="W493" s="55">
        <f>VLOOKUP($I493,'Pricing Table - eff 27-Jan-2026'!$A:$R,18,FALSE)</f>
        <v>45</v>
      </c>
    </row>
    <row r="494" spans="1:23" ht="15" hidden="1" thickTop="1" x14ac:dyDescent="0.3">
      <c r="A494" s="55">
        <v>53004426</v>
      </c>
      <c r="B494" s="55">
        <v>0</v>
      </c>
      <c r="C494" s="55" t="str">
        <f>VLOOKUP(A494&amp;"-"&amp;B494,'Order Summary'!$D:$E,2,FALSE)</f>
        <v>Proforma Invoice Sent</v>
      </c>
      <c r="D494" s="216">
        <f>IF($A494="","",VLOOKUP($A494&amp;"-"&amp;$B494,'Order Summary'!$D:$U,3,FALSE))</f>
        <v>46073</v>
      </c>
      <c r="E494" s="55" t="str">
        <f>VLOOKUP(A494&amp;"-"&amp;B494,'Order Summary'!$D:$G,4,FALSE)</f>
        <v>Yes</v>
      </c>
      <c r="F494" s="55" t="str">
        <f>VLOOKUP($A494,'Order Summary'!$B:$I,8,FALSE)</f>
        <v>Hillsboro, TX</v>
      </c>
      <c r="G494" s="216" t="str">
        <f>IF($A494="","",VLOOKUP($A494&amp;"-"&amp;$B494,'Order Summary'!$D:$U,18,FALSE))</f>
        <v/>
      </c>
      <c r="H494" s="55">
        <v>2</v>
      </c>
      <c r="I494" s="55">
        <v>694437</v>
      </c>
      <c r="J494" s="55" t="str">
        <f>VLOOKUP($I494,'Pricing Table - eff 27-Jan-2026'!$A:$R,2,FALSE)</f>
        <v>G1S 694437</v>
      </c>
      <c r="K494" s="55" t="str">
        <f>VLOOKUP($I494,'Pricing Table - eff 27-Jan-2026'!$A:$R,6,FALSE)&amp;" "&amp;VLOOKUP($I494,'Pricing Table - eff 27-Jan-2026'!$A:$R,7,FALSE)&amp;""" x "&amp;VLOOKUP($I494,'Pricing Table - eff 27-Jan-2026'!$A:$R,9,FALSE)&amp;""" "&amp;VLOOKUP($I494,'Pricing Table - eff 27-Jan-2026'!$A:$R,5,FALSE)</f>
        <v>2MM 49" x 108" ACP</v>
      </c>
      <c r="L494" s="55">
        <f>VLOOKUP($I494,'Pricing Table - eff 27-Jan-2026'!$A:$K,8,FALSE)</f>
        <v>1245</v>
      </c>
      <c r="M494" s="55">
        <f>VLOOKUP($I494,'Pricing Table - eff 27-Jan-2026'!$A:$K,10,FALSE)</f>
        <v>2745</v>
      </c>
      <c r="N494" s="55" t="str">
        <f>VLOOKUP($I494,'Pricing Table - eff 27-Jan-2026'!$A:$R,13,FALSE)&amp;" "&amp;VLOOKUP($I494,'Pricing Table - eff 27-Jan-2026'!$A:$R,12,FALSE)</f>
        <v>ASC 0069 GLOSSY WHITE</v>
      </c>
      <c r="O494" s="56">
        <v>33.075000000000003</v>
      </c>
      <c r="P494" s="55">
        <f>(VLOOKUP($I494,'Pricing Table - eff 27-Jan-2026'!$A:$R,8,FALSE)/1000)*(VLOOKUP($I494,'Pricing Table - eff 27-Jan-2026'!$A:$R,10,FALSE)/1000)*Q494</f>
        <v>3075.7725000000005</v>
      </c>
      <c r="Q494" s="55">
        <f>ROUND(('Order Details'!$O494*1000)/((VLOOKUP($I494,'Pricing Table - eff 27-Jan-2026'!$A:$Q,7,FALSE)/12)*(VLOOKUP($I494,'Pricing Table - eff 27-Jan-2026'!$A:$Q,9,FALSE)/12))/5,0)*5</f>
        <v>900</v>
      </c>
      <c r="R494" s="71">
        <f t="shared" si="25"/>
        <v>6</v>
      </c>
      <c r="S494" s="57">
        <f>VLOOKUP($I494,'Pricing Table - eff 27-Jan-2026'!$A:$Q,16,FALSE)</f>
        <v>720</v>
      </c>
      <c r="T494" s="57">
        <f>VLOOKUP(I494,'Pricing Table - eff 27-Jan-2026'!$A:$O,15,FALSE)</f>
        <v>7.73</v>
      </c>
      <c r="U494" s="57">
        <f t="shared" si="24"/>
        <v>23814.000000000004</v>
      </c>
      <c r="V494" s="111">
        <f t="shared" si="22"/>
        <v>23775.721425000003</v>
      </c>
      <c r="W494" s="55">
        <f>VLOOKUP($I494,'Pricing Table - eff 27-Jan-2026'!$A:$R,18,FALSE)</f>
        <v>45</v>
      </c>
    </row>
    <row r="495" spans="1:23" ht="15" hidden="1" thickTop="1" x14ac:dyDescent="0.3">
      <c r="A495" s="55">
        <v>53004426</v>
      </c>
      <c r="B495" s="55">
        <v>0</v>
      </c>
      <c r="C495" s="55" t="str">
        <f>VLOOKUP(A495&amp;"-"&amp;B495,'Order Summary'!$D:$E,2,FALSE)</f>
        <v>Proforma Invoice Sent</v>
      </c>
      <c r="D495" s="216">
        <f>IF($A495="","",VLOOKUP($A495&amp;"-"&amp;$B495,'Order Summary'!$D:$U,3,FALSE))</f>
        <v>46073</v>
      </c>
      <c r="E495" s="55" t="str">
        <f>VLOOKUP(A495&amp;"-"&amp;B495,'Order Summary'!$D:$G,4,FALSE)</f>
        <v>Yes</v>
      </c>
      <c r="F495" s="55" t="str">
        <f>VLOOKUP($A495,'Order Summary'!$B:$I,8,FALSE)</f>
        <v>Hillsboro, TX</v>
      </c>
      <c r="G495" s="216" t="str">
        <f>IF($A495="","",VLOOKUP($A495&amp;"-"&amp;$B495,'Order Summary'!$D:$U,18,FALSE))</f>
        <v/>
      </c>
      <c r="H495" s="55">
        <v>3</v>
      </c>
      <c r="I495" s="55">
        <v>694441</v>
      </c>
      <c r="J495" s="55" t="str">
        <f>VLOOKUP($I495,'Pricing Table - eff 27-Jan-2026'!$A:$R,2,FALSE)</f>
        <v>G1S 694441</v>
      </c>
      <c r="K495" s="55" t="str">
        <f>VLOOKUP($I495,'Pricing Table - eff 27-Jan-2026'!$A:$R,6,FALSE)&amp;" "&amp;VLOOKUP($I495,'Pricing Table - eff 27-Jan-2026'!$A:$R,7,FALSE)&amp;""" x "&amp;VLOOKUP($I495,'Pricing Table - eff 27-Jan-2026'!$A:$R,9,FALSE)&amp;""" "&amp;VLOOKUP($I495,'Pricing Table - eff 27-Jan-2026'!$A:$R,5,FALSE)</f>
        <v>2MM 49" x 108" ACP</v>
      </c>
      <c r="L495" s="55">
        <f>VLOOKUP($I495,'Pricing Table - eff 27-Jan-2026'!$A:$K,8,FALSE)</f>
        <v>1245</v>
      </c>
      <c r="M495" s="55">
        <f>VLOOKUP($I495,'Pricing Table - eff 27-Jan-2026'!$A:$K,10,FALSE)</f>
        <v>2745</v>
      </c>
      <c r="N495" s="55" t="str">
        <f>VLOOKUP($I495,'Pricing Table - eff 27-Jan-2026'!$A:$R,13,FALSE)&amp;" "&amp;VLOOKUP($I495,'Pricing Table - eff 27-Jan-2026'!$A:$R,12,FALSE)</f>
        <v>AMC 0103 SILVER FROST</v>
      </c>
      <c r="O495" s="56">
        <v>33.075000000000003</v>
      </c>
      <c r="P495" s="55">
        <f>(VLOOKUP($I495,'Pricing Table - eff 27-Jan-2026'!$A:$R,8,FALSE)/1000)*(VLOOKUP($I495,'Pricing Table - eff 27-Jan-2026'!$A:$R,10,FALSE)/1000)*Q495</f>
        <v>3075.7725000000005</v>
      </c>
      <c r="Q495" s="55">
        <f>ROUND(('Order Details'!$O495*1000)/((VLOOKUP($I495,'Pricing Table - eff 27-Jan-2026'!$A:$Q,7,FALSE)/12)*(VLOOKUP($I495,'Pricing Table - eff 27-Jan-2026'!$A:$Q,9,FALSE)/12))/5,0)*5</f>
        <v>900</v>
      </c>
      <c r="R495" s="71">
        <f t="shared" si="25"/>
        <v>6</v>
      </c>
      <c r="S495" s="57">
        <f>VLOOKUP($I495,'Pricing Table - eff 27-Jan-2026'!$A:$Q,16,FALSE)</f>
        <v>720</v>
      </c>
      <c r="T495" s="57">
        <f>VLOOKUP(I495,'Pricing Table - eff 27-Jan-2026'!$A:$O,15,FALSE)</f>
        <v>7.73</v>
      </c>
      <c r="U495" s="57">
        <f t="shared" si="24"/>
        <v>23814.000000000004</v>
      </c>
      <c r="V495" s="111">
        <f t="shared" si="22"/>
        <v>23775.721425000003</v>
      </c>
      <c r="W495" s="55">
        <f>VLOOKUP($I495,'Pricing Table - eff 27-Jan-2026'!$A:$R,18,FALSE)</f>
        <v>90</v>
      </c>
    </row>
    <row r="496" spans="1:23" ht="15" hidden="1" thickTop="1" x14ac:dyDescent="0.3">
      <c r="A496" s="55">
        <v>53004426</v>
      </c>
      <c r="B496" s="55">
        <v>0</v>
      </c>
      <c r="C496" s="55" t="str">
        <f>VLOOKUP(A496&amp;"-"&amp;B496,'Order Summary'!$D:$E,2,FALSE)</f>
        <v>Proforma Invoice Sent</v>
      </c>
      <c r="D496" s="216">
        <f>IF($A496="","",VLOOKUP($A496&amp;"-"&amp;$B496,'Order Summary'!$D:$U,3,FALSE))</f>
        <v>46073</v>
      </c>
      <c r="E496" s="55" t="str">
        <f>VLOOKUP(A496&amp;"-"&amp;B496,'Order Summary'!$D:$G,4,FALSE)</f>
        <v>Yes</v>
      </c>
      <c r="F496" s="55" t="str">
        <f>VLOOKUP($A496,'Order Summary'!$B:$I,8,FALSE)</f>
        <v>Hillsboro, TX</v>
      </c>
      <c r="G496" s="216" t="str">
        <f>IF($A496="","",VLOOKUP($A496&amp;"-"&amp;$B496,'Order Summary'!$D:$U,18,FALSE))</f>
        <v/>
      </c>
      <c r="H496" s="55">
        <v>4</v>
      </c>
      <c r="I496" s="55">
        <v>694446</v>
      </c>
      <c r="J496" s="55" t="str">
        <f>VLOOKUP($I496,'Pricing Table - eff 27-Jan-2026'!$A:$R,2,FALSE)</f>
        <v>G1S 694446</v>
      </c>
      <c r="K496" s="55" t="str">
        <f>VLOOKUP($I496,'Pricing Table - eff 27-Jan-2026'!$A:$R,6,FALSE)&amp;" "&amp;VLOOKUP($I496,'Pricing Table - eff 27-Jan-2026'!$A:$R,7,FALSE)&amp;""" x "&amp;VLOOKUP($I496,'Pricing Table - eff 27-Jan-2026'!$A:$R,9,FALSE)&amp;""" "&amp;VLOOKUP($I496,'Pricing Table - eff 27-Jan-2026'!$A:$R,5,FALSE)</f>
        <v>2MM 49" x 144" ACP</v>
      </c>
      <c r="L496" s="55">
        <f>VLOOKUP($I496,'Pricing Table - eff 27-Jan-2026'!$A:$K,8,FALSE)</f>
        <v>1245</v>
      </c>
      <c r="M496" s="55">
        <f>VLOOKUP($I496,'Pricing Table - eff 27-Jan-2026'!$A:$K,10,FALSE)</f>
        <v>3658</v>
      </c>
      <c r="N496" s="55" t="str">
        <f>VLOOKUP($I496,'Pricing Table - eff 27-Jan-2026'!$A:$R,13,FALSE)&amp;" "&amp;VLOOKUP($I496,'Pricing Table - eff 27-Jan-2026'!$A:$R,12,FALSE)</f>
        <v>AMC 0086 CHARCOAL METALLIC</v>
      </c>
      <c r="O496" s="56">
        <v>9.8000000000000007</v>
      </c>
      <c r="P496" s="55">
        <f>(VLOOKUP($I496,'Pricing Table - eff 27-Jan-2026'!$A:$R,8,FALSE)/1000)*(VLOOKUP($I496,'Pricing Table - eff 27-Jan-2026'!$A:$R,10,FALSE)/1000)*Q496</f>
        <v>910.8420000000001</v>
      </c>
      <c r="Q496" s="55">
        <f>ROUND(('Order Details'!$O496*1000)/((VLOOKUP($I496,'Pricing Table - eff 27-Jan-2026'!$A:$Q,7,FALSE)/12)*(VLOOKUP($I496,'Pricing Table - eff 27-Jan-2026'!$A:$Q,9,FALSE)/12))/5,0)*5</f>
        <v>200</v>
      </c>
      <c r="R496" s="71">
        <f>$Q496/IFERROR(VLOOKUP($F496&amp;RIGHT($K496,8),'Master Data'!$O$5:$P$10,2,FALSE),'Master Data'!$P$4)</f>
        <v>1</v>
      </c>
      <c r="S496" s="57">
        <f>VLOOKUP($I496,'Pricing Table - eff 27-Jan-2026'!$A:$Q,16,FALSE)</f>
        <v>770</v>
      </c>
      <c r="T496" s="57">
        <f>VLOOKUP(I496,'Pricing Table - eff 27-Jan-2026'!$A:$O,15,FALSE)</f>
        <v>8.27</v>
      </c>
      <c r="U496" s="57">
        <f t="shared" si="24"/>
        <v>7546.0000000000009</v>
      </c>
      <c r="V496" s="111">
        <f t="shared" si="22"/>
        <v>7532.6633400000001</v>
      </c>
      <c r="W496" s="55">
        <f>VLOOKUP($I496,'Pricing Table - eff 27-Jan-2026'!$A:$R,18,FALSE)</f>
        <v>45</v>
      </c>
    </row>
    <row r="497" spans="1:23" ht="15" hidden="1" thickTop="1" x14ac:dyDescent="0.3">
      <c r="A497" s="55">
        <v>53004426</v>
      </c>
      <c r="B497" s="55">
        <v>0</v>
      </c>
      <c r="C497" s="55" t="str">
        <f>VLOOKUP(A497&amp;"-"&amp;B497,'Order Summary'!$D:$E,2,FALSE)</f>
        <v>Proforma Invoice Sent</v>
      </c>
      <c r="D497" s="216">
        <f>IF($A497="","",VLOOKUP($A497&amp;"-"&amp;$B497,'Order Summary'!$D:$U,3,FALSE))</f>
        <v>46073</v>
      </c>
      <c r="E497" s="55" t="str">
        <f>VLOOKUP(A497&amp;"-"&amp;B497,'Order Summary'!$D:$G,4,FALSE)</f>
        <v>Yes</v>
      </c>
      <c r="F497" s="55" t="str">
        <f>VLOOKUP($A497,'Order Summary'!$B:$I,8,FALSE)</f>
        <v>Hillsboro, TX</v>
      </c>
      <c r="G497" s="216" t="str">
        <f>IF($A497="","",VLOOKUP($A497&amp;"-"&amp;$B497,'Order Summary'!$D:$U,18,FALSE))</f>
        <v/>
      </c>
      <c r="H497" s="55">
        <v>5</v>
      </c>
      <c r="I497" s="55">
        <v>695621</v>
      </c>
      <c r="J497" s="55" t="str">
        <f>VLOOKUP($I497,'Pricing Table - eff 27-Jan-2026'!$A:$R,2,FALSE)</f>
        <v>G1S 695621</v>
      </c>
      <c r="K497" s="55" t="str">
        <f>VLOOKUP($I497,'Pricing Table - eff 27-Jan-2026'!$A:$R,6,FALSE)&amp;" "&amp;VLOOKUP($I497,'Pricing Table - eff 27-Jan-2026'!$A:$R,7,FALSE)&amp;""" x "&amp;VLOOKUP($I497,'Pricing Table - eff 27-Jan-2026'!$A:$R,9,FALSE)&amp;""" "&amp;VLOOKUP($I497,'Pricing Table - eff 27-Jan-2026'!$A:$R,5,FALSE)</f>
        <v>2MM 49" x 108" ACP</v>
      </c>
      <c r="L497" s="55">
        <f>VLOOKUP($I497,'Pricing Table - eff 27-Jan-2026'!$A:$K,8,FALSE)</f>
        <v>1245</v>
      </c>
      <c r="M497" s="55">
        <f>VLOOKUP($I497,'Pricing Table - eff 27-Jan-2026'!$A:$K,10,FALSE)</f>
        <v>2745</v>
      </c>
      <c r="N497" s="55" t="str">
        <f>VLOOKUP($I497,'Pricing Table - eff 27-Jan-2026'!$A:$R,13,FALSE)&amp;" "&amp;VLOOKUP($I497,'Pricing Table - eff 27-Jan-2026'!$A:$R,12,FALSE)</f>
        <v>ASC 0105 INDIGO BLUE</v>
      </c>
      <c r="O497" s="56">
        <v>5.5129999999999999</v>
      </c>
      <c r="P497" s="55">
        <f>(VLOOKUP($I497,'Pricing Table - eff 27-Jan-2026'!$A:$R,8,FALSE)/1000)*(VLOOKUP($I497,'Pricing Table - eff 27-Jan-2026'!$A:$R,10,FALSE)/1000)*Q497</f>
        <v>512.62875000000008</v>
      </c>
      <c r="Q497" s="55">
        <f>ROUND(('Order Details'!$O497*1000)/((VLOOKUP($I497,'Pricing Table - eff 27-Jan-2026'!$A:$Q,7,FALSE)/12)*(VLOOKUP($I497,'Pricing Table - eff 27-Jan-2026'!$A:$Q,9,FALSE)/12))/5,0)*5</f>
        <v>150</v>
      </c>
      <c r="R497" s="71">
        <f>Q497/150</f>
        <v>1</v>
      </c>
      <c r="S497" s="57">
        <f>VLOOKUP($I497,'Pricing Table - eff 27-Jan-2026'!$A:$Q,16,FALSE)</f>
        <v>770</v>
      </c>
      <c r="T497" s="57">
        <f>VLOOKUP(I497,'Pricing Table - eff 27-Jan-2026'!$A:$O,15,FALSE)</f>
        <v>8.27</v>
      </c>
      <c r="U497" s="57">
        <f t="shared" si="24"/>
        <v>4245.01</v>
      </c>
      <c r="V497" s="111">
        <f t="shared" si="22"/>
        <v>4239.4397625000001</v>
      </c>
      <c r="W497" s="55">
        <f>VLOOKUP($I497,'Pricing Table - eff 27-Jan-2026'!$A:$R,18,FALSE)</f>
        <v>45</v>
      </c>
    </row>
    <row r="498" spans="1:23" ht="15" hidden="1" thickTop="1" x14ac:dyDescent="0.3">
      <c r="A498" s="55">
        <v>24199456</v>
      </c>
      <c r="B498" s="55">
        <v>0</v>
      </c>
      <c r="C498" s="55" t="str">
        <f>VLOOKUP(A498&amp;"-"&amp;B498,'Order Summary'!$D:$E,2,FALSE)</f>
        <v>Proforma Invoice Sent</v>
      </c>
      <c r="D498" s="216">
        <f>IF($A498="","",VLOOKUP($A498&amp;"-"&amp;$B498,'Order Summary'!$D:$U,3,FALSE))</f>
        <v>46073</v>
      </c>
      <c r="E498" s="55" t="str">
        <f>VLOOKUP(A498&amp;"-"&amp;B498,'Order Summary'!$D:$G,4,FALSE)</f>
        <v>Yes</v>
      </c>
      <c r="F498" s="55" t="str">
        <f>VLOOKUP($A498,'Order Summary'!$B:$I,8,FALSE)</f>
        <v>Gordon, PA</v>
      </c>
      <c r="G498" s="216" t="str">
        <f>IF($A498="","",VLOOKUP($A498&amp;"-"&amp;$B498,'Order Summary'!$D:$U,18,FALSE))</f>
        <v/>
      </c>
      <c r="H498" s="55">
        <v>1</v>
      </c>
      <c r="I498" s="55">
        <v>694432</v>
      </c>
      <c r="J498" s="55" t="str">
        <f>VLOOKUP($I498,'Pricing Table - eff 27-Jan-2026'!$A:$R,2,FALSE)</f>
        <v>G1S 694432</v>
      </c>
      <c r="K498" s="55" t="str">
        <f>VLOOKUP($I498,'Pricing Table - eff 27-Jan-2026'!$A:$R,6,FALSE)&amp;" "&amp;VLOOKUP($I498,'Pricing Table - eff 27-Jan-2026'!$A:$R,7,FALSE)&amp;""" x "&amp;VLOOKUP($I498,'Pricing Table - eff 27-Jan-2026'!$A:$R,9,FALSE)&amp;""" "&amp;VLOOKUP($I498,'Pricing Table - eff 27-Jan-2026'!$A:$R,5,FALSE)</f>
        <v>2MM 49" x 96" ACP</v>
      </c>
      <c r="L498" s="55">
        <f>VLOOKUP($I498,'Pricing Table - eff 27-Jan-2026'!$A:$K,8,FALSE)</f>
        <v>1245</v>
      </c>
      <c r="M498" s="55">
        <f>VLOOKUP($I498,'Pricing Table - eff 27-Jan-2026'!$A:$K,10,FALSE)</f>
        <v>2440</v>
      </c>
      <c r="N498" s="55" t="str">
        <f>VLOOKUP($I498,'Pricing Table - eff 27-Jan-2026'!$A:$R,13,FALSE)&amp;" "&amp;VLOOKUP($I498,'Pricing Table - eff 27-Jan-2026'!$A:$R,12,FALSE)</f>
        <v>ASC 0096 GLOSSY BLACK</v>
      </c>
      <c r="O498" s="56">
        <v>45.732999999999997</v>
      </c>
      <c r="P498" s="55">
        <f>(VLOOKUP($I498,'Pricing Table - eff 27-Jan-2026'!$A:$R,8,FALSE)/1000)*(VLOOKUP($I498,'Pricing Table - eff 27-Jan-2026'!$A:$R,10,FALSE)/1000)*Q498</f>
        <v>4252.92</v>
      </c>
      <c r="Q498" s="55">
        <f>ROUND(('Order Details'!$O498*1000)/((VLOOKUP($I498,'Pricing Table - eff 27-Jan-2026'!$A:$Q,7,FALSE)/12)*(VLOOKUP($I498,'Pricing Table - eff 27-Jan-2026'!$A:$Q,9,FALSE)/12))/5,0)*5</f>
        <v>1400</v>
      </c>
      <c r="R498" s="71">
        <f>$Q498/IFERROR(VLOOKUP($F498&amp;RIGHT($K498,8),'Master Data'!$O$5:$P$10,2,FALSE),'Master Data'!$P$4)</f>
        <v>7</v>
      </c>
      <c r="S498" s="57">
        <f>VLOOKUP($I498,'Pricing Table - eff 27-Jan-2026'!$A:$Q,16,FALSE)</f>
        <v>720</v>
      </c>
      <c r="T498" s="57">
        <f>VLOOKUP(I498,'Pricing Table - eff 27-Jan-2026'!$A:$O,15,FALSE)</f>
        <v>7.73</v>
      </c>
      <c r="U498" s="57">
        <f t="shared" si="24"/>
        <v>32927.759999999995</v>
      </c>
      <c r="V498" s="111">
        <f t="shared" si="22"/>
        <v>32875.071600000003</v>
      </c>
      <c r="W498" s="55">
        <f>VLOOKUP($I498,'Pricing Table - eff 27-Jan-2026'!$A:$R,18,FALSE)</f>
        <v>45</v>
      </c>
    </row>
    <row r="499" spans="1:23" ht="15" hidden="1" thickTop="1" x14ac:dyDescent="0.3">
      <c r="A499" s="55">
        <v>24199456</v>
      </c>
      <c r="B499" s="55">
        <v>0</v>
      </c>
      <c r="C499" s="55" t="str">
        <f>VLOOKUP(A499&amp;"-"&amp;B499,'Order Summary'!$D:$E,2,FALSE)</f>
        <v>Proforma Invoice Sent</v>
      </c>
      <c r="D499" s="216">
        <f>IF($A499="","",VLOOKUP($A499&amp;"-"&amp;$B499,'Order Summary'!$D:$U,3,FALSE))</f>
        <v>46073</v>
      </c>
      <c r="E499" s="55" t="str">
        <f>VLOOKUP(A499&amp;"-"&amp;B499,'Order Summary'!$D:$G,4,FALSE)</f>
        <v>Yes</v>
      </c>
      <c r="F499" s="55" t="str">
        <f>VLOOKUP($A499,'Order Summary'!$B:$I,8,FALSE)</f>
        <v>Gordon, PA</v>
      </c>
      <c r="G499" s="216" t="str">
        <f>IF($A499="","",VLOOKUP($A499&amp;"-"&amp;$B499,'Order Summary'!$D:$U,18,FALSE))</f>
        <v/>
      </c>
      <c r="H499" s="55">
        <v>2</v>
      </c>
      <c r="I499" s="55">
        <v>694436</v>
      </c>
      <c r="J499" s="55" t="str">
        <f>VLOOKUP($I499,'Pricing Table - eff 27-Jan-2026'!$A:$R,2,FALSE)</f>
        <v>G1S 694436</v>
      </c>
      <c r="K499" s="55" t="str">
        <f>VLOOKUP($I499,'Pricing Table - eff 27-Jan-2026'!$A:$R,6,FALSE)&amp;" "&amp;VLOOKUP($I499,'Pricing Table - eff 27-Jan-2026'!$A:$R,7,FALSE)&amp;""" x "&amp;VLOOKUP($I499,'Pricing Table - eff 27-Jan-2026'!$A:$R,9,FALSE)&amp;""" "&amp;VLOOKUP($I499,'Pricing Table - eff 27-Jan-2026'!$A:$R,5,FALSE)</f>
        <v>2MM 49" x 96" ACP</v>
      </c>
      <c r="L499" s="55">
        <f>VLOOKUP($I499,'Pricing Table - eff 27-Jan-2026'!$A:$K,8,FALSE)</f>
        <v>1245</v>
      </c>
      <c r="M499" s="55">
        <f>VLOOKUP($I499,'Pricing Table - eff 27-Jan-2026'!$A:$K,10,FALSE)</f>
        <v>2440</v>
      </c>
      <c r="N499" s="55" t="str">
        <f>VLOOKUP($I499,'Pricing Table - eff 27-Jan-2026'!$A:$R,13,FALSE)&amp;" "&amp;VLOOKUP($I499,'Pricing Table - eff 27-Jan-2026'!$A:$R,12,FALSE)</f>
        <v>ASC 0069 GLOSSY WHITE</v>
      </c>
      <c r="O499" s="56">
        <v>45.732999999999997</v>
      </c>
      <c r="P499" s="55">
        <f>(VLOOKUP($I499,'Pricing Table - eff 27-Jan-2026'!$A:$R,8,FALSE)/1000)*(VLOOKUP($I499,'Pricing Table - eff 27-Jan-2026'!$A:$R,10,FALSE)/1000)*Q499</f>
        <v>4252.92</v>
      </c>
      <c r="Q499" s="55">
        <f>ROUND(('Order Details'!$O499*1000)/((VLOOKUP($I499,'Pricing Table - eff 27-Jan-2026'!$A:$Q,7,FALSE)/12)*(VLOOKUP($I499,'Pricing Table - eff 27-Jan-2026'!$A:$Q,9,FALSE)/12))/5,0)*5</f>
        <v>1400</v>
      </c>
      <c r="R499" s="71">
        <f>$Q499/IFERROR(VLOOKUP($F499&amp;RIGHT($K499,8),'Master Data'!$O$5:$P$10,2,FALSE),'Master Data'!$P$4)</f>
        <v>7</v>
      </c>
      <c r="S499" s="57">
        <f>VLOOKUP($I499,'Pricing Table - eff 27-Jan-2026'!$A:$Q,16,FALSE)</f>
        <v>720</v>
      </c>
      <c r="T499" s="57">
        <f>VLOOKUP(I499,'Pricing Table - eff 27-Jan-2026'!$A:$O,15,FALSE)</f>
        <v>7.73</v>
      </c>
      <c r="U499" s="57">
        <f t="shared" si="24"/>
        <v>32927.759999999995</v>
      </c>
      <c r="V499" s="111">
        <f t="shared" si="22"/>
        <v>32875.071600000003</v>
      </c>
      <c r="W499" s="55">
        <f>VLOOKUP($I499,'Pricing Table - eff 27-Jan-2026'!$A:$R,18,FALSE)</f>
        <v>45</v>
      </c>
    </row>
    <row r="500" spans="1:23" ht="15" hidden="1" thickTop="1" x14ac:dyDescent="0.3">
      <c r="A500" s="55">
        <v>24202634</v>
      </c>
      <c r="B500" s="55">
        <v>0</v>
      </c>
      <c r="C500" s="55" t="str">
        <f>VLOOKUP(A500&amp;"-"&amp;B500,'Order Summary'!$D:$E,2,FALSE)</f>
        <v>PO Revised</v>
      </c>
      <c r="D500" s="216">
        <f>IF($A500="","",VLOOKUP($A500&amp;"-"&amp;$B500,'Order Summary'!$D:$U,3,FALSE))</f>
        <v>46076</v>
      </c>
      <c r="E500" s="55" t="str">
        <f>VLOOKUP(A500&amp;"-"&amp;B500,'Order Summary'!$D:$G,4,FALSE)</f>
        <v>No</v>
      </c>
      <c r="F500" s="55" t="str">
        <f>VLOOKUP($A500,'Order Summary'!$B:$I,8,FALSE)</f>
        <v>Gordon, PA</v>
      </c>
      <c r="G500" s="216" t="str">
        <f>IF($A500="","",VLOOKUP($A500&amp;"-"&amp;$B500,'Order Summary'!$D:$U,18,FALSE))</f>
        <v/>
      </c>
      <c r="H500" s="55">
        <v>1</v>
      </c>
      <c r="I500" s="55">
        <v>694440</v>
      </c>
      <c r="J500" s="55" t="str">
        <f>VLOOKUP($I500,'Pricing Table - eff 27-Jan-2026'!$A:$R,2,FALSE)</f>
        <v>G1S 694440</v>
      </c>
      <c r="K500" s="55" t="str">
        <f>VLOOKUP($I500,'Pricing Table - eff 27-Jan-2026'!$A:$R,6,FALSE)&amp;" "&amp;VLOOKUP($I500,'Pricing Table - eff 27-Jan-2026'!$A:$R,7,FALSE)&amp;""" x "&amp;VLOOKUP($I500,'Pricing Table - eff 27-Jan-2026'!$A:$R,9,FALSE)&amp;""" "&amp;VLOOKUP($I500,'Pricing Table - eff 27-Jan-2026'!$A:$R,5,FALSE)</f>
        <v>2MM 49" x 96" ACP</v>
      </c>
      <c r="L500" s="55">
        <f>VLOOKUP($I500,'Pricing Table - eff 27-Jan-2026'!$A:$K,8,FALSE)</f>
        <v>1245</v>
      </c>
      <c r="M500" s="55">
        <f>VLOOKUP($I500,'Pricing Table - eff 27-Jan-2026'!$A:$K,10,FALSE)</f>
        <v>2440</v>
      </c>
      <c r="N500" s="55" t="str">
        <f>VLOOKUP($I500,'Pricing Table - eff 27-Jan-2026'!$A:$R,13,FALSE)&amp;" "&amp;VLOOKUP($I500,'Pricing Table - eff 27-Jan-2026'!$A:$R,12,FALSE)</f>
        <v>AMC 0103 SILVER FROST</v>
      </c>
      <c r="O500" s="56">
        <v>19.600000000000001</v>
      </c>
      <c r="P500" s="55">
        <f>(VLOOKUP($I500,'Pricing Table - eff 27-Jan-2026'!$A:$R,8,FALSE)/1000)*(VLOOKUP($I500,'Pricing Table - eff 27-Jan-2026'!$A:$R,10,FALSE)/1000)*Q500</f>
        <v>1822.68</v>
      </c>
      <c r="Q500" s="55">
        <f>ROUND(('Order Details'!$O500*1000)/((VLOOKUP($I500,'Pricing Table - eff 27-Jan-2026'!$A:$Q,7,FALSE)/12)*(VLOOKUP($I500,'Pricing Table - eff 27-Jan-2026'!$A:$Q,9,FALSE)/12))/5,0)*5</f>
        <v>600</v>
      </c>
      <c r="R500" s="71">
        <f>$Q500/IFERROR(VLOOKUP($F500&amp;RIGHT($K500,8),'Master Data'!$O$5:$P$10,2,FALSE),'Master Data'!$P$4)</f>
        <v>3</v>
      </c>
      <c r="S500" s="57">
        <f>VLOOKUP($I500,'Pricing Table - eff 27-Jan-2026'!$A:$Q,16,FALSE)</f>
        <v>720</v>
      </c>
      <c r="T500" s="57">
        <f>VLOOKUP(I500,'Pricing Table - eff 27-Jan-2026'!$A:$O,15,FALSE)</f>
        <v>7.73</v>
      </c>
      <c r="U500" s="57">
        <f t="shared" si="24"/>
        <v>14112.000000000002</v>
      </c>
      <c r="V500" s="111">
        <f t="shared" si="22"/>
        <v>14089.316400000002</v>
      </c>
      <c r="W500" s="55">
        <f>VLOOKUP($I500,'Pricing Table - eff 27-Jan-2026'!$A:$R,18,FALSE)</f>
        <v>90</v>
      </c>
    </row>
    <row r="501" spans="1:23" ht="15" hidden="1" thickTop="1" x14ac:dyDescent="0.3">
      <c r="A501" s="55">
        <v>24202634</v>
      </c>
      <c r="B501" s="55">
        <v>0</v>
      </c>
      <c r="C501" s="55" t="str">
        <f>VLOOKUP(A501&amp;"-"&amp;B501,'Order Summary'!$D:$E,2,FALSE)</f>
        <v>PO Revised</v>
      </c>
      <c r="D501" s="216">
        <f>IF($A501="","",VLOOKUP($A501&amp;"-"&amp;$B501,'Order Summary'!$D:$U,3,FALSE))</f>
        <v>46076</v>
      </c>
      <c r="E501" s="55" t="str">
        <f>VLOOKUP(A501&amp;"-"&amp;B501,'Order Summary'!$D:$G,4,FALSE)</f>
        <v>No</v>
      </c>
      <c r="F501" s="55" t="str">
        <f>VLOOKUP($A501,'Order Summary'!$B:$I,8,FALSE)</f>
        <v>Gordon, PA</v>
      </c>
      <c r="G501" s="216" t="str">
        <f>IF($A501="","",VLOOKUP($A501&amp;"-"&amp;$B501,'Order Summary'!$D:$U,18,FALSE))</f>
        <v/>
      </c>
      <c r="H501" s="55">
        <v>2</v>
      </c>
      <c r="I501" s="55">
        <v>694441</v>
      </c>
      <c r="J501" s="55" t="str">
        <f>VLOOKUP($I501,'Pricing Table - eff 27-Jan-2026'!$A:$R,2,FALSE)</f>
        <v>G1S 694441</v>
      </c>
      <c r="K501" s="55" t="str">
        <f>VLOOKUP($I501,'Pricing Table - eff 27-Jan-2026'!$A:$R,6,FALSE)&amp;" "&amp;VLOOKUP($I501,'Pricing Table - eff 27-Jan-2026'!$A:$R,7,FALSE)&amp;""" x "&amp;VLOOKUP($I501,'Pricing Table - eff 27-Jan-2026'!$A:$R,9,FALSE)&amp;""" "&amp;VLOOKUP($I501,'Pricing Table - eff 27-Jan-2026'!$A:$R,5,FALSE)</f>
        <v>2MM 49" x 108" ACP</v>
      </c>
      <c r="L501" s="55">
        <f>VLOOKUP($I501,'Pricing Table - eff 27-Jan-2026'!$A:$K,8,FALSE)</f>
        <v>1245</v>
      </c>
      <c r="M501" s="55">
        <f>VLOOKUP($I501,'Pricing Table - eff 27-Jan-2026'!$A:$K,10,FALSE)</f>
        <v>2745</v>
      </c>
      <c r="N501" s="55" t="str">
        <f>VLOOKUP($I501,'Pricing Table - eff 27-Jan-2026'!$A:$R,13,FALSE)&amp;" "&amp;VLOOKUP($I501,'Pricing Table - eff 27-Jan-2026'!$A:$R,12,FALSE)</f>
        <v>AMC 0103 SILVER FROST</v>
      </c>
      <c r="O501" s="56">
        <v>7.35</v>
      </c>
      <c r="P501" s="55">
        <f>(VLOOKUP($I501,'Pricing Table - eff 27-Jan-2026'!$A:$R,8,FALSE)/1000)*(VLOOKUP($I501,'Pricing Table - eff 27-Jan-2026'!$A:$R,10,FALSE)/1000)*Q501</f>
        <v>683.50500000000011</v>
      </c>
      <c r="Q501" s="55">
        <f>ROUND(('Order Details'!$O501*1000)/((VLOOKUP($I501,'Pricing Table - eff 27-Jan-2026'!$A:$Q,7,FALSE)/12)*(VLOOKUP($I501,'Pricing Table - eff 27-Jan-2026'!$A:$Q,9,FALSE)/12))/5,0)*5</f>
        <v>200</v>
      </c>
      <c r="R501" s="71">
        <f>$Q501/IFERROR(VLOOKUP($F501&amp;RIGHT($K501,8),'Master Data'!$O$5:$P$10,2,FALSE),'Master Data'!$P$4)</f>
        <v>1</v>
      </c>
      <c r="S501" s="57">
        <f>VLOOKUP($I501,'Pricing Table - eff 27-Jan-2026'!$A:$Q,16,FALSE)</f>
        <v>720</v>
      </c>
      <c r="T501" s="57">
        <f>VLOOKUP(I501,'Pricing Table - eff 27-Jan-2026'!$A:$O,15,FALSE)</f>
        <v>7.73</v>
      </c>
      <c r="U501" s="57">
        <f t="shared" si="24"/>
        <v>5292</v>
      </c>
      <c r="V501" s="111">
        <f t="shared" si="22"/>
        <v>5283.4936500000013</v>
      </c>
      <c r="W501" s="55">
        <f>VLOOKUP($I501,'Pricing Table - eff 27-Jan-2026'!$A:$R,18,FALSE)</f>
        <v>90</v>
      </c>
    </row>
    <row r="502" spans="1:23" ht="15" hidden="1" thickTop="1" x14ac:dyDescent="0.3">
      <c r="A502" s="55">
        <v>24202634</v>
      </c>
      <c r="B502" s="55">
        <v>0</v>
      </c>
      <c r="C502" s="55" t="str">
        <f>VLOOKUP(A502&amp;"-"&amp;B502,'Order Summary'!$D:$E,2,FALSE)</f>
        <v>PO Revised</v>
      </c>
      <c r="D502" s="216">
        <f>IF($A502="","",VLOOKUP($A502&amp;"-"&amp;$B502,'Order Summary'!$D:$U,3,FALSE))</f>
        <v>46076</v>
      </c>
      <c r="E502" s="55" t="str">
        <f>VLOOKUP(A502&amp;"-"&amp;B502,'Order Summary'!$D:$G,4,FALSE)</f>
        <v>No</v>
      </c>
      <c r="F502" s="55" t="str">
        <f>VLOOKUP($A502,'Order Summary'!$B:$I,8,FALSE)</f>
        <v>Gordon, PA</v>
      </c>
      <c r="G502" s="216" t="str">
        <f>IF($A502="","",VLOOKUP($A502&amp;"-"&amp;$B502,'Order Summary'!$D:$U,18,FALSE))</f>
        <v/>
      </c>
      <c r="H502" s="55">
        <v>3</v>
      </c>
      <c r="I502" s="55">
        <v>694444</v>
      </c>
      <c r="J502" s="55" t="str">
        <f>VLOOKUP($I502,'Pricing Table - eff 27-Jan-2026'!$A:$R,2,FALSE)</f>
        <v>G1S 694444</v>
      </c>
      <c r="K502" s="55" t="str">
        <f>VLOOKUP($I502,'Pricing Table - eff 27-Jan-2026'!$A:$R,6,FALSE)&amp;" "&amp;VLOOKUP($I502,'Pricing Table - eff 27-Jan-2026'!$A:$R,7,FALSE)&amp;""" x "&amp;VLOOKUP($I502,'Pricing Table - eff 27-Jan-2026'!$A:$R,9,FALSE)&amp;""" "&amp;VLOOKUP($I502,'Pricing Table - eff 27-Jan-2026'!$A:$R,5,FALSE)</f>
        <v>2MM 49" x 96" ACP</v>
      </c>
      <c r="L502" s="55">
        <f>VLOOKUP($I502,'Pricing Table - eff 27-Jan-2026'!$A:$K,8,FALSE)</f>
        <v>1245</v>
      </c>
      <c r="M502" s="55">
        <f>VLOOKUP($I502,'Pricing Table - eff 27-Jan-2026'!$A:$K,10,FALSE)</f>
        <v>2440</v>
      </c>
      <c r="N502" s="55" t="str">
        <f>VLOOKUP($I502,'Pricing Table - eff 27-Jan-2026'!$A:$R,13,FALSE)&amp;" "&amp;VLOOKUP($I502,'Pricing Table - eff 27-Jan-2026'!$A:$R,12,FALSE)</f>
        <v>AMC 0086 CHARCOAL METALLIC</v>
      </c>
      <c r="O502" s="56">
        <v>26.132999999999999</v>
      </c>
      <c r="P502" s="55">
        <f>(VLOOKUP($I502,'Pricing Table - eff 27-Jan-2026'!$A:$R,8,FALSE)/1000)*(VLOOKUP($I502,'Pricing Table - eff 27-Jan-2026'!$A:$R,10,FALSE)/1000)*Q502</f>
        <v>2430.2400000000002</v>
      </c>
      <c r="Q502" s="55">
        <f>ROUND(('Order Details'!$O502*1000)/((VLOOKUP($I502,'Pricing Table - eff 27-Jan-2026'!$A:$Q,7,FALSE)/12)*(VLOOKUP($I502,'Pricing Table - eff 27-Jan-2026'!$A:$Q,9,FALSE)/12))/5,0)*5</f>
        <v>800</v>
      </c>
      <c r="R502" s="71">
        <f>$Q502/IFERROR(VLOOKUP($F502&amp;RIGHT($K502,8),'Master Data'!$O$5:$P$10,2,FALSE),'Master Data'!$P$4)</f>
        <v>4</v>
      </c>
      <c r="S502" s="57">
        <f>VLOOKUP($I502,'Pricing Table - eff 27-Jan-2026'!$A:$Q,16,FALSE)</f>
        <v>770</v>
      </c>
      <c r="T502" s="57">
        <f>VLOOKUP(I502,'Pricing Table - eff 27-Jan-2026'!$A:$O,15,FALSE)</f>
        <v>8.27</v>
      </c>
      <c r="U502" s="57">
        <f t="shared" si="24"/>
        <v>20122.41</v>
      </c>
      <c r="V502" s="111">
        <f t="shared" si="22"/>
        <v>20098.084800000001</v>
      </c>
      <c r="W502" s="55">
        <f>VLOOKUP($I502,'Pricing Table - eff 27-Jan-2026'!$A:$R,18,FALSE)</f>
        <v>45</v>
      </c>
    </row>
    <row r="503" spans="1:23" ht="15" hidden="1" thickTop="1" x14ac:dyDescent="0.3">
      <c r="A503" s="55">
        <v>24202634</v>
      </c>
      <c r="B503" s="55">
        <v>0</v>
      </c>
      <c r="C503" s="55" t="str">
        <f>VLOOKUP(A503&amp;"-"&amp;B503,'Order Summary'!$D:$E,2,FALSE)</f>
        <v>PO Revised</v>
      </c>
      <c r="D503" s="216">
        <f>IF($A503="","",VLOOKUP($A503&amp;"-"&amp;$B503,'Order Summary'!$D:$U,3,FALSE))</f>
        <v>46076</v>
      </c>
      <c r="E503" s="55" t="str">
        <f>VLOOKUP(A503&amp;"-"&amp;B503,'Order Summary'!$D:$G,4,FALSE)</f>
        <v>No</v>
      </c>
      <c r="F503" s="55" t="str">
        <f>VLOOKUP($A503,'Order Summary'!$B:$I,8,FALSE)</f>
        <v>Gordon, PA</v>
      </c>
      <c r="G503" s="216" t="str">
        <f>IF($A503="","",VLOOKUP($A503&amp;"-"&amp;$B503,'Order Summary'!$D:$U,18,FALSE))</f>
        <v/>
      </c>
      <c r="H503" s="55">
        <v>4</v>
      </c>
      <c r="I503" s="55">
        <v>694445</v>
      </c>
      <c r="J503" s="55" t="str">
        <f>VLOOKUP($I503,'Pricing Table - eff 27-Jan-2026'!$A:$R,2,FALSE)</f>
        <v>G1S 694445</v>
      </c>
      <c r="K503" s="55" t="str">
        <f>VLOOKUP($I503,'Pricing Table - eff 27-Jan-2026'!$A:$R,6,FALSE)&amp;" "&amp;VLOOKUP($I503,'Pricing Table - eff 27-Jan-2026'!$A:$R,7,FALSE)&amp;""" x "&amp;VLOOKUP($I503,'Pricing Table - eff 27-Jan-2026'!$A:$R,9,FALSE)&amp;""" "&amp;VLOOKUP($I503,'Pricing Table - eff 27-Jan-2026'!$A:$R,5,FALSE)</f>
        <v>2MM 49" x 108" ACP</v>
      </c>
      <c r="L503" s="55">
        <f>VLOOKUP($I503,'Pricing Table - eff 27-Jan-2026'!$A:$K,8,FALSE)</f>
        <v>1245</v>
      </c>
      <c r="M503" s="55">
        <f>VLOOKUP($I503,'Pricing Table - eff 27-Jan-2026'!$A:$K,10,FALSE)</f>
        <v>2745</v>
      </c>
      <c r="N503" s="55" t="str">
        <f>VLOOKUP($I503,'Pricing Table - eff 27-Jan-2026'!$A:$R,13,FALSE)&amp;" "&amp;VLOOKUP($I503,'Pricing Table - eff 27-Jan-2026'!$A:$R,12,FALSE)</f>
        <v>AMC 0086 CHARCOAL METALLIC</v>
      </c>
      <c r="O503" s="56">
        <v>22.05</v>
      </c>
      <c r="P503" s="55">
        <f>(VLOOKUP($I503,'Pricing Table - eff 27-Jan-2026'!$A:$R,8,FALSE)/1000)*(VLOOKUP($I503,'Pricing Table - eff 27-Jan-2026'!$A:$R,10,FALSE)/1000)*Q503</f>
        <v>2050.5150000000003</v>
      </c>
      <c r="Q503" s="55">
        <f>ROUND(('Order Details'!$O503*1000)/((VLOOKUP($I503,'Pricing Table - eff 27-Jan-2026'!$A:$Q,7,FALSE)/12)*(VLOOKUP($I503,'Pricing Table - eff 27-Jan-2026'!$A:$Q,9,FALSE)/12))/5,0)*5</f>
        <v>600</v>
      </c>
      <c r="R503" s="71">
        <f>$Q503/IFERROR(VLOOKUP($F503&amp;RIGHT($K503,8),'Master Data'!$O$5:$P$10,2,FALSE),'Master Data'!$P$4)</f>
        <v>3</v>
      </c>
      <c r="S503" s="57">
        <f>VLOOKUP($I503,'Pricing Table - eff 27-Jan-2026'!$A:$Q,16,FALSE)</f>
        <v>770</v>
      </c>
      <c r="T503" s="57">
        <f>VLOOKUP(I503,'Pricing Table - eff 27-Jan-2026'!$A:$O,15,FALSE)</f>
        <v>8.27</v>
      </c>
      <c r="U503" s="57">
        <f t="shared" si="24"/>
        <v>16978.5</v>
      </c>
      <c r="V503" s="111">
        <f t="shared" si="22"/>
        <v>16957.759050000001</v>
      </c>
      <c r="W503" s="55">
        <f>VLOOKUP($I503,'Pricing Table - eff 27-Jan-2026'!$A:$R,18,FALSE)</f>
        <v>45</v>
      </c>
    </row>
    <row r="504" spans="1:23" ht="15" hidden="1" thickTop="1" x14ac:dyDescent="0.3">
      <c r="A504" s="55">
        <v>24202634</v>
      </c>
      <c r="B504" s="55">
        <v>0</v>
      </c>
      <c r="C504" s="55" t="str">
        <f>VLOOKUP(A504&amp;"-"&amp;B504,'Order Summary'!$D:$E,2,FALSE)</f>
        <v>PO Revised</v>
      </c>
      <c r="D504" s="216">
        <f>IF($A504="","",VLOOKUP($A504&amp;"-"&amp;$B504,'Order Summary'!$D:$U,3,FALSE))</f>
        <v>46076</v>
      </c>
      <c r="E504" s="55" t="str">
        <f>VLOOKUP(A504&amp;"-"&amp;B504,'Order Summary'!$D:$G,4,FALSE)</f>
        <v>No</v>
      </c>
      <c r="F504" s="55" t="str">
        <f>VLOOKUP($A504,'Order Summary'!$B:$I,8,FALSE)</f>
        <v>Gordon, PA</v>
      </c>
      <c r="G504" s="216" t="str">
        <f>IF($A504="","",VLOOKUP($A504&amp;"-"&amp;$B504,'Order Summary'!$D:$U,18,FALSE))</f>
        <v/>
      </c>
      <c r="H504" s="55">
        <v>5</v>
      </c>
      <c r="I504" s="55">
        <v>694668</v>
      </c>
      <c r="J504" s="55" t="str">
        <f>VLOOKUP($I504,'Pricing Table - eff 27-Jan-2026'!$A:$R,2,FALSE)</f>
        <v>G1S 694668</v>
      </c>
      <c r="K504" s="55" t="str">
        <f>VLOOKUP($I504,'Pricing Table - eff 27-Jan-2026'!$A:$R,6,FALSE)&amp;" "&amp;VLOOKUP($I504,'Pricing Table - eff 27-Jan-2026'!$A:$R,7,FALSE)&amp;""" x "&amp;VLOOKUP($I504,'Pricing Table - eff 27-Jan-2026'!$A:$R,9,FALSE)&amp;""" "&amp;VLOOKUP($I504,'Pricing Table - eff 27-Jan-2026'!$A:$R,5,FALSE)</f>
        <v>2MM 49" x 96" ACP</v>
      </c>
      <c r="L504" s="55">
        <f>VLOOKUP($I504,'Pricing Table - eff 27-Jan-2026'!$A:$K,8,FALSE)</f>
        <v>1245</v>
      </c>
      <c r="M504" s="55">
        <f>VLOOKUP($I504,'Pricing Table - eff 27-Jan-2026'!$A:$K,10,FALSE)</f>
        <v>2440</v>
      </c>
      <c r="N504" s="55" t="str">
        <f>VLOOKUP($I504,'Pricing Table - eff 27-Jan-2026'!$A:$R,13,FALSE)&amp;" "&amp;VLOOKUP($I504,'Pricing Table - eff 27-Jan-2026'!$A:$R,12,FALSE)</f>
        <v>ASC 0092 PEPSI BLUE</v>
      </c>
      <c r="O504" s="56">
        <v>6.5330000000000004</v>
      </c>
      <c r="P504" s="55">
        <f>(VLOOKUP($I504,'Pricing Table - eff 27-Jan-2026'!$A:$R,8,FALSE)/1000)*(VLOOKUP($I504,'Pricing Table - eff 27-Jan-2026'!$A:$R,10,FALSE)/1000)*Q504</f>
        <v>607.56000000000006</v>
      </c>
      <c r="Q504" s="55">
        <f>ROUND(('Order Details'!$O504*1000)/((VLOOKUP($I504,'Pricing Table - eff 27-Jan-2026'!$A:$Q,7,FALSE)/12)*(VLOOKUP($I504,'Pricing Table - eff 27-Jan-2026'!$A:$Q,9,FALSE)/12))/5,0)*5</f>
        <v>200</v>
      </c>
      <c r="R504" s="71">
        <f>$Q504/IFERROR(VLOOKUP($F504&amp;RIGHT($K504,8),'Master Data'!$O$5:$P$10,2,FALSE),'Master Data'!$P$4)</f>
        <v>1</v>
      </c>
      <c r="S504" s="57">
        <f>VLOOKUP($I504,'Pricing Table - eff 27-Jan-2026'!$A:$Q,16,FALSE)</f>
        <v>720</v>
      </c>
      <c r="T504" s="57">
        <f>VLOOKUP(I504,'Pricing Table - eff 27-Jan-2026'!$A:$O,15,FALSE)</f>
        <v>7.73</v>
      </c>
      <c r="U504" s="57">
        <f t="shared" si="24"/>
        <v>4703.76</v>
      </c>
      <c r="V504" s="111">
        <f t="shared" si="22"/>
        <v>4696.4388000000008</v>
      </c>
      <c r="W504" s="55">
        <f>VLOOKUP($I504,'Pricing Table - eff 27-Jan-2026'!$A:$R,18,FALSE)</f>
        <v>90</v>
      </c>
    </row>
    <row r="505" spans="1:23" ht="15" hidden="1" thickTop="1" x14ac:dyDescent="0.3">
      <c r="A505" s="55">
        <v>24202634</v>
      </c>
      <c r="B505" s="55">
        <v>0</v>
      </c>
      <c r="C505" s="55" t="str">
        <f>VLOOKUP(A505&amp;"-"&amp;B505,'Order Summary'!$D:$E,2,FALSE)</f>
        <v>PO Revised</v>
      </c>
      <c r="D505" s="216">
        <f>IF($A505="","",VLOOKUP($A505&amp;"-"&amp;$B505,'Order Summary'!$D:$U,3,FALSE))</f>
        <v>46076</v>
      </c>
      <c r="E505" s="55" t="str">
        <f>VLOOKUP(A505&amp;"-"&amp;B505,'Order Summary'!$D:$G,4,FALSE)</f>
        <v>No</v>
      </c>
      <c r="F505" s="55" t="str">
        <f>VLOOKUP($A505,'Order Summary'!$B:$I,8,FALSE)</f>
        <v>Gordon, PA</v>
      </c>
      <c r="G505" s="216" t="str">
        <f>IF($A505="","",VLOOKUP($A505&amp;"-"&amp;$B505,'Order Summary'!$D:$U,18,FALSE))</f>
        <v/>
      </c>
      <c r="H505" s="55">
        <v>6</v>
      </c>
      <c r="I505" s="55">
        <v>694672</v>
      </c>
      <c r="J505" s="55" t="str">
        <f>VLOOKUP($I505,'Pricing Table - eff 27-Jan-2026'!$A:$R,2,FALSE)</f>
        <v>G1S 694672</v>
      </c>
      <c r="K505" s="55" t="str">
        <f>VLOOKUP($I505,'Pricing Table - eff 27-Jan-2026'!$A:$R,6,FALSE)&amp;" "&amp;VLOOKUP($I505,'Pricing Table - eff 27-Jan-2026'!$A:$R,7,FALSE)&amp;""" x "&amp;VLOOKUP($I505,'Pricing Table - eff 27-Jan-2026'!$A:$R,9,FALSE)&amp;""" "&amp;VLOOKUP($I505,'Pricing Table - eff 27-Jan-2026'!$A:$R,5,FALSE)</f>
        <v>2MM 49" x 96" ACP</v>
      </c>
      <c r="L505" s="55">
        <f>VLOOKUP($I505,'Pricing Table - eff 27-Jan-2026'!$A:$K,8,FALSE)</f>
        <v>1245</v>
      </c>
      <c r="M505" s="55">
        <f>VLOOKUP($I505,'Pricing Table - eff 27-Jan-2026'!$A:$K,10,FALSE)</f>
        <v>2440</v>
      </c>
      <c r="N505" s="55" t="str">
        <f>VLOOKUP($I505,'Pricing Table - eff 27-Jan-2026'!$A:$R,13,FALSE)&amp;" "&amp;VLOOKUP($I505,'Pricing Table - eff 27-Jan-2026'!$A:$R,12,FALSE)</f>
        <v>ASC 0089 VICTORY RED</v>
      </c>
      <c r="O505" s="56">
        <v>6.5330000000000004</v>
      </c>
      <c r="P505" s="55">
        <f>(VLOOKUP($I505,'Pricing Table - eff 27-Jan-2026'!$A:$R,8,FALSE)/1000)*(VLOOKUP($I505,'Pricing Table - eff 27-Jan-2026'!$A:$R,10,FALSE)/1000)*Q505</f>
        <v>607.56000000000006</v>
      </c>
      <c r="Q505" s="55">
        <f>ROUND(('Order Details'!$O505*1000)/((VLOOKUP($I505,'Pricing Table - eff 27-Jan-2026'!$A:$Q,7,FALSE)/12)*(VLOOKUP($I505,'Pricing Table - eff 27-Jan-2026'!$A:$Q,9,FALSE)/12))/5,0)*5</f>
        <v>200</v>
      </c>
      <c r="R505" s="71">
        <f>$Q505/IFERROR(VLOOKUP($F505&amp;RIGHT($K505,8),'Master Data'!$O$5:$P$10,2,FALSE),'Master Data'!$P$4)</f>
        <v>1</v>
      </c>
      <c r="S505" s="57">
        <f>VLOOKUP($I505,'Pricing Table - eff 27-Jan-2026'!$A:$Q,16,FALSE)</f>
        <v>720</v>
      </c>
      <c r="T505" s="57">
        <f>VLOOKUP(I505,'Pricing Table - eff 27-Jan-2026'!$A:$O,15,FALSE)</f>
        <v>7.73</v>
      </c>
      <c r="U505" s="57">
        <f t="shared" si="24"/>
        <v>4703.76</v>
      </c>
      <c r="V505" s="111">
        <f t="shared" si="22"/>
        <v>4696.4388000000008</v>
      </c>
      <c r="W505" s="55">
        <f>VLOOKUP($I505,'Pricing Table - eff 27-Jan-2026'!$A:$R,18,FALSE)</f>
        <v>45</v>
      </c>
    </row>
    <row r="506" spans="1:23" ht="15" hidden="1" thickTop="1" x14ac:dyDescent="0.3">
      <c r="A506" s="55">
        <v>24202873</v>
      </c>
      <c r="B506" s="55">
        <v>0</v>
      </c>
      <c r="C506" s="55" t="str">
        <f>VLOOKUP(A506&amp;"-"&amp;B506,'Order Summary'!$D:$E,2,FALSE)</f>
        <v>Proforma Invoice Sent</v>
      </c>
      <c r="D506" s="216">
        <f>IF($A506="","",VLOOKUP($A506&amp;"-"&amp;$B506,'Order Summary'!$D:$U,3,FALSE))</f>
        <v>46076</v>
      </c>
      <c r="E506" s="55" t="str">
        <f>VLOOKUP(A506&amp;"-"&amp;B506,'Order Summary'!$D:$G,4,FALSE)</f>
        <v>Yes</v>
      </c>
      <c r="F506" s="55" t="str">
        <f>VLOOKUP($A506,'Order Summary'!$B:$I,8,FALSE)</f>
        <v>South Paris, ME</v>
      </c>
      <c r="G506" s="216" t="str">
        <f>IF($A506="","",VLOOKUP($A506&amp;"-"&amp;$B506,'Order Summary'!$D:$U,18,FALSE))</f>
        <v/>
      </c>
      <c r="H506" s="55">
        <v>1</v>
      </c>
      <c r="I506" s="55">
        <v>694432</v>
      </c>
      <c r="J506" s="55" t="str">
        <f>VLOOKUP($I506,'Pricing Table - eff 27-Jan-2026'!$A:$R,2,FALSE)</f>
        <v>G1S 694432</v>
      </c>
      <c r="K506" s="55" t="str">
        <f>VLOOKUP($I506,'Pricing Table - eff 27-Jan-2026'!$A:$R,6,FALSE)&amp;" "&amp;VLOOKUP($I506,'Pricing Table - eff 27-Jan-2026'!$A:$R,7,FALSE)&amp;""" x "&amp;VLOOKUP($I506,'Pricing Table - eff 27-Jan-2026'!$A:$R,9,FALSE)&amp;""" "&amp;VLOOKUP($I506,'Pricing Table - eff 27-Jan-2026'!$A:$R,5,FALSE)</f>
        <v>2MM 49" x 96" ACP</v>
      </c>
      <c r="L506" s="55">
        <f>VLOOKUP($I506,'Pricing Table - eff 27-Jan-2026'!$A:$K,8,FALSE)</f>
        <v>1245</v>
      </c>
      <c r="M506" s="55">
        <f>VLOOKUP($I506,'Pricing Table - eff 27-Jan-2026'!$A:$K,10,FALSE)</f>
        <v>2440</v>
      </c>
      <c r="N506" s="55" t="str">
        <f>VLOOKUP($I506,'Pricing Table - eff 27-Jan-2026'!$A:$R,13,FALSE)&amp;" "&amp;VLOOKUP($I506,'Pricing Table - eff 27-Jan-2026'!$A:$R,12,FALSE)</f>
        <v>ASC 0096 GLOSSY BLACK</v>
      </c>
      <c r="O506" s="56">
        <v>32.667000000000002</v>
      </c>
      <c r="P506" s="55">
        <f>(VLOOKUP($I506,'Pricing Table - eff 27-Jan-2026'!$A:$R,8,FALSE)/1000)*(VLOOKUP($I506,'Pricing Table - eff 27-Jan-2026'!$A:$R,10,FALSE)/1000)*Q506</f>
        <v>3037.8</v>
      </c>
      <c r="Q506" s="55">
        <f>ROUND(('Order Details'!$O506*1000)/((VLOOKUP($I506,'Pricing Table - eff 27-Jan-2026'!$A:$Q,7,FALSE)/12)*(VLOOKUP($I506,'Pricing Table - eff 27-Jan-2026'!$A:$Q,9,FALSE)/12))/5,0)*5</f>
        <v>1000</v>
      </c>
      <c r="R506" s="71">
        <f>$Q506/IFERROR(VLOOKUP($F506&amp;RIGHT($K506,8),'Master Data'!$O$5:$P$10,2,FALSE),'Master Data'!$P$4)</f>
        <v>5</v>
      </c>
      <c r="S506" s="57">
        <f>VLOOKUP($I506,'Pricing Table - eff 27-Jan-2026'!$A:$Q,16,FALSE)</f>
        <v>720</v>
      </c>
      <c r="T506" s="57">
        <f>VLOOKUP(I506,'Pricing Table - eff 27-Jan-2026'!$A:$O,15,FALSE)</f>
        <v>7.73</v>
      </c>
      <c r="U506" s="57">
        <f t="shared" si="24"/>
        <v>23520.240000000002</v>
      </c>
      <c r="V506" s="111">
        <f t="shared" si="22"/>
        <v>23482.194000000003</v>
      </c>
      <c r="W506" s="55">
        <f>VLOOKUP($I506,'Pricing Table - eff 27-Jan-2026'!$A:$R,18,FALSE)</f>
        <v>45</v>
      </c>
    </row>
    <row r="507" spans="1:23" ht="15" hidden="1" thickTop="1" x14ac:dyDescent="0.3">
      <c r="A507" s="55">
        <v>24202873</v>
      </c>
      <c r="B507" s="55">
        <v>0</v>
      </c>
      <c r="C507" s="55" t="str">
        <f>VLOOKUP(A507&amp;"-"&amp;B507,'Order Summary'!$D:$E,2,FALSE)</f>
        <v>Proforma Invoice Sent</v>
      </c>
      <c r="D507" s="216">
        <f>IF($A507="","",VLOOKUP($A507&amp;"-"&amp;$B507,'Order Summary'!$D:$U,3,FALSE))</f>
        <v>46076</v>
      </c>
      <c r="E507" s="55" t="str">
        <f>VLOOKUP(A507&amp;"-"&amp;B507,'Order Summary'!$D:$G,4,FALSE)</f>
        <v>Yes</v>
      </c>
      <c r="F507" s="55" t="str">
        <f>VLOOKUP($A507,'Order Summary'!$B:$I,8,FALSE)</f>
        <v>South Paris, ME</v>
      </c>
      <c r="G507" s="216" t="str">
        <f>IF($A507="","",VLOOKUP($A507&amp;"-"&amp;$B507,'Order Summary'!$D:$U,18,FALSE))</f>
        <v/>
      </c>
      <c r="H507" s="55">
        <v>2</v>
      </c>
      <c r="I507" s="55">
        <v>694436</v>
      </c>
      <c r="J507" s="55" t="str">
        <f>VLOOKUP($I507,'Pricing Table - eff 27-Jan-2026'!$A:$R,2,FALSE)</f>
        <v>G1S 694436</v>
      </c>
      <c r="K507" s="55" t="str">
        <f>VLOOKUP($I507,'Pricing Table - eff 27-Jan-2026'!$A:$R,6,FALSE)&amp;" "&amp;VLOOKUP($I507,'Pricing Table - eff 27-Jan-2026'!$A:$R,7,FALSE)&amp;""" x "&amp;VLOOKUP($I507,'Pricing Table - eff 27-Jan-2026'!$A:$R,9,FALSE)&amp;""" "&amp;VLOOKUP($I507,'Pricing Table - eff 27-Jan-2026'!$A:$R,5,FALSE)</f>
        <v>2MM 49" x 96" ACP</v>
      </c>
      <c r="L507" s="55">
        <f>VLOOKUP($I507,'Pricing Table - eff 27-Jan-2026'!$A:$K,8,FALSE)</f>
        <v>1245</v>
      </c>
      <c r="M507" s="55">
        <f>VLOOKUP($I507,'Pricing Table - eff 27-Jan-2026'!$A:$K,10,FALSE)</f>
        <v>2440</v>
      </c>
      <c r="N507" s="55" t="str">
        <f>VLOOKUP($I507,'Pricing Table - eff 27-Jan-2026'!$A:$R,13,FALSE)&amp;" "&amp;VLOOKUP($I507,'Pricing Table - eff 27-Jan-2026'!$A:$R,12,FALSE)</f>
        <v>ASC 0069 GLOSSY WHITE</v>
      </c>
      <c r="O507" s="56">
        <v>32.667000000000002</v>
      </c>
      <c r="P507" s="55">
        <f>(VLOOKUP($I507,'Pricing Table - eff 27-Jan-2026'!$A:$R,8,FALSE)/1000)*(VLOOKUP($I507,'Pricing Table - eff 27-Jan-2026'!$A:$R,10,FALSE)/1000)*Q507</f>
        <v>3037.8</v>
      </c>
      <c r="Q507" s="55">
        <f>ROUND(('Order Details'!$O507*1000)/((VLOOKUP($I507,'Pricing Table - eff 27-Jan-2026'!$A:$Q,7,FALSE)/12)*(VLOOKUP($I507,'Pricing Table - eff 27-Jan-2026'!$A:$Q,9,FALSE)/12))/5,0)*5</f>
        <v>1000</v>
      </c>
      <c r="R507" s="71">
        <f>$Q507/IFERROR(VLOOKUP($F507&amp;RIGHT($K507,8),'Master Data'!$O$5:$P$10,2,FALSE),'Master Data'!$P$4)</f>
        <v>5</v>
      </c>
      <c r="S507" s="57">
        <f>VLOOKUP($I507,'Pricing Table - eff 27-Jan-2026'!$A:$Q,16,FALSE)</f>
        <v>720</v>
      </c>
      <c r="T507" s="57">
        <f>VLOOKUP(I507,'Pricing Table - eff 27-Jan-2026'!$A:$O,15,FALSE)</f>
        <v>7.73</v>
      </c>
      <c r="U507" s="57">
        <f t="shared" si="24"/>
        <v>23520.240000000002</v>
      </c>
      <c r="V507" s="111">
        <f t="shared" si="22"/>
        <v>23482.194000000003</v>
      </c>
      <c r="W507" s="55">
        <f>VLOOKUP($I507,'Pricing Table - eff 27-Jan-2026'!$A:$R,18,FALSE)</f>
        <v>45</v>
      </c>
    </row>
    <row r="508" spans="1:23" ht="15" hidden="1" thickTop="1" x14ac:dyDescent="0.3">
      <c r="A508" s="55">
        <v>24202873</v>
      </c>
      <c r="B508" s="55">
        <v>0</v>
      </c>
      <c r="C508" s="55" t="str">
        <f>VLOOKUP(A508&amp;"-"&amp;B508,'Order Summary'!$D:$E,2,FALSE)</f>
        <v>Proforma Invoice Sent</v>
      </c>
      <c r="D508" s="216">
        <f>IF($A508="","",VLOOKUP($A508&amp;"-"&amp;$B508,'Order Summary'!$D:$U,3,FALSE))</f>
        <v>46076</v>
      </c>
      <c r="E508" s="55" t="str">
        <f>VLOOKUP(A508&amp;"-"&amp;B508,'Order Summary'!$D:$G,4,FALSE)</f>
        <v>Yes</v>
      </c>
      <c r="F508" s="55" t="str">
        <f>VLOOKUP($A508,'Order Summary'!$B:$I,8,FALSE)</f>
        <v>South Paris, ME</v>
      </c>
      <c r="G508" s="216" t="str">
        <f>IF($A508="","",VLOOKUP($A508&amp;"-"&amp;$B508,'Order Summary'!$D:$U,18,FALSE))</f>
        <v/>
      </c>
      <c r="H508" s="55">
        <v>3</v>
      </c>
      <c r="I508" s="55">
        <v>694440</v>
      </c>
      <c r="J508" s="55" t="str">
        <f>VLOOKUP($I508,'Pricing Table - eff 27-Jan-2026'!$A:$R,2,FALSE)</f>
        <v>G1S 694440</v>
      </c>
      <c r="K508" s="55" t="str">
        <f>VLOOKUP($I508,'Pricing Table - eff 27-Jan-2026'!$A:$R,6,FALSE)&amp;" "&amp;VLOOKUP($I508,'Pricing Table - eff 27-Jan-2026'!$A:$R,7,FALSE)&amp;""" x "&amp;VLOOKUP($I508,'Pricing Table - eff 27-Jan-2026'!$A:$R,9,FALSE)&amp;""" "&amp;VLOOKUP($I508,'Pricing Table - eff 27-Jan-2026'!$A:$R,5,FALSE)</f>
        <v>2MM 49" x 96" ACP</v>
      </c>
      <c r="L508" s="55">
        <f>VLOOKUP($I508,'Pricing Table - eff 27-Jan-2026'!$A:$K,8,FALSE)</f>
        <v>1245</v>
      </c>
      <c r="M508" s="55">
        <f>VLOOKUP($I508,'Pricing Table - eff 27-Jan-2026'!$A:$K,10,FALSE)</f>
        <v>2440</v>
      </c>
      <c r="N508" s="55" t="str">
        <f>VLOOKUP($I508,'Pricing Table - eff 27-Jan-2026'!$A:$R,13,FALSE)&amp;" "&amp;VLOOKUP($I508,'Pricing Table - eff 27-Jan-2026'!$A:$R,12,FALSE)</f>
        <v>AMC 0103 SILVER FROST</v>
      </c>
      <c r="O508" s="56">
        <v>13.067</v>
      </c>
      <c r="P508" s="55">
        <f>(VLOOKUP($I508,'Pricing Table - eff 27-Jan-2026'!$A:$R,8,FALSE)/1000)*(VLOOKUP($I508,'Pricing Table - eff 27-Jan-2026'!$A:$R,10,FALSE)/1000)*Q508</f>
        <v>1215.1200000000001</v>
      </c>
      <c r="Q508" s="55">
        <f>ROUND(('Order Details'!$O508*1000)/((VLOOKUP($I508,'Pricing Table - eff 27-Jan-2026'!$A:$Q,7,FALSE)/12)*(VLOOKUP($I508,'Pricing Table - eff 27-Jan-2026'!$A:$Q,9,FALSE)/12))/5,0)*5</f>
        <v>400</v>
      </c>
      <c r="R508" s="71">
        <f>$Q508/IFERROR(VLOOKUP($F508&amp;RIGHT($K508,8),'Master Data'!$O$5:$P$10,2,FALSE),'Master Data'!$P$4)</f>
        <v>2</v>
      </c>
      <c r="S508" s="57">
        <f>VLOOKUP($I508,'Pricing Table - eff 27-Jan-2026'!$A:$Q,16,FALSE)</f>
        <v>720</v>
      </c>
      <c r="T508" s="57">
        <f>VLOOKUP(I508,'Pricing Table - eff 27-Jan-2026'!$A:$O,15,FALSE)</f>
        <v>7.73</v>
      </c>
      <c r="U508" s="57">
        <f t="shared" si="24"/>
        <v>9408.24</v>
      </c>
      <c r="V508" s="111">
        <f t="shared" si="22"/>
        <v>9392.8776000000016</v>
      </c>
      <c r="W508" s="55">
        <f>VLOOKUP($I508,'Pricing Table - eff 27-Jan-2026'!$A:$R,18,FALSE)</f>
        <v>90</v>
      </c>
    </row>
    <row r="509" spans="1:23" ht="15" hidden="1" thickTop="1" x14ac:dyDescent="0.3">
      <c r="A509" s="55">
        <v>24202873</v>
      </c>
      <c r="B509" s="55">
        <v>0</v>
      </c>
      <c r="C509" s="55" t="str">
        <f>VLOOKUP(A509&amp;"-"&amp;B509,'Order Summary'!$D:$E,2,FALSE)</f>
        <v>Proforma Invoice Sent</v>
      </c>
      <c r="D509" s="216">
        <f>IF($A509="","",VLOOKUP($A509&amp;"-"&amp;$B509,'Order Summary'!$D:$U,3,FALSE))</f>
        <v>46076</v>
      </c>
      <c r="E509" s="55" t="str">
        <f>VLOOKUP(A509&amp;"-"&amp;B509,'Order Summary'!$D:$G,4,FALSE)</f>
        <v>Yes</v>
      </c>
      <c r="F509" s="55" t="str">
        <f>VLOOKUP($A509,'Order Summary'!$B:$I,8,FALSE)</f>
        <v>South Paris, ME</v>
      </c>
      <c r="G509" s="216" t="str">
        <f>IF($A509="","",VLOOKUP($A509&amp;"-"&amp;$B509,'Order Summary'!$D:$U,18,FALSE))</f>
        <v/>
      </c>
      <c r="H509" s="55">
        <v>4</v>
      </c>
      <c r="I509" s="55">
        <v>694444</v>
      </c>
      <c r="J509" s="55" t="str">
        <f>VLOOKUP($I509,'Pricing Table - eff 27-Jan-2026'!$A:$R,2,FALSE)</f>
        <v>G1S 694444</v>
      </c>
      <c r="K509" s="55" t="str">
        <f>VLOOKUP($I509,'Pricing Table - eff 27-Jan-2026'!$A:$R,6,FALSE)&amp;" "&amp;VLOOKUP($I509,'Pricing Table - eff 27-Jan-2026'!$A:$R,7,FALSE)&amp;""" x "&amp;VLOOKUP($I509,'Pricing Table - eff 27-Jan-2026'!$A:$R,9,FALSE)&amp;""" "&amp;VLOOKUP($I509,'Pricing Table - eff 27-Jan-2026'!$A:$R,5,FALSE)</f>
        <v>2MM 49" x 96" ACP</v>
      </c>
      <c r="L509" s="55">
        <f>VLOOKUP($I509,'Pricing Table - eff 27-Jan-2026'!$A:$K,8,FALSE)</f>
        <v>1245</v>
      </c>
      <c r="M509" s="55">
        <f>VLOOKUP($I509,'Pricing Table - eff 27-Jan-2026'!$A:$K,10,FALSE)</f>
        <v>2440</v>
      </c>
      <c r="N509" s="55" t="str">
        <f>VLOOKUP($I509,'Pricing Table - eff 27-Jan-2026'!$A:$R,13,FALSE)&amp;" "&amp;VLOOKUP($I509,'Pricing Table - eff 27-Jan-2026'!$A:$R,12,FALSE)</f>
        <v>AMC 0086 CHARCOAL METALLIC</v>
      </c>
      <c r="O509" s="56">
        <v>13.067</v>
      </c>
      <c r="P509" s="55">
        <f>(VLOOKUP($I509,'Pricing Table - eff 27-Jan-2026'!$A:$R,8,FALSE)/1000)*(VLOOKUP($I509,'Pricing Table - eff 27-Jan-2026'!$A:$R,10,FALSE)/1000)*Q509</f>
        <v>1215.1200000000001</v>
      </c>
      <c r="Q509" s="55">
        <f>ROUND(('Order Details'!$O509*1000)/((VLOOKUP($I509,'Pricing Table - eff 27-Jan-2026'!$A:$Q,7,FALSE)/12)*(VLOOKUP($I509,'Pricing Table - eff 27-Jan-2026'!$A:$Q,9,FALSE)/12))/5,0)*5</f>
        <v>400</v>
      </c>
      <c r="R509" s="71">
        <f>$Q509/IFERROR(VLOOKUP($F509&amp;RIGHT($K509,8),'Master Data'!$O$5:$P$10,2,FALSE),'Master Data'!$P$4)</f>
        <v>2</v>
      </c>
      <c r="S509" s="57">
        <f>VLOOKUP($I509,'Pricing Table - eff 27-Jan-2026'!$A:$Q,16,FALSE)</f>
        <v>770</v>
      </c>
      <c r="T509" s="57">
        <f>VLOOKUP(I509,'Pricing Table - eff 27-Jan-2026'!$A:$O,15,FALSE)</f>
        <v>8.27</v>
      </c>
      <c r="U509" s="57">
        <f t="shared" si="24"/>
        <v>10061.59</v>
      </c>
      <c r="V509" s="111">
        <f t="shared" si="22"/>
        <v>10049.0424</v>
      </c>
      <c r="W509" s="55">
        <f>VLOOKUP($I509,'Pricing Table - eff 27-Jan-2026'!$A:$R,18,FALSE)</f>
        <v>45</v>
      </c>
    </row>
    <row r="510" spans="1:23" ht="15" hidden="1" thickTop="1" x14ac:dyDescent="0.3">
      <c r="A510" s="55">
        <v>24202608</v>
      </c>
      <c r="B510" s="55">
        <v>0</v>
      </c>
      <c r="C510" s="55" t="str">
        <f>VLOOKUP(A510&amp;"-"&amp;B510,'Order Summary'!$D:$E,2,FALSE)</f>
        <v>PO Revised</v>
      </c>
      <c r="D510" s="216">
        <f>IF($A510="","",VLOOKUP($A510&amp;"-"&amp;$B510,'Order Summary'!$D:$U,3,FALSE))</f>
        <v>46076</v>
      </c>
      <c r="E510" s="55" t="str">
        <f>VLOOKUP(A510&amp;"-"&amp;B510,'Order Summary'!$D:$G,4,FALSE)</f>
        <v>No</v>
      </c>
      <c r="F510" s="55" t="str">
        <f>VLOOKUP($A510,'Order Summary'!$B:$I,8,FALSE)</f>
        <v>Gordon, PA</v>
      </c>
      <c r="G510" s="216" t="str">
        <f>IF($A510="","",VLOOKUP($A510&amp;"-"&amp;$B510,'Order Summary'!$D:$U,18,FALSE))</f>
        <v/>
      </c>
      <c r="H510" s="55">
        <v>1</v>
      </c>
      <c r="I510" s="55">
        <v>694440</v>
      </c>
      <c r="J510" s="55" t="str">
        <f>VLOOKUP($I510,'Pricing Table - eff 27-Jan-2026'!$A:$R,2,FALSE)</f>
        <v>G1S 694440</v>
      </c>
      <c r="K510" s="55" t="str">
        <f>VLOOKUP($I510,'Pricing Table - eff 27-Jan-2026'!$A:$R,6,FALSE)&amp;" "&amp;VLOOKUP($I510,'Pricing Table - eff 27-Jan-2026'!$A:$R,7,FALSE)&amp;""" x "&amp;VLOOKUP($I510,'Pricing Table - eff 27-Jan-2026'!$A:$R,9,FALSE)&amp;""" "&amp;VLOOKUP($I510,'Pricing Table - eff 27-Jan-2026'!$A:$R,5,FALSE)</f>
        <v>2MM 49" x 96" ACP</v>
      </c>
      <c r="L510" s="55">
        <f>VLOOKUP($I510,'Pricing Table - eff 27-Jan-2026'!$A:$K,8,FALSE)</f>
        <v>1245</v>
      </c>
      <c r="M510" s="55">
        <f>VLOOKUP($I510,'Pricing Table - eff 27-Jan-2026'!$A:$K,10,FALSE)</f>
        <v>2440</v>
      </c>
      <c r="N510" s="55" t="str">
        <f>VLOOKUP($I510,'Pricing Table - eff 27-Jan-2026'!$A:$R,13,FALSE)&amp;" "&amp;VLOOKUP($I510,'Pricing Table - eff 27-Jan-2026'!$A:$R,12,FALSE)</f>
        <v>AMC 0103 SILVER FROST</v>
      </c>
      <c r="O510" s="56">
        <v>19.600000000000001</v>
      </c>
      <c r="P510" s="55">
        <f>(VLOOKUP($I510,'Pricing Table - eff 27-Jan-2026'!$A:$R,8,FALSE)/1000)*(VLOOKUP($I510,'Pricing Table - eff 27-Jan-2026'!$A:$R,10,FALSE)/1000)*Q510</f>
        <v>1822.68</v>
      </c>
      <c r="Q510" s="55">
        <f>ROUND(('Order Details'!$O510*1000)/((VLOOKUP($I510,'Pricing Table - eff 27-Jan-2026'!$A:$Q,7,FALSE)/12)*(VLOOKUP($I510,'Pricing Table - eff 27-Jan-2026'!$A:$Q,9,FALSE)/12))/5,0)*5</f>
        <v>600</v>
      </c>
      <c r="R510" s="71">
        <f>$Q510/IFERROR(VLOOKUP($F510&amp;RIGHT($K510,8),'Master Data'!$O$5:$P$10,2,FALSE),'Master Data'!$P$4)</f>
        <v>3</v>
      </c>
      <c r="S510" s="57">
        <f>VLOOKUP($I510,'Pricing Table - eff 27-Jan-2026'!$A:$Q,16,FALSE)</f>
        <v>720</v>
      </c>
      <c r="T510" s="57">
        <f>VLOOKUP(I510,'Pricing Table - eff 27-Jan-2026'!$A:$O,15,FALSE)</f>
        <v>7.73</v>
      </c>
      <c r="U510" s="57">
        <f t="shared" si="24"/>
        <v>14112.000000000002</v>
      </c>
      <c r="V510" s="111">
        <f t="shared" si="22"/>
        <v>14089.316400000002</v>
      </c>
      <c r="W510" s="55">
        <f>VLOOKUP($I510,'Pricing Table - eff 27-Jan-2026'!$A:$R,18,FALSE)</f>
        <v>90</v>
      </c>
    </row>
    <row r="511" spans="1:23" ht="15" hidden="1" thickTop="1" x14ac:dyDescent="0.3">
      <c r="A511" s="55">
        <v>24202608</v>
      </c>
      <c r="B511" s="55">
        <v>0</v>
      </c>
      <c r="C511" s="55" t="str">
        <f>VLOOKUP(A511&amp;"-"&amp;B511,'Order Summary'!$D:$E,2,FALSE)</f>
        <v>PO Revised</v>
      </c>
      <c r="D511" s="216">
        <f>IF($A511="","",VLOOKUP($A511&amp;"-"&amp;$B511,'Order Summary'!$D:$U,3,FALSE))</f>
        <v>46076</v>
      </c>
      <c r="E511" s="55" t="str">
        <f>VLOOKUP(A511&amp;"-"&amp;B511,'Order Summary'!$D:$G,4,FALSE)</f>
        <v>No</v>
      </c>
      <c r="F511" s="55" t="str">
        <f>VLOOKUP($A511,'Order Summary'!$B:$I,8,FALSE)</f>
        <v>Gordon, PA</v>
      </c>
      <c r="G511" s="216" t="str">
        <f>IF($A511="","",VLOOKUP($A511&amp;"-"&amp;$B511,'Order Summary'!$D:$U,18,FALSE))</f>
        <v/>
      </c>
      <c r="H511" s="55">
        <v>2</v>
      </c>
      <c r="I511" s="55">
        <v>694441</v>
      </c>
      <c r="J511" s="55" t="str">
        <f>VLOOKUP($I511,'Pricing Table - eff 27-Jan-2026'!$A:$R,2,FALSE)</f>
        <v>G1S 694441</v>
      </c>
      <c r="K511" s="55" t="str">
        <f>VLOOKUP($I511,'Pricing Table - eff 27-Jan-2026'!$A:$R,6,FALSE)&amp;" "&amp;VLOOKUP($I511,'Pricing Table - eff 27-Jan-2026'!$A:$R,7,FALSE)&amp;""" x "&amp;VLOOKUP($I511,'Pricing Table - eff 27-Jan-2026'!$A:$R,9,FALSE)&amp;""" "&amp;VLOOKUP($I511,'Pricing Table - eff 27-Jan-2026'!$A:$R,5,FALSE)</f>
        <v>2MM 49" x 108" ACP</v>
      </c>
      <c r="L511" s="55">
        <f>VLOOKUP($I511,'Pricing Table - eff 27-Jan-2026'!$A:$K,8,FALSE)</f>
        <v>1245</v>
      </c>
      <c r="M511" s="55">
        <f>VLOOKUP($I511,'Pricing Table - eff 27-Jan-2026'!$A:$K,10,FALSE)</f>
        <v>2745</v>
      </c>
      <c r="N511" s="55" t="str">
        <f>VLOOKUP($I511,'Pricing Table - eff 27-Jan-2026'!$A:$R,13,FALSE)&amp;" "&amp;VLOOKUP($I511,'Pricing Table - eff 27-Jan-2026'!$A:$R,12,FALSE)</f>
        <v>AMC 0103 SILVER FROST</v>
      </c>
      <c r="O511" s="56">
        <v>22.05</v>
      </c>
      <c r="P511" s="55">
        <f>(VLOOKUP($I511,'Pricing Table - eff 27-Jan-2026'!$A:$R,8,FALSE)/1000)*(VLOOKUP($I511,'Pricing Table - eff 27-Jan-2026'!$A:$R,10,FALSE)/1000)*Q511</f>
        <v>2050.5150000000003</v>
      </c>
      <c r="Q511" s="55">
        <f>ROUND(('Order Details'!$O511*1000)/((VLOOKUP($I511,'Pricing Table - eff 27-Jan-2026'!$A:$Q,7,FALSE)/12)*(VLOOKUP($I511,'Pricing Table - eff 27-Jan-2026'!$A:$Q,9,FALSE)/12))/5,0)*5</f>
        <v>600</v>
      </c>
      <c r="R511" s="71">
        <f>$Q511/IFERROR(VLOOKUP($F511&amp;RIGHT($K511,8),'Master Data'!$O$5:$P$10,2,FALSE),'Master Data'!$P$4)</f>
        <v>3</v>
      </c>
      <c r="S511" s="57">
        <f>VLOOKUP($I511,'Pricing Table - eff 27-Jan-2026'!$A:$Q,16,FALSE)</f>
        <v>720</v>
      </c>
      <c r="T511" s="57">
        <f>VLOOKUP(I511,'Pricing Table - eff 27-Jan-2026'!$A:$O,15,FALSE)</f>
        <v>7.73</v>
      </c>
      <c r="U511" s="57">
        <f t="shared" si="24"/>
        <v>15876</v>
      </c>
      <c r="V511" s="111">
        <f t="shared" ref="V511:V573" si="26">P511*T511</f>
        <v>15850.480950000003</v>
      </c>
      <c r="W511" s="55">
        <f>VLOOKUP($I511,'Pricing Table - eff 27-Jan-2026'!$A:$R,18,FALSE)</f>
        <v>90</v>
      </c>
    </row>
    <row r="512" spans="1:23" ht="15" hidden="1" thickTop="1" x14ac:dyDescent="0.3">
      <c r="A512" s="55">
        <v>24202608</v>
      </c>
      <c r="B512" s="55">
        <v>0</v>
      </c>
      <c r="C512" s="55" t="str">
        <f>VLOOKUP(A512&amp;"-"&amp;B512,'Order Summary'!$D:$E,2,FALSE)</f>
        <v>PO Revised</v>
      </c>
      <c r="D512" s="216">
        <f>IF($A512="","",VLOOKUP($A512&amp;"-"&amp;$B512,'Order Summary'!$D:$U,3,FALSE))</f>
        <v>46076</v>
      </c>
      <c r="E512" s="55" t="str">
        <f>VLOOKUP(A512&amp;"-"&amp;B512,'Order Summary'!$D:$G,4,FALSE)</f>
        <v>No</v>
      </c>
      <c r="F512" s="55" t="str">
        <f>VLOOKUP($A512,'Order Summary'!$B:$I,8,FALSE)</f>
        <v>Gordon, PA</v>
      </c>
      <c r="G512" s="216" t="str">
        <f>IF($A512="","",VLOOKUP($A512&amp;"-"&amp;$B512,'Order Summary'!$D:$U,18,FALSE))</f>
        <v/>
      </c>
      <c r="H512" s="55">
        <v>3</v>
      </c>
      <c r="I512" s="55">
        <v>694444</v>
      </c>
      <c r="J512" s="55" t="str">
        <f>VLOOKUP($I512,'Pricing Table - eff 27-Jan-2026'!$A:$R,2,FALSE)</f>
        <v>G1S 694444</v>
      </c>
      <c r="K512" s="55" t="str">
        <f>VLOOKUP($I512,'Pricing Table - eff 27-Jan-2026'!$A:$R,6,FALSE)&amp;" "&amp;VLOOKUP($I512,'Pricing Table - eff 27-Jan-2026'!$A:$R,7,FALSE)&amp;""" x "&amp;VLOOKUP($I512,'Pricing Table - eff 27-Jan-2026'!$A:$R,9,FALSE)&amp;""" "&amp;VLOOKUP($I512,'Pricing Table - eff 27-Jan-2026'!$A:$R,5,FALSE)</f>
        <v>2MM 49" x 96" ACP</v>
      </c>
      <c r="L512" s="55">
        <f>VLOOKUP($I512,'Pricing Table - eff 27-Jan-2026'!$A:$K,8,FALSE)</f>
        <v>1245</v>
      </c>
      <c r="M512" s="55">
        <f>VLOOKUP($I512,'Pricing Table - eff 27-Jan-2026'!$A:$K,10,FALSE)</f>
        <v>2440</v>
      </c>
      <c r="N512" s="55" t="str">
        <f>VLOOKUP($I512,'Pricing Table - eff 27-Jan-2026'!$A:$R,13,FALSE)&amp;" "&amp;VLOOKUP($I512,'Pricing Table - eff 27-Jan-2026'!$A:$R,12,FALSE)</f>
        <v>AMC 0086 CHARCOAL METALLIC</v>
      </c>
      <c r="O512" s="56">
        <v>19.600000000000001</v>
      </c>
      <c r="P512" s="55">
        <f>(VLOOKUP($I512,'Pricing Table - eff 27-Jan-2026'!$A:$R,8,FALSE)/1000)*(VLOOKUP($I512,'Pricing Table - eff 27-Jan-2026'!$A:$R,10,FALSE)/1000)*Q512</f>
        <v>1822.68</v>
      </c>
      <c r="Q512" s="55">
        <f>ROUND(('Order Details'!$O512*1000)/((VLOOKUP($I512,'Pricing Table - eff 27-Jan-2026'!$A:$Q,7,FALSE)/12)*(VLOOKUP($I512,'Pricing Table - eff 27-Jan-2026'!$A:$Q,9,FALSE)/12))/5,0)*5</f>
        <v>600</v>
      </c>
      <c r="R512" s="71">
        <f>$Q512/IFERROR(VLOOKUP($F512&amp;RIGHT($K512,8),'Master Data'!$O$5:$P$10,2,FALSE),'Master Data'!$P$4)</f>
        <v>3</v>
      </c>
      <c r="S512" s="57">
        <f>VLOOKUP($I512,'Pricing Table - eff 27-Jan-2026'!$A:$Q,16,FALSE)</f>
        <v>770</v>
      </c>
      <c r="T512" s="57">
        <f>VLOOKUP(I512,'Pricing Table - eff 27-Jan-2026'!$A:$O,15,FALSE)</f>
        <v>8.27</v>
      </c>
      <c r="U512" s="57">
        <f t="shared" si="24"/>
        <v>15092.000000000002</v>
      </c>
      <c r="V512" s="111">
        <f t="shared" si="26"/>
        <v>15073.563599999999</v>
      </c>
      <c r="W512" s="55">
        <f>VLOOKUP($I512,'Pricing Table - eff 27-Jan-2026'!$A:$R,18,FALSE)</f>
        <v>45</v>
      </c>
    </row>
    <row r="513" spans="1:23" ht="15" hidden="1" thickTop="1" x14ac:dyDescent="0.3">
      <c r="A513" s="55">
        <v>24202608</v>
      </c>
      <c r="B513" s="55">
        <v>0</v>
      </c>
      <c r="C513" s="55" t="str">
        <f>VLOOKUP(A513&amp;"-"&amp;B513,'Order Summary'!$D:$E,2,FALSE)</f>
        <v>PO Revised</v>
      </c>
      <c r="D513" s="216">
        <f>IF($A513="","",VLOOKUP($A513&amp;"-"&amp;$B513,'Order Summary'!$D:$U,3,FALSE))</f>
        <v>46076</v>
      </c>
      <c r="E513" s="55" t="str">
        <f>VLOOKUP(A513&amp;"-"&amp;B513,'Order Summary'!$D:$G,4,FALSE)</f>
        <v>No</v>
      </c>
      <c r="F513" s="55" t="str">
        <f>VLOOKUP($A513,'Order Summary'!$B:$I,8,FALSE)</f>
        <v>Gordon, PA</v>
      </c>
      <c r="G513" s="216" t="str">
        <f>IF($A513="","",VLOOKUP($A513&amp;"-"&amp;$B513,'Order Summary'!$D:$U,18,FALSE))</f>
        <v/>
      </c>
      <c r="H513" s="55">
        <v>4</v>
      </c>
      <c r="I513" s="55">
        <v>694445</v>
      </c>
      <c r="J513" s="55" t="str">
        <f>VLOOKUP($I513,'Pricing Table - eff 27-Jan-2026'!$A:$R,2,FALSE)</f>
        <v>G1S 694445</v>
      </c>
      <c r="K513" s="55" t="str">
        <f>VLOOKUP($I513,'Pricing Table - eff 27-Jan-2026'!$A:$R,6,FALSE)&amp;" "&amp;VLOOKUP($I513,'Pricing Table - eff 27-Jan-2026'!$A:$R,7,FALSE)&amp;""" x "&amp;VLOOKUP($I513,'Pricing Table - eff 27-Jan-2026'!$A:$R,9,FALSE)&amp;""" "&amp;VLOOKUP($I513,'Pricing Table - eff 27-Jan-2026'!$A:$R,5,FALSE)</f>
        <v>2MM 49" x 108" ACP</v>
      </c>
      <c r="L513" s="55">
        <f>VLOOKUP($I513,'Pricing Table - eff 27-Jan-2026'!$A:$K,8,FALSE)</f>
        <v>1245</v>
      </c>
      <c r="M513" s="55">
        <f>VLOOKUP($I513,'Pricing Table - eff 27-Jan-2026'!$A:$K,10,FALSE)</f>
        <v>2745</v>
      </c>
      <c r="N513" s="55" t="str">
        <f>VLOOKUP($I513,'Pricing Table - eff 27-Jan-2026'!$A:$R,13,FALSE)&amp;" "&amp;VLOOKUP($I513,'Pricing Table - eff 27-Jan-2026'!$A:$R,12,FALSE)</f>
        <v>AMC 0086 CHARCOAL METALLIC</v>
      </c>
      <c r="O513" s="56">
        <v>14.7</v>
      </c>
      <c r="P513" s="55">
        <f>(VLOOKUP($I513,'Pricing Table - eff 27-Jan-2026'!$A:$R,8,FALSE)/1000)*(VLOOKUP($I513,'Pricing Table - eff 27-Jan-2026'!$A:$R,10,FALSE)/1000)*Q513</f>
        <v>1367.0100000000002</v>
      </c>
      <c r="Q513" s="55">
        <f>ROUND(('Order Details'!$O513*1000)/((VLOOKUP($I513,'Pricing Table - eff 27-Jan-2026'!$A:$Q,7,FALSE)/12)*(VLOOKUP($I513,'Pricing Table - eff 27-Jan-2026'!$A:$Q,9,FALSE)/12))/5,0)*5</f>
        <v>400</v>
      </c>
      <c r="R513" s="71">
        <f>$Q513/IFERROR(VLOOKUP($F513&amp;RIGHT($K513,8),'Master Data'!$O$5:$P$10,2,FALSE),'Master Data'!$P$4)</f>
        <v>2</v>
      </c>
      <c r="S513" s="57">
        <f>VLOOKUP($I513,'Pricing Table - eff 27-Jan-2026'!$A:$Q,16,FALSE)</f>
        <v>770</v>
      </c>
      <c r="T513" s="57">
        <f>VLOOKUP(I513,'Pricing Table - eff 27-Jan-2026'!$A:$O,15,FALSE)</f>
        <v>8.27</v>
      </c>
      <c r="U513" s="57">
        <f t="shared" si="24"/>
        <v>11319</v>
      </c>
      <c r="V513" s="111">
        <f t="shared" si="26"/>
        <v>11305.172700000001</v>
      </c>
      <c r="W513" s="55">
        <f>VLOOKUP($I513,'Pricing Table - eff 27-Jan-2026'!$A:$R,18,FALSE)</f>
        <v>45</v>
      </c>
    </row>
    <row r="514" spans="1:23" ht="15" hidden="1" thickTop="1" x14ac:dyDescent="0.3">
      <c r="A514" s="55">
        <v>24202608</v>
      </c>
      <c r="B514" s="55">
        <v>0</v>
      </c>
      <c r="C514" s="55" t="str">
        <f>VLOOKUP(A514&amp;"-"&amp;B514,'Order Summary'!$D:$E,2,FALSE)</f>
        <v>PO Revised</v>
      </c>
      <c r="D514" s="216">
        <f>IF($A514="","",VLOOKUP($A514&amp;"-"&amp;$B514,'Order Summary'!$D:$U,3,FALSE))</f>
        <v>46076</v>
      </c>
      <c r="E514" s="55" t="str">
        <f>VLOOKUP(A514&amp;"-"&amp;B514,'Order Summary'!$D:$G,4,FALSE)</f>
        <v>No</v>
      </c>
      <c r="F514" s="55" t="str">
        <f>VLOOKUP($A514,'Order Summary'!$B:$I,8,FALSE)</f>
        <v>Gordon, PA</v>
      </c>
      <c r="G514" s="216" t="str">
        <f>IF($A514="","",VLOOKUP($A514&amp;"-"&amp;$B514,'Order Summary'!$D:$U,18,FALSE))</f>
        <v/>
      </c>
      <c r="H514" s="55">
        <v>5</v>
      </c>
      <c r="I514" s="55">
        <v>694668</v>
      </c>
      <c r="J514" s="55" t="str">
        <f>VLOOKUP($I514,'Pricing Table - eff 27-Jan-2026'!$A:$R,2,FALSE)</f>
        <v>G1S 694668</v>
      </c>
      <c r="K514" s="55" t="str">
        <f>VLOOKUP($I514,'Pricing Table - eff 27-Jan-2026'!$A:$R,6,FALSE)&amp;" "&amp;VLOOKUP($I514,'Pricing Table - eff 27-Jan-2026'!$A:$R,7,FALSE)&amp;""" x "&amp;VLOOKUP($I514,'Pricing Table - eff 27-Jan-2026'!$A:$R,9,FALSE)&amp;""" "&amp;VLOOKUP($I514,'Pricing Table - eff 27-Jan-2026'!$A:$R,5,FALSE)</f>
        <v>2MM 49" x 96" ACP</v>
      </c>
      <c r="L514" s="55">
        <f>VLOOKUP($I514,'Pricing Table - eff 27-Jan-2026'!$A:$K,8,FALSE)</f>
        <v>1245</v>
      </c>
      <c r="M514" s="55">
        <f>VLOOKUP($I514,'Pricing Table - eff 27-Jan-2026'!$A:$K,10,FALSE)</f>
        <v>2440</v>
      </c>
      <c r="N514" s="55" t="str">
        <f>VLOOKUP($I514,'Pricing Table - eff 27-Jan-2026'!$A:$R,13,FALSE)&amp;" "&amp;VLOOKUP($I514,'Pricing Table - eff 27-Jan-2026'!$A:$R,12,FALSE)</f>
        <v>ASC 0092 PEPSI BLUE</v>
      </c>
      <c r="O514" s="56">
        <v>6.5330000000000004</v>
      </c>
      <c r="P514" s="55">
        <f>(VLOOKUP($I514,'Pricing Table - eff 27-Jan-2026'!$A:$R,8,FALSE)/1000)*(VLOOKUP($I514,'Pricing Table - eff 27-Jan-2026'!$A:$R,10,FALSE)/1000)*Q514</f>
        <v>607.56000000000006</v>
      </c>
      <c r="Q514" s="55">
        <f>ROUND(('Order Details'!$O514*1000)/((VLOOKUP($I514,'Pricing Table - eff 27-Jan-2026'!$A:$Q,7,FALSE)/12)*(VLOOKUP($I514,'Pricing Table - eff 27-Jan-2026'!$A:$Q,9,FALSE)/12))/5,0)*5</f>
        <v>200</v>
      </c>
      <c r="R514" s="71">
        <f>$Q514/IFERROR(VLOOKUP($F514&amp;RIGHT($K514,8),'Master Data'!$O$5:$P$10,2,FALSE),'Master Data'!$P$4)</f>
        <v>1</v>
      </c>
      <c r="S514" s="57">
        <f>VLOOKUP($I514,'Pricing Table - eff 27-Jan-2026'!$A:$Q,16,FALSE)</f>
        <v>720</v>
      </c>
      <c r="T514" s="57">
        <f>VLOOKUP(I514,'Pricing Table - eff 27-Jan-2026'!$A:$O,15,FALSE)</f>
        <v>7.73</v>
      </c>
      <c r="U514" s="57">
        <f t="shared" si="24"/>
        <v>4703.76</v>
      </c>
      <c r="V514" s="111">
        <f t="shared" si="26"/>
        <v>4696.4388000000008</v>
      </c>
      <c r="W514" s="55">
        <f>VLOOKUP($I514,'Pricing Table - eff 27-Jan-2026'!$A:$R,18,FALSE)</f>
        <v>90</v>
      </c>
    </row>
    <row r="515" spans="1:23" ht="15" hidden="1" thickTop="1" x14ac:dyDescent="0.3">
      <c r="A515" s="55">
        <v>24202608</v>
      </c>
      <c r="B515" s="55">
        <v>0</v>
      </c>
      <c r="C515" s="55" t="str">
        <f>VLOOKUP(A515&amp;"-"&amp;B515,'Order Summary'!$D:$E,2,FALSE)</f>
        <v>PO Revised</v>
      </c>
      <c r="D515" s="216">
        <f>IF($A515="","",VLOOKUP($A515&amp;"-"&amp;$B515,'Order Summary'!$D:$U,3,FALSE))</f>
        <v>46076</v>
      </c>
      <c r="E515" s="55" t="str">
        <f>VLOOKUP(A515&amp;"-"&amp;B515,'Order Summary'!$D:$G,4,FALSE)</f>
        <v>No</v>
      </c>
      <c r="F515" s="55" t="str">
        <f>VLOOKUP($A515,'Order Summary'!$B:$I,8,FALSE)</f>
        <v>Gordon, PA</v>
      </c>
      <c r="G515" s="216" t="str">
        <f>IF($A515="","",VLOOKUP($A515&amp;"-"&amp;$B515,'Order Summary'!$D:$U,18,FALSE))</f>
        <v/>
      </c>
      <c r="H515" s="55">
        <v>6</v>
      </c>
      <c r="I515" s="55">
        <v>694672</v>
      </c>
      <c r="J515" s="55" t="str">
        <f>VLOOKUP($I515,'Pricing Table - eff 27-Jan-2026'!$A:$R,2,FALSE)</f>
        <v>G1S 694672</v>
      </c>
      <c r="K515" s="55" t="str">
        <f>VLOOKUP($I515,'Pricing Table - eff 27-Jan-2026'!$A:$R,6,FALSE)&amp;" "&amp;VLOOKUP($I515,'Pricing Table - eff 27-Jan-2026'!$A:$R,7,FALSE)&amp;""" x "&amp;VLOOKUP($I515,'Pricing Table - eff 27-Jan-2026'!$A:$R,9,FALSE)&amp;""" "&amp;VLOOKUP($I515,'Pricing Table - eff 27-Jan-2026'!$A:$R,5,FALSE)</f>
        <v>2MM 49" x 96" ACP</v>
      </c>
      <c r="L515" s="55">
        <f>VLOOKUP($I515,'Pricing Table - eff 27-Jan-2026'!$A:$K,8,FALSE)</f>
        <v>1245</v>
      </c>
      <c r="M515" s="55">
        <f>VLOOKUP($I515,'Pricing Table - eff 27-Jan-2026'!$A:$K,10,FALSE)</f>
        <v>2440</v>
      </c>
      <c r="N515" s="55" t="str">
        <f>VLOOKUP($I515,'Pricing Table - eff 27-Jan-2026'!$A:$R,13,FALSE)&amp;" "&amp;VLOOKUP($I515,'Pricing Table - eff 27-Jan-2026'!$A:$R,12,FALSE)</f>
        <v>ASC 0089 VICTORY RED</v>
      </c>
      <c r="O515" s="56">
        <v>6.5330000000000004</v>
      </c>
      <c r="P515" s="55">
        <f>(VLOOKUP($I515,'Pricing Table - eff 27-Jan-2026'!$A:$R,8,FALSE)/1000)*(VLOOKUP($I515,'Pricing Table - eff 27-Jan-2026'!$A:$R,10,FALSE)/1000)*Q515</f>
        <v>607.56000000000006</v>
      </c>
      <c r="Q515" s="55">
        <f>ROUND(('Order Details'!$O515*1000)/((VLOOKUP($I515,'Pricing Table - eff 27-Jan-2026'!$A:$Q,7,FALSE)/12)*(VLOOKUP($I515,'Pricing Table - eff 27-Jan-2026'!$A:$Q,9,FALSE)/12))/5,0)*5</f>
        <v>200</v>
      </c>
      <c r="R515" s="71">
        <f>$Q515/IFERROR(VLOOKUP($F515&amp;RIGHT($K515,8),'Master Data'!$O$5:$P$10,2,FALSE),'Master Data'!$P$4)</f>
        <v>1</v>
      </c>
      <c r="S515" s="57">
        <f>VLOOKUP($I515,'Pricing Table - eff 27-Jan-2026'!$A:$Q,16,FALSE)</f>
        <v>720</v>
      </c>
      <c r="T515" s="57">
        <f>VLOOKUP(I515,'Pricing Table - eff 27-Jan-2026'!$A:$O,15,FALSE)</f>
        <v>7.73</v>
      </c>
      <c r="U515" s="57">
        <f t="shared" si="24"/>
        <v>4703.76</v>
      </c>
      <c r="V515" s="111">
        <f t="shared" si="26"/>
        <v>4696.4388000000008</v>
      </c>
      <c r="W515" s="55">
        <f>VLOOKUP($I515,'Pricing Table - eff 27-Jan-2026'!$A:$R,18,FALSE)</f>
        <v>45</v>
      </c>
    </row>
    <row r="516" spans="1:23" ht="15" hidden="1" thickTop="1" x14ac:dyDescent="0.3">
      <c r="A516" s="55">
        <v>24220770</v>
      </c>
      <c r="B516" s="55">
        <v>0</v>
      </c>
      <c r="C516" s="55" t="str">
        <f>VLOOKUP(A516&amp;"-"&amp;B516,'Order Summary'!$D:$E,2,FALSE)</f>
        <v>PO Cancelled</v>
      </c>
      <c r="D516" s="216">
        <f>IF($A516="","",VLOOKUP($A516&amp;"-"&amp;$B516,'Order Summary'!$D:$U,3,FALSE))</f>
        <v>46099</v>
      </c>
      <c r="E516" s="55" t="str">
        <f>VLOOKUP(A516&amp;"-"&amp;B516,'Order Summary'!$D:$G,4,FALSE)</f>
        <v>No</v>
      </c>
      <c r="F516" s="55" t="str">
        <f>VLOOKUP($A516,'Order Summary'!$B:$I,8,FALSE)</f>
        <v>Ashburn, GA</v>
      </c>
      <c r="G516" s="216" t="str">
        <f>IF($A516="","",VLOOKUP($A516&amp;"-"&amp;$B516,'Order Summary'!$D:$U,18,FALSE))</f>
        <v/>
      </c>
      <c r="H516" s="55">
        <v>1</v>
      </c>
      <c r="I516" s="55">
        <v>714953</v>
      </c>
      <c r="J516" s="55" t="str">
        <f>VLOOKUP($I516,'Pricing Table - eff 27-Jan-2026'!$A:$R,2,FALSE)</f>
        <v>G1S 714953</v>
      </c>
      <c r="K516" s="55" t="str">
        <f>VLOOKUP($I516,'Pricing Table - eff 27-Jan-2026'!$A:$R,6,FALSE)&amp;" "&amp;VLOOKUP($I516,'Pricing Table - eff 27-Jan-2026'!$A:$R,7,FALSE)&amp;""" x "&amp;VLOOKUP($I516,'Pricing Table - eff 27-Jan-2026'!$A:$R,9,FALSE)&amp;""" "&amp;VLOOKUP($I516,'Pricing Table - eff 27-Jan-2026'!$A:$R,5,FALSE)</f>
        <v>2MM 49" x 84" ACP</v>
      </c>
      <c r="L516" s="55">
        <f>VLOOKUP($I516,'Pricing Table - eff 27-Jan-2026'!$A:$K,8,FALSE)</f>
        <v>1245</v>
      </c>
      <c r="M516" s="55">
        <f>VLOOKUP($I516,'Pricing Table - eff 27-Jan-2026'!$A:$K,10,FALSE)</f>
        <v>2135</v>
      </c>
      <c r="N516" s="55" t="str">
        <f>VLOOKUP($I516,'Pricing Table - eff 27-Jan-2026'!$A:$R,13,FALSE)&amp;" "&amp;VLOOKUP($I516,'Pricing Table - eff 27-Jan-2026'!$A:$R,12,FALSE)</f>
        <v>AMC 0086 CHARCOAL METALLIC</v>
      </c>
      <c r="O516" s="56">
        <v>11.433</v>
      </c>
      <c r="P516" s="55">
        <f>(VLOOKUP($I516,'Pricing Table - eff 27-Jan-2026'!$A:$R,8,FALSE)/1000)*(VLOOKUP($I516,'Pricing Table - eff 27-Jan-2026'!$A:$R,10,FALSE)/1000)*Q516</f>
        <v>1063.2299999999998</v>
      </c>
      <c r="Q516" s="55">
        <f>ROUND(('Order Details'!$O516*1000)/((VLOOKUP($I516,'Pricing Table - eff 27-Jan-2026'!$A:$Q,7,FALSE)/12)*(VLOOKUP($I516,'Pricing Table - eff 27-Jan-2026'!$A:$Q,9,FALSE)/12))/5,0)*5</f>
        <v>400</v>
      </c>
      <c r="R516" s="71">
        <f>$Q516/IFERROR(VLOOKUP($F516&amp;RIGHT($K516,8),'Master Data'!$O$5:$P$10,2,FALSE),'Master Data'!$P$4)</f>
        <v>2</v>
      </c>
      <c r="S516" s="57">
        <f>VLOOKUP($I516,'Pricing Table - eff 27-Jan-2026'!$A:$Q,16,FALSE)</f>
        <v>770</v>
      </c>
      <c r="T516" s="57">
        <f>VLOOKUP(I516,'Pricing Table - eff 27-Jan-2026'!$A:$O,15,FALSE)</f>
        <v>8.27</v>
      </c>
      <c r="U516" s="57">
        <f t="shared" si="24"/>
        <v>8803.41</v>
      </c>
      <c r="V516" s="111">
        <f t="shared" si="26"/>
        <v>8792.9120999999977</v>
      </c>
      <c r="W516" s="55">
        <f>VLOOKUP($I516,'Pricing Table - eff 27-Jan-2026'!$A:$R,18,FALSE)</f>
        <v>45</v>
      </c>
    </row>
    <row r="517" spans="1:23" ht="15" hidden="1" thickTop="1" x14ac:dyDescent="0.3">
      <c r="A517" s="55">
        <v>24220770</v>
      </c>
      <c r="B517" s="55">
        <v>0</v>
      </c>
      <c r="C517" s="55" t="str">
        <f>VLOOKUP(A517&amp;"-"&amp;B517,'Order Summary'!$D:$E,2,FALSE)</f>
        <v>PO Cancelled</v>
      </c>
      <c r="D517" s="216">
        <f>IF($A517="","",VLOOKUP($A517&amp;"-"&amp;$B517,'Order Summary'!$D:$U,3,FALSE))</f>
        <v>46099</v>
      </c>
      <c r="E517" s="55" t="str">
        <f>VLOOKUP(A517&amp;"-"&amp;B517,'Order Summary'!$D:$G,4,FALSE)</f>
        <v>No</v>
      </c>
      <c r="F517" s="55" t="str">
        <f>VLOOKUP($A517,'Order Summary'!$B:$I,8,FALSE)</f>
        <v>Ashburn, GA</v>
      </c>
      <c r="G517" s="216" t="str">
        <f>IF($A517="","",VLOOKUP($A517&amp;"-"&amp;$B517,'Order Summary'!$D:$U,18,FALSE))</f>
        <v/>
      </c>
      <c r="H517" s="55">
        <v>2</v>
      </c>
      <c r="I517" s="55">
        <v>709356</v>
      </c>
      <c r="J517" s="55" t="str">
        <f>VLOOKUP($I517,'Pricing Table - eff 27-Jan-2026'!$A:$R,2,FALSE)</f>
        <v>G1S 709356</v>
      </c>
      <c r="K517" s="55" t="str">
        <f>VLOOKUP($I517,'Pricing Table - eff 27-Jan-2026'!$A:$R,6,FALSE)&amp;" "&amp;VLOOKUP($I517,'Pricing Table - eff 27-Jan-2026'!$A:$R,7,FALSE)&amp;""" x "&amp;VLOOKUP($I517,'Pricing Table - eff 27-Jan-2026'!$A:$R,9,FALSE)&amp;""" "&amp;VLOOKUP($I517,'Pricing Table - eff 27-Jan-2026'!$A:$R,5,FALSE)</f>
        <v>2MM 49" x 90.5" ACP</v>
      </c>
      <c r="L517" s="55">
        <f>VLOOKUP($I517,'Pricing Table - eff 27-Jan-2026'!$A:$K,8,FALSE)</f>
        <v>1245</v>
      </c>
      <c r="M517" s="55">
        <f>VLOOKUP($I517,'Pricing Table - eff 27-Jan-2026'!$A:$K,10,FALSE)</f>
        <v>2300</v>
      </c>
      <c r="N517" s="55" t="str">
        <f>VLOOKUP($I517,'Pricing Table - eff 27-Jan-2026'!$A:$R,13,FALSE)&amp;" "&amp;VLOOKUP($I517,'Pricing Table - eff 27-Jan-2026'!$A:$R,12,FALSE)</f>
        <v>AMC 0086 CHARCOAL METALLIC</v>
      </c>
      <c r="O517" s="56">
        <v>24.635999999999999</v>
      </c>
      <c r="P517" s="55">
        <f>(VLOOKUP($I517,'Pricing Table - eff 27-Jan-2026'!$A:$R,8,FALSE)/1000)*(VLOOKUP($I517,'Pricing Table - eff 27-Jan-2026'!$A:$R,10,FALSE)/1000)*Q517</f>
        <v>2290.8000000000002</v>
      </c>
      <c r="Q517" s="55">
        <f>ROUND(('Order Details'!$O517*1000)/((VLOOKUP($I517,'Pricing Table - eff 27-Jan-2026'!$A:$Q,7,FALSE)/12)*(VLOOKUP($I517,'Pricing Table - eff 27-Jan-2026'!$A:$Q,9,FALSE)/12))/5,0)*5</f>
        <v>800</v>
      </c>
      <c r="R517" s="71">
        <f>$Q517/IFERROR(VLOOKUP($F517&amp;RIGHT($K517,8),'Master Data'!$O$5:$P$10,2,FALSE),'Master Data'!$P$4)</f>
        <v>4</v>
      </c>
      <c r="S517" s="57">
        <f>VLOOKUP($I517,'Pricing Table - eff 27-Jan-2026'!$A:$Q,16,FALSE)</f>
        <v>770</v>
      </c>
      <c r="T517" s="57">
        <f>VLOOKUP(I517,'Pricing Table - eff 27-Jan-2026'!$A:$O,15,FALSE)</f>
        <v>8.27</v>
      </c>
      <c r="U517" s="57">
        <f t="shared" si="24"/>
        <v>18969.72</v>
      </c>
      <c r="V517" s="111">
        <f t="shared" si="26"/>
        <v>18944.916000000001</v>
      </c>
      <c r="W517" s="55">
        <f>VLOOKUP($I517,'Pricing Table - eff 27-Jan-2026'!$A:$R,18,FALSE)</f>
        <v>45</v>
      </c>
    </row>
    <row r="518" spans="1:23" ht="15" hidden="1" thickTop="1" x14ac:dyDescent="0.3">
      <c r="A518" s="55">
        <v>24220770</v>
      </c>
      <c r="B518" s="55">
        <v>0</v>
      </c>
      <c r="C518" s="55" t="str">
        <f>VLOOKUP(A518&amp;"-"&amp;B518,'Order Summary'!$D:$E,2,FALSE)</f>
        <v>PO Cancelled</v>
      </c>
      <c r="D518" s="216">
        <f>IF($A518="","",VLOOKUP($A518&amp;"-"&amp;$B518,'Order Summary'!$D:$U,3,FALSE))</f>
        <v>46099</v>
      </c>
      <c r="E518" s="55" t="str">
        <f>VLOOKUP(A518&amp;"-"&amp;B518,'Order Summary'!$D:$G,4,FALSE)</f>
        <v>No</v>
      </c>
      <c r="F518" s="55" t="str">
        <f>VLOOKUP($A518,'Order Summary'!$B:$I,8,FALSE)</f>
        <v>Ashburn, GA</v>
      </c>
      <c r="G518" s="216" t="str">
        <f>IF($A518="","",VLOOKUP($A518&amp;"-"&amp;$B518,'Order Summary'!$D:$U,18,FALSE))</f>
        <v/>
      </c>
      <c r="H518" s="55">
        <v>3</v>
      </c>
      <c r="I518" s="55">
        <v>694444</v>
      </c>
      <c r="J518" s="55" t="str">
        <f>VLOOKUP($I518,'Pricing Table - eff 27-Jan-2026'!$A:$R,2,FALSE)</f>
        <v>G1S 694444</v>
      </c>
      <c r="K518" s="55" t="str">
        <f>VLOOKUP($I518,'Pricing Table - eff 27-Jan-2026'!$A:$R,6,FALSE)&amp;" "&amp;VLOOKUP($I518,'Pricing Table - eff 27-Jan-2026'!$A:$R,7,FALSE)&amp;""" x "&amp;VLOOKUP($I518,'Pricing Table - eff 27-Jan-2026'!$A:$R,9,FALSE)&amp;""" "&amp;VLOOKUP($I518,'Pricing Table - eff 27-Jan-2026'!$A:$R,5,FALSE)</f>
        <v>2MM 49" x 96" ACP</v>
      </c>
      <c r="L518" s="55">
        <f>VLOOKUP($I518,'Pricing Table - eff 27-Jan-2026'!$A:$K,8,FALSE)</f>
        <v>1245</v>
      </c>
      <c r="M518" s="55">
        <f>VLOOKUP($I518,'Pricing Table - eff 27-Jan-2026'!$A:$K,10,FALSE)</f>
        <v>2440</v>
      </c>
      <c r="N518" s="55" t="str">
        <f>VLOOKUP($I518,'Pricing Table - eff 27-Jan-2026'!$A:$R,13,FALSE)&amp;" "&amp;VLOOKUP($I518,'Pricing Table - eff 27-Jan-2026'!$A:$R,12,FALSE)</f>
        <v>AMC 0086 CHARCOAL METALLIC</v>
      </c>
      <c r="O518" s="56">
        <v>6.5330000000000004</v>
      </c>
      <c r="P518" s="55">
        <f>(VLOOKUP($I518,'Pricing Table - eff 27-Jan-2026'!$A:$R,8,FALSE)/1000)*(VLOOKUP($I518,'Pricing Table - eff 27-Jan-2026'!$A:$R,10,FALSE)/1000)*Q518</f>
        <v>607.56000000000006</v>
      </c>
      <c r="Q518" s="55">
        <f>ROUND(('Order Details'!$O518*1000)/((VLOOKUP($I518,'Pricing Table - eff 27-Jan-2026'!$A:$Q,7,FALSE)/12)*(VLOOKUP($I518,'Pricing Table - eff 27-Jan-2026'!$A:$Q,9,FALSE)/12))/5,0)*5</f>
        <v>200</v>
      </c>
      <c r="R518" s="71">
        <f>$Q518/IFERROR(VLOOKUP($F518&amp;RIGHT($K518,8),'Master Data'!$O$5:$P$10,2,FALSE),'Master Data'!$P$4)</f>
        <v>1</v>
      </c>
      <c r="S518" s="57">
        <f>VLOOKUP($I518,'Pricing Table - eff 27-Jan-2026'!$A:$Q,16,FALSE)</f>
        <v>770</v>
      </c>
      <c r="T518" s="57">
        <f>VLOOKUP(I518,'Pricing Table - eff 27-Jan-2026'!$A:$O,15,FALSE)</f>
        <v>8.27</v>
      </c>
      <c r="U518" s="57">
        <f t="shared" si="24"/>
        <v>5030.41</v>
      </c>
      <c r="V518" s="111">
        <f t="shared" si="26"/>
        <v>5024.5212000000001</v>
      </c>
      <c r="W518" s="55">
        <f>VLOOKUP($I518,'Pricing Table - eff 27-Jan-2026'!$A:$R,18,FALSE)</f>
        <v>45</v>
      </c>
    </row>
    <row r="519" spans="1:23" ht="15" hidden="1" thickTop="1" x14ac:dyDescent="0.3">
      <c r="A519" s="55">
        <v>24220770</v>
      </c>
      <c r="B519" s="55">
        <v>0</v>
      </c>
      <c r="C519" s="55" t="str">
        <f>VLOOKUP(A519&amp;"-"&amp;B519,'Order Summary'!$D:$E,2,FALSE)</f>
        <v>PO Cancelled</v>
      </c>
      <c r="D519" s="216">
        <f>IF($A519="","",VLOOKUP($A519&amp;"-"&amp;$B519,'Order Summary'!$D:$U,3,FALSE))</f>
        <v>46099</v>
      </c>
      <c r="E519" s="55" t="str">
        <f>VLOOKUP(A519&amp;"-"&amp;B519,'Order Summary'!$D:$G,4,FALSE)</f>
        <v>No</v>
      </c>
      <c r="F519" s="55" t="str">
        <f>VLOOKUP($A519,'Order Summary'!$B:$I,8,FALSE)</f>
        <v>Ashburn, GA</v>
      </c>
      <c r="G519" s="216" t="str">
        <f>IF($A519="","",VLOOKUP($A519&amp;"-"&amp;$B519,'Order Summary'!$D:$U,18,FALSE))</f>
        <v/>
      </c>
      <c r="H519" s="55">
        <v>4</v>
      </c>
      <c r="I519" s="55">
        <v>714952</v>
      </c>
      <c r="J519" s="55" t="str">
        <f>VLOOKUP($I519,'Pricing Table - eff 27-Jan-2026'!$A:$R,2,FALSE)</f>
        <v>G1S 714952</v>
      </c>
      <c r="K519" s="55" t="str">
        <f>VLOOKUP($I519,'Pricing Table - eff 27-Jan-2026'!$A:$R,6,FALSE)&amp;" "&amp;VLOOKUP($I519,'Pricing Table - eff 27-Jan-2026'!$A:$R,7,FALSE)&amp;""" x "&amp;VLOOKUP($I519,'Pricing Table - eff 27-Jan-2026'!$A:$R,9,FALSE)&amp;""" "&amp;VLOOKUP($I519,'Pricing Table - eff 27-Jan-2026'!$A:$R,5,FALSE)</f>
        <v>2MM 49" x 84" ACP</v>
      </c>
      <c r="L519" s="55">
        <f>VLOOKUP($I519,'Pricing Table - eff 27-Jan-2026'!$A:$K,8,FALSE)</f>
        <v>1245</v>
      </c>
      <c r="M519" s="55">
        <f>VLOOKUP($I519,'Pricing Table - eff 27-Jan-2026'!$A:$K,10,FALSE)</f>
        <v>2135</v>
      </c>
      <c r="N519" s="55" t="str">
        <f>VLOOKUP($I519,'Pricing Table - eff 27-Jan-2026'!$A:$R,13,FALSE)&amp;" "&amp;VLOOKUP($I519,'Pricing Table - eff 27-Jan-2026'!$A:$R,12,FALSE)</f>
        <v>AMC 0103 SILVER FROST</v>
      </c>
      <c r="O519" s="56">
        <v>11.433</v>
      </c>
      <c r="P519" s="55">
        <f>(VLOOKUP($I519,'Pricing Table - eff 27-Jan-2026'!$A:$R,8,FALSE)/1000)*(VLOOKUP($I519,'Pricing Table - eff 27-Jan-2026'!$A:$R,10,FALSE)/1000)*Q519</f>
        <v>1063.2299999999998</v>
      </c>
      <c r="Q519" s="55">
        <f>ROUND(('Order Details'!$O519*1000)/((VLOOKUP($I519,'Pricing Table - eff 27-Jan-2026'!$A:$Q,7,FALSE)/12)*(VLOOKUP($I519,'Pricing Table - eff 27-Jan-2026'!$A:$Q,9,FALSE)/12))/5,0)*5</f>
        <v>400</v>
      </c>
      <c r="R519" s="71">
        <f>$Q519/IFERROR(VLOOKUP($F519&amp;RIGHT($K519,8),'Master Data'!$O$5:$P$10,2,FALSE),'Master Data'!$P$4)</f>
        <v>2</v>
      </c>
      <c r="S519" s="57">
        <f>VLOOKUP($I519,'Pricing Table - eff 27-Jan-2026'!$A:$Q,16,FALSE)</f>
        <v>720</v>
      </c>
      <c r="T519" s="57">
        <f>VLOOKUP(I519,'Pricing Table - eff 27-Jan-2026'!$A:$O,15,FALSE)</f>
        <v>7.73</v>
      </c>
      <c r="U519" s="57">
        <f t="shared" si="24"/>
        <v>8231.76</v>
      </c>
      <c r="V519" s="111">
        <f t="shared" si="26"/>
        <v>8218.7678999999989</v>
      </c>
      <c r="W519" s="55">
        <f>VLOOKUP($I519,'Pricing Table - eff 27-Jan-2026'!$A:$R,18,FALSE)</f>
        <v>90</v>
      </c>
    </row>
    <row r="520" spans="1:23" ht="15" hidden="1" thickTop="1" x14ac:dyDescent="0.3">
      <c r="A520" s="55">
        <v>24220770</v>
      </c>
      <c r="B520" s="55">
        <v>0</v>
      </c>
      <c r="C520" s="55" t="str">
        <f>VLOOKUP(A520&amp;"-"&amp;B520,'Order Summary'!$D:$E,2,FALSE)</f>
        <v>PO Cancelled</v>
      </c>
      <c r="D520" s="216">
        <f>IF($A520="","",VLOOKUP($A520&amp;"-"&amp;$B520,'Order Summary'!$D:$U,3,FALSE))</f>
        <v>46099</v>
      </c>
      <c r="E520" s="55" t="str">
        <f>VLOOKUP(A520&amp;"-"&amp;B520,'Order Summary'!$D:$G,4,FALSE)</f>
        <v>No</v>
      </c>
      <c r="F520" s="55" t="str">
        <f>VLOOKUP($A520,'Order Summary'!$B:$I,8,FALSE)</f>
        <v>Ashburn, GA</v>
      </c>
      <c r="G520" s="216" t="str">
        <f>IF($A520="","",VLOOKUP($A520&amp;"-"&amp;$B520,'Order Summary'!$D:$U,18,FALSE))</f>
        <v/>
      </c>
      <c r="H520" s="55">
        <v>5</v>
      </c>
      <c r="I520" s="55">
        <v>709525</v>
      </c>
      <c r="J520" s="55" t="str">
        <f>VLOOKUP($I520,'Pricing Table - eff 27-Jan-2026'!$A:$R,2,FALSE)</f>
        <v>G1S 709525</v>
      </c>
      <c r="K520" s="55" t="str">
        <f>VLOOKUP($I520,'Pricing Table - eff 27-Jan-2026'!$A:$R,6,FALSE)&amp;" "&amp;VLOOKUP($I520,'Pricing Table - eff 27-Jan-2026'!$A:$R,7,FALSE)&amp;""" x "&amp;VLOOKUP($I520,'Pricing Table - eff 27-Jan-2026'!$A:$R,9,FALSE)&amp;""" "&amp;VLOOKUP($I520,'Pricing Table - eff 27-Jan-2026'!$A:$R,5,FALSE)</f>
        <v>2MM 49" x 90.5" ACP</v>
      </c>
      <c r="L520" s="55">
        <f>VLOOKUP($I520,'Pricing Table - eff 27-Jan-2026'!$A:$K,8,FALSE)</f>
        <v>1245</v>
      </c>
      <c r="M520" s="55">
        <f>VLOOKUP($I520,'Pricing Table - eff 27-Jan-2026'!$A:$K,10,FALSE)</f>
        <v>2300</v>
      </c>
      <c r="N520" s="55" t="str">
        <f>VLOOKUP($I520,'Pricing Table - eff 27-Jan-2026'!$A:$R,13,FALSE)&amp;" "&amp;VLOOKUP($I520,'Pricing Table - eff 27-Jan-2026'!$A:$R,12,FALSE)</f>
        <v>AMC 0103 SILVER FROST</v>
      </c>
      <c r="O520" s="56">
        <v>18.477</v>
      </c>
      <c r="P520" s="55">
        <f>(VLOOKUP($I520,'Pricing Table - eff 27-Jan-2026'!$A:$R,8,FALSE)/1000)*(VLOOKUP($I520,'Pricing Table - eff 27-Jan-2026'!$A:$R,10,FALSE)/1000)*Q520</f>
        <v>1718.1000000000001</v>
      </c>
      <c r="Q520" s="55">
        <f>ROUND(('Order Details'!$O520*1000)/((VLOOKUP($I520,'Pricing Table - eff 27-Jan-2026'!$A:$Q,7,FALSE)/12)*(VLOOKUP($I520,'Pricing Table - eff 27-Jan-2026'!$A:$Q,9,FALSE)/12))/5,0)*5</f>
        <v>600</v>
      </c>
      <c r="R520" s="71">
        <f>$Q520/IFERROR(VLOOKUP($F520&amp;RIGHT($K520,8),'Master Data'!$O$5:$P$10,2,FALSE),'Master Data'!$P$4)</f>
        <v>3</v>
      </c>
      <c r="S520" s="57">
        <f>VLOOKUP($I520,'Pricing Table - eff 27-Jan-2026'!$A:$Q,16,FALSE)</f>
        <v>720</v>
      </c>
      <c r="T520" s="57">
        <f>VLOOKUP(I520,'Pricing Table - eff 27-Jan-2026'!$A:$O,15,FALSE)</f>
        <v>7.73</v>
      </c>
      <c r="U520" s="57">
        <f t="shared" si="24"/>
        <v>13303.44</v>
      </c>
      <c r="V520" s="111">
        <f t="shared" si="26"/>
        <v>13280.913000000002</v>
      </c>
      <c r="W520" s="55">
        <f>VLOOKUP($I520,'Pricing Table - eff 27-Jan-2026'!$A:$R,18,FALSE)</f>
        <v>90</v>
      </c>
    </row>
    <row r="521" spans="1:23" ht="15" hidden="1" thickTop="1" x14ac:dyDescent="0.3">
      <c r="A521" s="55">
        <v>24220770</v>
      </c>
      <c r="B521" s="55">
        <v>0</v>
      </c>
      <c r="C521" s="55" t="str">
        <f>VLOOKUP(A521&amp;"-"&amp;B521,'Order Summary'!$D:$E,2,FALSE)</f>
        <v>PO Cancelled</v>
      </c>
      <c r="D521" s="216">
        <f>IF($A521="","",VLOOKUP($A521&amp;"-"&amp;$B521,'Order Summary'!$D:$U,3,FALSE))</f>
        <v>46099</v>
      </c>
      <c r="E521" s="55" t="str">
        <f>VLOOKUP(A521&amp;"-"&amp;B521,'Order Summary'!$D:$G,4,FALSE)</f>
        <v>No</v>
      </c>
      <c r="F521" s="55" t="str">
        <f>VLOOKUP($A521,'Order Summary'!$B:$I,8,FALSE)</f>
        <v>Ashburn, GA</v>
      </c>
      <c r="G521" s="216" t="str">
        <f>IF($A521="","",VLOOKUP($A521&amp;"-"&amp;$B521,'Order Summary'!$D:$U,18,FALSE))</f>
        <v/>
      </c>
      <c r="H521" s="55">
        <v>6</v>
      </c>
      <c r="I521" s="55">
        <v>694440</v>
      </c>
      <c r="J521" s="55" t="str">
        <f>VLOOKUP($I521,'Pricing Table - eff 27-Jan-2026'!$A:$R,2,FALSE)</f>
        <v>G1S 694440</v>
      </c>
      <c r="K521" s="55" t="str">
        <f>VLOOKUP($I521,'Pricing Table - eff 27-Jan-2026'!$A:$R,6,FALSE)&amp;" "&amp;VLOOKUP($I521,'Pricing Table - eff 27-Jan-2026'!$A:$R,7,FALSE)&amp;""" x "&amp;VLOOKUP($I521,'Pricing Table - eff 27-Jan-2026'!$A:$R,9,FALSE)&amp;""" "&amp;VLOOKUP($I521,'Pricing Table - eff 27-Jan-2026'!$A:$R,5,FALSE)</f>
        <v>2MM 49" x 96" ACP</v>
      </c>
      <c r="L521" s="55">
        <f>VLOOKUP($I521,'Pricing Table - eff 27-Jan-2026'!$A:$K,8,FALSE)</f>
        <v>1245</v>
      </c>
      <c r="M521" s="55">
        <f>VLOOKUP($I521,'Pricing Table - eff 27-Jan-2026'!$A:$K,10,FALSE)</f>
        <v>2440</v>
      </c>
      <c r="N521" s="55" t="str">
        <f>VLOOKUP($I521,'Pricing Table - eff 27-Jan-2026'!$A:$R,13,FALSE)&amp;" "&amp;VLOOKUP($I521,'Pricing Table - eff 27-Jan-2026'!$A:$R,12,FALSE)</f>
        <v>AMC 0103 SILVER FROST</v>
      </c>
      <c r="O521">
        <v>6.5330000000000004</v>
      </c>
      <c r="P521" s="55">
        <f>(VLOOKUP($I521,'Pricing Table - eff 27-Jan-2026'!$A:$R,8,FALSE)/1000)*(VLOOKUP($I521,'Pricing Table - eff 27-Jan-2026'!$A:$R,10,FALSE)/1000)*Q521</f>
        <v>607.56000000000006</v>
      </c>
      <c r="Q521" s="55">
        <f>ROUND(('Order Details'!$O521*1000)/((VLOOKUP($I521,'Pricing Table - eff 27-Jan-2026'!$A:$Q,7,FALSE)/12)*(VLOOKUP($I521,'Pricing Table - eff 27-Jan-2026'!$A:$Q,9,FALSE)/12))/5,0)*5</f>
        <v>200</v>
      </c>
      <c r="R521" s="71">
        <f>$Q521/IFERROR(VLOOKUP($F521&amp;RIGHT($K521,8),'Master Data'!$O$5:$P$10,2,FALSE),'Master Data'!$P$4)</f>
        <v>1</v>
      </c>
      <c r="S521" s="57">
        <f>VLOOKUP($I521,'Pricing Table - eff 27-Jan-2026'!$A:$Q,16,FALSE)</f>
        <v>720</v>
      </c>
      <c r="T521" s="57">
        <f>VLOOKUP(I521,'Pricing Table - eff 27-Jan-2026'!$A:$O,15,FALSE)</f>
        <v>7.73</v>
      </c>
      <c r="U521" s="57">
        <f t="shared" si="24"/>
        <v>4703.76</v>
      </c>
      <c r="V521" s="111">
        <f t="shared" si="26"/>
        <v>4696.4388000000008</v>
      </c>
      <c r="W521" s="55">
        <f>VLOOKUP($I521,'Pricing Table - eff 27-Jan-2026'!$A:$R,18,FALSE)</f>
        <v>90</v>
      </c>
    </row>
    <row r="522" spans="1:23" ht="15" hidden="1" thickTop="1" x14ac:dyDescent="0.3">
      <c r="A522" s="55">
        <v>24220765</v>
      </c>
      <c r="B522" s="55">
        <v>0</v>
      </c>
      <c r="C522" s="55" t="str">
        <f>VLOOKUP(A522&amp;"-"&amp;B522,'Order Summary'!$D:$E,2,FALSE)</f>
        <v>PO Cancelled</v>
      </c>
      <c r="D522" s="216">
        <f>IF($A522="","",VLOOKUP($A522&amp;"-"&amp;$B522,'Order Summary'!$D:$U,3,FALSE))</f>
        <v>46099</v>
      </c>
      <c r="E522" s="55" t="str">
        <f>VLOOKUP(A522&amp;"-"&amp;B522,'Order Summary'!$D:$G,4,FALSE)</f>
        <v>No</v>
      </c>
      <c r="F522" s="55" t="str">
        <f>VLOOKUP($A522,'Order Summary'!$B:$I,8,FALSE)</f>
        <v>Ashburn, GA</v>
      </c>
      <c r="G522" s="216" t="str">
        <f>IF($A522="","",VLOOKUP($A522&amp;"-"&amp;$B522,'Order Summary'!$D:$U,18,FALSE))</f>
        <v/>
      </c>
      <c r="H522" s="55">
        <v>1</v>
      </c>
      <c r="I522" s="55">
        <v>704984</v>
      </c>
      <c r="J522" s="55" t="str">
        <f>VLOOKUP($I522,'Pricing Table - eff 27-Jan-2026'!$A:$R,2,FALSE)</f>
        <v>G1S 704984</v>
      </c>
      <c r="K522" s="55" t="str">
        <f>VLOOKUP($I522,'Pricing Table - eff 27-Jan-2026'!$A:$R,6,FALSE)&amp;" "&amp;VLOOKUP($I522,'Pricing Table - eff 27-Jan-2026'!$A:$R,7,FALSE)&amp;""" x "&amp;VLOOKUP($I522,'Pricing Table - eff 27-Jan-2026'!$A:$R,9,FALSE)&amp;""" "&amp;VLOOKUP($I522,'Pricing Table - eff 27-Jan-2026'!$A:$R,5,FALSE)</f>
        <v>2MM 49" x 84" ACP</v>
      </c>
      <c r="L522" s="55">
        <f>VLOOKUP($I522,'Pricing Table - eff 27-Jan-2026'!$A:$K,8,FALSE)</f>
        <v>1245</v>
      </c>
      <c r="M522" s="55">
        <f>VLOOKUP($I522,'Pricing Table - eff 27-Jan-2026'!$A:$K,10,FALSE)</f>
        <v>2135</v>
      </c>
      <c r="N522" s="55" t="str">
        <f>VLOOKUP($I522,'Pricing Table - eff 27-Jan-2026'!$A:$R,13,FALSE)&amp;" "&amp;VLOOKUP($I522,'Pricing Table - eff 27-Jan-2026'!$A:$R,12,FALSE)</f>
        <v>ASC 0096 GLOSSY BLACK</v>
      </c>
      <c r="O522" s="56">
        <v>17.149999999999999</v>
      </c>
      <c r="P522" s="55">
        <f>(VLOOKUP($I522,'Pricing Table - eff 27-Jan-2026'!$A:$R,8,FALSE)/1000)*(VLOOKUP($I522,'Pricing Table - eff 27-Jan-2026'!$A:$R,10,FALSE)/1000)*Q522</f>
        <v>1594.8449999999998</v>
      </c>
      <c r="Q522" s="55">
        <f>ROUND(('Order Details'!$O522*1000)/((VLOOKUP($I522,'Pricing Table - eff 27-Jan-2026'!$A:$Q,7,FALSE)/12)*(VLOOKUP($I522,'Pricing Table - eff 27-Jan-2026'!$A:$Q,9,FALSE)/12))/5,0)*5</f>
        <v>600</v>
      </c>
      <c r="R522" s="71">
        <f>$Q522/IFERROR(VLOOKUP($F522&amp;RIGHT($K522,8),'Master Data'!$O$5:$P$10,2,FALSE),'Master Data'!$P$4)</f>
        <v>3</v>
      </c>
      <c r="S522" s="57">
        <f>VLOOKUP($I522,'Pricing Table - eff 27-Jan-2026'!$A:$Q,16,FALSE)</f>
        <v>720</v>
      </c>
      <c r="T522" s="57">
        <f>VLOOKUP(I522,'Pricing Table - eff 27-Jan-2026'!$A:$O,15,FALSE)</f>
        <v>7.73</v>
      </c>
      <c r="U522" s="57">
        <f t="shared" si="24"/>
        <v>12347.999999999998</v>
      </c>
      <c r="V522" s="111">
        <f t="shared" si="26"/>
        <v>12328.151849999998</v>
      </c>
      <c r="W522" s="55">
        <f>VLOOKUP($I522,'Pricing Table - eff 27-Jan-2026'!$A:$R,18,FALSE)</f>
        <v>45</v>
      </c>
    </row>
    <row r="523" spans="1:23" ht="15" hidden="1" thickTop="1" x14ac:dyDescent="0.3">
      <c r="A523" s="55">
        <v>24220765</v>
      </c>
      <c r="B523" s="55">
        <v>0</v>
      </c>
      <c r="C523" s="55" t="str">
        <f>VLOOKUP(A523&amp;"-"&amp;B523,'Order Summary'!$D:$E,2,FALSE)</f>
        <v>PO Cancelled</v>
      </c>
      <c r="D523" s="216">
        <f>IF($A523="","",VLOOKUP($A523&amp;"-"&amp;$B523,'Order Summary'!$D:$U,3,FALSE))</f>
        <v>46099</v>
      </c>
      <c r="E523" s="55" t="str">
        <f>VLOOKUP(A523&amp;"-"&amp;B523,'Order Summary'!$D:$G,4,FALSE)</f>
        <v>No</v>
      </c>
      <c r="F523" s="55" t="str">
        <f>VLOOKUP($A523,'Order Summary'!$B:$I,8,FALSE)</f>
        <v>Ashburn, GA</v>
      </c>
      <c r="G523" s="216" t="str">
        <f>IF($A523="","",VLOOKUP($A523&amp;"-"&amp;$B523,'Order Summary'!$D:$U,18,FALSE))</f>
        <v/>
      </c>
      <c r="H523" s="55">
        <v>2</v>
      </c>
      <c r="I523" s="55">
        <v>709354</v>
      </c>
      <c r="J523" s="55" t="str">
        <f>VLOOKUP($I523,'Pricing Table - eff 27-Jan-2026'!$A:$R,2,FALSE)</f>
        <v>G1S 709354</v>
      </c>
      <c r="K523" s="55" t="str">
        <f>VLOOKUP($I523,'Pricing Table - eff 27-Jan-2026'!$A:$R,6,FALSE)&amp;" "&amp;VLOOKUP($I523,'Pricing Table - eff 27-Jan-2026'!$A:$R,7,FALSE)&amp;""" x "&amp;VLOOKUP($I523,'Pricing Table - eff 27-Jan-2026'!$A:$R,9,FALSE)&amp;""" "&amp;VLOOKUP($I523,'Pricing Table - eff 27-Jan-2026'!$A:$R,5,FALSE)</f>
        <v>2MM 49" x 90.5" ACP</v>
      </c>
      <c r="L523" s="55">
        <f>VLOOKUP($I523,'Pricing Table - eff 27-Jan-2026'!$A:$K,8,FALSE)</f>
        <v>1245</v>
      </c>
      <c r="M523" s="55">
        <f>VLOOKUP($I523,'Pricing Table - eff 27-Jan-2026'!$A:$K,10,FALSE)</f>
        <v>2300</v>
      </c>
      <c r="N523" s="55" t="str">
        <f>VLOOKUP($I523,'Pricing Table - eff 27-Jan-2026'!$A:$R,13,FALSE)&amp;" "&amp;VLOOKUP($I523,'Pricing Table - eff 27-Jan-2026'!$A:$R,12,FALSE)</f>
        <v>ASC 0096 GLOSSY BLACK</v>
      </c>
      <c r="O523" s="56">
        <v>36.954000000000001</v>
      </c>
      <c r="P523" s="55">
        <f>(VLOOKUP($I523,'Pricing Table - eff 27-Jan-2026'!$A:$R,8,FALSE)/1000)*(VLOOKUP($I523,'Pricing Table - eff 27-Jan-2026'!$A:$R,10,FALSE)/1000)*Q523</f>
        <v>3436.2000000000003</v>
      </c>
      <c r="Q523" s="55">
        <f>ROUND(('Order Details'!$O523*1000)/((VLOOKUP($I523,'Pricing Table - eff 27-Jan-2026'!$A:$Q,7,FALSE)/12)*(VLOOKUP($I523,'Pricing Table - eff 27-Jan-2026'!$A:$Q,9,FALSE)/12))/5,0)*5</f>
        <v>1200</v>
      </c>
      <c r="R523" s="71">
        <f>$Q523/IFERROR(VLOOKUP($F523&amp;RIGHT($K523,8),'Master Data'!$O$5:$P$10,2,FALSE),'Master Data'!$P$4)</f>
        <v>6</v>
      </c>
      <c r="S523" s="57">
        <f>VLOOKUP($I523,'Pricing Table - eff 27-Jan-2026'!$A:$Q,16,FALSE)</f>
        <v>720</v>
      </c>
      <c r="T523" s="57">
        <f>VLOOKUP(I523,'Pricing Table - eff 27-Jan-2026'!$A:$O,15,FALSE)</f>
        <v>7.73</v>
      </c>
      <c r="U523" s="57">
        <f t="shared" si="24"/>
        <v>26606.880000000001</v>
      </c>
      <c r="V523" s="111">
        <f t="shared" si="26"/>
        <v>26561.826000000005</v>
      </c>
      <c r="W523" s="55">
        <f>VLOOKUP($I523,'Pricing Table - eff 27-Jan-2026'!$A:$R,18,FALSE)</f>
        <v>45</v>
      </c>
    </row>
    <row r="524" spans="1:23" ht="15" hidden="1" thickTop="1" x14ac:dyDescent="0.3">
      <c r="A524" s="55">
        <v>24220765</v>
      </c>
      <c r="B524" s="55">
        <v>0</v>
      </c>
      <c r="C524" s="55" t="str">
        <f>VLOOKUP(A524&amp;"-"&amp;B524,'Order Summary'!$D:$E,2,FALSE)</f>
        <v>PO Cancelled</v>
      </c>
      <c r="D524" s="216">
        <f>IF($A524="","",VLOOKUP($A524&amp;"-"&amp;$B524,'Order Summary'!$D:$U,3,FALSE))</f>
        <v>46099</v>
      </c>
      <c r="E524" s="55" t="str">
        <f>VLOOKUP(A524&amp;"-"&amp;B524,'Order Summary'!$D:$G,4,FALSE)</f>
        <v>No</v>
      </c>
      <c r="F524" s="55" t="str">
        <f>VLOOKUP($A524,'Order Summary'!$B:$I,8,FALSE)</f>
        <v>Ashburn, GA</v>
      </c>
      <c r="G524" s="216" t="str">
        <f>IF($A524="","",VLOOKUP($A524&amp;"-"&amp;$B524,'Order Summary'!$D:$U,18,FALSE))</f>
        <v/>
      </c>
      <c r="H524" s="55">
        <v>3</v>
      </c>
      <c r="I524" s="55">
        <v>694432</v>
      </c>
      <c r="J524" s="55" t="str">
        <f>VLOOKUP($I524,'Pricing Table - eff 27-Jan-2026'!$A:$R,2,FALSE)</f>
        <v>G1S 694432</v>
      </c>
      <c r="K524" s="55" t="str">
        <f>VLOOKUP($I524,'Pricing Table - eff 27-Jan-2026'!$A:$R,6,FALSE)&amp;" "&amp;VLOOKUP($I524,'Pricing Table - eff 27-Jan-2026'!$A:$R,7,FALSE)&amp;""" x "&amp;VLOOKUP($I524,'Pricing Table - eff 27-Jan-2026'!$A:$R,9,FALSE)&amp;""" "&amp;VLOOKUP($I524,'Pricing Table - eff 27-Jan-2026'!$A:$R,5,FALSE)</f>
        <v>2MM 49" x 96" ACP</v>
      </c>
      <c r="L524" s="55">
        <f>VLOOKUP($I524,'Pricing Table - eff 27-Jan-2026'!$A:$K,8,FALSE)</f>
        <v>1245</v>
      </c>
      <c r="M524" s="55">
        <f>VLOOKUP($I524,'Pricing Table - eff 27-Jan-2026'!$A:$K,10,FALSE)</f>
        <v>2440</v>
      </c>
      <c r="N524" s="55" t="str">
        <f>VLOOKUP($I524,'Pricing Table - eff 27-Jan-2026'!$A:$R,13,FALSE)&amp;" "&amp;VLOOKUP($I524,'Pricing Table - eff 27-Jan-2026'!$A:$R,12,FALSE)</f>
        <v>ASC 0096 GLOSSY BLACK</v>
      </c>
      <c r="O524" s="56">
        <v>19.600000000000001</v>
      </c>
      <c r="P524" s="55">
        <f>(VLOOKUP($I524,'Pricing Table - eff 27-Jan-2026'!$A:$R,8,FALSE)/1000)*(VLOOKUP($I524,'Pricing Table - eff 27-Jan-2026'!$A:$R,10,FALSE)/1000)*Q524</f>
        <v>1822.68</v>
      </c>
      <c r="Q524" s="55">
        <f>ROUND(('Order Details'!$O524*1000)/((VLOOKUP($I524,'Pricing Table - eff 27-Jan-2026'!$A:$Q,7,FALSE)/12)*(VLOOKUP($I524,'Pricing Table - eff 27-Jan-2026'!$A:$Q,9,FALSE)/12))/5,0)*5</f>
        <v>600</v>
      </c>
      <c r="R524" s="71">
        <f>$Q524/IFERROR(VLOOKUP($F524&amp;RIGHT($K524,8),'Master Data'!$O$5:$P$10,2,FALSE),'Master Data'!$P$4)</f>
        <v>3</v>
      </c>
      <c r="S524" s="57">
        <f>VLOOKUP($I524,'Pricing Table - eff 27-Jan-2026'!$A:$Q,16,FALSE)</f>
        <v>720</v>
      </c>
      <c r="T524" s="57">
        <f>VLOOKUP(I524,'Pricing Table - eff 27-Jan-2026'!$A:$O,15,FALSE)</f>
        <v>7.73</v>
      </c>
      <c r="U524" s="57">
        <f t="shared" si="24"/>
        <v>14112.000000000002</v>
      </c>
      <c r="V524" s="111">
        <f t="shared" si="26"/>
        <v>14089.316400000002</v>
      </c>
      <c r="W524" s="55">
        <f>VLOOKUP($I524,'Pricing Table - eff 27-Jan-2026'!$A:$R,18,FALSE)</f>
        <v>45</v>
      </c>
    </row>
    <row r="525" spans="1:23" ht="15" hidden="1" thickTop="1" x14ac:dyDescent="0.3">
      <c r="A525" s="55">
        <v>24220765</v>
      </c>
      <c r="B525" s="55">
        <v>0</v>
      </c>
      <c r="C525" s="55" t="str">
        <f>VLOOKUP(A525&amp;"-"&amp;B525,'Order Summary'!$D:$E,2,FALSE)</f>
        <v>PO Cancelled</v>
      </c>
      <c r="D525" s="216">
        <f>IF($A525="","",VLOOKUP($A525&amp;"-"&amp;$B525,'Order Summary'!$D:$U,3,FALSE))</f>
        <v>46099</v>
      </c>
      <c r="E525" s="55" t="str">
        <f>VLOOKUP(A525&amp;"-"&amp;B525,'Order Summary'!$D:$G,4,FALSE)</f>
        <v>No</v>
      </c>
      <c r="F525" s="55" t="str">
        <f>VLOOKUP($A525,'Order Summary'!$B:$I,8,FALSE)</f>
        <v>Ashburn, GA</v>
      </c>
      <c r="G525" s="216" t="str">
        <f>IF($A525="","",VLOOKUP($A525&amp;"-"&amp;$B525,'Order Summary'!$D:$U,18,FALSE))</f>
        <v/>
      </c>
      <c r="H525" s="55">
        <v>4</v>
      </c>
      <c r="I525" s="55">
        <v>694440</v>
      </c>
      <c r="J525" s="55" t="str">
        <f>VLOOKUP($I525,'Pricing Table - eff 27-Jan-2026'!$A:$R,2,FALSE)</f>
        <v>G1S 694440</v>
      </c>
      <c r="K525" s="55" t="str">
        <f>VLOOKUP($I525,'Pricing Table - eff 27-Jan-2026'!$A:$R,6,FALSE)&amp;" "&amp;VLOOKUP($I525,'Pricing Table - eff 27-Jan-2026'!$A:$R,7,FALSE)&amp;""" x "&amp;VLOOKUP($I525,'Pricing Table - eff 27-Jan-2026'!$A:$R,9,FALSE)&amp;""" "&amp;VLOOKUP($I525,'Pricing Table - eff 27-Jan-2026'!$A:$R,5,FALSE)</f>
        <v>2MM 49" x 96" ACP</v>
      </c>
      <c r="L525" s="55">
        <f>VLOOKUP($I525,'Pricing Table - eff 27-Jan-2026'!$A:$K,8,FALSE)</f>
        <v>1245</v>
      </c>
      <c r="M525" s="55">
        <f>VLOOKUP($I525,'Pricing Table - eff 27-Jan-2026'!$A:$K,10,FALSE)</f>
        <v>2440</v>
      </c>
      <c r="N525" s="55" t="str">
        <f>VLOOKUP($I525,'Pricing Table - eff 27-Jan-2026'!$A:$R,13,FALSE)&amp;" "&amp;VLOOKUP($I525,'Pricing Table - eff 27-Jan-2026'!$A:$R,12,FALSE)</f>
        <v>AMC 0103 SILVER FROST</v>
      </c>
      <c r="O525" s="56">
        <v>6.5330000000000004</v>
      </c>
      <c r="P525" s="55">
        <f>(VLOOKUP($I525,'Pricing Table - eff 27-Jan-2026'!$A:$R,8,FALSE)/1000)*(VLOOKUP($I525,'Pricing Table - eff 27-Jan-2026'!$A:$R,10,FALSE)/1000)*Q525</f>
        <v>607.56000000000006</v>
      </c>
      <c r="Q525" s="55">
        <f>ROUND(('Order Details'!$O525*1000)/((VLOOKUP($I525,'Pricing Table - eff 27-Jan-2026'!$A:$Q,7,FALSE)/12)*(VLOOKUP($I525,'Pricing Table - eff 27-Jan-2026'!$A:$Q,9,FALSE)/12))/5,0)*5</f>
        <v>200</v>
      </c>
      <c r="R525" s="71">
        <f>$Q525/IFERROR(VLOOKUP($F525&amp;RIGHT($K525,8),'Master Data'!$O$5:$P$10,2,FALSE),'Master Data'!$P$4)</f>
        <v>1</v>
      </c>
      <c r="S525" s="57">
        <f>VLOOKUP($I525,'Pricing Table - eff 27-Jan-2026'!$A:$Q,16,FALSE)</f>
        <v>720</v>
      </c>
      <c r="T525" s="57">
        <f>VLOOKUP(I525,'Pricing Table - eff 27-Jan-2026'!$A:$O,15,FALSE)</f>
        <v>7.73</v>
      </c>
      <c r="U525" s="57">
        <f t="shared" si="24"/>
        <v>4703.76</v>
      </c>
      <c r="V525" s="111">
        <f t="shared" si="26"/>
        <v>4696.4388000000008</v>
      </c>
      <c r="W525" s="55">
        <f>VLOOKUP($I525,'Pricing Table - eff 27-Jan-2026'!$A:$R,18,FALSE)</f>
        <v>90</v>
      </c>
    </row>
    <row r="526" spans="1:23" ht="15" hidden="1" thickTop="1" x14ac:dyDescent="0.3">
      <c r="A526" s="55">
        <v>24220757</v>
      </c>
      <c r="B526" s="55">
        <v>0</v>
      </c>
      <c r="C526" s="55" t="str">
        <f>VLOOKUP(A526&amp;"-"&amp;B526,'Order Summary'!$D:$E,2,FALSE)</f>
        <v>PO Cancelled</v>
      </c>
      <c r="D526" s="216">
        <f>IF($A526="","",VLOOKUP($A526&amp;"-"&amp;$B526,'Order Summary'!$D:$U,3,FALSE))</f>
        <v>46099</v>
      </c>
      <c r="E526" s="55" t="str">
        <f>VLOOKUP(A526&amp;"-"&amp;B526,'Order Summary'!$D:$G,4,FALSE)</f>
        <v>No</v>
      </c>
      <c r="F526" s="55" t="str">
        <f>VLOOKUP($A526,'Order Summary'!$B:$I,8,FALSE)</f>
        <v>Ashburn, GA</v>
      </c>
      <c r="G526" s="216" t="str">
        <f>IF($A526="","",VLOOKUP($A526&amp;"-"&amp;$B526,'Order Summary'!$D:$U,18,FALSE))</f>
        <v/>
      </c>
      <c r="H526" s="55">
        <v>1</v>
      </c>
      <c r="I526" s="55">
        <v>704985</v>
      </c>
      <c r="J526" s="55" t="str">
        <f>VLOOKUP($I526,'Pricing Table - eff 27-Jan-2026'!$A:$R,2,FALSE)</f>
        <v>G1S 704985</v>
      </c>
      <c r="K526" s="55" t="str">
        <f>VLOOKUP($I526,'Pricing Table - eff 27-Jan-2026'!$A:$R,6,FALSE)&amp;" "&amp;VLOOKUP($I526,'Pricing Table - eff 27-Jan-2026'!$A:$R,7,FALSE)&amp;""" x "&amp;VLOOKUP($I526,'Pricing Table - eff 27-Jan-2026'!$A:$R,9,FALSE)&amp;""" "&amp;VLOOKUP($I526,'Pricing Table - eff 27-Jan-2026'!$A:$R,5,FALSE)</f>
        <v>2MM 49" x 84" ACP</v>
      </c>
      <c r="L526" s="55">
        <f>VLOOKUP($I526,'Pricing Table - eff 27-Jan-2026'!$A:$K,8,FALSE)</f>
        <v>1245</v>
      </c>
      <c r="M526" s="55">
        <f>VLOOKUP($I526,'Pricing Table - eff 27-Jan-2026'!$A:$K,10,FALSE)</f>
        <v>2135</v>
      </c>
      <c r="N526" s="55" t="str">
        <f>VLOOKUP($I526,'Pricing Table - eff 27-Jan-2026'!$A:$R,13,FALSE)&amp;" "&amp;VLOOKUP($I526,'Pricing Table - eff 27-Jan-2026'!$A:$R,12,FALSE)</f>
        <v>ASC 0069 GLOSSY WHITE</v>
      </c>
      <c r="O526" s="56">
        <v>17.149999999999999</v>
      </c>
      <c r="P526" s="55">
        <f>(VLOOKUP($I526,'Pricing Table - eff 27-Jan-2026'!$A:$R,8,FALSE)/1000)*(VLOOKUP($I526,'Pricing Table - eff 27-Jan-2026'!$A:$R,10,FALSE)/1000)*Q526</f>
        <v>1594.8449999999998</v>
      </c>
      <c r="Q526" s="55">
        <f>ROUND(('Order Details'!$O526*1000)/((VLOOKUP($I526,'Pricing Table - eff 27-Jan-2026'!$A:$Q,7,FALSE)/12)*(VLOOKUP($I526,'Pricing Table - eff 27-Jan-2026'!$A:$Q,9,FALSE)/12))/5,0)*5</f>
        <v>600</v>
      </c>
      <c r="R526" s="71">
        <f>$Q526/IFERROR(VLOOKUP($F526&amp;RIGHT($K526,8),'Master Data'!$O$5:$P$10,2,FALSE),'Master Data'!$P$4)</f>
        <v>3</v>
      </c>
      <c r="S526" s="57">
        <f>VLOOKUP($I526,'Pricing Table - eff 27-Jan-2026'!$A:$Q,16,FALSE)</f>
        <v>720</v>
      </c>
      <c r="T526" s="57">
        <f>VLOOKUP(I526,'Pricing Table - eff 27-Jan-2026'!$A:$O,15,FALSE)</f>
        <v>7.73</v>
      </c>
      <c r="U526" s="57">
        <f t="shared" si="24"/>
        <v>12347.999999999998</v>
      </c>
      <c r="V526" s="111">
        <f t="shared" si="26"/>
        <v>12328.151849999998</v>
      </c>
      <c r="W526" s="55">
        <f>VLOOKUP($I526,'Pricing Table - eff 27-Jan-2026'!$A:$R,18,FALSE)</f>
        <v>45</v>
      </c>
    </row>
    <row r="527" spans="1:23" ht="15" hidden="1" thickTop="1" x14ac:dyDescent="0.3">
      <c r="A527" s="55">
        <v>24220757</v>
      </c>
      <c r="B527" s="55">
        <v>0</v>
      </c>
      <c r="C527" s="55" t="str">
        <f>VLOOKUP(A527&amp;"-"&amp;B527,'Order Summary'!$D:$E,2,FALSE)</f>
        <v>PO Cancelled</v>
      </c>
      <c r="D527" s="216">
        <f>IF($A527="","",VLOOKUP($A527&amp;"-"&amp;$B527,'Order Summary'!$D:$U,3,FALSE))</f>
        <v>46099</v>
      </c>
      <c r="E527" s="55" t="str">
        <f>VLOOKUP(A527&amp;"-"&amp;B527,'Order Summary'!$D:$G,4,FALSE)</f>
        <v>No</v>
      </c>
      <c r="F527" s="55" t="str">
        <f>VLOOKUP($A527,'Order Summary'!$B:$I,8,FALSE)</f>
        <v>Ashburn, GA</v>
      </c>
      <c r="G527" s="216" t="str">
        <f>IF($A527="","",VLOOKUP($A527&amp;"-"&amp;$B527,'Order Summary'!$D:$U,18,FALSE))</f>
        <v/>
      </c>
      <c r="H527" s="55">
        <v>2</v>
      </c>
      <c r="I527" s="55">
        <v>709355</v>
      </c>
      <c r="J527" s="55" t="str">
        <f>VLOOKUP($I527,'Pricing Table - eff 27-Jan-2026'!$A:$R,2,FALSE)</f>
        <v>G1S 709355</v>
      </c>
      <c r="K527" s="55" t="str">
        <f>VLOOKUP($I527,'Pricing Table - eff 27-Jan-2026'!$A:$R,6,FALSE)&amp;" "&amp;VLOOKUP($I527,'Pricing Table - eff 27-Jan-2026'!$A:$R,7,FALSE)&amp;""" x "&amp;VLOOKUP($I527,'Pricing Table - eff 27-Jan-2026'!$A:$R,9,FALSE)&amp;""" "&amp;VLOOKUP($I527,'Pricing Table - eff 27-Jan-2026'!$A:$R,5,FALSE)</f>
        <v>2MM 49" x 90.5" ACP</v>
      </c>
      <c r="L527" s="55">
        <f>VLOOKUP($I527,'Pricing Table - eff 27-Jan-2026'!$A:$K,8,FALSE)</f>
        <v>1245</v>
      </c>
      <c r="M527" s="55">
        <f>VLOOKUP($I527,'Pricing Table - eff 27-Jan-2026'!$A:$K,10,FALSE)</f>
        <v>2300</v>
      </c>
      <c r="N527" s="55" t="str">
        <f>VLOOKUP($I527,'Pricing Table - eff 27-Jan-2026'!$A:$R,13,FALSE)&amp;" "&amp;VLOOKUP($I527,'Pricing Table - eff 27-Jan-2026'!$A:$R,12,FALSE)</f>
        <v>ASC 0069 GLOSSY WHITE</v>
      </c>
      <c r="O527" s="56">
        <v>36.954000000000001</v>
      </c>
      <c r="P527" s="55">
        <f>(VLOOKUP($I527,'Pricing Table - eff 27-Jan-2026'!$A:$R,8,FALSE)/1000)*(VLOOKUP($I527,'Pricing Table - eff 27-Jan-2026'!$A:$R,10,FALSE)/1000)*Q527</f>
        <v>3436.2000000000003</v>
      </c>
      <c r="Q527" s="55">
        <f>ROUND(('Order Details'!$O527*1000)/((VLOOKUP($I527,'Pricing Table - eff 27-Jan-2026'!$A:$Q,7,FALSE)/12)*(VLOOKUP($I527,'Pricing Table - eff 27-Jan-2026'!$A:$Q,9,FALSE)/12))/5,0)*5</f>
        <v>1200</v>
      </c>
      <c r="R527" s="71">
        <f>$Q527/IFERROR(VLOOKUP($F527&amp;RIGHT($K527,8),'Master Data'!$O$5:$P$10,2,FALSE),'Master Data'!$P$4)</f>
        <v>6</v>
      </c>
      <c r="S527" s="57">
        <f>VLOOKUP($I527,'Pricing Table - eff 27-Jan-2026'!$A:$Q,16,FALSE)</f>
        <v>720</v>
      </c>
      <c r="T527" s="57">
        <f>VLOOKUP(I527,'Pricing Table - eff 27-Jan-2026'!$A:$O,15,FALSE)</f>
        <v>7.73</v>
      </c>
      <c r="U527" s="57">
        <f t="shared" si="24"/>
        <v>26606.880000000001</v>
      </c>
      <c r="V527" s="111">
        <f t="shared" si="26"/>
        <v>26561.826000000005</v>
      </c>
      <c r="W527" s="55">
        <f>VLOOKUP($I527,'Pricing Table - eff 27-Jan-2026'!$A:$R,18,FALSE)</f>
        <v>45</v>
      </c>
    </row>
    <row r="528" spans="1:23" ht="15" hidden="1" thickTop="1" x14ac:dyDescent="0.3">
      <c r="A528" s="55">
        <v>24220757</v>
      </c>
      <c r="B528" s="55">
        <v>0</v>
      </c>
      <c r="C528" s="55" t="str">
        <f>VLOOKUP(A528&amp;"-"&amp;B528,'Order Summary'!$D:$E,2,FALSE)</f>
        <v>PO Cancelled</v>
      </c>
      <c r="D528" s="216">
        <f>IF($A528="","",VLOOKUP($A528&amp;"-"&amp;$B528,'Order Summary'!$D:$U,3,FALSE))</f>
        <v>46099</v>
      </c>
      <c r="E528" s="55" t="str">
        <f>VLOOKUP(A528&amp;"-"&amp;B528,'Order Summary'!$D:$G,4,FALSE)</f>
        <v>No</v>
      </c>
      <c r="F528" s="55" t="str">
        <f>VLOOKUP($A528,'Order Summary'!$B:$I,8,FALSE)</f>
        <v>Ashburn, GA</v>
      </c>
      <c r="G528" s="216" t="str">
        <f>IF($A528="","",VLOOKUP($A528&amp;"-"&amp;$B528,'Order Summary'!$D:$U,18,FALSE))</f>
        <v/>
      </c>
      <c r="H528" s="55">
        <v>3</v>
      </c>
      <c r="I528">
        <v>694436</v>
      </c>
      <c r="J528" s="55" t="str">
        <f>VLOOKUP($I528,'Pricing Table - eff 27-Jan-2026'!$A:$R,2,FALSE)</f>
        <v>G1S 694436</v>
      </c>
      <c r="K528" s="55" t="str">
        <f>VLOOKUP($I528,'Pricing Table - eff 27-Jan-2026'!$A:$R,6,FALSE)&amp;" "&amp;VLOOKUP($I528,'Pricing Table - eff 27-Jan-2026'!$A:$R,7,FALSE)&amp;""" x "&amp;VLOOKUP($I528,'Pricing Table - eff 27-Jan-2026'!$A:$R,9,FALSE)&amp;""" "&amp;VLOOKUP($I528,'Pricing Table - eff 27-Jan-2026'!$A:$R,5,FALSE)</f>
        <v>2MM 49" x 96" ACP</v>
      </c>
      <c r="L528" s="55">
        <f>VLOOKUP($I528,'Pricing Table - eff 27-Jan-2026'!$A:$K,8,FALSE)</f>
        <v>1245</v>
      </c>
      <c r="M528" s="55">
        <f>VLOOKUP($I528,'Pricing Table - eff 27-Jan-2026'!$A:$K,10,FALSE)</f>
        <v>2440</v>
      </c>
      <c r="N528" s="55" t="str">
        <f>VLOOKUP($I528,'Pricing Table - eff 27-Jan-2026'!$A:$R,13,FALSE)&amp;" "&amp;VLOOKUP($I528,'Pricing Table - eff 27-Jan-2026'!$A:$R,12,FALSE)</f>
        <v>ASC 0069 GLOSSY WHITE</v>
      </c>
      <c r="O528" s="56">
        <v>19.600000000000001</v>
      </c>
      <c r="P528" s="55">
        <f>(VLOOKUP($I528,'Pricing Table - eff 27-Jan-2026'!$A:$R,8,FALSE)/1000)*(VLOOKUP($I528,'Pricing Table - eff 27-Jan-2026'!$A:$R,10,FALSE)/1000)*Q528</f>
        <v>1822.68</v>
      </c>
      <c r="Q528" s="55">
        <f>ROUND(('Order Details'!$O528*1000)/((VLOOKUP($I528,'Pricing Table - eff 27-Jan-2026'!$A:$Q,7,FALSE)/12)*(VLOOKUP($I528,'Pricing Table - eff 27-Jan-2026'!$A:$Q,9,FALSE)/12))/5,0)*5</f>
        <v>600</v>
      </c>
      <c r="R528" s="71">
        <f>$Q528/IFERROR(VLOOKUP($F528&amp;RIGHT($K528,8),'Master Data'!$O$5:$P$10,2,FALSE),'Master Data'!$P$4)</f>
        <v>3</v>
      </c>
      <c r="S528" s="57">
        <f>VLOOKUP($I528,'Pricing Table - eff 27-Jan-2026'!$A:$Q,16,FALSE)</f>
        <v>720</v>
      </c>
      <c r="T528" s="57">
        <f>VLOOKUP(I528,'Pricing Table - eff 27-Jan-2026'!$A:$O,15,FALSE)</f>
        <v>7.73</v>
      </c>
      <c r="U528" s="57">
        <f t="shared" si="24"/>
        <v>14112.000000000002</v>
      </c>
      <c r="V528" s="111">
        <f t="shared" si="26"/>
        <v>14089.316400000002</v>
      </c>
      <c r="W528" s="55">
        <f>VLOOKUP($I528,'Pricing Table - eff 27-Jan-2026'!$A:$R,18,FALSE)</f>
        <v>45</v>
      </c>
    </row>
    <row r="529" spans="1:23" ht="15" hidden="1" thickTop="1" x14ac:dyDescent="0.3">
      <c r="A529" s="55">
        <v>24220757</v>
      </c>
      <c r="B529" s="55">
        <v>0</v>
      </c>
      <c r="C529" s="55" t="str">
        <f>VLOOKUP(A529&amp;"-"&amp;B529,'Order Summary'!$D:$E,2,FALSE)</f>
        <v>PO Cancelled</v>
      </c>
      <c r="D529" s="216">
        <f>IF($A529="","",VLOOKUP($A529&amp;"-"&amp;$B529,'Order Summary'!$D:$U,3,FALSE))</f>
        <v>46099</v>
      </c>
      <c r="E529" s="55" t="str">
        <f>VLOOKUP(A529&amp;"-"&amp;B529,'Order Summary'!$D:$G,4,FALSE)</f>
        <v>No</v>
      </c>
      <c r="F529" s="55" t="str">
        <f>VLOOKUP($A529,'Order Summary'!$B:$I,8,FALSE)</f>
        <v>Ashburn, GA</v>
      </c>
      <c r="G529" s="216" t="str">
        <f>IF($A529="","",VLOOKUP($A529&amp;"-"&amp;$B529,'Order Summary'!$D:$U,18,FALSE))</f>
        <v/>
      </c>
      <c r="H529" s="55">
        <v>4</v>
      </c>
      <c r="I529" s="55">
        <v>694444</v>
      </c>
      <c r="J529" s="55" t="str">
        <f>VLOOKUP($I529,'Pricing Table - eff 27-Jan-2026'!$A:$R,2,FALSE)</f>
        <v>G1S 694444</v>
      </c>
      <c r="K529" s="55" t="str">
        <f>VLOOKUP($I529,'Pricing Table - eff 27-Jan-2026'!$A:$R,6,FALSE)&amp;" "&amp;VLOOKUP($I529,'Pricing Table - eff 27-Jan-2026'!$A:$R,7,FALSE)&amp;""" x "&amp;VLOOKUP($I529,'Pricing Table - eff 27-Jan-2026'!$A:$R,9,FALSE)&amp;""" "&amp;VLOOKUP($I529,'Pricing Table - eff 27-Jan-2026'!$A:$R,5,FALSE)</f>
        <v>2MM 49" x 96" ACP</v>
      </c>
      <c r="L529" s="55">
        <f>VLOOKUP($I529,'Pricing Table - eff 27-Jan-2026'!$A:$K,8,FALSE)</f>
        <v>1245</v>
      </c>
      <c r="M529" s="55">
        <f>VLOOKUP($I529,'Pricing Table - eff 27-Jan-2026'!$A:$K,10,FALSE)</f>
        <v>2440</v>
      </c>
      <c r="N529" s="55" t="str">
        <f>VLOOKUP($I529,'Pricing Table - eff 27-Jan-2026'!$A:$R,13,FALSE)&amp;" "&amp;VLOOKUP($I529,'Pricing Table - eff 27-Jan-2026'!$A:$R,12,FALSE)</f>
        <v>AMC 0086 CHARCOAL METALLIC</v>
      </c>
      <c r="O529" s="56">
        <v>6.5330000000000004</v>
      </c>
      <c r="P529" s="55">
        <f>(VLOOKUP($I529,'Pricing Table - eff 27-Jan-2026'!$A:$R,8,FALSE)/1000)*(VLOOKUP($I529,'Pricing Table - eff 27-Jan-2026'!$A:$R,10,FALSE)/1000)*Q529</f>
        <v>607.56000000000006</v>
      </c>
      <c r="Q529" s="55">
        <f>ROUND(('Order Details'!$O529*1000)/((VLOOKUP($I529,'Pricing Table - eff 27-Jan-2026'!$A:$Q,7,FALSE)/12)*(VLOOKUP($I529,'Pricing Table - eff 27-Jan-2026'!$A:$Q,9,FALSE)/12))/5,0)*5</f>
        <v>200</v>
      </c>
      <c r="R529" s="71">
        <f>$Q529/IFERROR(VLOOKUP($F529&amp;RIGHT($K529,8),'Master Data'!$O$5:$P$10,2,FALSE),'Master Data'!$P$4)</f>
        <v>1</v>
      </c>
      <c r="S529" s="57">
        <f>VLOOKUP($I529,'Pricing Table - eff 27-Jan-2026'!$A:$Q,16,FALSE)</f>
        <v>770</v>
      </c>
      <c r="T529" s="57">
        <f>VLOOKUP(I529,'Pricing Table - eff 27-Jan-2026'!$A:$O,15,FALSE)</f>
        <v>8.27</v>
      </c>
      <c r="U529" s="57">
        <f t="shared" si="24"/>
        <v>5030.41</v>
      </c>
      <c r="V529" s="111">
        <f t="shared" si="26"/>
        <v>5024.5212000000001</v>
      </c>
      <c r="W529" s="55">
        <f>VLOOKUP($I529,'Pricing Table - eff 27-Jan-2026'!$A:$R,18,FALSE)</f>
        <v>45</v>
      </c>
    </row>
    <row r="530" spans="1:23" ht="15" hidden="1" thickTop="1" x14ac:dyDescent="0.3">
      <c r="A530" s="55">
        <v>24220742</v>
      </c>
      <c r="B530" s="55">
        <v>0</v>
      </c>
      <c r="C530" s="55" t="str">
        <f>VLOOKUP(A530&amp;"-"&amp;B530,'Order Summary'!$D:$E,2,FALSE)</f>
        <v>PO Cancelled</v>
      </c>
      <c r="D530" s="216">
        <f>IF($A530="","",VLOOKUP($A530&amp;"-"&amp;$B530,'Order Summary'!$D:$U,3,FALSE))</f>
        <v>46099</v>
      </c>
      <c r="E530" s="55" t="str">
        <f>VLOOKUP(A530&amp;"-"&amp;B530,'Order Summary'!$D:$G,4,FALSE)</f>
        <v>No</v>
      </c>
      <c r="F530" s="55" t="str">
        <f>VLOOKUP($A530,'Order Summary'!$B:$I,8,FALSE)</f>
        <v>Ashburn, GA</v>
      </c>
      <c r="G530" s="216" t="str">
        <f>IF($A530="","",VLOOKUP($A530&amp;"-"&amp;$B530,'Order Summary'!$D:$U,18,FALSE))</f>
        <v/>
      </c>
      <c r="H530" s="55">
        <v>1</v>
      </c>
      <c r="I530" s="55">
        <v>714953</v>
      </c>
      <c r="J530" s="55" t="str">
        <f>VLOOKUP($I530,'Pricing Table - eff 27-Jan-2026'!$A:$R,2,FALSE)</f>
        <v>G1S 714953</v>
      </c>
      <c r="K530" s="55" t="str">
        <f>VLOOKUP($I530,'Pricing Table - eff 27-Jan-2026'!$A:$R,6,FALSE)&amp;" "&amp;VLOOKUP($I530,'Pricing Table - eff 27-Jan-2026'!$A:$R,7,FALSE)&amp;""" x "&amp;VLOOKUP($I530,'Pricing Table - eff 27-Jan-2026'!$A:$R,9,FALSE)&amp;""" "&amp;VLOOKUP($I530,'Pricing Table - eff 27-Jan-2026'!$A:$R,5,FALSE)</f>
        <v>2MM 49" x 84" ACP</v>
      </c>
      <c r="L530" s="55">
        <f>VLOOKUP($I530,'Pricing Table - eff 27-Jan-2026'!$A:$K,8,FALSE)</f>
        <v>1245</v>
      </c>
      <c r="M530" s="55">
        <f>VLOOKUP($I530,'Pricing Table - eff 27-Jan-2026'!$A:$K,10,FALSE)</f>
        <v>2135</v>
      </c>
      <c r="N530" s="55" t="str">
        <f>VLOOKUP($I530,'Pricing Table - eff 27-Jan-2026'!$A:$R,13,FALSE)&amp;" "&amp;VLOOKUP($I530,'Pricing Table - eff 27-Jan-2026'!$A:$R,12,FALSE)</f>
        <v>AMC 0086 CHARCOAL METALLIC</v>
      </c>
      <c r="O530" s="56">
        <v>11.433</v>
      </c>
      <c r="P530" s="55">
        <f>(VLOOKUP($I530,'Pricing Table - eff 27-Jan-2026'!$A:$R,8,FALSE)/1000)*(VLOOKUP($I530,'Pricing Table - eff 27-Jan-2026'!$A:$R,10,FALSE)/1000)*Q530</f>
        <v>1063.2299999999998</v>
      </c>
      <c r="Q530" s="55">
        <f>ROUND(('Order Details'!$O530*1000)/((VLOOKUP($I530,'Pricing Table - eff 27-Jan-2026'!$A:$Q,7,FALSE)/12)*(VLOOKUP($I530,'Pricing Table - eff 27-Jan-2026'!$A:$Q,9,FALSE)/12))/5,0)*5</f>
        <v>400</v>
      </c>
      <c r="R530" s="71">
        <f>$Q530/IFERROR(VLOOKUP($F530&amp;RIGHT($K530,8),'Master Data'!$O$5:$P$10,2,FALSE),'Master Data'!$P$4)</f>
        <v>2</v>
      </c>
      <c r="S530" s="57">
        <f>VLOOKUP($I530,'Pricing Table - eff 27-Jan-2026'!$A:$Q,16,FALSE)</f>
        <v>770</v>
      </c>
      <c r="T530" s="57">
        <f>VLOOKUP(I530,'Pricing Table - eff 27-Jan-2026'!$A:$O,15,FALSE)</f>
        <v>8.27</v>
      </c>
      <c r="U530" s="57">
        <f t="shared" si="24"/>
        <v>8803.41</v>
      </c>
      <c r="V530" s="111">
        <f t="shared" si="26"/>
        <v>8792.9120999999977</v>
      </c>
      <c r="W530" s="55">
        <f>VLOOKUP($I530,'Pricing Table - eff 27-Jan-2026'!$A:$R,18,FALSE)</f>
        <v>45</v>
      </c>
    </row>
    <row r="531" spans="1:23" ht="15" hidden="1" thickTop="1" x14ac:dyDescent="0.3">
      <c r="A531" s="55">
        <v>24220742</v>
      </c>
      <c r="B531" s="55">
        <v>0</v>
      </c>
      <c r="C531" s="55" t="str">
        <f>VLOOKUP(A531&amp;"-"&amp;B531,'Order Summary'!$D:$E,2,FALSE)</f>
        <v>PO Cancelled</v>
      </c>
      <c r="D531" s="216">
        <f>IF($A531="","",VLOOKUP($A531&amp;"-"&amp;$B531,'Order Summary'!$D:$U,3,FALSE))</f>
        <v>46099</v>
      </c>
      <c r="E531" s="55" t="str">
        <f>VLOOKUP(A531&amp;"-"&amp;B531,'Order Summary'!$D:$G,4,FALSE)</f>
        <v>No</v>
      </c>
      <c r="F531" s="55" t="str">
        <f>VLOOKUP($A531,'Order Summary'!$B:$I,8,FALSE)</f>
        <v>Ashburn, GA</v>
      </c>
      <c r="G531" s="216" t="str">
        <f>IF($A531="","",VLOOKUP($A531&amp;"-"&amp;$B531,'Order Summary'!$D:$U,18,FALSE))</f>
        <v/>
      </c>
      <c r="H531" s="55">
        <v>2</v>
      </c>
      <c r="I531" s="55">
        <v>709356</v>
      </c>
      <c r="J531" s="55" t="str">
        <f>VLOOKUP($I531,'Pricing Table - eff 27-Jan-2026'!$A:$R,2,FALSE)</f>
        <v>G1S 709356</v>
      </c>
      <c r="K531" s="55" t="str">
        <f>VLOOKUP($I531,'Pricing Table - eff 27-Jan-2026'!$A:$R,6,FALSE)&amp;" "&amp;VLOOKUP($I531,'Pricing Table - eff 27-Jan-2026'!$A:$R,7,FALSE)&amp;""" x "&amp;VLOOKUP($I531,'Pricing Table - eff 27-Jan-2026'!$A:$R,9,FALSE)&amp;""" "&amp;VLOOKUP($I531,'Pricing Table - eff 27-Jan-2026'!$A:$R,5,FALSE)</f>
        <v>2MM 49" x 90.5" ACP</v>
      </c>
      <c r="L531" s="55">
        <f>VLOOKUP($I531,'Pricing Table - eff 27-Jan-2026'!$A:$K,8,FALSE)</f>
        <v>1245</v>
      </c>
      <c r="M531" s="55">
        <f>VLOOKUP($I531,'Pricing Table - eff 27-Jan-2026'!$A:$K,10,FALSE)</f>
        <v>2300</v>
      </c>
      <c r="N531" s="55" t="str">
        <f>VLOOKUP($I531,'Pricing Table - eff 27-Jan-2026'!$A:$R,13,FALSE)&amp;" "&amp;VLOOKUP($I531,'Pricing Table - eff 27-Jan-2026'!$A:$R,12,FALSE)</f>
        <v>AMC 0086 CHARCOAL METALLIC</v>
      </c>
      <c r="O531" s="56">
        <v>24.635999999999999</v>
      </c>
      <c r="P531" s="55">
        <f>(VLOOKUP($I531,'Pricing Table - eff 27-Jan-2026'!$A:$R,8,FALSE)/1000)*(VLOOKUP($I531,'Pricing Table - eff 27-Jan-2026'!$A:$R,10,FALSE)/1000)*Q531</f>
        <v>2290.8000000000002</v>
      </c>
      <c r="Q531" s="55">
        <f>ROUND(('Order Details'!$O531*1000)/((VLOOKUP($I531,'Pricing Table - eff 27-Jan-2026'!$A:$Q,7,FALSE)/12)*(VLOOKUP($I531,'Pricing Table - eff 27-Jan-2026'!$A:$Q,9,FALSE)/12))/5,0)*5</f>
        <v>800</v>
      </c>
      <c r="R531" s="71">
        <f>$Q531/IFERROR(VLOOKUP($F531&amp;RIGHT($K531,8),'Master Data'!$O$5:$P$10,2,FALSE),'Master Data'!$P$4)</f>
        <v>4</v>
      </c>
      <c r="S531" s="57">
        <f>VLOOKUP($I531,'Pricing Table - eff 27-Jan-2026'!$A:$Q,16,FALSE)</f>
        <v>770</v>
      </c>
      <c r="T531" s="57">
        <f>VLOOKUP(I531,'Pricing Table - eff 27-Jan-2026'!$A:$O,15,FALSE)</f>
        <v>8.27</v>
      </c>
      <c r="U531" s="57">
        <f t="shared" si="24"/>
        <v>18969.72</v>
      </c>
      <c r="V531" s="111">
        <f t="shared" si="26"/>
        <v>18944.916000000001</v>
      </c>
      <c r="W531" s="55">
        <f>VLOOKUP($I531,'Pricing Table - eff 27-Jan-2026'!$A:$R,18,FALSE)</f>
        <v>45</v>
      </c>
    </row>
    <row r="532" spans="1:23" ht="15" hidden="1" thickTop="1" x14ac:dyDescent="0.3">
      <c r="A532" s="55">
        <v>24220742</v>
      </c>
      <c r="B532" s="55">
        <v>0</v>
      </c>
      <c r="C532" s="55" t="str">
        <f>VLOOKUP(A532&amp;"-"&amp;B532,'Order Summary'!$D:$E,2,FALSE)</f>
        <v>PO Cancelled</v>
      </c>
      <c r="D532" s="216">
        <f>IF($A532="","",VLOOKUP($A532&amp;"-"&amp;$B532,'Order Summary'!$D:$U,3,FALSE))</f>
        <v>46099</v>
      </c>
      <c r="E532" s="55" t="str">
        <f>VLOOKUP(A532&amp;"-"&amp;B532,'Order Summary'!$D:$G,4,FALSE)</f>
        <v>No</v>
      </c>
      <c r="F532" s="55" t="str">
        <f>VLOOKUP($A532,'Order Summary'!$B:$I,8,FALSE)</f>
        <v>Ashburn, GA</v>
      </c>
      <c r="G532" s="216" t="str">
        <f>IF($A532="","",VLOOKUP($A532&amp;"-"&amp;$B532,'Order Summary'!$D:$U,18,FALSE))</f>
        <v/>
      </c>
      <c r="H532" s="55">
        <v>3</v>
      </c>
      <c r="I532" s="55">
        <v>694444</v>
      </c>
      <c r="J532" s="55" t="str">
        <f>VLOOKUP($I532,'Pricing Table - eff 27-Jan-2026'!$A:$R,2,FALSE)</f>
        <v>G1S 694444</v>
      </c>
      <c r="K532" s="55" t="str">
        <f>VLOOKUP($I532,'Pricing Table - eff 27-Jan-2026'!$A:$R,6,FALSE)&amp;" "&amp;VLOOKUP($I532,'Pricing Table - eff 27-Jan-2026'!$A:$R,7,FALSE)&amp;""" x "&amp;VLOOKUP($I532,'Pricing Table - eff 27-Jan-2026'!$A:$R,9,FALSE)&amp;""" "&amp;VLOOKUP($I532,'Pricing Table - eff 27-Jan-2026'!$A:$R,5,FALSE)</f>
        <v>2MM 49" x 96" ACP</v>
      </c>
      <c r="L532" s="55">
        <f>VLOOKUP($I532,'Pricing Table - eff 27-Jan-2026'!$A:$K,8,FALSE)</f>
        <v>1245</v>
      </c>
      <c r="M532" s="55">
        <f>VLOOKUP($I532,'Pricing Table - eff 27-Jan-2026'!$A:$K,10,FALSE)</f>
        <v>2440</v>
      </c>
      <c r="N532" s="55" t="str">
        <f>VLOOKUP($I532,'Pricing Table - eff 27-Jan-2026'!$A:$R,13,FALSE)&amp;" "&amp;VLOOKUP($I532,'Pricing Table - eff 27-Jan-2026'!$A:$R,12,FALSE)</f>
        <v>AMC 0086 CHARCOAL METALLIC</v>
      </c>
      <c r="O532">
        <v>6.5330000000000004</v>
      </c>
      <c r="P532" s="55">
        <f>(VLOOKUP($I532,'Pricing Table - eff 27-Jan-2026'!$A:$R,8,FALSE)/1000)*(VLOOKUP($I532,'Pricing Table - eff 27-Jan-2026'!$A:$R,10,FALSE)/1000)*Q532</f>
        <v>607.56000000000006</v>
      </c>
      <c r="Q532" s="55">
        <f>ROUND(('Order Details'!$O532*1000)/((VLOOKUP($I532,'Pricing Table - eff 27-Jan-2026'!$A:$Q,7,FALSE)/12)*(VLOOKUP($I532,'Pricing Table - eff 27-Jan-2026'!$A:$Q,9,FALSE)/12))/5,0)*5</f>
        <v>200</v>
      </c>
      <c r="R532" s="71">
        <f>$Q532/IFERROR(VLOOKUP($F532&amp;RIGHT($K532,8),'Master Data'!$O$5:$P$10,2,FALSE),'Master Data'!$P$4)</f>
        <v>1</v>
      </c>
      <c r="S532" s="57">
        <f>VLOOKUP($I532,'Pricing Table - eff 27-Jan-2026'!$A:$Q,16,FALSE)</f>
        <v>770</v>
      </c>
      <c r="T532" s="57">
        <f>VLOOKUP(I532,'Pricing Table - eff 27-Jan-2026'!$A:$O,15,FALSE)</f>
        <v>8.27</v>
      </c>
      <c r="U532" s="57">
        <f t="shared" si="24"/>
        <v>5030.41</v>
      </c>
      <c r="V532" s="111">
        <f t="shared" si="26"/>
        <v>5024.5212000000001</v>
      </c>
      <c r="W532" s="55">
        <f>VLOOKUP($I532,'Pricing Table - eff 27-Jan-2026'!$A:$R,18,FALSE)</f>
        <v>45</v>
      </c>
    </row>
    <row r="533" spans="1:23" ht="15" hidden="1" thickTop="1" x14ac:dyDescent="0.3">
      <c r="A533" s="55">
        <v>24220742</v>
      </c>
      <c r="B533" s="55">
        <v>0</v>
      </c>
      <c r="C533" s="55" t="str">
        <f>VLOOKUP(A533&amp;"-"&amp;B533,'Order Summary'!$D:$E,2,FALSE)</f>
        <v>PO Cancelled</v>
      </c>
      <c r="D533" s="216">
        <f>IF($A533="","",VLOOKUP($A533&amp;"-"&amp;$B533,'Order Summary'!$D:$U,3,FALSE))</f>
        <v>46099</v>
      </c>
      <c r="E533" s="55" t="str">
        <f>VLOOKUP(A533&amp;"-"&amp;B533,'Order Summary'!$D:$G,4,FALSE)</f>
        <v>No</v>
      </c>
      <c r="F533" s="55" t="str">
        <f>VLOOKUP($A533,'Order Summary'!$B:$I,8,FALSE)</f>
        <v>Ashburn, GA</v>
      </c>
      <c r="G533" s="216" t="str">
        <f>IF($A533="","",VLOOKUP($A533&amp;"-"&amp;$B533,'Order Summary'!$D:$U,18,FALSE))</f>
        <v/>
      </c>
      <c r="H533" s="55">
        <v>4</v>
      </c>
      <c r="I533" s="55">
        <v>714952</v>
      </c>
      <c r="J533" s="55" t="str">
        <f>VLOOKUP($I533,'Pricing Table - eff 27-Jan-2026'!$A:$R,2,FALSE)</f>
        <v>G1S 714952</v>
      </c>
      <c r="K533" s="55" t="str">
        <f>VLOOKUP($I533,'Pricing Table - eff 27-Jan-2026'!$A:$R,6,FALSE)&amp;" "&amp;VLOOKUP($I533,'Pricing Table - eff 27-Jan-2026'!$A:$R,7,FALSE)&amp;""" x "&amp;VLOOKUP($I533,'Pricing Table - eff 27-Jan-2026'!$A:$R,9,FALSE)&amp;""" "&amp;VLOOKUP($I533,'Pricing Table - eff 27-Jan-2026'!$A:$R,5,FALSE)</f>
        <v>2MM 49" x 84" ACP</v>
      </c>
      <c r="L533" s="55">
        <f>VLOOKUP($I533,'Pricing Table - eff 27-Jan-2026'!$A:$K,8,FALSE)</f>
        <v>1245</v>
      </c>
      <c r="M533" s="55">
        <f>VLOOKUP($I533,'Pricing Table - eff 27-Jan-2026'!$A:$K,10,FALSE)</f>
        <v>2135</v>
      </c>
      <c r="N533" s="55" t="str">
        <f>VLOOKUP($I533,'Pricing Table - eff 27-Jan-2026'!$A:$R,13,FALSE)&amp;" "&amp;VLOOKUP($I533,'Pricing Table - eff 27-Jan-2026'!$A:$R,12,FALSE)</f>
        <v>AMC 0103 SILVER FROST</v>
      </c>
      <c r="O533" s="56">
        <v>11.433</v>
      </c>
      <c r="P533" s="55">
        <f>(VLOOKUP($I533,'Pricing Table - eff 27-Jan-2026'!$A:$R,8,FALSE)/1000)*(VLOOKUP($I533,'Pricing Table - eff 27-Jan-2026'!$A:$R,10,FALSE)/1000)*Q533</f>
        <v>1063.2299999999998</v>
      </c>
      <c r="Q533" s="55">
        <f>ROUND(('Order Details'!$O533*1000)/((VLOOKUP($I533,'Pricing Table - eff 27-Jan-2026'!$A:$Q,7,FALSE)/12)*(VLOOKUP($I533,'Pricing Table - eff 27-Jan-2026'!$A:$Q,9,FALSE)/12))/5,0)*5</f>
        <v>400</v>
      </c>
      <c r="R533" s="71">
        <f>$Q533/IFERROR(VLOOKUP($F533&amp;RIGHT($K533,8),'Master Data'!$O$5:$P$10,2,FALSE),'Master Data'!$P$4)</f>
        <v>2</v>
      </c>
      <c r="S533" s="57">
        <f>VLOOKUP($I533,'Pricing Table - eff 27-Jan-2026'!$A:$Q,16,FALSE)</f>
        <v>720</v>
      </c>
      <c r="T533" s="57">
        <f>VLOOKUP(I533,'Pricing Table - eff 27-Jan-2026'!$A:$O,15,FALSE)</f>
        <v>7.73</v>
      </c>
      <c r="U533" s="57">
        <f t="shared" si="24"/>
        <v>8231.76</v>
      </c>
      <c r="V533" s="111">
        <f t="shared" si="26"/>
        <v>8218.7678999999989</v>
      </c>
      <c r="W533" s="55">
        <f>VLOOKUP($I533,'Pricing Table - eff 27-Jan-2026'!$A:$R,18,FALSE)</f>
        <v>90</v>
      </c>
    </row>
    <row r="534" spans="1:23" ht="15" hidden="1" thickTop="1" x14ac:dyDescent="0.3">
      <c r="A534" s="55">
        <v>24220742</v>
      </c>
      <c r="B534" s="55">
        <v>0</v>
      </c>
      <c r="C534" s="55" t="str">
        <f>VLOOKUP(A534&amp;"-"&amp;B534,'Order Summary'!$D:$E,2,FALSE)</f>
        <v>PO Cancelled</v>
      </c>
      <c r="D534" s="216">
        <f>IF($A534="","",VLOOKUP($A534&amp;"-"&amp;$B534,'Order Summary'!$D:$U,3,FALSE))</f>
        <v>46099</v>
      </c>
      <c r="E534" s="55" t="str">
        <f>VLOOKUP(A534&amp;"-"&amp;B534,'Order Summary'!$D:$G,4,FALSE)</f>
        <v>No</v>
      </c>
      <c r="F534" s="55" t="str">
        <f>VLOOKUP($A534,'Order Summary'!$B:$I,8,FALSE)</f>
        <v>Ashburn, GA</v>
      </c>
      <c r="G534" s="216" t="str">
        <f>IF($A534="","",VLOOKUP($A534&amp;"-"&amp;$B534,'Order Summary'!$D:$U,18,FALSE))</f>
        <v/>
      </c>
      <c r="H534" s="55">
        <v>5</v>
      </c>
      <c r="I534" s="55">
        <v>709525</v>
      </c>
      <c r="J534" s="55" t="str">
        <f>VLOOKUP($I534,'Pricing Table - eff 27-Jan-2026'!$A:$R,2,FALSE)</f>
        <v>G1S 709525</v>
      </c>
      <c r="K534" s="55" t="str">
        <f>VLOOKUP($I534,'Pricing Table - eff 27-Jan-2026'!$A:$R,6,FALSE)&amp;" "&amp;VLOOKUP($I534,'Pricing Table - eff 27-Jan-2026'!$A:$R,7,FALSE)&amp;""" x "&amp;VLOOKUP($I534,'Pricing Table - eff 27-Jan-2026'!$A:$R,9,FALSE)&amp;""" "&amp;VLOOKUP($I534,'Pricing Table - eff 27-Jan-2026'!$A:$R,5,FALSE)</f>
        <v>2MM 49" x 90.5" ACP</v>
      </c>
      <c r="L534" s="55">
        <f>VLOOKUP($I534,'Pricing Table - eff 27-Jan-2026'!$A:$K,8,FALSE)</f>
        <v>1245</v>
      </c>
      <c r="M534" s="55">
        <f>VLOOKUP($I534,'Pricing Table - eff 27-Jan-2026'!$A:$K,10,FALSE)</f>
        <v>2300</v>
      </c>
      <c r="N534" s="55" t="str">
        <f>VLOOKUP($I534,'Pricing Table - eff 27-Jan-2026'!$A:$R,13,FALSE)&amp;" "&amp;VLOOKUP($I534,'Pricing Table - eff 27-Jan-2026'!$A:$R,12,FALSE)</f>
        <v>AMC 0103 SILVER FROST</v>
      </c>
      <c r="O534" s="56">
        <v>18.477</v>
      </c>
      <c r="P534" s="55">
        <f>(VLOOKUP($I534,'Pricing Table - eff 27-Jan-2026'!$A:$R,8,FALSE)/1000)*(VLOOKUP($I534,'Pricing Table - eff 27-Jan-2026'!$A:$R,10,FALSE)/1000)*Q534</f>
        <v>1718.1000000000001</v>
      </c>
      <c r="Q534" s="55">
        <f>ROUND(('Order Details'!$O534*1000)/((VLOOKUP($I534,'Pricing Table - eff 27-Jan-2026'!$A:$Q,7,FALSE)/12)*(VLOOKUP($I534,'Pricing Table - eff 27-Jan-2026'!$A:$Q,9,FALSE)/12))/5,0)*5</f>
        <v>600</v>
      </c>
      <c r="R534" s="71">
        <f>$Q534/IFERROR(VLOOKUP($F534&amp;RIGHT($K534,8),'Master Data'!$O$5:$P$10,2,FALSE),'Master Data'!$P$4)</f>
        <v>3</v>
      </c>
      <c r="S534" s="57">
        <f>VLOOKUP($I534,'Pricing Table - eff 27-Jan-2026'!$A:$Q,16,FALSE)</f>
        <v>720</v>
      </c>
      <c r="T534" s="57">
        <f>VLOOKUP(I534,'Pricing Table - eff 27-Jan-2026'!$A:$O,15,FALSE)</f>
        <v>7.73</v>
      </c>
      <c r="U534" s="57">
        <f t="shared" si="24"/>
        <v>13303.44</v>
      </c>
      <c r="V534" s="111">
        <f t="shared" si="26"/>
        <v>13280.913000000002</v>
      </c>
      <c r="W534" s="55">
        <f>VLOOKUP($I534,'Pricing Table - eff 27-Jan-2026'!$A:$R,18,FALSE)</f>
        <v>90</v>
      </c>
    </row>
    <row r="535" spans="1:23" ht="15" hidden="1" thickTop="1" x14ac:dyDescent="0.3">
      <c r="A535" s="55">
        <v>24220742</v>
      </c>
      <c r="B535" s="55">
        <v>0</v>
      </c>
      <c r="C535" s="55" t="str">
        <f>VLOOKUP(A535&amp;"-"&amp;B535,'Order Summary'!$D:$E,2,FALSE)</f>
        <v>PO Cancelled</v>
      </c>
      <c r="D535" s="216">
        <f>IF($A535="","",VLOOKUP($A535&amp;"-"&amp;$B535,'Order Summary'!$D:$U,3,FALSE))</f>
        <v>46099</v>
      </c>
      <c r="E535" s="55" t="str">
        <f>VLOOKUP(A535&amp;"-"&amp;B535,'Order Summary'!$D:$G,4,FALSE)</f>
        <v>No</v>
      </c>
      <c r="F535" s="55" t="str">
        <f>VLOOKUP($A535,'Order Summary'!$B:$I,8,FALSE)</f>
        <v>Ashburn, GA</v>
      </c>
      <c r="G535" s="216" t="str">
        <f>IF($A535="","",VLOOKUP($A535&amp;"-"&amp;$B535,'Order Summary'!$D:$U,18,FALSE))</f>
        <v/>
      </c>
      <c r="H535" s="55">
        <v>6</v>
      </c>
      <c r="I535" s="55">
        <v>694440</v>
      </c>
      <c r="J535" s="55" t="str">
        <f>VLOOKUP($I535,'Pricing Table - eff 27-Jan-2026'!$A:$R,2,FALSE)</f>
        <v>G1S 694440</v>
      </c>
      <c r="K535" s="55" t="str">
        <f>VLOOKUP($I535,'Pricing Table - eff 27-Jan-2026'!$A:$R,6,FALSE)&amp;" "&amp;VLOOKUP($I535,'Pricing Table - eff 27-Jan-2026'!$A:$R,7,FALSE)&amp;""" x "&amp;VLOOKUP($I535,'Pricing Table - eff 27-Jan-2026'!$A:$R,9,FALSE)&amp;""" "&amp;VLOOKUP($I535,'Pricing Table - eff 27-Jan-2026'!$A:$R,5,FALSE)</f>
        <v>2MM 49" x 96" ACP</v>
      </c>
      <c r="L535" s="55">
        <f>VLOOKUP($I535,'Pricing Table - eff 27-Jan-2026'!$A:$K,8,FALSE)</f>
        <v>1245</v>
      </c>
      <c r="M535" s="55">
        <f>VLOOKUP($I535,'Pricing Table - eff 27-Jan-2026'!$A:$K,10,FALSE)</f>
        <v>2440</v>
      </c>
      <c r="N535" s="55" t="str">
        <f>VLOOKUP($I535,'Pricing Table - eff 27-Jan-2026'!$A:$R,13,FALSE)&amp;" "&amp;VLOOKUP($I535,'Pricing Table - eff 27-Jan-2026'!$A:$R,12,FALSE)</f>
        <v>AMC 0103 SILVER FROST</v>
      </c>
      <c r="O535" s="56">
        <v>6.5330000000000004</v>
      </c>
      <c r="P535" s="55">
        <f>(VLOOKUP($I535,'Pricing Table - eff 27-Jan-2026'!$A:$R,8,FALSE)/1000)*(VLOOKUP($I535,'Pricing Table - eff 27-Jan-2026'!$A:$R,10,FALSE)/1000)*Q535</f>
        <v>607.56000000000006</v>
      </c>
      <c r="Q535" s="55">
        <f>ROUND(('Order Details'!$O535*1000)/((VLOOKUP($I535,'Pricing Table - eff 27-Jan-2026'!$A:$Q,7,FALSE)/12)*(VLOOKUP($I535,'Pricing Table - eff 27-Jan-2026'!$A:$Q,9,FALSE)/12))/5,0)*5</f>
        <v>200</v>
      </c>
      <c r="R535" s="71">
        <f>$Q535/IFERROR(VLOOKUP($F535&amp;RIGHT($K535,8),'Master Data'!$O$5:$P$10,2,FALSE),'Master Data'!$P$4)</f>
        <v>1</v>
      </c>
      <c r="S535" s="57">
        <f>VLOOKUP($I535,'Pricing Table - eff 27-Jan-2026'!$A:$Q,16,FALSE)</f>
        <v>720</v>
      </c>
      <c r="T535" s="57">
        <f>VLOOKUP(I535,'Pricing Table - eff 27-Jan-2026'!$A:$O,15,FALSE)</f>
        <v>7.73</v>
      </c>
      <c r="U535" s="57">
        <f t="shared" si="24"/>
        <v>4703.76</v>
      </c>
      <c r="V535" s="111">
        <f t="shared" si="26"/>
        <v>4696.4388000000008</v>
      </c>
      <c r="W535" s="55">
        <f>VLOOKUP($I535,'Pricing Table - eff 27-Jan-2026'!$A:$R,18,FALSE)</f>
        <v>90</v>
      </c>
    </row>
    <row r="536" spans="1:23" ht="15" hidden="1" thickTop="1" x14ac:dyDescent="0.3">
      <c r="A536" s="55">
        <v>24220735</v>
      </c>
      <c r="B536" s="55">
        <v>0</v>
      </c>
      <c r="C536" s="55" t="str">
        <f>VLOOKUP(A536&amp;"-"&amp;B536,'Order Summary'!$D:$E,2,FALSE)</f>
        <v>PO Cancelled</v>
      </c>
      <c r="D536" s="216">
        <f>IF($A536="","",VLOOKUP($A536&amp;"-"&amp;$B536,'Order Summary'!$D:$U,3,FALSE))</f>
        <v>46099</v>
      </c>
      <c r="E536" s="55" t="str">
        <f>VLOOKUP(A536&amp;"-"&amp;B536,'Order Summary'!$D:$G,4,FALSE)</f>
        <v>No</v>
      </c>
      <c r="F536" s="55" t="str">
        <f>VLOOKUP($A536,'Order Summary'!$B:$I,8,FALSE)</f>
        <v>Ashburn, GA</v>
      </c>
      <c r="G536" s="216" t="str">
        <f>IF($A536="","",VLOOKUP($A536&amp;"-"&amp;$B536,'Order Summary'!$D:$U,18,FALSE))</f>
        <v/>
      </c>
      <c r="H536" s="55">
        <v>1</v>
      </c>
      <c r="I536" s="55">
        <v>704984</v>
      </c>
      <c r="J536" s="55" t="str">
        <f>VLOOKUP($I536,'Pricing Table - eff 27-Jan-2026'!$A:$R,2,FALSE)</f>
        <v>G1S 704984</v>
      </c>
      <c r="K536" s="55" t="str">
        <f>VLOOKUP($I536,'Pricing Table - eff 27-Jan-2026'!$A:$R,6,FALSE)&amp;" "&amp;VLOOKUP($I536,'Pricing Table - eff 27-Jan-2026'!$A:$R,7,FALSE)&amp;""" x "&amp;VLOOKUP($I536,'Pricing Table - eff 27-Jan-2026'!$A:$R,9,FALSE)&amp;""" "&amp;VLOOKUP($I536,'Pricing Table - eff 27-Jan-2026'!$A:$R,5,FALSE)</f>
        <v>2MM 49" x 84" ACP</v>
      </c>
      <c r="L536" s="55">
        <f>VLOOKUP($I536,'Pricing Table - eff 27-Jan-2026'!$A:$K,8,FALSE)</f>
        <v>1245</v>
      </c>
      <c r="M536" s="55">
        <f>VLOOKUP($I536,'Pricing Table - eff 27-Jan-2026'!$A:$K,10,FALSE)</f>
        <v>2135</v>
      </c>
      <c r="N536" s="55" t="str">
        <f>VLOOKUP($I536,'Pricing Table - eff 27-Jan-2026'!$A:$R,13,FALSE)&amp;" "&amp;VLOOKUP($I536,'Pricing Table - eff 27-Jan-2026'!$A:$R,12,FALSE)</f>
        <v>ASC 0096 GLOSSY BLACK</v>
      </c>
      <c r="O536" s="56">
        <v>17.149999999999999</v>
      </c>
      <c r="P536" s="55">
        <f>(VLOOKUP($I536,'Pricing Table - eff 27-Jan-2026'!$A:$R,8,FALSE)/1000)*(VLOOKUP($I536,'Pricing Table - eff 27-Jan-2026'!$A:$R,10,FALSE)/1000)*Q536</f>
        <v>1594.8449999999998</v>
      </c>
      <c r="Q536" s="55">
        <f>ROUND(('Order Details'!$O536*1000)/((VLOOKUP($I536,'Pricing Table - eff 27-Jan-2026'!$A:$Q,7,FALSE)/12)*(VLOOKUP($I536,'Pricing Table - eff 27-Jan-2026'!$A:$Q,9,FALSE)/12))/5,0)*5</f>
        <v>600</v>
      </c>
      <c r="R536" s="71">
        <f>$Q536/IFERROR(VLOOKUP($F536&amp;RIGHT($K536,8),'Master Data'!$O$5:$P$10,2,FALSE),'Master Data'!$P$4)</f>
        <v>3</v>
      </c>
      <c r="S536" s="57">
        <f>VLOOKUP($I536,'Pricing Table - eff 27-Jan-2026'!$A:$Q,16,FALSE)</f>
        <v>720</v>
      </c>
      <c r="T536" s="57">
        <f>VLOOKUP(I536,'Pricing Table - eff 27-Jan-2026'!$A:$O,15,FALSE)</f>
        <v>7.73</v>
      </c>
      <c r="U536" s="57">
        <f t="shared" si="24"/>
        <v>12347.999999999998</v>
      </c>
      <c r="V536" s="111">
        <f t="shared" si="26"/>
        <v>12328.151849999998</v>
      </c>
      <c r="W536" s="55">
        <f>VLOOKUP($I536,'Pricing Table - eff 27-Jan-2026'!$A:$R,18,FALSE)</f>
        <v>45</v>
      </c>
    </row>
    <row r="537" spans="1:23" ht="15" hidden="1" thickTop="1" x14ac:dyDescent="0.3">
      <c r="A537" s="55">
        <v>24220735</v>
      </c>
      <c r="B537" s="55">
        <v>0</v>
      </c>
      <c r="C537" s="55" t="str">
        <f>VLOOKUP(A537&amp;"-"&amp;B537,'Order Summary'!$D:$E,2,FALSE)</f>
        <v>PO Cancelled</v>
      </c>
      <c r="D537" s="216">
        <f>IF($A537="","",VLOOKUP($A537&amp;"-"&amp;$B537,'Order Summary'!$D:$U,3,FALSE))</f>
        <v>46099</v>
      </c>
      <c r="E537" s="55" t="str">
        <f>VLOOKUP(A537&amp;"-"&amp;B537,'Order Summary'!$D:$G,4,FALSE)</f>
        <v>No</v>
      </c>
      <c r="F537" s="55" t="str">
        <f>VLOOKUP($A537,'Order Summary'!$B:$I,8,FALSE)</f>
        <v>Ashburn, GA</v>
      </c>
      <c r="G537" s="216" t="str">
        <f>IF($A537="","",VLOOKUP($A537&amp;"-"&amp;$B537,'Order Summary'!$D:$U,18,FALSE))</f>
        <v/>
      </c>
      <c r="H537" s="55">
        <v>2</v>
      </c>
      <c r="I537" s="55">
        <v>709354</v>
      </c>
      <c r="J537" s="55" t="str">
        <f>VLOOKUP($I537,'Pricing Table - eff 27-Jan-2026'!$A:$R,2,FALSE)</f>
        <v>G1S 709354</v>
      </c>
      <c r="K537" s="55" t="str">
        <f>VLOOKUP($I537,'Pricing Table - eff 27-Jan-2026'!$A:$R,6,FALSE)&amp;" "&amp;VLOOKUP($I537,'Pricing Table - eff 27-Jan-2026'!$A:$R,7,FALSE)&amp;""" x "&amp;VLOOKUP($I537,'Pricing Table - eff 27-Jan-2026'!$A:$R,9,FALSE)&amp;""" "&amp;VLOOKUP($I537,'Pricing Table - eff 27-Jan-2026'!$A:$R,5,FALSE)</f>
        <v>2MM 49" x 90.5" ACP</v>
      </c>
      <c r="L537" s="55">
        <f>VLOOKUP($I537,'Pricing Table - eff 27-Jan-2026'!$A:$K,8,FALSE)</f>
        <v>1245</v>
      </c>
      <c r="M537" s="55">
        <f>VLOOKUP($I537,'Pricing Table - eff 27-Jan-2026'!$A:$K,10,FALSE)</f>
        <v>2300</v>
      </c>
      <c r="N537" s="55" t="str">
        <f>VLOOKUP($I537,'Pricing Table - eff 27-Jan-2026'!$A:$R,13,FALSE)&amp;" "&amp;VLOOKUP($I537,'Pricing Table - eff 27-Jan-2026'!$A:$R,12,FALSE)</f>
        <v>ASC 0096 GLOSSY BLACK</v>
      </c>
      <c r="O537" s="56">
        <v>36.954000000000001</v>
      </c>
      <c r="P537" s="55">
        <f>(VLOOKUP($I537,'Pricing Table - eff 27-Jan-2026'!$A:$R,8,FALSE)/1000)*(VLOOKUP($I537,'Pricing Table - eff 27-Jan-2026'!$A:$R,10,FALSE)/1000)*Q537</f>
        <v>3436.2000000000003</v>
      </c>
      <c r="Q537" s="55">
        <f>ROUND(('Order Details'!$O537*1000)/((VLOOKUP($I537,'Pricing Table - eff 27-Jan-2026'!$A:$Q,7,FALSE)/12)*(VLOOKUP($I537,'Pricing Table - eff 27-Jan-2026'!$A:$Q,9,FALSE)/12))/5,0)*5</f>
        <v>1200</v>
      </c>
      <c r="R537" s="71">
        <f>$Q537/IFERROR(VLOOKUP($F537&amp;RIGHT($K537,8),'Master Data'!$O$5:$P$10,2,FALSE),'Master Data'!$P$4)</f>
        <v>6</v>
      </c>
      <c r="S537" s="57">
        <f>VLOOKUP($I537,'Pricing Table - eff 27-Jan-2026'!$A:$Q,16,FALSE)</f>
        <v>720</v>
      </c>
      <c r="T537" s="57">
        <f>VLOOKUP(I537,'Pricing Table - eff 27-Jan-2026'!$A:$O,15,FALSE)</f>
        <v>7.73</v>
      </c>
      <c r="U537" s="57">
        <f t="shared" si="24"/>
        <v>26606.880000000001</v>
      </c>
      <c r="V537" s="111">
        <f t="shared" si="26"/>
        <v>26561.826000000005</v>
      </c>
      <c r="W537" s="55">
        <f>VLOOKUP($I537,'Pricing Table - eff 27-Jan-2026'!$A:$R,18,FALSE)</f>
        <v>45</v>
      </c>
    </row>
    <row r="538" spans="1:23" ht="15" hidden="1" thickTop="1" x14ac:dyDescent="0.3">
      <c r="A538" s="55">
        <v>24220735</v>
      </c>
      <c r="B538" s="55">
        <v>0</v>
      </c>
      <c r="C538" s="55" t="str">
        <f>VLOOKUP(A538&amp;"-"&amp;B538,'Order Summary'!$D:$E,2,FALSE)</f>
        <v>PO Cancelled</v>
      </c>
      <c r="D538" s="216">
        <f>IF($A538="","",VLOOKUP($A538&amp;"-"&amp;$B538,'Order Summary'!$D:$U,3,FALSE))</f>
        <v>46099</v>
      </c>
      <c r="E538" s="55" t="str">
        <f>VLOOKUP(A538&amp;"-"&amp;B538,'Order Summary'!$D:$G,4,FALSE)</f>
        <v>No</v>
      </c>
      <c r="F538" s="55" t="str">
        <f>VLOOKUP($A538,'Order Summary'!$B:$I,8,FALSE)</f>
        <v>Ashburn, GA</v>
      </c>
      <c r="G538" s="216" t="str">
        <f>IF($A538="","",VLOOKUP($A538&amp;"-"&amp;$B538,'Order Summary'!$D:$U,18,FALSE))</f>
        <v/>
      </c>
      <c r="H538" s="55">
        <v>3</v>
      </c>
      <c r="I538" s="55">
        <v>694432</v>
      </c>
      <c r="J538" s="55" t="str">
        <f>VLOOKUP($I538,'Pricing Table - eff 27-Jan-2026'!$A:$R,2,FALSE)</f>
        <v>G1S 694432</v>
      </c>
      <c r="K538" s="55" t="str">
        <f>VLOOKUP($I538,'Pricing Table - eff 27-Jan-2026'!$A:$R,6,FALSE)&amp;" "&amp;VLOOKUP($I538,'Pricing Table - eff 27-Jan-2026'!$A:$R,7,FALSE)&amp;""" x "&amp;VLOOKUP($I538,'Pricing Table - eff 27-Jan-2026'!$A:$R,9,FALSE)&amp;""" "&amp;VLOOKUP($I538,'Pricing Table - eff 27-Jan-2026'!$A:$R,5,FALSE)</f>
        <v>2MM 49" x 96" ACP</v>
      </c>
      <c r="L538" s="55">
        <f>VLOOKUP($I538,'Pricing Table - eff 27-Jan-2026'!$A:$K,8,FALSE)</f>
        <v>1245</v>
      </c>
      <c r="M538" s="55">
        <f>VLOOKUP($I538,'Pricing Table - eff 27-Jan-2026'!$A:$K,10,FALSE)</f>
        <v>2440</v>
      </c>
      <c r="N538" s="55" t="str">
        <f>VLOOKUP($I538,'Pricing Table - eff 27-Jan-2026'!$A:$R,13,FALSE)&amp;" "&amp;VLOOKUP($I538,'Pricing Table - eff 27-Jan-2026'!$A:$R,12,FALSE)</f>
        <v>ASC 0096 GLOSSY BLACK</v>
      </c>
      <c r="O538" s="56">
        <v>19.600000000000001</v>
      </c>
      <c r="P538" s="55">
        <f>(VLOOKUP($I538,'Pricing Table - eff 27-Jan-2026'!$A:$R,8,FALSE)/1000)*(VLOOKUP($I538,'Pricing Table - eff 27-Jan-2026'!$A:$R,10,FALSE)/1000)*Q538</f>
        <v>1822.68</v>
      </c>
      <c r="Q538" s="55">
        <f>ROUND(('Order Details'!$O538*1000)/((VLOOKUP($I538,'Pricing Table - eff 27-Jan-2026'!$A:$Q,7,FALSE)/12)*(VLOOKUP($I538,'Pricing Table - eff 27-Jan-2026'!$A:$Q,9,FALSE)/12))/5,0)*5</f>
        <v>600</v>
      </c>
      <c r="R538" s="71">
        <f>$Q538/IFERROR(VLOOKUP($F538&amp;RIGHT($K538,8),'Master Data'!$O$5:$P$10,2,FALSE),'Master Data'!$P$4)</f>
        <v>3</v>
      </c>
      <c r="S538" s="57">
        <f>VLOOKUP($I538,'Pricing Table - eff 27-Jan-2026'!$A:$Q,16,FALSE)</f>
        <v>720</v>
      </c>
      <c r="T538" s="57">
        <f>VLOOKUP(I538,'Pricing Table - eff 27-Jan-2026'!$A:$O,15,FALSE)</f>
        <v>7.73</v>
      </c>
      <c r="U538" s="57">
        <f t="shared" si="24"/>
        <v>14112.000000000002</v>
      </c>
      <c r="V538" s="111">
        <f t="shared" si="26"/>
        <v>14089.316400000002</v>
      </c>
      <c r="W538" s="55">
        <f>VLOOKUP($I538,'Pricing Table - eff 27-Jan-2026'!$A:$R,18,FALSE)</f>
        <v>45</v>
      </c>
    </row>
    <row r="539" spans="1:23" ht="15" hidden="1" thickTop="1" x14ac:dyDescent="0.3">
      <c r="A539" s="55">
        <v>24220735</v>
      </c>
      <c r="B539" s="55">
        <v>0</v>
      </c>
      <c r="C539" s="55" t="str">
        <f>VLOOKUP(A539&amp;"-"&amp;B539,'Order Summary'!$D:$E,2,FALSE)</f>
        <v>PO Cancelled</v>
      </c>
      <c r="D539" s="216">
        <f>IF($A539="","",VLOOKUP($A539&amp;"-"&amp;$B539,'Order Summary'!$D:$U,3,FALSE))</f>
        <v>46099</v>
      </c>
      <c r="E539" s="55" t="str">
        <f>VLOOKUP(A539&amp;"-"&amp;B539,'Order Summary'!$D:$G,4,FALSE)</f>
        <v>No</v>
      </c>
      <c r="F539" s="55" t="str">
        <f>VLOOKUP($A539,'Order Summary'!$B:$I,8,FALSE)</f>
        <v>Ashburn, GA</v>
      </c>
      <c r="G539" s="216" t="str">
        <f>IF($A539="","",VLOOKUP($A539&amp;"-"&amp;$B539,'Order Summary'!$D:$U,18,FALSE))</f>
        <v/>
      </c>
      <c r="H539" s="55">
        <v>4</v>
      </c>
      <c r="I539" s="55">
        <v>694440</v>
      </c>
      <c r="J539" s="55" t="str">
        <f>VLOOKUP($I539,'Pricing Table - eff 27-Jan-2026'!$A:$R,2,FALSE)</f>
        <v>G1S 694440</v>
      </c>
      <c r="K539" s="55" t="str">
        <f>VLOOKUP($I539,'Pricing Table - eff 27-Jan-2026'!$A:$R,6,FALSE)&amp;" "&amp;VLOOKUP($I539,'Pricing Table - eff 27-Jan-2026'!$A:$R,7,FALSE)&amp;""" x "&amp;VLOOKUP($I539,'Pricing Table - eff 27-Jan-2026'!$A:$R,9,FALSE)&amp;""" "&amp;VLOOKUP($I539,'Pricing Table - eff 27-Jan-2026'!$A:$R,5,FALSE)</f>
        <v>2MM 49" x 96" ACP</v>
      </c>
      <c r="L539" s="55">
        <f>VLOOKUP($I539,'Pricing Table - eff 27-Jan-2026'!$A:$K,8,FALSE)</f>
        <v>1245</v>
      </c>
      <c r="M539" s="55">
        <f>VLOOKUP($I539,'Pricing Table - eff 27-Jan-2026'!$A:$K,10,FALSE)</f>
        <v>2440</v>
      </c>
      <c r="N539" s="55" t="str">
        <f>VLOOKUP($I539,'Pricing Table - eff 27-Jan-2026'!$A:$R,13,FALSE)&amp;" "&amp;VLOOKUP($I539,'Pricing Table - eff 27-Jan-2026'!$A:$R,12,FALSE)</f>
        <v>AMC 0103 SILVER FROST</v>
      </c>
      <c r="O539" s="56">
        <v>6.5330000000000004</v>
      </c>
      <c r="P539" s="55">
        <f>(VLOOKUP($I539,'Pricing Table - eff 27-Jan-2026'!$A:$R,8,FALSE)/1000)*(VLOOKUP($I539,'Pricing Table - eff 27-Jan-2026'!$A:$R,10,FALSE)/1000)*Q539</f>
        <v>607.56000000000006</v>
      </c>
      <c r="Q539" s="55">
        <f>ROUND(('Order Details'!$O539*1000)/((VLOOKUP($I539,'Pricing Table - eff 27-Jan-2026'!$A:$Q,7,FALSE)/12)*(VLOOKUP($I539,'Pricing Table - eff 27-Jan-2026'!$A:$Q,9,FALSE)/12))/5,0)*5</f>
        <v>200</v>
      </c>
      <c r="R539" s="71">
        <f>$Q539/IFERROR(VLOOKUP($F539&amp;RIGHT($K539,8),'Master Data'!$O$5:$P$10,2,FALSE),'Master Data'!$P$4)</f>
        <v>1</v>
      </c>
      <c r="S539" s="57">
        <f>VLOOKUP($I539,'Pricing Table - eff 27-Jan-2026'!$A:$Q,16,FALSE)</f>
        <v>720</v>
      </c>
      <c r="T539" s="57">
        <f>VLOOKUP(I539,'Pricing Table - eff 27-Jan-2026'!$A:$O,15,FALSE)</f>
        <v>7.73</v>
      </c>
      <c r="U539" s="57">
        <f t="shared" si="24"/>
        <v>4703.76</v>
      </c>
      <c r="V539" s="111">
        <f t="shared" si="26"/>
        <v>4696.4388000000008</v>
      </c>
      <c r="W539" s="55">
        <f>VLOOKUP($I539,'Pricing Table - eff 27-Jan-2026'!$A:$R,18,FALSE)</f>
        <v>90</v>
      </c>
    </row>
    <row r="540" spans="1:23" ht="15" hidden="1" thickTop="1" x14ac:dyDescent="0.3">
      <c r="A540" s="55">
        <v>24220730</v>
      </c>
      <c r="B540" s="55">
        <v>0</v>
      </c>
      <c r="C540" s="55" t="str">
        <f>VLOOKUP(A540&amp;"-"&amp;B540,'Order Summary'!$D:$E,2,FALSE)</f>
        <v>PO Cancelled</v>
      </c>
      <c r="D540" s="216">
        <f>IF($A540="","",VLOOKUP($A540&amp;"-"&amp;$B540,'Order Summary'!$D:$U,3,FALSE))</f>
        <v>46099</v>
      </c>
      <c r="E540" s="55" t="str">
        <f>VLOOKUP(A540&amp;"-"&amp;B540,'Order Summary'!$D:$G,4,FALSE)</f>
        <v>No</v>
      </c>
      <c r="F540" s="55" t="str">
        <f>VLOOKUP($A540,'Order Summary'!$B:$I,8,FALSE)</f>
        <v>Ashburn, GA</v>
      </c>
      <c r="G540" s="216" t="str">
        <f>IF($A540="","",VLOOKUP($A540&amp;"-"&amp;$B540,'Order Summary'!$D:$U,18,FALSE))</f>
        <v/>
      </c>
      <c r="H540" s="55">
        <v>1</v>
      </c>
      <c r="I540" s="55">
        <v>704985</v>
      </c>
      <c r="J540" s="55" t="str">
        <f>VLOOKUP($I540,'Pricing Table - eff 27-Jan-2026'!$A:$R,2,FALSE)</f>
        <v>G1S 704985</v>
      </c>
      <c r="K540" s="55" t="str">
        <f>VLOOKUP($I540,'Pricing Table - eff 27-Jan-2026'!$A:$R,6,FALSE)&amp;" "&amp;VLOOKUP($I540,'Pricing Table - eff 27-Jan-2026'!$A:$R,7,FALSE)&amp;""" x "&amp;VLOOKUP($I540,'Pricing Table - eff 27-Jan-2026'!$A:$R,9,FALSE)&amp;""" "&amp;VLOOKUP($I540,'Pricing Table - eff 27-Jan-2026'!$A:$R,5,FALSE)</f>
        <v>2MM 49" x 84" ACP</v>
      </c>
      <c r="L540" s="55">
        <f>VLOOKUP($I540,'Pricing Table - eff 27-Jan-2026'!$A:$K,8,FALSE)</f>
        <v>1245</v>
      </c>
      <c r="M540" s="55">
        <f>VLOOKUP($I540,'Pricing Table - eff 27-Jan-2026'!$A:$K,10,FALSE)</f>
        <v>2135</v>
      </c>
      <c r="N540" s="55" t="str">
        <f>VLOOKUP($I540,'Pricing Table - eff 27-Jan-2026'!$A:$R,13,FALSE)&amp;" "&amp;VLOOKUP($I540,'Pricing Table - eff 27-Jan-2026'!$A:$R,12,FALSE)</f>
        <v>ASC 0069 GLOSSY WHITE</v>
      </c>
      <c r="O540" s="56">
        <v>17.149999999999999</v>
      </c>
      <c r="P540" s="55">
        <f>(VLOOKUP($I540,'Pricing Table - eff 27-Jan-2026'!$A:$R,8,FALSE)/1000)*(VLOOKUP($I540,'Pricing Table - eff 27-Jan-2026'!$A:$R,10,FALSE)/1000)*Q540</f>
        <v>1594.8449999999998</v>
      </c>
      <c r="Q540" s="55">
        <f>ROUND(('Order Details'!$O540*1000)/((VLOOKUP($I540,'Pricing Table - eff 27-Jan-2026'!$A:$Q,7,FALSE)/12)*(VLOOKUP($I540,'Pricing Table - eff 27-Jan-2026'!$A:$Q,9,FALSE)/12))/5,0)*5</f>
        <v>600</v>
      </c>
      <c r="R540" s="71">
        <f>$Q540/IFERROR(VLOOKUP($F540&amp;RIGHT($K540,8),'Master Data'!$O$5:$P$10,2,FALSE),'Master Data'!$P$4)</f>
        <v>3</v>
      </c>
      <c r="S540" s="57">
        <f>VLOOKUP($I540,'Pricing Table - eff 27-Jan-2026'!$A:$Q,16,FALSE)</f>
        <v>720</v>
      </c>
      <c r="T540" s="57">
        <f>VLOOKUP(I540,'Pricing Table - eff 27-Jan-2026'!$A:$O,15,FALSE)</f>
        <v>7.73</v>
      </c>
      <c r="U540" s="57">
        <f t="shared" si="24"/>
        <v>12347.999999999998</v>
      </c>
      <c r="V540" s="111">
        <f t="shared" si="26"/>
        <v>12328.151849999998</v>
      </c>
      <c r="W540" s="55">
        <f>VLOOKUP($I540,'Pricing Table - eff 27-Jan-2026'!$A:$R,18,FALSE)</f>
        <v>45</v>
      </c>
    </row>
    <row r="541" spans="1:23" ht="15" hidden="1" thickTop="1" x14ac:dyDescent="0.3">
      <c r="A541" s="55">
        <v>24220730</v>
      </c>
      <c r="B541" s="55">
        <v>0</v>
      </c>
      <c r="C541" s="55" t="str">
        <f>VLOOKUP(A541&amp;"-"&amp;B541,'Order Summary'!$D:$E,2,FALSE)</f>
        <v>PO Cancelled</v>
      </c>
      <c r="D541" s="216">
        <f>IF($A541="","",VLOOKUP($A541&amp;"-"&amp;$B541,'Order Summary'!$D:$U,3,FALSE))</f>
        <v>46099</v>
      </c>
      <c r="E541" s="55" t="str">
        <f>VLOOKUP(A541&amp;"-"&amp;B541,'Order Summary'!$D:$G,4,FALSE)</f>
        <v>No</v>
      </c>
      <c r="F541" s="55" t="str">
        <f>VLOOKUP($A541,'Order Summary'!$B:$I,8,FALSE)</f>
        <v>Ashburn, GA</v>
      </c>
      <c r="G541" s="216" t="str">
        <f>IF($A541="","",VLOOKUP($A541&amp;"-"&amp;$B541,'Order Summary'!$D:$U,18,FALSE))</f>
        <v/>
      </c>
      <c r="H541" s="55">
        <v>2</v>
      </c>
      <c r="I541" s="55">
        <v>709355</v>
      </c>
      <c r="J541" s="55" t="str">
        <f>VLOOKUP($I541,'Pricing Table - eff 27-Jan-2026'!$A:$R,2,FALSE)</f>
        <v>G1S 709355</v>
      </c>
      <c r="K541" s="55" t="str">
        <f>VLOOKUP($I541,'Pricing Table - eff 27-Jan-2026'!$A:$R,6,FALSE)&amp;" "&amp;VLOOKUP($I541,'Pricing Table - eff 27-Jan-2026'!$A:$R,7,FALSE)&amp;""" x "&amp;VLOOKUP($I541,'Pricing Table - eff 27-Jan-2026'!$A:$R,9,FALSE)&amp;""" "&amp;VLOOKUP($I541,'Pricing Table - eff 27-Jan-2026'!$A:$R,5,FALSE)</f>
        <v>2MM 49" x 90.5" ACP</v>
      </c>
      <c r="L541" s="55">
        <f>VLOOKUP($I541,'Pricing Table - eff 27-Jan-2026'!$A:$K,8,FALSE)</f>
        <v>1245</v>
      </c>
      <c r="M541" s="55">
        <f>VLOOKUP($I541,'Pricing Table - eff 27-Jan-2026'!$A:$K,10,FALSE)</f>
        <v>2300</v>
      </c>
      <c r="N541" s="55" t="str">
        <f>VLOOKUP($I541,'Pricing Table - eff 27-Jan-2026'!$A:$R,13,FALSE)&amp;" "&amp;VLOOKUP($I541,'Pricing Table - eff 27-Jan-2026'!$A:$R,12,FALSE)</f>
        <v>ASC 0069 GLOSSY WHITE</v>
      </c>
      <c r="O541" s="56">
        <v>36.954000000000001</v>
      </c>
      <c r="P541" s="55">
        <f>(VLOOKUP($I541,'Pricing Table - eff 27-Jan-2026'!$A:$R,8,FALSE)/1000)*(VLOOKUP($I541,'Pricing Table - eff 27-Jan-2026'!$A:$R,10,FALSE)/1000)*Q541</f>
        <v>3436.2000000000003</v>
      </c>
      <c r="Q541" s="55">
        <f>ROUND(('Order Details'!$O541*1000)/((VLOOKUP($I541,'Pricing Table - eff 27-Jan-2026'!$A:$Q,7,FALSE)/12)*(VLOOKUP($I541,'Pricing Table - eff 27-Jan-2026'!$A:$Q,9,FALSE)/12))/5,0)*5</f>
        <v>1200</v>
      </c>
      <c r="R541" s="71">
        <f>$Q541/IFERROR(VLOOKUP($F541&amp;RIGHT($K541,8),'Master Data'!$O$5:$P$10,2,FALSE),'Master Data'!$P$4)</f>
        <v>6</v>
      </c>
      <c r="S541" s="57">
        <f>VLOOKUP($I541,'Pricing Table - eff 27-Jan-2026'!$A:$Q,16,FALSE)</f>
        <v>720</v>
      </c>
      <c r="T541" s="57">
        <f>VLOOKUP(I541,'Pricing Table - eff 27-Jan-2026'!$A:$O,15,FALSE)</f>
        <v>7.73</v>
      </c>
      <c r="U541" s="57">
        <f t="shared" si="24"/>
        <v>26606.880000000001</v>
      </c>
      <c r="V541" s="111">
        <f t="shared" si="26"/>
        <v>26561.826000000005</v>
      </c>
      <c r="W541" s="55">
        <f>VLOOKUP($I541,'Pricing Table - eff 27-Jan-2026'!$A:$R,18,FALSE)</f>
        <v>45</v>
      </c>
    </row>
    <row r="542" spans="1:23" ht="15" hidden="1" thickTop="1" x14ac:dyDescent="0.3">
      <c r="A542" s="55">
        <v>24220730</v>
      </c>
      <c r="B542" s="55">
        <v>0</v>
      </c>
      <c r="C542" s="55" t="str">
        <f>VLOOKUP(A542&amp;"-"&amp;B542,'Order Summary'!$D:$E,2,FALSE)</f>
        <v>PO Cancelled</v>
      </c>
      <c r="D542" s="216">
        <f>IF($A542="","",VLOOKUP($A542&amp;"-"&amp;$B542,'Order Summary'!$D:$U,3,FALSE))</f>
        <v>46099</v>
      </c>
      <c r="E542" s="55" t="str">
        <f>VLOOKUP(A542&amp;"-"&amp;B542,'Order Summary'!$D:$G,4,FALSE)</f>
        <v>No</v>
      </c>
      <c r="F542" s="55" t="str">
        <f>VLOOKUP($A542,'Order Summary'!$B:$I,8,FALSE)</f>
        <v>Ashburn, GA</v>
      </c>
      <c r="G542" s="216" t="str">
        <f>IF($A542="","",VLOOKUP($A542&amp;"-"&amp;$B542,'Order Summary'!$D:$U,18,FALSE))</f>
        <v/>
      </c>
      <c r="H542" s="55">
        <v>3</v>
      </c>
      <c r="I542" s="55">
        <v>694436</v>
      </c>
      <c r="J542" s="55" t="str">
        <f>VLOOKUP($I542,'Pricing Table - eff 27-Jan-2026'!$A:$R,2,FALSE)</f>
        <v>G1S 694436</v>
      </c>
      <c r="K542" s="55" t="str">
        <f>VLOOKUP($I542,'Pricing Table - eff 27-Jan-2026'!$A:$R,6,FALSE)&amp;" "&amp;VLOOKUP($I542,'Pricing Table - eff 27-Jan-2026'!$A:$R,7,FALSE)&amp;""" x "&amp;VLOOKUP($I542,'Pricing Table - eff 27-Jan-2026'!$A:$R,9,FALSE)&amp;""" "&amp;VLOOKUP($I542,'Pricing Table - eff 27-Jan-2026'!$A:$R,5,FALSE)</f>
        <v>2MM 49" x 96" ACP</v>
      </c>
      <c r="L542" s="55">
        <f>VLOOKUP($I542,'Pricing Table - eff 27-Jan-2026'!$A:$K,8,FALSE)</f>
        <v>1245</v>
      </c>
      <c r="M542" s="55">
        <f>VLOOKUP($I542,'Pricing Table - eff 27-Jan-2026'!$A:$K,10,FALSE)</f>
        <v>2440</v>
      </c>
      <c r="N542" s="55" t="str">
        <f>VLOOKUP($I542,'Pricing Table - eff 27-Jan-2026'!$A:$R,13,FALSE)&amp;" "&amp;VLOOKUP($I542,'Pricing Table - eff 27-Jan-2026'!$A:$R,12,FALSE)</f>
        <v>ASC 0069 GLOSSY WHITE</v>
      </c>
      <c r="O542" s="56">
        <v>19.600000000000001</v>
      </c>
      <c r="P542" s="55">
        <f>(VLOOKUP($I542,'Pricing Table - eff 27-Jan-2026'!$A:$R,8,FALSE)/1000)*(VLOOKUP($I542,'Pricing Table - eff 27-Jan-2026'!$A:$R,10,FALSE)/1000)*Q542</f>
        <v>1822.68</v>
      </c>
      <c r="Q542" s="55">
        <f>ROUND(('Order Details'!$O542*1000)/((VLOOKUP($I542,'Pricing Table - eff 27-Jan-2026'!$A:$Q,7,FALSE)/12)*(VLOOKUP($I542,'Pricing Table - eff 27-Jan-2026'!$A:$Q,9,FALSE)/12))/5,0)*5</f>
        <v>600</v>
      </c>
      <c r="R542" s="71">
        <f>$Q542/IFERROR(VLOOKUP($F542&amp;RIGHT($K542,8),'Master Data'!$O$5:$P$10,2,FALSE),'Master Data'!$P$4)</f>
        <v>3</v>
      </c>
      <c r="S542" s="57">
        <f>VLOOKUP($I542,'Pricing Table - eff 27-Jan-2026'!$A:$Q,16,FALSE)</f>
        <v>720</v>
      </c>
      <c r="T542" s="57">
        <f>VLOOKUP(I542,'Pricing Table - eff 27-Jan-2026'!$A:$O,15,FALSE)</f>
        <v>7.73</v>
      </c>
      <c r="U542" s="57">
        <f t="shared" si="24"/>
        <v>14112.000000000002</v>
      </c>
      <c r="V542" s="111">
        <f t="shared" si="26"/>
        <v>14089.316400000002</v>
      </c>
      <c r="W542" s="55">
        <f>VLOOKUP($I542,'Pricing Table - eff 27-Jan-2026'!$A:$R,18,FALSE)</f>
        <v>45</v>
      </c>
    </row>
    <row r="543" spans="1:23" ht="15" hidden="1" thickTop="1" x14ac:dyDescent="0.3">
      <c r="A543" s="55">
        <v>24220730</v>
      </c>
      <c r="B543" s="55">
        <v>0</v>
      </c>
      <c r="C543" s="55" t="str">
        <f>VLOOKUP(A543&amp;"-"&amp;B543,'Order Summary'!$D:$E,2,FALSE)</f>
        <v>PO Cancelled</v>
      </c>
      <c r="D543" s="216">
        <f>IF($A543="","",VLOOKUP($A543&amp;"-"&amp;$B543,'Order Summary'!$D:$U,3,FALSE))</f>
        <v>46099</v>
      </c>
      <c r="E543" s="55" t="str">
        <f>VLOOKUP(A543&amp;"-"&amp;B543,'Order Summary'!$D:$G,4,FALSE)</f>
        <v>No</v>
      </c>
      <c r="F543" s="55" t="str">
        <f>VLOOKUP($A543,'Order Summary'!$B:$I,8,FALSE)</f>
        <v>Ashburn, GA</v>
      </c>
      <c r="G543" s="216" t="str">
        <f>IF($A543="","",VLOOKUP($A543&amp;"-"&amp;$B543,'Order Summary'!$D:$U,18,FALSE))</f>
        <v/>
      </c>
      <c r="H543" s="55">
        <v>4</v>
      </c>
      <c r="I543" s="55">
        <v>694444</v>
      </c>
      <c r="J543" s="55" t="str">
        <f>VLOOKUP($I543,'Pricing Table - eff 27-Jan-2026'!$A:$R,2,FALSE)</f>
        <v>G1S 694444</v>
      </c>
      <c r="K543" s="55" t="str">
        <f>VLOOKUP($I543,'Pricing Table - eff 27-Jan-2026'!$A:$R,6,FALSE)&amp;" "&amp;VLOOKUP($I543,'Pricing Table - eff 27-Jan-2026'!$A:$R,7,FALSE)&amp;""" x "&amp;VLOOKUP($I543,'Pricing Table - eff 27-Jan-2026'!$A:$R,9,FALSE)&amp;""" "&amp;VLOOKUP($I543,'Pricing Table - eff 27-Jan-2026'!$A:$R,5,FALSE)</f>
        <v>2MM 49" x 96" ACP</v>
      </c>
      <c r="L543" s="55">
        <f>VLOOKUP($I543,'Pricing Table - eff 27-Jan-2026'!$A:$K,8,FALSE)</f>
        <v>1245</v>
      </c>
      <c r="M543" s="55">
        <f>VLOOKUP($I543,'Pricing Table - eff 27-Jan-2026'!$A:$K,10,FALSE)</f>
        <v>2440</v>
      </c>
      <c r="N543" s="55" t="str">
        <f>VLOOKUP($I543,'Pricing Table - eff 27-Jan-2026'!$A:$R,13,FALSE)&amp;" "&amp;VLOOKUP($I543,'Pricing Table - eff 27-Jan-2026'!$A:$R,12,FALSE)</f>
        <v>AMC 0086 CHARCOAL METALLIC</v>
      </c>
      <c r="O543" s="56">
        <v>6.5330000000000004</v>
      </c>
      <c r="P543" s="55">
        <f>(VLOOKUP($I543,'Pricing Table - eff 27-Jan-2026'!$A:$R,8,FALSE)/1000)*(VLOOKUP($I543,'Pricing Table - eff 27-Jan-2026'!$A:$R,10,FALSE)/1000)*Q543</f>
        <v>607.56000000000006</v>
      </c>
      <c r="Q543" s="55">
        <f>ROUND(('Order Details'!$O543*1000)/((VLOOKUP($I543,'Pricing Table - eff 27-Jan-2026'!$A:$Q,7,FALSE)/12)*(VLOOKUP($I543,'Pricing Table - eff 27-Jan-2026'!$A:$Q,9,FALSE)/12))/5,0)*5</f>
        <v>200</v>
      </c>
      <c r="R543" s="71">
        <f>$Q543/IFERROR(VLOOKUP($F543&amp;RIGHT($K543,8),'Master Data'!$O$5:$P$10,2,FALSE),'Master Data'!$P$4)</f>
        <v>1</v>
      </c>
      <c r="S543" s="57">
        <f>VLOOKUP($I543,'Pricing Table - eff 27-Jan-2026'!$A:$Q,16,FALSE)</f>
        <v>770</v>
      </c>
      <c r="T543" s="57">
        <f>VLOOKUP(I543,'Pricing Table - eff 27-Jan-2026'!$A:$O,15,FALSE)</f>
        <v>8.27</v>
      </c>
      <c r="U543" s="57">
        <f t="shared" si="24"/>
        <v>5030.41</v>
      </c>
      <c r="V543" s="111">
        <f t="shared" si="26"/>
        <v>5024.5212000000001</v>
      </c>
      <c r="W543" s="55">
        <f>VLOOKUP($I543,'Pricing Table - eff 27-Jan-2026'!$A:$R,18,FALSE)</f>
        <v>45</v>
      </c>
    </row>
    <row r="544" spans="1:23" ht="15" hidden="1" thickTop="1" x14ac:dyDescent="0.3">
      <c r="A544" s="55">
        <v>24220722</v>
      </c>
      <c r="B544" s="55">
        <v>0</v>
      </c>
      <c r="C544" s="55" t="str">
        <f>VLOOKUP(A544&amp;"-"&amp;B544,'Order Summary'!$D:$E,2,FALSE)</f>
        <v>PO Cancelled</v>
      </c>
      <c r="D544" s="216">
        <f>IF($A544="","",VLOOKUP($A544&amp;"-"&amp;$B544,'Order Summary'!$D:$U,3,FALSE))</f>
        <v>46099</v>
      </c>
      <c r="E544" s="55" t="str">
        <f>VLOOKUP(A544&amp;"-"&amp;B544,'Order Summary'!$D:$G,4,FALSE)</f>
        <v>No</v>
      </c>
      <c r="F544" s="55" t="str">
        <f>VLOOKUP($A544,'Order Summary'!$B:$I,8,FALSE)</f>
        <v>Ashburn, GA</v>
      </c>
      <c r="G544" s="216" t="str">
        <f>IF($A544="","",VLOOKUP($A544&amp;"-"&amp;$B544,'Order Summary'!$D:$U,18,FALSE))</f>
        <v/>
      </c>
      <c r="H544" s="55">
        <v>1</v>
      </c>
      <c r="I544" s="55">
        <v>714953</v>
      </c>
      <c r="J544" s="55" t="str">
        <f>VLOOKUP($I544,'Pricing Table - eff 27-Jan-2026'!$A:$R,2,FALSE)</f>
        <v>G1S 714953</v>
      </c>
      <c r="K544" s="55" t="str">
        <f>VLOOKUP($I544,'Pricing Table - eff 27-Jan-2026'!$A:$R,6,FALSE)&amp;" "&amp;VLOOKUP($I544,'Pricing Table - eff 27-Jan-2026'!$A:$R,7,FALSE)&amp;""" x "&amp;VLOOKUP($I544,'Pricing Table - eff 27-Jan-2026'!$A:$R,9,FALSE)&amp;""" "&amp;VLOOKUP($I544,'Pricing Table - eff 27-Jan-2026'!$A:$R,5,FALSE)</f>
        <v>2MM 49" x 84" ACP</v>
      </c>
      <c r="L544" s="55">
        <f>VLOOKUP($I544,'Pricing Table - eff 27-Jan-2026'!$A:$K,8,FALSE)</f>
        <v>1245</v>
      </c>
      <c r="M544" s="55">
        <f>VLOOKUP($I544,'Pricing Table - eff 27-Jan-2026'!$A:$K,10,FALSE)</f>
        <v>2135</v>
      </c>
      <c r="N544" s="55" t="str">
        <f>VLOOKUP($I544,'Pricing Table - eff 27-Jan-2026'!$A:$R,13,FALSE)&amp;" "&amp;VLOOKUP($I544,'Pricing Table - eff 27-Jan-2026'!$A:$R,12,FALSE)</f>
        <v>AMC 0086 CHARCOAL METALLIC</v>
      </c>
      <c r="O544" s="56">
        <v>11.433</v>
      </c>
      <c r="P544" s="55">
        <f>(VLOOKUP($I544,'Pricing Table - eff 27-Jan-2026'!$A:$R,8,FALSE)/1000)*(VLOOKUP($I544,'Pricing Table - eff 27-Jan-2026'!$A:$R,10,FALSE)/1000)*Q544</f>
        <v>1063.2299999999998</v>
      </c>
      <c r="Q544" s="55">
        <f>ROUND(('Order Details'!$O544*1000)/((VLOOKUP($I544,'Pricing Table - eff 27-Jan-2026'!$A:$Q,7,FALSE)/12)*(VLOOKUP($I544,'Pricing Table - eff 27-Jan-2026'!$A:$Q,9,FALSE)/12))/5,0)*5</f>
        <v>400</v>
      </c>
      <c r="R544" s="71">
        <f>$Q544/IFERROR(VLOOKUP($F544&amp;RIGHT($K544,8),'Master Data'!$O$5:$P$10,2,FALSE),'Master Data'!$P$4)</f>
        <v>2</v>
      </c>
      <c r="S544" s="57">
        <f>VLOOKUP($I544,'Pricing Table - eff 27-Jan-2026'!$A:$Q,16,FALSE)</f>
        <v>770</v>
      </c>
      <c r="T544" s="57">
        <f>VLOOKUP(I544,'Pricing Table - eff 27-Jan-2026'!$A:$O,15,FALSE)</f>
        <v>8.27</v>
      </c>
      <c r="U544" s="57">
        <f t="shared" si="24"/>
        <v>8803.41</v>
      </c>
      <c r="V544" s="111">
        <f t="shared" si="26"/>
        <v>8792.9120999999977</v>
      </c>
      <c r="W544" s="55">
        <f>VLOOKUP($I544,'Pricing Table - eff 27-Jan-2026'!$A:$R,18,FALSE)</f>
        <v>45</v>
      </c>
    </row>
    <row r="545" spans="1:23" ht="15" hidden="1" thickTop="1" x14ac:dyDescent="0.3">
      <c r="A545" s="55">
        <v>24220722</v>
      </c>
      <c r="B545" s="55">
        <v>0</v>
      </c>
      <c r="C545" s="55" t="str">
        <f>VLOOKUP(A545&amp;"-"&amp;B545,'Order Summary'!$D:$E,2,FALSE)</f>
        <v>PO Cancelled</v>
      </c>
      <c r="D545" s="216">
        <f>IF($A545="","",VLOOKUP($A545&amp;"-"&amp;$B545,'Order Summary'!$D:$U,3,FALSE))</f>
        <v>46099</v>
      </c>
      <c r="E545" s="55" t="str">
        <f>VLOOKUP(A545&amp;"-"&amp;B545,'Order Summary'!$D:$G,4,FALSE)</f>
        <v>No</v>
      </c>
      <c r="F545" s="55" t="str">
        <f>VLOOKUP($A545,'Order Summary'!$B:$I,8,FALSE)</f>
        <v>Ashburn, GA</v>
      </c>
      <c r="G545" s="216" t="str">
        <f>IF($A545="","",VLOOKUP($A545&amp;"-"&amp;$B545,'Order Summary'!$D:$U,18,FALSE))</f>
        <v/>
      </c>
      <c r="H545" s="55">
        <v>2</v>
      </c>
      <c r="I545" s="55">
        <v>709356</v>
      </c>
      <c r="J545" s="55" t="str">
        <f>VLOOKUP($I545,'Pricing Table - eff 27-Jan-2026'!$A:$R,2,FALSE)</f>
        <v>G1S 709356</v>
      </c>
      <c r="K545" s="55" t="str">
        <f>VLOOKUP($I545,'Pricing Table - eff 27-Jan-2026'!$A:$R,6,FALSE)&amp;" "&amp;VLOOKUP($I545,'Pricing Table - eff 27-Jan-2026'!$A:$R,7,FALSE)&amp;""" x "&amp;VLOOKUP($I545,'Pricing Table - eff 27-Jan-2026'!$A:$R,9,FALSE)&amp;""" "&amp;VLOOKUP($I545,'Pricing Table - eff 27-Jan-2026'!$A:$R,5,FALSE)</f>
        <v>2MM 49" x 90.5" ACP</v>
      </c>
      <c r="L545" s="55">
        <f>VLOOKUP($I545,'Pricing Table - eff 27-Jan-2026'!$A:$K,8,FALSE)</f>
        <v>1245</v>
      </c>
      <c r="M545" s="55">
        <f>VLOOKUP($I545,'Pricing Table - eff 27-Jan-2026'!$A:$K,10,FALSE)</f>
        <v>2300</v>
      </c>
      <c r="N545" s="55" t="str">
        <f>VLOOKUP($I545,'Pricing Table - eff 27-Jan-2026'!$A:$R,13,FALSE)&amp;" "&amp;VLOOKUP($I545,'Pricing Table - eff 27-Jan-2026'!$A:$R,12,FALSE)</f>
        <v>AMC 0086 CHARCOAL METALLIC</v>
      </c>
      <c r="O545" s="56">
        <v>24.635999999999999</v>
      </c>
      <c r="P545" s="55">
        <f>(VLOOKUP($I545,'Pricing Table - eff 27-Jan-2026'!$A:$R,8,FALSE)/1000)*(VLOOKUP($I545,'Pricing Table - eff 27-Jan-2026'!$A:$R,10,FALSE)/1000)*Q545</f>
        <v>2290.8000000000002</v>
      </c>
      <c r="Q545" s="55">
        <f>ROUND(('Order Details'!$O545*1000)/((VLOOKUP($I545,'Pricing Table - eff 27-Jan-2026'!$A:$Q,7,FALSE)/12)*(VLOOKUP($I545,'Pricing Table - eff 27-Jan-2026'!$A:$Q,9,FALSE)/12))/5,0)*5</f>
        <v>800</v>
      </c>
      <c r="R545" s="71">
        <f>$Q545/IFERROR(VLOOKUP($F545&amp;RIGHT($K545,8),'Master Data'!$O$5:$P$10,2,FALSE),'Master Data'!$P$4)</f>
        <v>4</v>
      </c>
      <c r="S545" s="57">
        <f>VLOOKUP($I545,'Pricing Table - eff 27-Jan-2026'!$A:$Q,16,FALSE)</f>
        <v>770</v>
      </c>
      <c r="T545" s="57">
        <f>VLOOKUP(I545,'Pricing Table - eff 27-Jan-2026'!$A:$O,15,FALSE)</f>
        <v>8.27</v>
      </c>
      <c r="U545" s="57">
        <f t="shared" si="24"/>
        <v>18969.72</v>
      </c>
      <c r="V545" s="111">
        <f t="shared" si="26"/>
        <v>18944.916000000001</v>
      </c>
      <c r="W545" s="55">
        <f>VLOOKUP($I545,'Pricing Table - eff 27-Jan-2026'!$A:$R,18,FALSE)</f>
        <v>45</v>
      </c>
    </row>
    <row r="546" spans="1:23" ht="15" hidden="1" thickTop="1" x14ac:dyDescent="0.3">
      <c r="A546" s="55">
        <v>24220722</v>
      </c>
      <c r="B546" s="55">
        <v>0</v>
      </c>
      <c r="C546" s="55" t="str">
        <f>VLOOKUP(A546&amp;"-"&amp;B546,'Order Summary'!$D:$E,2,FALSE)</f>
        <v>PO Cancelled</v>
      </c>
      <c r="D546" s="216">
        <f>IF($A546="","",VLOOKUP($A546&amp;"-"&amp;$B546,'Order Summary'!$D:$U,3,FALSE))</f>
        <v>46099</v>
      </c>
      <c r="E546" s="55" t="str">
        <f>VLOOKUP(A546&amp;"-"&amp;B546,'Order Summary'!$D:$G,4,FALSE)</f>
        <v>No</v>
      </c>
      <c r="F546" s="55" t="str">
        <f>VLOOKUP($A546,'Order Summary'!$B:$I,8,FALSE)</f>
        <v>Ashburn, GA</v>
      </c>
      <c r="G546" s="216" t="str">
        <f>IF($A546="","",VLOOKUP($A546&amp;"-"&amp;$B546,'Order Summary'!$D:$U,18,FALSE))</f>
        <v/>
      </c>
      <c r="H546" s="55">
        <v>3</v>
      </c>
      <c r="I546" s="55">
        <v>694444</v>
      </c>
      <c r="J546" s="55" t="str">
        <f>VLOOKUP($I546,'Pricing Table - eff 27-Jan-2026'!$A:$R,2,FALSE)</f>
        <v>G1S 694444</v>
      </c>
      <c r="K546" s="55" t="str">
        <f>VLOOKUP($I546,'Pricing Table - eff 27-Jan-2026'!$A:$R,6,FALSE)&amp;" "&amp;VLOOKUP($I546,'Pricing Table - eff 27-Jan-2026'!$A:$R,7,FALSE)&amp;""" x "&amp;VLOOKUP($I546,'Pricing Table - eff 27-Jan-2026'!$A:$R,9,FALSE)&amp;""" "&amp;VLOOKUP($I546,'Pricing Table - eff 27-Jan-2026'!$A:$R,5,FALSE)</f>
        <v>2MM 49" x 96" ACP</v>
      </c>
      <c r="L546" s="55">
        <f>VLOOKUP($I546,'Pricing Table - eff 27-Jan-2026'!$A:$K,8,FALSE)</f>
        <v>1245</v>
      </c>
      <c r="M546" s="55">
        <f>VLOOKUP($I546,'Pricing Table - eff 27-Jan-2026'!$A:$K,10,FALSE)</f>
        <v>2440</v>
      </c>
      <c r="N546" s="55" t="str">
        <f>VLOOKUP($I546,'Pricing Table - eff 27-Jan-2026'!$A:$R,13,FALSE)&amp;" "&amp;VLOOKUP($I546,'Pricing Table - eff 27-Jan-2026'!$A:$R,12,FALSE)</f>
        <v>AMC 0086 CHARCOAL METALLIC</v>
      </c>
      <c r="O546" s="56">
        <v>6.5330000000000004</v>
      </c>
      <c r="P546" s="55">
        <f>(VLOOKUP($I546,'Pricing Table - eff 27-Jan-2026'!$A:$R,8,FALSE)/1000)*(VLOOKUP($I546,'Pricing Table - eff 27-Jan-2026'!$A:$R,10,FALSE)/1000)*Q546</f>
        <v>607.56000000000006</v>
      </c>
      <c r="Q546" s="55">
        <f>ROUND(('Order Details'!$O546*1000)/((VLOOKUP($I546,'Pricing Table - eff 27-Jan-2026'!$A:$Q,7,FALSE)/12)*(VLOOKUP($I546,'Pricing Table - eff 27-Jan-2026'!$A:$Q,9,FALSE)/12))/5,0)*5</f>
        <v>200</v>
      </c>
      <c r="R546" s="71">
        <f>$Q546/IFERROR(VLOOKUP($F546&amp;RIGHT($K546,8),'Master Data'!$O$5:$P$10,2,FALSE),'Master Data'!$P$4)</f>
        <v>1</v>
      </c>
      <c r="S546" s="57">
        <f>VLOOKUP($I546,'Pricing Table - eff 27-Jan-2026'!$A:$Q,16,FALSE)</f>
        <v>770</v>
      </c>
      <c r="T546" s="57">
        <f>VLOOKUP(I546,'Pricing Table - eff 27-Jan-2026'!$A:$O,15,FALSE)</f>
        <v>8.27</v>
      </c>
      <c r="U546" s="57">
        <f t="shared" si="24"/>
        <v>5030.41</v>
      </c>
      <c r="V546" s="111">
        <f t="shared" si="26"/>
        <v>5024.5212000000001</v>
      </c>
      <c r="W546" s="55">
        <f>VLOOKUP($I546,'Pricing Table - eff 27-Jan-2026'!$A:$R,18,FALSE)</f>
        <v>45</v>
      </c>
    </row>
    <row r="547" spans="1:23" ht="15" hidden="1" thickTop="1" x14ac:dyDescent="0.3">
      <c r="A547" s="55">
        <v>24220722</v>
      </c>
      <c r="B547" s="55">
        <v>0</v>
      </c>
      <c r="C547" s="55" t="str">
        <f>VLOOKUP(A547&amp;"-"&amp;B547,'Order Summary'!$D:$E,2,FALSE)</f>
        <v>PO Cancelled</v>
      </c>
      <c r="D547" s="216">
        <f>IF($A547="","",VLOOKUP($A547&amp;"-"&amp;$B547,'Order Summary'!$D:$U,3,FALSE))</f>
        <v>46099</v>
      </c>
      <c r="E547" s="55" t="str">
        <f>VLOOKUP(A547&amp;"-"&amp;B547,'Order Summary'!$D:$G,4,FALSE)</f>
        <v>No</v>
      </c>
      <c r="F547" s="55" t="str">
        <f>VLOOKUP($A547,'Order Summary'!$B:$I,8,FALSE)</f>
        <v>Ashburn, GA</v>
      </c>
      <c r="G547" s="216" t="str">
        <f>IF($A547="","",VLOOKUP($A547&amp;"-"&amp;$B547,'Order Summary'!$D:$U,18,FALSE))</f>
        <v/>
      </c>
      <c r="H547" s="55">
        <v>4</v>
      </c>
      <c r="I547" s="55">
        <v>714952</v>
      </c>
      <c r="J547" s="55" t="str">
        <f>VLOOKUP($I547,'Pricing Table - eff 27-Jan-2026'!$A:$R,2,FALSE)</f>
        <v>G1S 714952</v>
      </c>
      <c r="K547" s="55" t="str">
        <f>VLOOKUP($I547,'Pricing Table - eff 27-Jan-2026'!$A:$R,6,FALSE)&amp;" "&amp;VLOOKUP($I547,'Pricing Table - eff 27-Jan-2026'!$A:$R,7,FALSE)&amp;""" x "&amp;VLOOKUP($I547,'Pricing Table - eff 27-Jan-2026'!$A:$R,9,FALSE)&amp;""" "&amp;VLOOKUP($I547,'Pricing Table - eff 27-Jan-2026'!$A:$R,5,FALSE)</f>
        <v>2MM 49" x 84" ACP</v>
      </c>
      <c r="L547" s="55">
        <f>VLOOKUP($I547,'Pricing Table - eff 27-Jan-2026'!$A:$K,8,FALSE)</f>
        <v>1245</v>
      </c>
      <c r="M547" s="55">
        <f>VLOOKUP($I547,'Pricing Table - eff 27-Jan-2026'!$A:$K,10,FALSE)</f>
        <v>2135</v>
      </c>
      <c r="N547" s="55" t="str">
        <f>VLOOKUP($I547,'Pricing Table - eff 27-Jan-2026'!$A:$R,13,FALSE)&amp;" "&amp;VLOOKUP($I547,'Pricing Table - eff 27-Jan-2026'!$A:$R,12,FALSE)</f>
        <v>AMC 0103 SILVER FROST</v>
      </c>
      <c r="O547" s="56">
        <v>11.433</v>
      </c>
      <c r="P547" s="55">
        <f>(VLOOKUP($I547,'Pricing Table - eff 27-Jan-2026'!$A:$R,8,FALSE)/1000)*(VLOOKUP($I547,'Pricing Table - eff 27-Jan-2026'!$A:$R,10,FALSE)/1000)*Q547</f>
        <v>1063.2299999999998</v>
      </c>
      <c r="Q547" s="55">
        <f>ROUND(('Order Details'!$O547*1000)/((VLOOKUP($I547,'Pricing Table - eff 27-Jan-2026'!$A:$Q,7,FALSE)/12)*(VLOOKUP($I547,'Pricing Table - eff 27-Jan-2026'!$A:$Q,9,FALSE)/12))/5,0)*5</f>
        <v>400</v>
      </c>
      <c r="R547" s="71">
        <f>$Q547/IFERROR(VLOOKUP($F547&amp;RIGHT($K547,8),'Master Data'!$O$5:$P$10,2,FALSE),'Master Data'!$P$4)</f>
        <v>2</v>
      </c>
      <c r="S547" s="57">
        <f>VLOOKUP($I547,'Pricing Table - eff 27-Jan-2026'!$A:$Q,16,FALSE)</f>
        <v>720</v>
      </c>
      <c r="T547" s="57">
        <f>VLOOKUP(I547,'Pricing Table - eff 27-Jan-2026'!$A:$O,15,FALSE)</f>
        <v>7.73</v>
      </c>
      <c r="U547" s="57">
        <f t="shared" si="24"/>
        <v>8231.76</v>
      </c>
      <c r="V547" s="111">
        <f t="shared" si="26"/>
        <v>8218.7678999999989</v>
      </c>
      <c r="W547" s="55">
        <f>VLOOKUP($I547,'Pricing Table - eff 27-Jan-2026'!$A:$R,18,FALSE)</f>
        <v>90</v>
      </c>
    </row>
    <row r="548" spans="1:23" ht="15" hidden="1" thickTop="1" x14ac:dyDescent="0.3">
      <c r="A548" s="55">
        <v>24220722</v>
      </c>
      <c r="B548" s="55">
        <v>0</v>
      </c>
      <c r="C548" s="55" t="str">
        <f>VLOOKUP(A548&amp;"-"&amp;B548,'Order Summary'!$D:$E,2,FALSE)</f>
        <v>PO Cancelled</v>
      </c>
      <c r="D548" s="216">
        <f>IF($A548="","",VLOOKUP($A548&amp;"-"&amp;$B548,'Order Summary'!$D:$U,3,FALSE))</f>
        <v>46099</v>
      </c>
      <c r="E548" s="55" t="str">
        <f>VLOOKUP(A548&amp;"-"&amp;B548,'Order Summary'!$D:$G,4,FALSE)</f>
        <v>No</v>
      </c>
      <c r="F548" s="55" t="str">
        <f>VLOOKUP($A548,'Order Summary'!$B:$I,8,FALSE)</f>
        <v>Ashburn, GA</v>
      </c>
      <c r="G548" s="216" t="str">
        <f>IF($A548="","",VLOOKUP($A548&amp;"-"&amp;$B548,'Order Summary'!$D:$U,18,FALSE))</f>
        <v/>
      </c>
      <c r="H548" s="55">
        <v>5</v>
      </c>
      <c r="I548" s="55">
        <v>709525</v>
      </c>
      <c r="J548" s="55" t="str">
        <f>VLOOKUP($I548,'Pricing Table - eff 27-Jan-2026'!$A:$R,2,FALSE)</f>
        <v>G1S 709525</v>
      </c>
      <c r="K548" s="55" t="str">
        <f>VLOOKUP($I548,'Pricing Table - eff 27-Jan-2026'!$A:$R,6,FALSE)&amp;" "&amp;VLOOKUP($I548,'Pricing Table - eff 27-Jan-2026'!$A:$R,7,FALSE)&amp;""" x "&amp;VLOOKUP($I548,'Pricing Table - eff 27-Jan-2026'!$A:$R,9,FALSE)&amp;""" "&amp;VLOOKUP($I548,'Pricing Table - eff 27-Jan-2026'!$A:$R,5,FALSE)</f>
        <v>2MM 49" x 90.5" ACP</v>
      </c>
      <c r="L548" s="55">
        <f>VLOOKUP($I548,'Pricing Table - eff 27-Jan-2026'!$A:$K,8,FALSE)</f>
        <v>1245</v>
      </c>
      <c r="M548" s="55">
        <f>VLOOKUP($I548,'Pricing Table - eff 27-Jan-2026'!$A:$K,10,FALSE)</f>
        <v>2300</v>
      </c>
      <c r="N548" s="55" t="str">
        <f>VLOOKUP($I548,'Pricing Table - eff 27-Jan-2026'!$A:$R,13,FALSE)&amp;" "&amp;VLOOKUP($I548,'Pricing Table - eff 27-Jan-2026'!$A:$R,12,FALSE)</f>
        <v>AMC 0103 SILVER FROST</v>
      </c>
      <c r="O548" s="56">
        <v>18.477</v>
      </c>
      <c r="P548" s="55">
        <f>(VLOOKUP($I548,'Pricing Table - eff 27-Jan-2026'!$A:$R,8,FALSE)/1000)*(VLOOKUP($I548,'Pricing Table - eff 27-Jan-2026'!$A:$R,10,FALSE)/1000)*Q548</f>
        <v>1718.1000000000001</v>
      </c>
      <c r="Q548" s="55">
        <f>ROUND(('Order Details'!$O548*1000)/((VLOOKUP($I548,'Pricing Table - eff 27-Jan-2026'!$A:$Q,7,FALSE)/12)*(VLOOKUP($I548,'Pricing Table - eff 27-Jan-2026'!$A:$Q,9,FALSE)/12))/5,0)*5</f>
        <v>600</v>
      </c>
      <c r="R548" s="71">
        <f>$Q548/IFERROR(VLOOKUP($F548&amp;RIGHT($K548,8),'Master Data'!$O$5:$P$10,2,FALSE),'Master Data'!$P$4)</f>
        <v>3</v>
      </c>
      <c r="S548" s="57">
        <f>VLOOKUP($I548,'Pricing Table - eff 27-Jan-2026'!$A:$Q,16,FALSE)</f>
        <v>720</v>
      </c>
      <c r="T548" s="57">
        <f>VLOOKUP(I548,'Pricing Table - eff 27-Jan-2026'!$A:$O,15,FALSE)</f>
        <v>7.73</v>
      </c>
      <c r="U548" s="57">
        <f t="shared" si="24"/>
        <v>13303.44</v>
      </c>
      <c r="V548" s="111">
        <f t="shared" si="26"/>
        <v>13280.913000000002</v>
      </c>
      <c r="W548" s="55">
        <f>VLOOKUP($I548,'Pricing Table - eff 27-Jan-2026'!$A:$R,18,FALSE)</f>
        <v>90</v>
      </c>
    </row>
    <row r="549" spans="1:23" ht="15" hidden="1" thickTop="1" x14ac:dyDescent="0.3">
      <c r="A549" s="55">
        <v>24220722</v>
      </c>
      <c r="B549" s="55">
        <v>0</v>
      </c>
      <c r="C549" s="55" t="str">
        <f>VLOOKUP(A549&amp;"-"&amp;B549,'Order Summary'!$D:$E,2,FALSE)</f>
        <v>PO Cancelled</v>
      </c>
      <c r="D549" s="216">
        <f>IF($A549="","",VLOOKUP($A549&amp;"-"&amp;$B549,'Order Summary'!$D:$U,3,FALSE))</f>
        <v>46099</v>
      </c>
      <c r="E549" s="55" t="str">
        <f>VLOOKUP(A549&amp;"-"&amp;B549,'Order Summary'!$D:$G,4,FALSE)</f>
        <v>No</v>
      </c>
      <c r="F549" s="55" t="str">
        <f>VLOOKUP($A549,'Order Summary'!$B:$I,8,FALSE)</f>
        <v>Ashburn, GA</v>
      </c>
      <c r="G549" s="216" t="str">
        <f>IF($A549="","",VLOOKUP($A549&amp;"-"&amp;$B549,'Order Summary'!$D:$U,18,FALSE))</f>
        <v/>
      </c>
      <c r="H549" s="55">
        <v>6</v>
      </c>
      <c r="I549" s="55">
        <v>694440</v>
      </c>
      <c r="J549" s="55" t="str">
        <f>VLOOKUP($I549,'Pricing Table - eff 27-Jan-2026'!$A:$R,2,FALSE)</f>
        <v>G1S 694440</v>
      </c>
      <c r="K549" s="55" t="str">
        <f>VLOOKUP($I549,'Pricing Table - eff 27-Jan-2026'!$A:$R,6,FALSE)&amp;" "&amp;VLOOKUP($I549,'Pricing Table - eff 27-Jan-2026'!$A:$R,7,FALSE)&amp;""" x "&amp;VLOOKUP($I549,'Pricing Table - eff 27-Jan-2026'!$A:$R,9,FALSE)&amp;""" "&amp;VLOOKUP($I549,'Pricing Table - eff 27-Jan-2026'!$A:$R,5,FALSE)</f>
        <v>2MM 49" x 96" ACP</v>
      </c>
      <c r="L549" s="55">
        <f>VLOOKUP($I549,'Pricing Table - eff 27-Jan-2026'!$A:$K,8,FALSE)</f>
        <v>1245</v>
      </c>
      <c r="M549" s="55">
        <f>VLOOKUP($I549,'Pricing Table - eff 27-Jan-2026'!$A:$K,10,FALSE)</f>
        <v>2440</v>
      </c>
      <c r="N549" s="55" t="str">
        <f>VLOOKUP($I549,'Pricing Table - eff 27-Jan-2026'!$A:$R,13,FALSE)&amp;" "&amp;VLOOKUP($I549,'Pricing Table - eff 27-Jan-2026'!$A:$R,12,FALSE)</f>
        <v>AMC 0103 SILVER FROST</v>
      </c>
      <c r="O549" s="56">
        <v>6.5330000000000004</v>
      </c>
      <c r="P549" s="55">
        <f>(VLOOKUP($I549,'Pricing Table - eff 27-Jan-2026'!$A:$R,8,FALSE)/1000)*(VLOOKUP($I549,'Pricing Table - eff 27-Jan-2026'!$A:$R,10,FALSE)/1000)*Q549</f>
        <v>607.56000000000006</v>
      </c>
      <c r="Q549" s="55">
        <f>ROUND(('Order Details'!$O549*1000)/((VLOOKUP($I549,'Pricing Table - eff 27-Jan-2026'!$A:$Q,7,FALSE)/12)*(VLOOKUP($I549,'Pricing Table - eff 27-Jan-2026'!$A:$Q,9,FALSE)/12))/5,0)*5</f>
        <v>200</v>
      </c>
      <c r="R549" s="71">
        <f>$Q549/IFERROR(VLOOKUP($F549&amp;RIGHT($K549,8),'Master Data'!$O$5:$P$10,2,FALSE),'Master Data'!$P$4)</f>
        <v>1</v>
      </c>
      <c r="S549" s="57">
        <f>VLOOKUP($I549,'Pricing Table - eff 27-Jan-2026'!$A:$Q,16,FALSE)</f>
        <v>720</v>
      </c>
      <c r="T549" s="57">
        <f>VLOOKUP(I549,'Pricing Table - eff 27-Jan-2026'!$A:$O,15,FALSE)</f>
        <v>7.73</v>
      </c>
      <c r="U549" s="57">
        <f t="shared" si="24"/>
        <v>4703.76</v>
      </c>
      <c r="V549" s="111">
        <f t="shared" si="26"/>
        <v>4696.4388000000008</v>
      </c>
      <c r="W549" s="55">
        <f>VLOOKUP($I549,'Pricing Table - eff 27-Jan-2026'!$A:$R,18,FALSE)</f>
        <v>90</v>
      </c>
    </row>
    <row r="550" spans="1:23" ht="15" hidden="1" thickTop="1" x14ac:dyDescent="0.3">
      <c r="A550" s="55">
        <v>24220717</v>
      </c>
      <c r="B550" s="55">
        <v>0</v>
      </c>
      <c r="C550" s="55" t="str">
        <f>VLOOKUP(A550&amp;"-"&amp;B550,'Order Summary'!$D:$E,2,FALSE)</f>
        <v>PO Cancelled</v>
      </c>
      <c r="D550" s="216">
        <f>IF($A550="","",VLOOKUP($A550&amp;"-"&amp;$B550,'Order Summary'!$D:$U,3,FALSE))</f>
        <v>46099</v>
      </c>
      <c r="E550" s="55" t="str">
        <f>VLOOKUP(A550&amp;"-"&amp;B550,'Order Summary'!$D:$G,4,FALSE)</f>
        <v>No</v>
      </c>
      <c r="F550" s="55" t="str">
        <f>VLOOKUP($A550,'Order Summary'!$B:$I,8,FALSE)</f>
        <v>Ashburn, GA</v>
      </c>
      <c r="G550" s="216" t="str">
        <f>IF($A550="","",VLOOKUP($A550&amp;"-"&amp;$B550,'Order Summary'!$D:$U,18,FALSE))</f>
        <v/>
      </c>
      <c r="H550" s="55">
        <v>1</v>
      </c>
      <c r="I550" s="55">
        <v>704984</v>
      </c>
      <c r="J550" s="55" t="str">
        <f>VLOOKUP($I550,'Pricing Table - eff 27-Jan-2026'!$A:$R,2,FALSE)</f>
        <v>G1S 704984</v>
      </c>
      <c r="K550" s="55" t="str">
        <f>VLOOKUP($I550,'Pricing Table - eff 27-Jan-2026'!$A:$R,6,FALSE)&amp;" "&amp;VLOOKUP($I550,'Pricing Table - eff 27-Jan-2026'!$A:$R,7,FALSE)&amp;""" x "&amp;VLOOKUP($I550,'Pricing Table - eff 27-Jan-2026'!$A:$R,9,FALSE)&amp;""" "&amp;VLOOKUP($I550,'Pricing Table - eff 27-Jan-2026'!$A:$R,5,FALSE)</f>
        <v>2MM 49" x 84" ACP</v>
      </c>
      <c r="L550" s="55">
        <f>VLOOKUP($I550,'Pricing Table - eff 27-Jan-2026'!$A:$K,8,FALSE)</f>
        <v>1245</v>
      </c>
      <c r="M550" s="55">
        <f>VLOOKUP($I550,'Pricing Table - eff 27-Jan-2026'!$A:$K,10,FALSE)</f>
        <v>2135</v>
      </c>
      <c r="N550" s="55" t="str">
        <f>VLOOKUP($I550,'Pricing Table - eff 27-Jan-2026'!$A:$R,13,FALSE)&amp;" "&amp;VLOOKUP($I550,'Pricing Table - eff 27-Jan-2026'!$A:$R,12,FALSE)</f>
        <v>ASC 0096 GLOSSY BLACK</v>
      </c>
      <c r="O550" s="56">
        <v>17.149999999999999</v>
      </c>
      <c r="P550" s="55">
        <f>(VLOOKUP($I550,'Pricing Table - eff 27-Jan-2026'!$A:$R,8,FALSE)/1000)*(VLOOKUP($I550,'Pricing Table - eff 27-Jan-2026'!$A:$R,10,FALSE)/1000)*Q550</f>
        <v>1594.8449999999998</v>
      </c>
      <c r="Q550" s="55">
        <f>ROUND(('Order Details'!$O550*1000)/((VLOOKUP($I550,'Pricing Table - eff 27-Jan-2026'!$A:$Q,7,FALSE)/12)*(VLOOKUP($I550,'Pricing Table - eff 27-Jan-2026'!$A:$Q,9,FALSE)/12))/5,0)*5</f>
        <v>600</v>
      </c>
      <c r="R550" s="71">
        <f>$Q550/IFERROR(VLOOKUP($F550&amp;RIGHT($K550,8),'Master Data'!$O$5:$P$10,2,FALSE),'Master Data'!$P$4)</f>
        <v>3</v>
      </c>
      <c r="S550" s="57">
        <f>VLOOKUP($I550,'Pricing Table - eff 27-Jan-2026'!$A:$Q,16,FALSE)</f>
        <v>720</v>
      </c>
      <c r="T550" s="57">
        <f>VLOOKUP(I550,'Pricing Table - eff 27-Jan-2026'!$A:$O,15,FALSE)</f>
        <v>7.73</v>
      </c>
      <c r="U550" s="57">
        <f t="shared" si="24"/>
        <v>12347.999999999998</v>
      </c>
      <c r="V550" s="111">
        <f t="shared" si="26"/>
        <v>12328.151849999998</v>
      </c>
      <c r="W550" s="55">
        <f>VLOOKUP($I550,'Pricing Table - eff 27-Jan-2026'!$A:$R,18,FALSE)</f>
        <v>45</v>
      </c>
    </row>
    <row r="551" spans="1:23" ht="15" hidden="1" thickTop="1" x14ac:dyDescent="0.3">
      <c r="A551" s="55">
        <v>24220717</v>
      </c>
      <c r="B551" s="55">
        <v>0</v>
      </c>
      <c r="C551" s="55" t="str">
        <f>VLOOKUP(A551&amp;"-"&amp;B551,'Order Summary'!$D:$E,2,FALSE)</f>
        <v>PO Cancelled</v>
      </c>
      <c r="D551" s="216">
        <f>IF($A551="","",VLOOKUP($A551&amp;"-"&amp;$B551,'Order Summary'!$D:$U,3,FALSE))</f>
        <v>46099</v>
      </c>
      <c r="E551" s="55" t="str">
        <f>VLOOKUP(A551&amp;"-"&amp;B551,'Order Summary'!$D:$G,4,FALSE)</f>
        <v>No</v>
      </c>
      <c r="F551" s="55" t="str">
        <f>VLOOKUP($A551,'Order Summary'!$B:$I,8,FALSE)</f>
        <v>Ashburn, GA</v>
      </c>
      <c r="G551" s="216" t="str">
        <f>IF($A551="","",VLOOKUP($A551&amp;"-"&amp;$B551,'Order Summary'!$D:$U,18,FALSE))</f>
        <v/>
      </c>
      <c r="H551" s="55">
        <v>2</v>
      </c>
      <c r="I551" s="55">
        <v>709354</v>
      </c>
      <c r="J551" s="55" t="str">
        <f>VLOOKUP($I551,'Pricing Table - eff 27-Jan-2026'!$A:$R,2,FALSE)</f>
        <v>G1S 709354</v>
      </c>
      <c r="K551" s="55" t="str">
        <f>VLOOKUP($I551,'Pricing Table - eff 27-Jan-2026'!$A:$R,6,FALSE)&amp;" "&amp;VLOOKUP($I551,'Pricing Table - eff 27-Jan-2026'!$A:$R,7,FALSE)&amp;""" x "&amp;VLOOKUP($I551,'Pricing Table - eff 27-Jan-2026'!$A:$R,9,FALSE)&amp;""" "&amp;VLOOKUP($I551,'Pricing Table - eff 27-Jan-2026'!$A:$R,5,FALSE)</f>
        <v>2MM 49" x 90.5" ACP</v>
      </c>
      <c r="L551" s="55">
        <f>VLOOKUP($I551,'Pricing Table - eff 27-Jan-2026'!$A:$K,8,FALSE)</f>
        <v>1245</v>
      </c>
      <c r="M551" s="55">
        <f>VLOOKUP($I551,'Pricing Table - eff 27-Jan-2026'!$A:$K,10,FALSE)</f>
        <v>2300</v>
      </c>
      <c r="N551" s="55" t="str">
        <f>VLOOKUP($I551,'Pricing Table - eff 27-Jan-2026'!$A:$R,13,FALSE)&amp;" "&amp;VLOOKUP($I551,'Pricing Table - eff 27-Jan-2026'!$A:$R,12,FALSE)</f>
        <v>ASC 0096 GLOSSY BLACK</v>
      </c>
      <c r="O551" s="56">
        <v>36.954000000000001</v>
      </c>
      <c r="P551" s="55">
        <f>(VLOOKUP($I551,'Pricing Table - eff 27-Jan-2026'!$A:$R,8,FALSE)/1000)*(VLOOKUP($I551,'Pricing Table - eff 27-Jan-2026'!$A:$R,10,FALSE)/1000)*Q551</f>
        <v>3436.2000000000003</v>
      </c>
      <c r="Q551" s="55">
        <f>ROUND(('Order Details'!$O551*1000)/((VLOOKUP($I551,'Pricing Table - eff 27-Jan-2026'!$A:$Q,7,FALSE)/12)*(VLOOKUP($I551,'Pricing Table - eff 27-Jan-2026'!$A:$Q,9,FALSE)/12))/5,0)*5</f>
        <v>1200</v>
      </c>
      <c r="R551" s="71">
        <f>$Q551/IFERROR(VLOOKUP($F551&amp;RIGHT($K551,8),'Master Data'!$O$5:$P$10,2,FALSE),'Master Data'!$P$4)</f>
        <v>6</v>
      </c>
      <c r="S551" s="57">
        <f>VLOOKUP($I551,'Pricing Table - eff 27-Jan-2026'!$A:$Q,16,FALSE)</f>
        <v>720</v>
      </c>
      <c r="T551" s="57">
        <f>VLOOKUP(I551,'Pricing Table - eff 27-Jan-2026'!$A:$O,15,FALSE)</f>
        <v>7.73</v>
      </c>
      <c r="U551" s="57">
        <f t="shared" si="24"/>
        <v>26606.880000000001</v>
      </c>
      <c r="V551" s="111">
        <f t="shared" si="26"/>
        <v>26561.826000000005</v>
      </c>
      <c r="W551" s="55">
        <f>VLOOKUP($I551,'Pricing Table - eff 27-Jan-2026'!$A:$R,18,FALSE)</f>
        <v>45</v>
      </c>
    </row>
    <row r="552" spans="1:23" ht="15" hidden="1" thickTop="1" x14ac:dyDescent="0.3">
      <c r="A552" s="55">
        <v>24220717</v>
      </c>
      <c r="B552" s="55">
        <v>0</v>
      </c>
      <c r="C552" s="55" t="str">
        <f>VLOOKUP(A552&amp;"-"&amp;B552,'Order Summary'!$D:$E,2,FALSE)</f>
        <v>PO Cancelled</v>
      </c>
      <c r="D552" s="216">
        <f>IF($A552="","",VLOOKUP($A552&amp;"-"&amp;$B552,'Order Summary'!$D:$U,3,FALSE))</f>
        <v>46099</v>
      </c>
      <c r="E552" s="55" t="str">
        <f>VLOOKUP(A552&amp;"-"&amp;B552,'Order Summary'!$D:$G,4,FALSE)</f>
        <v>No</v>
      </c>
      <c r="F552" s="55" t="str">
        <f>VLOOKUP($A552,'Order Summary'!$B:$I,8,FALSE)</f>
        <v>Ashburn, GA</v>
      </c>
      <c r="G552" s="216" t="str">
        <f>IF($A552="","",VLOOKUP($A552&amp;"-"&amp;$B552,'Order Summary'!$D:$U,18,FALSE))</f>
        <v/>
      </c>
      <c r="H552" s="55">
        <v>3</v>
      </c>
      <c r="I552" s="55">
        <v>694432</v>
      </c>
      <c r="J552" s="55" t="str">
        <f>VLOOKUP($I552,'Pricing Table - eff 27-Jan-2026'!$A:$R,2,FALSE)</f>
        <v>G1S 694432</v>
      </c>
      <c r="K552" s="55" t="str">
        <f>VLOOKUP($I552,'Pricing Table - eff 27-Jan-2026'!$A:$R,6,FALSE)&amp;" "&amp;VLOOKUP($I552,'Pricing Table - eff 27-Jan-2026'!$A:$R,7,FALSE)&amp;""" x "&amp;VLOOKUP($I552,'Pricing Table - eff 27-Jan-2026'!$A:$R,9,FALSE)&amp;""" "&amp;VLOOKUP($I552,'Pricing Table - eff 27-Jan-2026'!$A:$R,5,FALSE)</f>
        <v>2MM 49" x 96" ACP</v>
      </c>
      <c r="L552" s="55">
        <f>VLOOKUP($I552,'Pricing Table - eff 27-Jan-2026'!$A:$K,8,FALSE)</f>
        <v>1245</v>
      </c>
      <c r="M552" s="55">
        <f>VLOOKUP($I552,'Pricing Table - eff 27-Jan-2026'!$A:$K,10,FALSE)</f>
        <v>2440</v>
      </c>
      <c r="N552" s="55" t="str">
        <f>VLOOKUP($I552,'Pricing Table - eff 27-Jan-2026'!$A:$R,13,FALSE)&amp;" "&amp;VLOOKUP($I552,'Pricing Table - eff 27-Jan-2026'!$A:$R,12,FALSE)</f>
        <v>ASC 0096 GLOSSY BLACK</v>
      </c>
      <c r="O552" s="56">
        <v>19.600000000000001</v>
      </c>
      <c r="P552" s="55">
        <f>(VLOOKUP($I552,'Pricing Table - eff 27-Jan-2026'!$A:$R,8,FALSE)/1000)*(VLOOKUP($I552,'Pricing Table - eff 27-Jan-2026'!$A:$R,10,FALSE)/1000)*Q552</f>
        <v>1822.68</v>
      </c>
      <c r="Q552" s="55">
        <f>ROUND(('Order Details'!$O552*1000)/((VLOOKUP($I552,'Pricing Table - eff 27-Jan-2026'!$A:$Q,7,FALSE)/12)*(VLOOKUP($I552,'Pricing Table - eff 27-Jan-2026'!$A:$Q,9,FALSE)/12))/5,0)*5</f>
        <v>600</v>
      </c>
      <c r="R552" s="71">
        <f>$Q552/IFERROR(VLOOKUP($F552&amp;RIGHT($K552,8),'Master Data'!$O$5:$P$10,2,FALSE),'Master Data'!$P$4)</f>
        <v>3</v>
      </c>
      <c r="S552" s="57">
        <f>VLOOKUP($I552,'Pricing Table - eff 27-Jan-2026'!$A:$Q,16,FALSE)</f>
        <v>720</v>
      </c>
      <c r="T552" s="57">
        <f>VLOOKUP(I552,'Pricing Table - eff 27-Jan-2026'!$A:$O,15,FALSE)</f>
        <v>7.73</v>
      </c>
      <c r="U552" s="57">
        <f t="shared" ref="U552:U614" si="27">O552*S552</f>
        <v>14112.000000000002</v>
      </c>
      <c r="V552" s="111">
        <f t="shared" si="26"/>
        <v>14089.316400000002</v>
      </c>
      <c r="W552" s="55">
        <f>VLOOKUP($I552,'Pricing Table - eff 27-Jan-2026'!$A:$R,18,FALSE)</f>
        <v>45</v>
      </c>
    </row>
    <row r="553" spans="1:23" ht="15" hidden="1" thickTop="1" x14ac:dyDescent="0.3">
      <c r="A553" s="55">
        <v>24220717</v>
      </c>
      <c r="B553" s="55">
        <v>0</v>
      </c>
      <c r="C553" s="55" t="str">
        <f>VLOOKUP(A553&amp;"-"&amp;B553,'Order Summary'!$D:$E,2,FALSE)</f>
        <v>PO Cancelled</v>
      </c>
      <c r="D553" s="216">
        <f>IF($A553="","",VLOOKUP($A553&amp;"-"&amp;$B553,'Order Summary'!$D:$U,3,FALSE))</f>
        <v>46099</v>
      </c>
      <c r="E553" s="55" t="str">
        <f>VLOOKUP(A553&amp;"-"&amp;B553,'Order Summary'!$D:$G,4,FALSE)</f>
        <v>No</v>
      </c>
      <c r="F553" s="55" t="str">
        <f>VLOOKUP($A553,'Order Summary'!$B:$I,8,FALSE)</f>
        <v>Ashburn, GA</v>
      </c>
      <c r="G553" s="216" t="str">
        <f>IF($A553="","",VLOOKUP($A553&amp;"-"&amp;$B553,'Order Summary'!$D:$U,18,FALSE))</f>
        <v/>
      </c>
      <c r="H553" s="55">
        <v>4</v>
      </c>
      <c r="I553" s="55">
        <v>694440</v>
      </c>
      <c r="J553" s="55" t="str">
        <f>VLOOKUP($I553,'Pricing Table - eff 27-Jan-2026'!$A:$R,2,FALSE)</f>
        <v>G1S 694440</v>
      </c>
      <c r="K553" s="55" t="str">
        <f>VLOOKUP($I553,'Pricing Table - eff 27-Jan-2026'!$A:$R,6,FALSE)&amp;" "&amp;VLOOKUP($I553,'Pricing Table - eff 27-Jan-2026'!$A:$R,7,FALSE)&amp;""" x "&amp;VLOOKUP($I553,'Pricing Table - eff 27-Jan-2026'!$A:$R,9,FALSE)&amp;""" "&amp;VLOOKUP($I553,'Pricing Table - eff 27-Jan-2026'!$A:$R,5,FALSE)</f>
        <v>2MM 49" x 96" ACP</v>
      </c>
      <c r="L553" s="55">
        <f>VLOOKUP($I553,'Pricing Table - eff 27-Jan-2026'!$A:$K,8,FALSE)</f>
        <v>1245</v>
      </c>
      <c r="M553" s="55">
        <f>VLOOKUP($I553,'Pricing Table - eff 27-Jan-2026'!$A:$K,10,FALSE)</f>
        <v>2440</v>
      </c>
      <c r="N553" s="55" t="str">
        <f>VLOOKUP($I553,'Pricing Table - eff 27-Jan-2026'!$A:$R,13,FALSE)&amp;" "&amp;VLOOKUP($I553,'Pricing Table - eff 27-Jan-2026'!$A:$R,12,FALSE)</f>
        <v>AMC 0103 SILVER FROST</v>
      </c>
      <c r="O553" s="56">
        <v>6.5330000000000004</v>
      </c>
      <c r="P553" s="55">
        <f>(VLOOKUP($I553,'Pricing Table - eff 27-Jan-2026'!$A:$R,8,FALSE)/1000)*(VLOOKUP($I553,'Pricing Table - eff 27-Jan-2026'!$A:$R,10,FALSE)/1000)*Q553</f>
        <v>607.56000000000006</v>
      </c>
      <c r="Q553" s="55">
        <f>ROUND(('Order Details'!$O553*1000)/((VLOOKUP($I553,'Pricing Table - eff 27-Jan-2026'!$A:$Q,7,FALSE)/12)*(VLOOKUP($I553,'Pricing Table - eff 27-Jan-2026'!$A:$Q,9,FALSE)/12))/5,0)*5</f>
        <v>200</v>
      </c>
      <c r="R553" s="71">
        <f>$Q553/IFERROR(VLOOKUP($F553&amp;RIGHT($K553,8),'Master Data'!$O$5:$P$10,2,FALSE),'Master Data'!$P$4)</f>
        <v>1</v>
      </c>
      <c r="S553" s="57">
        <f>VLOOKUP($I553,'Pricing Table - eff 27-Jan-2026'!$A:$Q,16,FALSE)</f>
        <v>720</v>
      </c>
      <c r="T553" s="57">
        <f>VLOOKUP(I553,'Pricing Table - eff 27-Jan-2026'!$A:$O,15,FALSE)</f>
        <v>7.73</v>
      </c>
      <c r="U553" s="57">
        <f t="shared" si="27"/>
        <v>4703.76</v>
      </c>
      <c r="V553" s="111">
        <f t="shared" si="26"/>
        <v>4696.4388000000008</v>
      </c>
      <c r="W553" s="55">
        <f>VLOOKUP($I553,'Pricing Table - eff 27-Jan-2026'!$A:$R,18,FALSE)</f>
        <v>90</v>
      </c>
    </row>
    <row r="554" spans="1:23" ht="15" hidden="1" thickTop="1" x14ac:dyDescent="0.3">
      <c r="A554" s="55">
        <v>24220714</v>
      </c>
      <c r="B554" s="55">
        <v>0</v>
      </c>
      <c r="C554" s="55" t="str">
        <f>VLOOKUP(A554&amp;"-"&amp;B554,'Order Summary'!$D:$E,2,FALSE)</f>
        <v>PO Cancelled</v>
      </c>
      <c r="D554" s="216">
        <f>IF($A554="","",VLOOKUP($A554&amp;"-"&amp;$B554,'Order Summary'!$D:$U,3,FALSE))</f>
        <v>46099</v>
      </c>
      <c r="E554" s="55" t="s">
        <v>197</v>
      </c>
      <c r="F554" s="55" t="str">
        <f>VLOOKUP($A554,'Order Summary'!$B:$I,8,FALSE)</f>
        <v>Ashburn, GA</v>
      </c>
      <c r="G554" s="216" t="str">
        <f>IF($A554="","",VLOOKUP($A554&amp;"-"&amp;$B554,'Order Summary'!$D:$U,18,FALSE))</f>
        <v/>
      </c>
      <c r="H554" s="55">
        <v>1</v>
      </c>
      <c r="I554" s="55">
        <v>704985</v>
      </c>
      <c r="J554" s="55" t="str">
        <f>VLOOKUP($I554,'Pricing Table - eff 27-Jan-2026'!$A:$R,2,FALSE)</f>
        <v>G1S 704985</v>
      </c>
      <c r="K554" s="55" t="str">
        <f>VLOOKUP($I554,'Pricing Table - eff 27-Jan-2026'!$A:$R,6,FALSE)&amp;" "&amp;VLOOKUP($I554,'Pricing Table - eff 27-Jan-2026'!$A:$R,7,FALSE)&amp;""" x "&amp;VLOOKUP($I554,'Pricing Table - eff 27-Jan-2026'!$A:$R,9,FALSE)&amp;""" "&amp;VLOOKUP($I554,'Pricing Table - eff 27-Jan-2026'!$A:$R,5,FALSE)</f>
        <v>2MM 49" x 84" ACP</v>
      </c>
      <c r="L554" s="55">
        <f>VLOOKUP($I554,'Pricing Table - eff 27-Jan-2026'!$A:$K,8,FALSE)</f>
        <v>1245</v>
      </c>
      <c r="M554" s="55">
        <f>VLOOKUP($I554,'Pricing Table - eff 27-Jan-2026'!$A:$K,10,FALSE)</f>
        <v>2135</v>
      </c>
      <c r="N554" s="55" t="str">
        <f>VLOOKUP($I554,'Pricing Table - eff 27-Jan-2026'!$A:$R,13,FALSE)&amp;" "&amp;VLOOKUP($I554,'Pricing Table - eff 27-Jan-2026'!$A:$R,12,FALSE)</f>
        <v>ASC 0069 GLOSSY WHITE</v>
      </c>
      <c r="O554" s="56">
        <v>17.149999999999999</v>
      </c>
      <c r="P554" s="55">
        <f>(VLOOKUP($I554,'Pricing Table - eff 27-Jan-2026'!$A:$R,8,FALSE)/1000)*(VLOOKUP($I554,'Pricing Table - eff 27-Jan-2026'!$A:$R,10,FALSE)/1000)*Q554</f>
        <v>1594.8449999999998</v>
      </c>
      <c r="Q554" s="55">
        <f>ROUND(('Order Details'!$O554*1000)/((VLOOKUP($I554,'Pricing Table - eff 27-Jan-2026'!$A:$Q,7,FALSE)/12)*(VLOOKUP($I554,'Pricing Table - eff 27-Jan-2026'!$A:$Q,9,FALSE)/12))/5,0)*5</f>
        <v>600</v>
      </c>
      <c r="R554" s="71">
        <f>$Q554/IFERROR(VLOOKUP($F554&amp;RIGHT($K554,8),'Master Data'!$O$5:$P$10,2,FALSE),'Master Data'!$P$4)</f>
        <v>3</v>
      </c>
      <c r="S554" s="57">
        <f>VLOOKUP($I554,'Pricing Table - eff 27-Jan-2026'!$A:$Q,16,FALSE)</f>
        <v>720</v>
      </c>
      <c r="T554" s="57">
        <f>VLOOKUP(I554,'Pricing Table - eff 27-Jan-2026'!$A:$O,15,FALSE)</f>
        <v>7.73</v>
      </c>
      <c r="U554" s="57">
        <f t="shared" si="27"/>
        <v>12347.999999999998</v>
      </c>
      <c r="V554" s="111">
        <f t="shared" si="26"/>
        <v>12328.151849999998</v>
      </c>
      <c r="W554" s="55">
        <f>VLOOKUP($I554,'Pricing Table - eff 27-Jan-2026'!$A:$R,18,FALSE)</f>
        <v>45</v>
      </c>
    </row>
    <row r="555" spans="1:23" ht="15" hidden="1" thickTop="1" x14ac:dyDescent="0.3">
      <c r="A555" s="55">
        <v>24220714</v>
      </c>
      <c r="B555" s="55">
        <v>0</v>
      </c>
      <c r="C555" s="55" t="str">
        <f>VLOOKUP(A555&amp;"-"&amp;B555,'Order Summary'!$D:$E,2,FALSE)</f>
        <v>PO Cancelled</v>
      </c>
      <c r="D555" s="216">
        <f>IF($A555="","",VLOOKUP($A555&amp;"-"&amp;$B555,'Order Summary'!$D:$U,3,FALSE))</f>
        <v>46099</v>
      </c>
      <c r="E555" s="55" t="s">
        <v>197</v>
      </c>
      <c r="F555" s="55" t="str">
        <f>VLOOKUP($A555,'Order Summary'!$B:$I,8,FALSE)</f>
        <v>Ashburn, GA</v>
      </c>
      <c r="G555" s="216" t="str">
        <f>IF($A555="","",VLOOKUP($A555&amp;"-"&amp;$B555,'Order Summary'!$D:$U,18,FALSE))</f>
        <v/>
      </c>
      <c r="H555" s="55">
        <v>2</v>
      </c>
      <c r="I555" s="55">
        <v>709355</v>
      </c>
      <c r="J555" s="55" t="str">
        <f>VLOOKUP($I555,'Pricing Table - eff 27-Jan-2026'!$A:$R,2,FALSE)</f>
        <v>G1S 709355</v>
      </c>
      <c r="K555" s="55" t="str">
        <f>VLOOKUP($I555,'Pricing Table - eff 27-Jan-2026'!$A:$R,6,FALSE)&amp;" "&amp;VLOOKUP($I555,'Pricing Table - eff 27-Jan-2026'!$A:$R,7,FALSE)&amp;""" x "&amp;VLOOKUP($I555,'Pricing Table - eff 27-Jan-2026'!$A:$R,9,FALSE)&amp;""" "&amp;VLOOKUP($I555,'Pricing Table - eff 27-Jan-2026'!$A:$R,5,FALSE)</f>
        <v>2MM 49" x 90.5" ACP</v>
      </c>
      <c r="L555" s="55">
        <f>VLOOKUP($I555,'Pricing Table - eff 27-Jan-2026'!$A:$K,8,FALSE)</f>
        <v>1245</v>
      </c>
      <c r="M555" s="55">
        <f>VLOOKUP($I555,'Pricing Table - eff 27-Jan-2026'!$A:$K,10,FALSE)</f>
        <v>2300</v>
      </c>
      <c r="N555" s="55" t="str">
        <f>VLOOKUP($I555,'Pricing Table - eff 27-Jan-2026'!$A:$R,13,FALSE)&amp;" "&amp;VLOOKUP($I555,'Pricing Table - eff 27-Jan-2026'!$A:$R,12,FALSE)</f>
        <v>ASC 0069 GLOSSY WHITE</v>
      </c>
      <c r="O555" s="56">
        <v>36.954000000000001</v>
      </c>
      <c r="P555" s="55">
        <f>(VLOOKUP($I555,'Pricing Table - eff 27-Jan-2026'!$A:$R,8,FALSE)/1000)*(VLOOKUP($I555,'Pricing Table - eff 27-Jan-2026'!$A:$R,10,FALSE)/1000)*Q555</f>
        <v>3436.2000000000003</v>
      </c>
      <c r="Q555" s="55">
        <f>ROUND(('Order Details'!$O555*1000)/((VLOOKUP($I555,'Pricing Table - eff 27-Jan-2026'!$A:$Q,7,FALSE)/12)*(VLOOKUP($I555,'Pricing Table - eff 27-Jan-2026'!$A:$Q,9,FALSE)/12))/5,0)*5</f>
        <v>1200</v>
      </c>
      <c r="R555" s="71">
        <f>$Q555/IFERROR(VLOOKUP($F555&amp;RIGHT($K555,8),'Master Data'!$O$5:$P$10,2,FALSE),'Master Data'!$P$4)</f>
        <v>6</v>
      </c>
      <c r="S555" s="57">
        <f>VLOOKUP($I555,'Pricing Table - eff 27-Jan-2026'!$A:$Q,16,FALSE)</f>
        <v>720</v>
      </c>
      <c r="T555" s="57">
        <f>VLOOKUP(I555,'Pricing Table - eff 27-Jan-2026'!$A:$O,15,FALSE)</f>
        <v>7.73</v>
      </c>
      <c r="U555" s="57">
        <f t="shared" si="27"/>
        <v>26606.880000000001</v>
      </c>
      <c r="V555" s="111">
        <f t="shared" si="26"/>
        <v>26561.826000000005</v>
      </c>
      <c r="W555" s="55">
        <f>VLOOKUP($I555,'Pricing Table - eff 27-Jan-2026'!$A:$R,18,FALSE)</f>
        <v>45</v>
      </c>
    </row>
    <row r="556" spans="1:23" ht="15" hidden="1" thickTop="1" x14ac:dyDescent="0.3">
      <c r="A556" s="55">
        <v>24220714</v>
      </c>
      <c r="B556" s="55">
        <v>0</v>
      </c>
      <c r="C556" s="55" t="str">
        <f>VLOOKUP(A556&amp;"-"&amp;B556,'Order Summary'!$D:$E,2,FALSE)</f>
        <v>PO Cancelled</v>
      </c>
      <c r="D556" s="216">
        <f>IF($A556="","",VLOOKUP($A556&amp;"-"&amp;$B556,'Order Summary'!$D:$U,3,FALSE))</f>
        <v>46099</v>
      </c>
      <c r="E556" s="55" t="s">
        <v>197</v>
      </c>
      <c r="F556" s="55" t="str">
        <f>VLOOKUP($A556,'Order Summary'!$B:$I,8,FALSE)</f>
        <v>Ashburn, GA</v>
      </c>
      <c r="G556" s="216" t="str">
        <f>IF($A556="","",VLOOKUP($A556&amp;"-"&amp;$B556,'Order Summary'!$D:$U,18,FALSE))</f>
        <v/>
      </c>
      <c r="H556" s="55">
        <v>3</v>
      </c>
      <c r="I556" s="55">
        <v>694436</v>
      </c>
      <c r="J556" s="55" t="str">
        <f>VLOOKUP($I556,'Pricing Table - eff 27-Jan-2026'!$A:$R,2,FALSE)</f>
        <v>G1S 694436</v>
      </c>
      <c r="K556" s="55" t="str">
        <f>VLOOKUP($I556,'Pricing Table - eff 27-Jan-2026'!$A:$R,6,FALSE)&amp;" "&amp;VLOOKUP($I556,'Pricing Table - eff 27-Jan-2026'!$A:$R,7,FALSE)&amp;""" x "&amp;VLOOKUP($I556,'Pricing Table - eff 27-Jan-2026'!$A:$R,9,FALSE)&amp;""" "&amp;VLOOKUP($I556,'Pricing Table - eff 27-Jan-2026'!$A:$R,5,FALSE)</f>
        <v>2MM 49" x 96" ACP</v>
      </c>
      <c r="L556" s="55">
        <f>VLOOKUP($I556,'Pricing Table - eff 27-Jan-2026'!$A:$K,8,FALSE)</f>
        <v>1245</v>
      </c>
      <c r="M556" s="55">
        <f>VLOOKUP($I556,'Pricing Table - eff 27-Jan-2026'!$A:$K,10,FALSE)</f>
        <v>2440</v>
      </c>
      <c r="N556" s="55" t="str">
        <f>VLOOKUP($I556,'Pricing Table - eff 27-Jan-2026'!$A:$R,13,FALSE)&amp;" "&amp;VLOOKUP($I556,'Pricing Table - eff 27-Jan-2026'!$A:$R,12,FALSE)</f>
        <v>ASC 0069 GLOSSY WHITE</v>
      </c>
      <c r="O556" s="56">
        <v>19.600000000000001</v>
      </c>
      <c r="P556" s="55">
        <f>(VLOOKUP($I556,'Pricing Table - eff 27-Jan-2026'!$A:$R,8,FALSE)/1000)*(VLOOKUP($I556,'Pricing Table - eff 27-Jan-2026'!$A:$R,10,FALSE)/1000)*Q556</f>
        <v>1822.68</v>
      </c>
      <c r="Q556" s="55">
        <f>ROUND(('Order Details'!$O556*1000)/((VLOOKUP($I556,'Pricing Table - eff 27-Jan-2026'!$A:$Q,7,FALSE)/12)*(VLOOKUP($I556,'Pricing Table - eff 27-Jan-2026'!$A:$Q,9,FALSE)/12))/5,0)*5</f>
        <v>600</v>
      </c>
      <c r="R556" s="71">
        <f>$Q556/IFERROR(VLOOKUP($F556&amp;RIGHT($K556,8),'Master Data'!$O$5:$P$10,2,FALSE),'Master Data'!$P$4)</f>
        <v>3</v>
      </c>
      <c r="S556" s="57">
        <f>VLOOKUP($I556,'Pricing Table - eff 27-Jan-2026'!$A:$Q,16,FALSE)</f>
        <v>720</v>
      </c>
      <c r="T556" s="57">
        <f>VLOOKUP(I556,'Pricing Table - eff 27-Jan-2026'!$A:$O,15,FALSE)</f>
        <v>7.73</v>
      </c>
      <c r="U556" s="57">
        <f t="shared" si="27"/>
        <v>14112.000000000002</v>
      </c>
      <c r="V556" s="111">
        <f t="shared" si="26"/>
        <v>14089.316400000002</v>
      </c>
      <c r="W556" s="55">
        <f>VLOOKUP($I556,'Pricing Table - eff 27-Jan-2026'!$A:$R,18,FALSE)</f>
        <v>45</v>
      </c>
    </row>
    <row r="557" spans="1:23" ht="15" hidden="1" thickTop="1" x14ac:dyDescent="0.3">
      <c r="A557" s="55">
        <v>24220714</v>
      </c>
      <c r="B557" s="55">
        <v>0</v>
      </c>
      <c r="C557" s="55" t="str">
        <f>VLOOKUP(A557&amp;"-"&amp;B557,'Order Summary'!$D:$E,2,FALSE)</f>
        <v>PO Cancelled</v>
      </c>
      <c r="D557" s="216">
        <f>IF($A557="","",VLOOKUP($A557&amp;"-"&amp;$B557,'Order Summary'!$D:$U,3,FALSE))</f>
        <v>46099</v>
      </c>
      <c r="E557" s="55" t="s">
        <v>197</v>
      </c>
      <c r="F557" s="55" t="str">
        <f>VLOOKUP($A557,'Order Summary'!$B:$I,8,FALSE)</f>
        <v>Ashburn, GA</v>
      </c>
      <c r="G557" s="216" t="str">
        <f>IF($A557="","",VLOOKUP($A557&amp;"-"&amp;$B557,'Order Summary'!$D:$U,18,FALSE))</f>
        <v/>
      </c>
      <c r="H557" s="55">
        <v>4</v>
      </c>
      <c r="I557" s="55">
        <v>694444</v>
      </c>
      <c r="J557" s="55" t="str">
        <f>VLOOKUP($I557,'Pricing Table - eff 27-Jan-2026'!$A:$R,2,FALSE)</f>
        <v>G1S 694444</v>
      </c>
      <c r="K557" s="55" t="str">
        <f>VLOOKUP($I557,'Pricing Table - eff 27-Jan-2026'!$A:$R,6,FALSE)&amp;" "&amp;VLOOKUP($I557,'Pricing Table - eff 27-Jan-2026'!$A:$R,7,FALSE)&amp;""" x "&amp;VLOOKUP($I557,'Pricing Table - eff 27-Jan-2026'!$A:$R,9,FALSE)&amp;""" "&amp;VLOOKUP($I557,'Pricing Table - eff 27-Jan-2026'!$A:$R,5,FALSE)</f>
        <v>2MM 49" x 96" ACP</v>
      </c>
      <c r="L557" s="55">
        <f>VLOOKUP($I557,'Pricing Table - eff 27-Jan-2026'!$A:$K,8,FALSE)</f>
        <v>1245</v>
      </c>
      <c r="M557" s="55">
        <f>VLOOKUP($I557,'Pricing Table - eff 27-Jan-2026'!$A:$K,10,FALSE)</f>
        <v>2440</v>
      </c>
      <c r="N557" s="55" t="str">
        <f>VLOOKUP($I557,'Pricing Table - eff 27-Jan-2026'!$A:$R,13,FALSE)&amp;" "&amp;VLOOKUP($I557,'Pricing Table - eff 27-Jan-2026'!$A:$R,12,FALSE)</f>
        <v>AMC 0086 CHARCOAL METALLIC</v>
      </c>
      <c r="O557" s="56">
        <v>6.5330000000000004</v>
      </c>
      <c r="P557" s="55">
        <f>(VLOOKUP($I557,'Pricing Table - eff 27-Jan-2026'!$A:$R,8,FALSE)/1000)*(VLOOKUP($I557,'Pricing Table - eff 27-Jan-2026'!$A:$R,10,FALSE)/1000)*Q557</f>
        <v>607.56000000000006</v>
      </c>
      <c r="Q557" s="55">
        <f>ROUND(('Order Details'!$O557*1000)/((VLOOKUP($I557,'Pricing Table - eff 27-Jan-2026'!$A:$Q,7,FALSE)/12)*(VLOOKUP($I557,'Pricing Table - eff 27-Jan-2026'!$A:$Q,9,FALSE)/12))/5,0)*5</f>
        <v>200</v>
      </c>
      <c r="R557" s="71">
        <f>$Q557/IFERROR(VLOOKUP($F557&amp;RIGHT($K557,8),'Master Data'!$O$5:$P$10,2,FALSE),'Master Data'!$P$4)</f>
        <v>1</v>
      </c>
      <c r="S557" s="57">
        <f>VLOOKUP($I557,'Pricing Table - eff 27-Jan-2026'!$A:$Q,16,FALSE)</f>
        <v>770</v>
      </c>
      <c r="T557" s="57">
        <f>VLOOKUP(I557,'Pricing Table - eff 27-Jan-2026'!$A:$O,15,FALSE)</f>
        <v>8.27</v>
      </c>
      <c r="U557" s="57">
        <f t="shared" si="27"/>
        <v>5030.41</v>
      </c>
      <c r="V557" s="111">
        <f t="shared" si="26"/>
        <v>5024.5212000000001</v>
      </c>
      <c r="W557" s="55">
        <f>VLOOKUP($I557,'Pricing Table - eff 27-Jan-2026'!$A:$R,18,FALSE)</f>
        <v>45</v>
      </c>
    </row>
    <row r="558" spans="1:23" ht="15" hidden="1" thickTop="1" x14ac:dyDescent="0.3">
      <c r="A558" s="55">
        <v>53013961</v>
      </c>
      <c r="B558" s="55">
        <v>0</v>
      </c>
      <c r="C558" s="55" t="str">
        <f>VLOOKUP(A558&amp;"-"&amp;B558,'Order Summary'!$D:$E,2,FALSE)</f>
        <v>PO Revised</v>
      </c>
      <c r="D558" s="216">
        <f>IF($A558="","",VLOOKUP($A558&amp;"-"&amp;$B558,'Order Summary'!$D:$U,3,FALSE))</f>
        <v>46099</v>
      </c>
      <c r="E558" s="55" t="str">
        <f>VLOOKUP(A558&amp;"-"&amp;B558,'Order Summary'!$D:$G,4,FALSE)</f>
        <v>No</v>
      </c>
      <c r="F558" s="55" t="str">
        <f>VLOOKUP($A558,'Order Summary'!$B:$I,8,FALSE)</f>
        <v>Minneota, MN</v>
      </c>
      <c r="G558" s="216" t="str">
        <f>IF($A558="","",VLOOKUP($A558&amp;"-"&amp;$B558,'Order Summary'!$D:$U,18,FALSE))</f>
        <v/>
      </c>
      <c r="H558" s="55">
        <v>1</v>
      </c>
      <c r="I558" s="55">
        <v>694445</v>
      </c>
      <c r="J558" s="55" t="str">
        <f>VLOOKUP($I558,'Pricing Table - eff 27-Jan-2026'!$A:$R,2,FALSE)</f>
        <v>G1S 694445</v>
      </c>
      <c r="K558" s="55" t="str">
        <f>VLOOKUP($I558,'Pricing Table - eff 27-Jan-2026'!$A:$R,6,FALSE)&amp;" "&amp;VLOOKUP($I558,'Pricing Table - eff 27-Jan-2026'!$A:$R,7,FALSE)&amp;""" x "&amp;VLOOKUP($I558,'Pricing Table - eff 27-Jan-2026'!$A:$R,9,FALSE)&amp;""" "&amp;VLOOKUP($I558,'Pricing Table - eff 27-Jan-2026'!$A:$R,5,FALSE)</f>
        <v>2MM 49" x 108" ACP</v>
      </c>
      <c r="L558" s="55">
        <f>VLOOKUP($I558,'Pricing Table - eff 27-Jan-2026'!$A:$K,8,FALSE)</f>
        <v>1245</v>
      </c>
      <c r="M558" s="55">
        <f>VLOOKUP($I558,'Pricing Table - eff 27-Jan-2026'!$A:$K,10,FALSE)</f>
        <v>2745</v>
      </c>
      <c r="N558" s="55" t="str">
        <f>VLOOKUP($I558,'Pricing Table - eff 27-Jan-2026'!$A:$R,13,FALSE)&amp;" "&amp;VLOOKUP($I558,'Pricing Table - eff 27-Jan-2026'!$A:$R,12,FALSE)</f>
        <v>AMC 0086 CHARCOAL METALLIC</v>
      </c>
      <c r="O558" s="56">
        <v>29.4</v>
      </c>
      <c r="P558" s="55">
        <f>(VLOOKUP($I558,'Pricing Table - eff 27-Jan-2026'!$A:$R,8,FALSE)/1000)*(VLOOKUP($I558,'Pricing Table - eff 27-Jan-2026'!$A:$R,10,FALSE)/1000)*Q558</f>
        <v>2734.0200000000004</v>
      </c>
      <c r="Q558" s="55">
        <f>ROUND(('Order Details'!$O558*1000)/((VLOOKUP($I558,'Pricing Table - eff 27-Jan-2026'!$A:$Q,7,FALSE)/12)*(VLOOKUP($I558,'Pricing Table - eff 27-Jan-2026'!$A:$Q,9,FALSE)/12))/5,0)*5</f>
        <v>800</v>
      </c>
      <c r="R558" s="71">
        <f>$Q558/IFERROR(VLOOKUP($F558&amp;RIGHT($K558,8),'Master Data'!$O$5:$P$10,2,FALSE),'Master Data'!$P$4)</f>
        <v>4</v>
      </c>
      <c r="S558" s="57">
        <f>VLOOKUP($I558,'Pricing Table - eff 27-Jan-2026'!$A:$Q,16,FALSE)</f>
        <v>770</v>
      </c>
      <c r="T558" s="57">
        <f>VLOOKUP(I558,'Pricing Table - eff 27-Jan-2026'!$A:$O,15,FALSE)</f>
        <v>8.27</v>
      </c>
      <c r="U558" s="57">
        <f t="shared" si="27"/>
        <v>22638</v>
      </c>
      <c r="V558" s="111">
        <f t="shared" si="26"/>
        <v>22610.345400000002</v>
      </c>
      <c r="W558" s="55">
        <f>VLOOKUP($I558,'Pricing Table - eff 27-Jan-2026'!$A:$R,18,FALSE)</f>
        <v>45</v>
      </c>
    </row>
    <row r="559" spans="1:23" ht="15" hidden="1" thickTop="1" x14ac:dyDescent="0.3">
      <c r="A559" s="55">
        <v>53013961</v>
      </c>
      <c r="B559" s="55">
        <v>0</v>
      </c>
      <c r="C559" s="55" t="str">
        <f>VLOOKUP(A559&amp;"-"&amp;B559,'Order Summary'!$D:$E,2,FALSE)</f>
        <v>PO Revised</v>
      </c>
      <c r="D559" s="216">
        <f>IF($A559="","",VLOOKUP($A559&amp;"-"&amp;$B559,'Order Summary'!$D:$U,3,FALSE))</f>
        <v>46099</v>
      </c>
      <c r="E559" s="55" t="str">
        <f>VLOOKUP(A559&amp;"-"&amp;B559,'Order Summary'!$D:$G,4,FALSE)</f>
        <v>No</v>
      </c>
      <c r="F559" s="55" t="str">
        <f>VLOOKUP($A559,'Order Summary'!$B:$I,8,FALSE)</f>
        <v>Minneota, MN</v>
      </c>
      <c r="G559" s="216" t="str">
        <f>IF($A559="","",VLOOKUP($A559&amp;"-"&amp;$B559,'Order Summary'!$D:$U,18,FALSE))</f>
        <v/>
      </c>
      <c r="H559" s="55">
        <v>2</v>
      </c>
      <c r="I559" s="55">
        <v>694433</v>
      </c>
      <c r="J559" s="55" t="str">
        <f>VLOOKUP($I559,'Pricing Table - eff 27-Jan-2026'!$A:$R,2,FALSE)</f>
        <v>G1S 694433</v>
      </c>
      <c r="K559" s="55" t="str">
        <f>VLOOKUP($I559,'Pricing Table - eff 27-Jan-2026'!$A:$R,6,FALSE)&amp;" "&amp;VLOOKUP($I559,'Pricing Table - eff 27-Jan-2026'!$A:$R,7,FALSE)&amp;""" x "&amp;VLOOKUP($I559,'Pricing Table - eff 27-Jan-2026'!$A:$R,9,FALSE)&amp;""" "&amp;VLOOKUP($I559,'Pricing Table - eff 27-Jan-2026'!$A:$R,5,FALSE)</f>
        <v>2MM 49" x 108" ACP</v>
      </c>
      <c r="L559" s="55">
        <f>VLOOKUP($I559,'Pricing Table - eff 27-Jan-2026'!$A:$K,8,FALSE)</f>
        <v>1245</v>
      </c>
      <c r="M559" s="55">
        <f>VLOOKUP($I559,'Pricing Table - eff 27-Jan-2026'!$A:$K,10,FALSE)</f>
        <v>2745</v>
      </c>
      <c r="N559" s="55" t="str">
        <f>VLOOKUP($I559,'Pricing Table - eff 27-Jan-2026'!$A:$R,13,FALSE)&amp;" "&amp;VLOOKUP($I559,'Pricing Table - eff 27-Jan-2026'!$A:$R,12,FALSE)</f>
        <v>ASC 0096 GLOSSY BLACK</v>
      </c>
      <c r="O559" s="56">
        <v>29.4</v>
      </c>
      <c r="P559" s="55">
        <f>(VLOOKUP($I559,'Pricing Table - eff 27-Jan-2026'!$A:$R,8,FALSE)/1000)*(VLOOKUP($I559,'Pricing Table - eff 27-Jan-2026'!$A:$R,10,FALSE)/1000)*Q559</f>
        <v>2734.0200000000004</v>
      </c>
      <c r="Q559" s="55">
        <f>ROUND(('Order Details'!$O559*1000)/((VLOOKUP($I559,'Pricing Table - eff 27-Jan-2026'!$A:$Q,7,FALSE)/12)*(VLOOKUP($I559,'Pricing Table - eff 27-Jan-2026'!$A:$Q,9,FALSE)/12))/5,0)*5</f>
        <v>800</v>
      </c>
      <c r="R559" s="71">
        <f>$Q559/IFERROR(VLOOKUP($F559&amp;RIGHT($K559,8),'Master Data'!$O$5:$P$10,2,FALSE),'Master Data'!$P$4)</f>
        <v>4</v>
      </c>
      <c r="S559" s="57">
        <f>VLOOKUP($I559,'Pricing Table - eff 27-Jan-2026'!$A:$Q,16,FALSE)</f>
        <v>720</v>
      </c>
      <c r="T559" s="57">
        <f>VLOOKUP(I559,'Pricing Table - eff 27-Jan-2026'!$A:$O,15,FALSE)</f>
        <v>7.73</v>
      </c>
      <c r="U559" s="57">
        <f t="shared" si="27"/>
        <v>21168</v>
      </c>
      <c r="V559" s="111">
        <f t="shared" si="26"/>
        <v>21133.974600000005</v>
      </c>
      <c r="W559" s="55">
        <f>VLOOKUP($I559,'Pricing Table - eff 27-Jan-2026'!$A:$R,18,FALSE)</f>
        <v>45</v>
      </c>
    </row>
    <row r="560" spans="1:23" ht="15" hidden="1" thickTop="1" x14ac:dyDescent="0.3">
      <c r="A560" s="55">
        <v>53013961</v>
      </c>
      <c r="B560" s="55">
        <v>0</v>
      </c>
      <c r="C560" s="55" t="str">
        <f>VLOOKUP(A560&amp;"-"&amp;B560,'Order Summary'!$D:$E,2,FALSE)</f>
        <v>PO Revised</v>
      </c>
      <c r="D560" s="216">
        <f>IF($A560="","",VLOOKUP($A560&amp;"-"&amp;$B560,'Order Summary'!$D:$U,3,FALSE))</f>
        <v>46099</v>
      </c>
      <c r="E560" s="55" t="str">
        <f>VLOOKUP(A560&amp;"-"&amp;B560,'Order Summary'!$D:$G,4,FALSE)</f>
        <v>No</v>
      </c>
      <c r="F560" s="55" t="str">
        <f>VLOOKUP($A560,'Order Summary'!$B:$I,8,FALSE)</f>
        <v>Minneota, MN</v>
      </c>
      <c r="G560" s="216" t="str">
        <f>IF($A560="","",VLOOKUP($A560&amp;"-"&amp;$B560,'Order Summary'!$D:$U,18,FALSE))</f>
        <v/>
      </c>
      <c r="H560" s="55">
        <v>3</v>
      </c>
      <c r="I560" s="55">
        <v>694437</v>
      </c>
      <c r="J560" s="55" t="str">
        <f>VLOOKUP($I560,'Pricing Table - eff 27-Jan-2026'!$A:$R,2,FALSE)</f>
        <v>G1S 694437</v>
      </c>
      <c r="K560" s="55" t="str">
        <f>VLOOKUP($I560,'Pricing Table - eff 27-Jan-2026'!$A:$R,6,FALSE)&amp;" "&amp;VLOOKUP($I560,'Pricing Table - eff 27-Jan-2026'!$A:$R,7,FALSE)&amp;""" x "&amp;VLOOKUP($I560,'Pricing Table - eff 27-Jan-2026'!$A:$R,9,FALSE)&amp;""" "&amp;VLOOKUP($I560,'Pricing Table - eff 27-Jan-2026'!$A:$R,5,FALSE)</f>
        <v>2MM 49" x 108" ACP</v>
      </c>
      <c r="L560" s="55">
        <f>VLOOKUP($I560,'Pricing Table - eff 27-Jan-2026'!$A:$K,8,FALSE)</f>
        <v>1245</v>
      </c>
      <c r="M560" s="55">
        <f>VLOOKUP($I560,'Pricing Table - eff 27-Jan-2026'!$A:$K,10,FALSE)</f>
        <v>2745</v>
      </c>
      <c r="N560" s="55" t="str">
        <f>VLOOKUP($I560,'Pricing Table - eff 27-Jan-2026'!$A:$R,13,FALSE)&amp;" "&amp;VLOOKUP($I560,'Pricing Table - eff 27-Jan-2026'!$A:$R,12,FALSE)</f>
        <v>ASC 0069 GLOSSY WHITE</v>
      </c>
      <c r="O560" s="56">
        <v>29.4</v>
      </c>
      <c r="P560" s="55">
        <f>(VLOOKUP($I560,'Pricing Table - eff 27-Jan-2026'!$A:$R,8,FALSE)/1000)*(VLOOKUP($I560,'Pricing Table - eff 27-Jan-2026'!$A:$R,10,FALSE)/1000)*Q560</f>
        <v>2734.0200000000004</v>
      </c>
      <c r="Q560" s="55">
        <f>ROUND(('Order Details'!$O560*1000)/((VLOOKUP($I560,'Pricing Table - eff 27-Jan-2026'!$A:$Q,7,FALSE)/12)*(VLOOKUP($I560,'Pricing Table - eff 27-Jan-2026'!$A:$Q,9,FALSE)/12))/5,0)*5</f>
        <v>800</v>
      </c>
      <c r="R560" s="71">
        <f>$Q560/IFERROR(VLOOKUP($F560&amp;RIGHT($K560,8),'Master Data'!$O$5:$P$10,2,FALSE),'Master Data'!$P$4)</f>
        <v>4</v>
      </c>
      <c r="S560" s="57">
        <f>VLOOKUP($I560,'Pricing Table - eff 27-Jan-2026'!$A:$Q,16,FALSE)</f>
        <v>720</v>
      </c>
      <c r="T560" s="57">
        <f>VLOOKUP(I560,'Pricing Table - eff 27-Jan-2026'!$A:$O,15,FALSE)</f>
        <v>7.73</v>
      </c>
      <c r="U560" s="57">
        <f t="shared" si="27"/>
        <v>21168</v>
      </c>
      <c r="V560" s="111">
        <f t="shared" si="26"/>
        <v>21133.974600000005</v>
      </c>
      <c r="W560" s="55">
        <f>VLOOKUP($I560,'Pricing Table - eff 27-Jan-2026'!$A:$R,18,FALSE)</f>
        <v>45</v>
      </c>
    </row>
    <row r="561" spans="1:23" ht="15" hidden="1" thickTop="1" x14ac:dyDescent="0.3">
      <c r="A561" s="55">
        <v>53013961</v>
      </c>
      <c r="B561" s="55">
        <v>0</v>
      </c>
      <c r="C561" s="55" t="str">
        <f>VLOOKUP(A561&amp;"-"&amp;B561,'Order Summary'!$D:$E,2,FALSE)</f>
        <v>PO Revised</v>
      </c>
      <c r="D561" s="216">
        <f>IF($A561="","",VLOOKUP($A561&amp;"-"&amp;$B561,'Order Summary'!$D:$U,3,FALSE))</f>
        <v>46099</v>
      </c>
      <c r="E561" s="55" t="str">
        <f>VLOOKUP(A561&amp;"-"&amp;B561,'Order Summary'!$D:$G,4,FALSE)</f>
        <v>No</v>
      </c>
      <c r="F561" s="55" t="str">
        <f>VLOOKUP($A561,'Order Summary'!$B:$I,8,FALSE)</f>
        <v>Minneota, MN</v>
      </c>
      <c r="G561" s="216" t="str">
        <f>IF($A561="","",VLOOKUP($A561&amp;"-"&amp;$B561,'Order Summary'!$D:$U,18,FALSE))</f>
        <v/>
      </c>
      <c r="H561" s="55">
        <v>4</v>
      </c>
      <c r="I561" s="55">
        <v>694441</v>
      </c>
      <c r="J561" s="55" t="str">
        <f>VLOOKUP($I561,'Pricing Table - eff 27-Jan-2026'!$A:$R,2,FALSE)</f>
        <v>G1S 694441</v>
      </c>
      <c r="K561" s="55" t="str">
        <f>VLOOKUP($I561,'Pricing Table - eff 27-Jan-2026'!$A:$R,6,FALSE)&amp;" "&amp;VLOOKUP($I561,'Pricing Table - eff 27-Jan-2026'!$A:$R,7,FALSE)&amp;""" x "&amp;VLOOKUP($I561,'Pricing Table - eff 27-Jan-2026'!$A:$R,9,FALSE)&amp;""" "&amp;VLOOKUP($I561,'Pricing Table - eff 27-Jan-2026'!$A:$R,5,FALSE)</f>
        <v>2MM 49" x 108" ACP</v>
      </c>
      <c r="L561" s="55">
        <f>VLOOKUP($I561,'Pricing Table - eff 27-Jan-2026'!$A:$K,8,FALSE)</f>
        <v>1245</v>
      </c>
      <c r="M561" s="55">
        <f>VLOOKUP($I561,'Pricing Table - eff 27-Jan-2026'!$A:$K,10,FALSE)</f>
        <v>2745</v>
      </c>
      <c r="N561" s="55" t="str">
        <f>VLOOKUP($I561,'Pricing Table - eff 27-Jan-2026'!$A:$R,13,FALSE)&amp;" "&amp;VLOOKUP($I561,'Pricing Table - eff 27-Jan-2026'!$A:$R,12,FALSE)</f>
        <v>AMC 0103 SILVER FROST</v>
      </c>
      <c r="O561" s="56">
        <v>29.4</v>
      </c>
      <c r="P561" s="55">
        <f>(VLOOKUP($I561,'Pricing Table - eff 27-Jan-2026'!$A:$R,8,FALSE)/1000)*(VLOOKUP($I561,'Pricing Table - eff 27-Jan-2026'!$A:$R,10,FALSE)/1000)*Q561</f>
        <v>2734.0200000000004</v>
      </c>
      <c r="Q561" s="55">
        <f>ROUND(('Order Details'!$O561*1000)/((VLOOKUP($I561,'Pricing Table - eff 27-Jan-2026'!$A:$Q,7,FALSE)/12)*(VLOOKUP($I561,'Pricing Table - eff 27-Jan-2026'!$A:$Q,9,FALSE)/12))/5,0)*5</f>
        <v>800</v>
      </c>
      <c r="R561" s="71">
        <f>$Q561/IFERROR(VLOOKUP($F561&amp;RIGHT($K561,8),'Master Data'!$O$5:$P$10,2,FALSE),'Master Data'!$P$4)</f>
        <v>4</v>
      </c>
      <c r="S561" s="57">
        <f>VLOOKUP($I561,'Pricing Table - eff 27-Jan-2026'!$A:$Q,16,FALSE)</f>
        <v>720</v>
      </c>
      <c r="T561" s="57">
        <f>VLOOKUP(I561,'Pricing Table - eff 27-Jan-2026'!$A:$O,15,FALSE)</f>
        <v>7.73</v>
      </c>
      <c r="U561" s="57">
        <f t="shared" si="27"/>
        <v>21168</v>
      </c>
      <c r="V561" s="111">
        <f t="shared" si="26"/>
        <v>21133.974600000005</v>
      </c>
      <c r="W561" s="55">
        <f>VLOOKUP($I561,'Pricing Table - eff 27-Jan-2026'!$A:$R,18,FALSE)</f>
        <v>90</v>
      </c>
    </row>
    <row r="562" spans="1:23" ht="15" hidden="1" thickTop="1" x14ac:dyDescent="0.3">
      <c r="A562" s="55">
        <v>53014919</v>
      </c>
      <c r="B562" s="55">
        <v>0</v>
      </c>
      <c r="C562" s="55" t="str">
        <f>VLOOKUP(A562&amp;"-"&amp;B562,'Order Summary'!$D:$E,2,FALSE)</f>
        <v>PO Received</v>
      </c>
      <c r="D562" s="216">
        <f>IF($A562="","",VLOOKUP($A562&amp;"-"&amp;$B562,'Order Summary'!$D:$U,3,FALSE))</f>
        <v>46099</v>
      </c>
      <c r="E562" s="55" t="str">
        <f>VLOOKUP(A562&amp;"-"&amp;B562,'Order Summary'!$D:$G,4,FALSE)</f>
        <v>Yes</v>
      </c>
      <c r="F562" s="55" t="str">
        <f>VLOOKUP($A562,'Order Summary'!$B:$I,8,FALSE)</f>
        <v>Nampa, ID</v>
      </c>
      <c r="G562" s="216" t="str">
        <f>IF($A562="","",VLOOKUP($A562&amp;"-"&amp;$B562,'Order Summary'!$D:$U,18,FALSE))</f>
        <v/>
      </c>
      <c r="H562" s="55">
        <v>1</v>
      </c>
      <c r="I562" s="55">
        <v>721547</v>
      </c>
      <c r="J562" s="55" t="str">
        <f>VLOOKUP($I562,'Pricing Table - eff 27-Jan-2026'!$A:$R,2,FALSE)</f>
        <v>G1S 721547</v>
      </c>
      <c r="K562" s="55" t="str">
        <f>VLOOKUP($I562,'Pricing Table - eff 27-Jan-2026'!$A:$R,6,FALSE)&amp;" "&amp;VLOOKUP($I562,'Pricing Table - eff 27-Jan-2026'!$A:$R,7,FALSE)&amp;""" x "&amp;VLOOKUP($I562,'Pricing Table - eff 27-Jan-2026'!$A:$R,9,FALSE)&amp;""" "&amp;VLOOKUP($I562,'Pricing Table - eff 27-Jan-2026'!$A:$R,5,FALSE)</f>
        <v>2MM 49" x 90.5" ACP</v>
      </c>
      <c r="L562" s="55">
        <f>VLOOKUP($I562,'Pricing Table - eff 27-Jan-2026'!$A:$K,8,FALSE)</f>
        <v>1245</v>
      </c>
      <c r="M562" s="55">
        <f>VLOOKUP($I562,'Pricing Table - eff 27-Jan-2026'!$A:$K,10,FALSE)</f>
        <v>2300</v>
      </c>
      <c r="N562" s="55" t="str">
        <f>VLOOKUP($I562,'Pricing Table - eff 27-Jan-2026'!$A:$R,13,FALSE)&amp;" "&amp;VLOOKUP($I562,'Pricing Table - eff 27-Jan-2026'!$A:$R,12,FALSE)</f>
        <v>ASC 0208 SAND SAHARA MATTE</v>
      </c>
      <c r="O562" s="56">
        <v>24.635999999999999</v>
      </c>
      <c r="P562" s="55">
        <f>(VLOOKUP($I562,'Pricing Table - eff 27-Jan-2026'!$A:$R,8,FALSE)/1000)*(VLOOKUP($I562,'Pricing Table - eff 27-Jan-2026'!$A:$R,10,FALSE)/1000)*Q562</f>
        <v>2290.8000000000002</v>
      </c>
      <c r="Q562" s="55">
        <f>ROUND(('Order Details'!$O562*1000)/((VLOOKUP($I562,'Pricing Table - eff 27-Jan-2026'!$A:$Q,7,FALSE)/12)*(VLOOKUP($I562,'Pricing Table - eff 27-Jan-2026'!$A:$Q,9,FALSE)/12))/5,0)*5</f>
        <v>800</v>
      </c>
      <c r="R562" s="71">
        <f>$Q562/IFERROR(VLOOKUP($F562&amp;RIGHT($K562,8),'Master Data'!$O$5:$P$10,2,FALSE),'Master Data'!$P$4)</f>
        <v>4</v>
      </c>
      <c r="S562" s="57">
        <f>VLOOKUP($I562,'Pricing Table - eff 27-Jan-2026'!$A:$Q,16,FALSE)</f>
        <v>770</v>
      </c>
      <c r="T562" s="57">
        <f>VLOOKUP(I562,'Pricing Table - eff 27-Jan-2026'!$A:$O,15,FALSE)</f>
        <v>8.27</v>
      </c>
      <c r="U562" s="57">
        <f t="shared" si="27"/>
        <v>18969.72</v>
      </c>
      <c r="V562" s="111">
        <f t="shared" si="26"/>
        <v>18944.916000000001</v>
      </c>
      <c r="W562" s="55">
        <f>VLOOKUP($I562,'Pricing Table - eff 27-Jan-2026'!$A:$R,18,FALSE)</f>
        <v>90</v>
      </c>
    </row>
    <row r="563" spans="1:23" ht="15" hidden="1" thickTop="1" x14ac:dyDescent="0.3">
      <c r="A563" s="55">
        <v>53014919</v>
      </c>
      <c r="B563" s="55">
        <v>0</v>
      </c>
      <c r="C563" s="55" t="str">
        <f>VLOOKUP(A563&amp;"-"&amp;B563,'Order Summary'!$D:$E,2,FALSE)</f>
        <v>PO Received</v>
      </c>
      <c r="D563" s="216">
        <f>IF($A563="","",VLOOKUP($A563&amp;"-"&amp;$B563,'Order Summary'!$D:$U,3,FALSE))</f>
        <v>46099</v>
      </c>
      <c r="E563" s="55" t="str">
        <f>VLOOKUP(A563&amp;"-"&amp;B563,'Order Summary'!$D:$G,4,FALSE)</f>
        <v>Yes</v>
      </c>
      <c r="F563" s="55" t="str">
        <f>VLOOKUP($A563,'Order Summary'!$B:$I,8,FALSE)</f>
        <v>Nampa, ID</v>
      </c>
      <c r="G563" s="216" t="str">
        <f>IF($A563="","",VLOOKUP($A563&amp;"-"&amp;$B563,'Order Summary'!$D:$U,18,FALSE))</f>
        <v/>
      </c>
      <c r="H563" s="55">
        <v>2</v>
      </c>
      <c r="I563">
        <v>721548</v>
      </c>
      <c r="J563" s="55" t="str">
        <f>VLOOKUP($I563,'Pricing Table - eff 27-Jan-2026'!$A:$R,2,FALSE)</f>
        <v>G1S 721548</v>
      </c>
      <c r="K563" s="55" t="str">
        <f>VLOOKUP($I563,'Pricing Table - eff 27-Jan-2026'!$A:$R,6,FALSE)&amp;" "&amp;VLOOKUP($I563,'Pricing Table - eff 27-Jan-2026'!$A:$R,7,FALSE)&amp;""" x "&amp;VLOOKUP($I563,'Pricing Table - eff 27-Jan-2026'!$A:$R,9,FALSE)&amp;""" "&amp;VLOOKUP($I563,'Pricing Table - eff 27-Jan-2026'!$A:$R,5,FALSE)</f>
        <v>2MM 49" x 96" ACP</v>
      </c>
      <c r="L563" s="55">
        <f>VLOOKUP($I563,'Pricing Table - eff 27-Jan-2026'!$A:$K,8,FALSE)</f>
        <v>1245</v>
      </c>
      <c r="M563" s="55">
        <f>VLOOKUP($I563,'Pricing Table - eff 27-Jan-2026'!$A:$K,10,FALSE)</f>
        <v>2440</v>
      </c>
      <c r="N563" s="55" t="str">
        <f>VLOOKUP($I563,'Pricing Table - eff 27-Jan-2026'!$A:$R,13,FALSE)&amp;" "&amp;VLOOKUP($I563,'Pricing Table - eff 27-Jan-2026'!$A:$R,12,FALSE)</f>
        <v>ASC 0208 SAND SAHARA MATTE</v>
      </c>
      <c r="O563" s="56">
        <v>26.132999999999999</v>
      </c>
      <c r="P563" s="55">
        <f>(VLOOKUP($I563,'Pricing Table - eff 27-Jan-2026'!$A:$R,8,FALSE)/1000)*(VLOOKUP($I563,'Pricing Table - eff 27-Jan-2026'!$A:$R,10,FALSE)/1000)*Q563</f>
        <v>2430.2400000000002</v>
      </c>
      <c r="Q563" s="55">
        <f>ROUND(('Order Details'!$O563*1000)/((VLOOKUP($I563,'Pricing Table - eff 27-Jan-2026'!$A:$Q,7,FALSE)/12)*(VLOOKUP($I563,'Pricing Table - eff 27-Jan-2026'!$A:$Q,9,FALSE)/12))/5,0)*5</f>
        <v>800</v>
      </c>
      <c r="R563" s="71">
        <f>$Q563/IFERROR(VLOOKUP($F563&amp;RIGHT($K563,8),'Master Data'!$O$5:$P$10,2,FALSE),'Master Data'!$P$4)</f>
        <v>4</v>
      </c>
      <c r="S563" s="57">
        <f>VLOOKUP($I563,'Pricing Table - eff 27-Jan-2026'!$A:$Q,16,FALSE)</f>
        <v>770</v>
      </c>
      <c r="T563" s="57">
        <f>VLOOKUP(I563,'Pricing Table - eff 27-Jan-2026'!$A:$O,15,FALSE)</f>
        <v>8.27</v>
      </c>
      <c r="U563" s="57">
        <f t="shared" si="27"/>
        <v>20122.41</v>
      </c>
      <c r="V563" s="111">
        <f t="shared" si="26"/>
        <v>20098.084800000001</v>
      </c>
      <c r="W563" s="55">
        <f>VLOOKUP($I563,'Pricing Table - eff 27-Jan-2026'!$A:$R,18,FALSE)</f>
        <v>90</v>
      </c>
    </row>
    <row r="564" spans="1:23" ht="15" hidden="1" thickTop="1" x14ac:dyDescent="0.3">
      <c r="A564" s="55">
        <v>53014919</v>
      </c>
      <c r="B564" s="55">
        <v>0</v>
      </c>
      <c r="C564" s="55" t="str">
        <f>VLOOKUP(A564&amp;"-"&amp;B564,'Order Summary'!$D:$E,2,FALSE)</f>
        <v>PO Received</v>
      </c>
      <c r="D564" s="216">
        <f>IF($A564="","",VLOOKUP($A564&amp;"-"&amp;$B564,'Order Summary'!$D:$U,3,FALSE))</f>
        <v>46099</v>
      </c>
      <c r="E564" s="55" t="str">
        <f>VLOOKUP(A564&amp;"-"&amp;B564,'Order Summary'!$D:$G,4,FALSE)</f>
        <v>Yes</v>
      </c>
      <c r="F564" s="55" t="str">
        <f>VLOOKUP($A564,'Order Summary'!$B:$I,8,FALSE)</f>
        <v>Nampa, ID</v>
      </c>
      <c r="G564" s="216" t="str">
        <f>IF($A564="","",VLOOKUP($A564&amp;"-"&amp;$B564,'Order Summary'!$D:$U,18,FALSE))</f>
        <v/>
      </c>
      <c r="H564" s="55">
        <v>3</v>
      </c>
      <c r="I564" s="55">
        <v>721549</v>
      </c>
      <c r="J564" s="55" t="str">
        <f>VLOOKUP($I564,'Pricing Table - eff 27-Jan-2026'!$A:$R,2,FALSE)</f>
        <v>G1S 721549</v>
      </c>
      <c r="K564" s="55" t="str">
        <f>VLOOKUP($I564,'Pricing Table - eff 27-Jan-2026'!$A:$R,6,FALSE)&amp;" "&amp;VLOOKUP($I564,'Pricing Table - eff 27-Jan-2026'!$A:$R,7,FALSE)&amp;""" x "&amp;VLOOKUP($I564,'Pricing Table - eff 27-Jan-2026'!$A:$R,9,FALSE)&amp;""" "&amp;VLOOKUP($I564,'Pricing Table - eff 27-Jan-2026'!$A:$R,5,FALSE)</f>
        <v>2MM 49" x 108" ACP</v>
      </c>
      <c r="L564" s="55">
        <f>VLOOKUP($I564,'Pricing Table - eff 27-Jan-2026'!$A:$K,8,FALSE)</f>
        <v>1245</v>
      </c>
      <c r="M564" s="55">
        <f>VLOOKUP($I564,'Pricing Table - eff 27-Jan-2026'!$A:$K,10,FALSE)</f>
        <v>2745</v>
      </c>
      <c r="N564" s="55" t="str">
        <f>VLOOKUP($I564,'Pricing Table - eff 27-Jan-2026'!$A:$R,13,FALSE)&amp;" "&amp;VLOOKUP($I564,'Pricing Table - eff 27-Jan-2026'!$A:$R,12,FALSE)</f>
        <v>ASC 0208 SAND SAHARA MATTE</v>
      </c>
      <c r="O564" s="56">
        <v>29.4</v>
      </c>
      <c r="P564" s="55">
        <f>(VLOOKUP($I564,'Pricing Table - eff 27-Jan-2026'!$A:$R,8,FALSE)/1000)*(VLOOKUP($I564,'Pricing Table - eff 27-Jan-2026'!$A:$R,10,FALSE)/1000)*Q564</f>
        <v>2734.0200000000004</v>
      </c>
      <c r="Q564" s="55">
        <f>ROUND(('Order Details'!$O564*1000)/((VLOOKUP($I564,'Pricing Table - eff 27-Jan-2026'!$A:$Q,7,FALSE)/12)*(VLOOKUP($I564,'Pricing Table - eff 27-Jan-2026'!$A:$Q,9,FALSE)/12))/5,0)*5</f>
        <v>800</v>
      </c>
      <c r="R564" s="71">
        <f>$Q564/IFERROR(VLOOKUP($F564&amp;RIGHT($K564,8),'Master Data'!$O$5:$P$10,2,FALSE),'Master Data'!$P$4)</f>
        <v>4</v>
      </c>
      <c r="S564" s="57">
        <f>VLOOKUP($I564,'Pricing Table - eff 27-Jan-2026'!$A:$Q,16,FALSE)</f>
        <v>770</v>
      </c>
      <c r="T564" s="57">
        <f>VLOOKUP(I564,'Pricing Table - eff 27-Jan-2026'!$A:$O,15,FALSE)</f>
        <v>8.27</v>
      </c>
      <c r="U564" s="57">
        <f t="shared" si="27"/>
        <v>22638</v>
      </c>
      <c r="V564" s="111">
        <f t="shared" si="26"/>
        <v>22610.345400000002</v>
      </c>
      <c r="W564" s="55">
        <f>VLOOKUP($I564,'Pricing Table - eff 27-Jan-2026'!$A:$R,18,FALSE)</f>
        <v>90</v>
      </c>
    </row>
    <row r="565" spans="1:23" ht="15" hidden="1" thickTop="1" x14ac:dyDescent="0.3">
      <c r="A565" s="55">
        <v>53016427</v>
      </c>
      <c r="B565" s="55">
        <v>0</v>
      </c>
      <c r="C565" s="55" t="str">
        <f>VLOOKUP(A565&amp;"-"&amp;B565,'Order Summary'!$D:$E,2,FALSE)</f>
        <v>PO Received</v>
      </c>
      <c r="D565" s="216">
        <f>IF($A565="","",VLOOKUP($A565&amp;"-"&amp;$B565,'Order Summary'!$D:$U,3,FALSE))</f>
        <v>46099</v>
      </c>
      <c r="E565" s="55" t="str">
        <f>VLOOKUP(A565&amp;"-"&amp;B565,'Order Summary'!$D:$G,4,FALSE)</f>
        <v>Yes</v>
      </c>
      <c r="F565" s="55" t="str">
        <f>VLOOKUP($A565,'Order Summary'!$B:$I,8,FALSE)</f>
        <v>Hillsboro, TX</v>
      </c>
      <c r="G565" s="216" t="str">
        <f>IF($A565="","",VLOOKUP($A565&amp;"-"&amp;$B565,'Order Summary'!$D:$U,18,FALSE))</f>
        <v/>
      </c>
      <c r="H565" s="55">
        <v>1</v>
      </c>
      <c r="I565" s="55">
        <v>694440</v>
      </c>
      <c r="J565" s="55" t="str">
        <f>VLOOKUP($I565,'Pricing Table - eff 27-Jan-2026'!$A:$R,2,FALSE)</f>
        <v>G1S 694440</v>
      </c>
      <c r="K565" s="55" t="str">
        <f>VLOOKUP($I565,'Pricing Table - eff 27-Jan-2026'!$A:$R,6,FALSE)&amp;" "&amp;VLOOKUP($I565,'Pricing Table - eff 27-Jan-2026'!$A:$R,7,FALSE)&amp;""" x "&amp;VLOOKUP($I565,'Pricing Table - eff 27-Jan-2026'!$A:$R,9,FALSE)&amp;""" "&amp;VLOOKUP($I565,'Pricing Table - eff 27-Jan-2026'!$A:$R,5,FALSE)</f>
        <v>2MM 49" x 96" ACP</v>
      </c>
      <c r="L565" s="55">
        <f>VLOOKUP($I565,'Pricing Table - eff 27-Jan-2026'!$A:$K,8,FALSE)</f>
        <v>1245</v>
      </c>
      <c r="M565" s="55">
        <f>VLOOKUP($I565,'Pricing Table - eff 27-Jan-2026'!$A:$K,10,FALSE)</f>
        <v>2440</v>
      </c>
      <c r="N565" s="55" t="str">
        <f>VLOOKUP($I565,'Pricing Table - eff 27-Jan-2026'!$A:$R,13,FALSE)&amp;" "&amp;VLOOKUP($I565,'Pricing Table - eff 27-Jan-2026'!$A:$R,12,FALSE)</f>
        <v>AMC 0103 SILVER FROST</v>
      </c>
      <c r="O565" s="56">
        <v>19.600000000000001</v>
      </c>
      <c r="P565" s="55">
        <f>(VLOOKUP($I565,'Pricing Table - eff 27-Jan-2026'!$A:$R,8,FALSE)/1000)*(VLOOKUP($I565,'Pricing Table - eff 27-Jan-2026'!$A:$R,10,FALSE)/1000)*Q565</f>
        <v>1822.68</v>
      </c>
      <c r="Q565" s="55">
        <f>ROUND(('Order Details'!$O565*1000)/((VLOOKUP($I565,'Pricing Table - eff 27-Jan-2026'!$A:$Q,7,FALSE)/12)*(VLOOKUP($I565,'Pricing Table - eff 27-Jan-2026'!$A:$Q,9,FALSE)/12))/5,0)*5</f>
        <v>600</v>
      </c>
      <c r="R565" s="71">
        <f>$Q565/IFERROR(VLOOKUP($F565&amp;RIGHT($K565,8),'Master Data'!$O$5:$P$10,2,FALSE),'Master Data'!$P$4)</f>
        <v>3</v>
      </c>
      <c r="S565" s="57">
        <f>VLOOKUP($I565,'Pricing Table - eff 27-Jan-2026'!$A:$Q,16,FALSE)</f>
        <v>720</v>
      </c>
      <c r="T565" s="57">
        <f>VLOOKUP(I565,'Pricing Table - eff 27-Jan-2026'!$A:$O,15,FALSE)</f>
        <v>7.73</v>
      </c>
      <c r="U565" s="57">
        <f t="shared" si="27"/>
        <v>14112.000000000002</v>
      </c>
      <c r="V565" s="111">
        <f t="shared" si="26"/>
        <v>14089.316400000002</v>
      </c>
      <c r="W565" s="55">
        <f>VLOOKUP($I565,'Pricing Table - eff 27-Jan-2026'!$A:$R,18,FALSE)</f>
        <v>90</v>
      </c>
    </row>
    <row r="566" spans="1:23" ht="15" hidden="1" thickTop="1" x14ac:dyDescent="0.3">
      <c r="A566" s="55">
        <v>53016427</v>
      </c>
      <c r="B566" s="55">
        <v>0</v>
      </c>
      <c r="C566" s="55" t="str">
        <f>VLOOKUP(A566&amp;"-"&amp;B566,'Order Summary'!$D:$E,2,FALSE)</f>
        <v>PO Received</v>
      </c>
      <c r="D566" s="216">
        <f>IF($A566="","",VLOOKUP($A566&amp;"-"&amp;$B566,'Order Summary'!$D:$U,3,FALSE))</f>
        <v>46099</v>
      </c>
      <c r="E566" s="55" t="str">
        <f>VLOOKUP(A566&amp;"-"&amp;B566,'Order Summary'!$D:$G,4,FALSE)</f>
        <v>Yes</v>
      </c>
      <c r="F566" s="55" t="str">
        <f>VLOOKUP($A566,'Order Summary'!$B:$I,8,FALSE)</f>
        <v>Hillsboro, TX</v>
      </c>
      <c r="G566" s="216" t="str">
        <f>IF($A566="","",VLOOKUP($A566&amp;"-"&amp;$B566,'Order Summary'!$D:$U,18,FALSE))</f>
        <v/>
      </c>
      <c r="H566" s="55">
        <v>2</v>
      </c>
      <c r="I566" s="55">
        <v>694441</v>
      </c>
      <c r="J566" s="55" t="str">
        <f>VLOOKUP($I566,'Pricing Table - eff 27-Jan-2026'!$A:$R,2,FALSE)</f>
        <v>G1S 694441</v>
      </c>
      <c r="K566" s="55" t="str">
        <f>VLOOKUP($I566,'Pricing Table - eff 27-Jan-2026'!$A:$R,6,FALSE)&amp;" "&amp;VLOOKUP($I566,'Pricing Table - eff 27-Jan-2026'!$A:$R,7,FALSE)&amp;""" x "&amp;VLOOKUP($I566,'Pricing Table - eff 27-Jan-2026'!$A:$R,9,FALSE)&amp;""" "&amp;VLOOKUP($I566,'Pricing Table - eff 27-Jan-2026'!$A:$R,5,FALSE)</f>
        <v>2MM 49" x 108" ACP</v>
      </c>
      <c r="L566" s="55">
        <f>VLOOKUP($I566,'Pricing Table - eff 27-Jan-2026'!$A:$K,8,FALSE)</f>
        <v>1245</v>
      </c>
      <c r="M566" s="55">
        <f>VLOOKUP($I566,'Pricing Table - eff 27-Jan-2026'!$A:$K,10,FALSE)</f>
        <v>2745</v>
      </c>
      <c r="N566" s="55" t="str">
        <f>VLOOKUP($I566,'Pricing Table - eff 27-Jan-2026'!$A:$R,13,FALSE)&amp;" "&amp;VLOOKUP($I566,'Pricing Table - eff 27-Jan-2026'!$A:$R,12,FALSE)</f>
        <v>AMC 0103 SILVER FROST</v>
      </c>
      <c r="O566" s="56">
        <v>58.8</v>
      </c>
      <c r="P566" s="55">
        <f>(VLOOKUP($I566,'Pricing Table - eff 27-Jan-2026'!$A:$R,8,FALSE)/1000)*(VLOOKUP($I566,'Pricing Table - eff 27-Jan-2026'!$A:$R,10,FALSE)/1000)*Q566</f>
        <v>5468.0400000000009</v>
      </c>
      <c r="Q566" s="55">
        <f>ROUND(('Order Details'!$O566*1000)/((VLOOKUP($I566,'Pricing Table - eff 27-Jan-2026'!$A:$Q,7,FALSE)/12)*(VLOOKUP($I566,'Pricing Table - eff 27-Jan-2026'!$A:$Q,9,FALSE)/12))/5,0)*5</f>
        <v>1600</v>
      </c>
      <c r="R566" s="71">
        <f>$Q566/IFERROR(VLOOKUP($F566&amp;RIGHT($K566,8),'Master Data'!$O$5:$P$10,2,FALSE),'Master Data'!$P$4)</f>
        <v>8</v>
      </c>
      <c r="S566" s="57">
        <f>VLOOKUP($I566,'Pricing Table - eff 27-Jan-2026'!$A:$Q,16,FALSE)</f>
        <v>720</v>
      </c>
      <c r="T566" s="57">
        <f>VLOOKUP(I566,'Pricing Table - eff 27-Jan-2026'!$A:$O,15,FALSE)</f>
        <v>7.73</v>
      </c>
      <c r="U566" s="57">
        <f t="shared" si="27"/>
        <v>42336</v>
      </c>
      <c r="V566" s="111">
        <f t="shared" si="26"/>
        <v>42267.94920000001</v>
      </c>
      <c r="W566" s="55">
        <f>VLOOKUP($I566,'Pricing Table - eff 27-Jan-2026'!$A:$R,18,FALSE)</f>
        <v>90</v>
      </c>
    </row>
    <row r="567" spans="1:23" ht="15" hidden="1" thickTop="1" x14ac:dyDescent="0.3">
      <c r="A567" s="55">
        <v>53016427</v>
      </c>
      <c r="B567" s="55">
        <v>0</v>
      </c>
      <c r="C567" s="55" t="str">
        <f>VLOOKUP(A567&amp;"-"&amp;B567,'Order Summary'!$D:$E,2,FALSE)</f>
        <v>PO Received</v>
      </c>
      <c r="D567" s="216">
        <f>IF($A567="","",VLOOKUP($A567&amp;"-"&amp;$B567,'Order Summary'!$D:$U,3,FALSE))</f>
        <v>46099</v>
      </c>
      <c r="E567" s="55" t="str">
        <f>VLOOKUP(A567&amp;"-"&amp;B567,'Order Summary'!$D:$G,4,FALSE)</f>
        <v>Yes</v>
      </c>
      <c r="F567" s="55" t="str">
        <f>VLOOKUP($A567,'Order Summary'!$B:$I,8,FALSE)</f>
        <v>Hillsboro, TX</v>
      </c>
      <c r="G567" s="216" t="str">
        <f>IF($A567="","",VLOOKUP($A567&amp;"-"&amp;$B567,'Order Summary'!$D:$U,18,FALSE))</f>
        <v/>
      </c>
      <c r="H567" s="55">
        <v>3</v>
      </c>
      <c r="I567" s="55">
        <v>694442</v>
      </c>
      <c r="J567" s="55" t="str">
        <f>VLOOKUP($I567,'Pricing Table - eff 27-Jan-2026'!$A:$R,2,FALSE)</f>
        <v>G1S 694442</v>
      </c>
      <c r="K567" s="55" t="str">
        <f>VLOOKUP($I567,'Pricing Table - eff 27-Jan-2026'!$A:$R,6,FALSE)&amp;" "&amp;VLOOKUP($I567,'Pricing Table - eff 27-Jan-2026'!$A:$R,7,FALSE)&amp;""" x "&amp;VLOOKUP($I567,'Pricing Table - eff 27-Jan-2026'!$A:$R,9,FALSE)&amp;""" "&amp;VLOOKUP($I567,'Pricing Table - eff 27-Jan-2026'!$A:$R,5,FALSE)</f>
        <v>2MM 49" x 144" ACP</v>
      </c>
      <c r="L567" s="55">
        <f>VLOOKUP($I567,'Pricing Table - eff 27-Jan-2026'!$A:$K,8,FALSE)</f>
        <v>1245</v>
      </c>
      <c r="M567" s="55">
        <f>VLOOKUP($I567,'Pricing Table - eff 27-Jan-2026'!$A:$K,10,FALSE)</f>
        <v>3658</v>
      </c>
      <c r="N567" s="55" t="str">
        <f>VLOOKUP($I567,'Pricing Table - eff 27-Jan-2026'!$A:$R,13,FALSE)&amp;" "&amp;VLOOKUP($I567,'Pricing Table - eff 27-Jan-2026'!$A:$R,12,FALSE)</f>
        <v>AMC 0103 SILVER FROST</v>
      </c>
      <c r="O567" s="56">
        <v>9.8000000000000007</v>
      </c>
      <c r="P567" s="55">
        <f>(VLOOKUP($I567,'Pricing Table - eff 27-Jan-2026'!$A:$R,8,FALSE)/1000)*(VLOOKUP($I567,'Pricing Table - eff 27-Jan-2026'!$A:$R,10,FALSE)/1000)*Q567</f>
        <v>910.8420000000001</v>
      </c>
      <c r="Q567" s="55">
        <f>ROUND(('Order Details'!$O567*1000)/((VLOOKUP($I567,'Pricing Table - eff 27-Jan-2026'!$A:$Q,7,FALSE)/12)*(VLOOKUP($I567,'Pricing Table - eff 27-Jan-2026'!$A:$Q,9,FALSE)/12))/5,0)*5</f>
        <v>200</v>
      </c>
      <c r="R567" s="71">
        <f>$Q567/IFERROR(VLOOKUP($F567&amp;RIGHT($K567,8),'Master Data'!$O$5:$P$10,2,FALSE),'Master Data'!$P$4)</f>
        <v>1</v>
      </c>
      <c r="S567" s="57">
        <f>VLOOKUP($I567,'Pricing Table - eff 27-Jan-2026'!$A:$Q,16,FALSE)</f>
        <v>720</v>
      </c>
      <c r="T567" s="57">
        <f>VLOOKUP(I567,'Pricing Table - eff 27-Jan-2026'!$A:$O,15,FALSE)</f>
        <v>7.73</v>
      </c>
      <c r="U567" s="57">
        <f t="shared" si="27"/>
        <v>7056.0000000000009</v>
      </c>
      <c r="V567" s="111">
        <f t="shared" si="26"/>
        <v>7040.8086600000015</v>
      </c>
      <c r="W567" s="55">
        <f>VLOOKUP($I567,'Pricing Table - eff 27-Jan-2026'!$A:$R,18,FALSE)</f>
        <v>90</v>
      </c>
    </row>
    <row r="568" spans="1:23" ht="15" hidden="1" thickTop="1" x14ac:dyDescent="0.3">
      <c r="A568" s="55">
        <v>53016422</v>
      </c>
      <c r="B568" s="55">
        <v>0</v>
      </c>
      <c r="C568" s="55" t="str">
        <f>VLOOKUP(A568&amp;"-"&amp;B568,'Order Summary'!$D:$E,2,FALSE)</f>
        <v>PO Received</v>
      </c>
      <c r="D568" s="216">
        <f>IF($A568="","",VLOOKUP($A568&amp;"-"&amp;$B568,'Order Summary'!$D:$U,3,FALSE))</f>
        <v>46099</v>
      </c>
      <c r="E568" s="55" t="str">
        <f>VLOOKUP(A568&amp;"-"&amp;B568,'Order Summary'!$D:$G,4,FALSE)</f>
        <v>Yes</v>
      </c>
      <c r="F568" s="55" t="str">
        <f>VLOOKUP($A568,'Order Summary'!$B:$I,8,FALSE)</f>
        <v>Hillsboro, TX</v>
      </c>
      <c r="G568" s="216" t="str">
        <f>IF($A568="","",VLOOKUP($A568&amp;"-"&amp;$B568,'Order Summary'!$D:$U,18,FALSE))</f>
        <v/>
      </c>
      <c r="H568" s="55">
        <v>1</v>
      </c>
      <c r="I568" s="55">
        <v>694436</v>
      </c>
      <c r="J568" s="55" t="str">
        <f>VLOOKUP($I568,'Pricing Table - eff 27-Jan-2026'!$A:$R,2,FALSE)</f>
        <v>G1S 694436</v>
      </c>
      <c r="K568" s="55" t="str">
        <f>VLOOKUP($I568,'Pricing Table - eff 27-Jan-2026'!$A:$R,6,FALSE)&amp;" "&amp;VLOOKUP($I568,'Pricing Table - eff 27-Jan-2026'!$A:$R,7,FALSE)&amp;""" x "&amp;VLOOKUP($I568,'Pricing Table - eff 27-Jan-2026'!$A:$R,9,FALSE)&amp;""" "&amp;VLOOKUP($I568,'Pricing Table - eff 27-Jan-2026'!$A:$R,5,FALSE)</f>
        <v>2MM 49" x 96" ACP</v>
      </c>
      <c r="L568" s="55">
        <f>VLOOKUP($I568,'Pricing Table - eff 27-Jan-2026'!$A:$K,8,FALSE)</f>
        <v>1245</v>
      </c>
      <c r="M568" s="55">
        <f>VLOOKUP($I568,'Pricing Table - eff 27-Jan-2026'!$A:$K,10,FALSE)</f>
        <v>2440</v>
      </c>
      <c r="N568" s="55" t="str">
        <f>VLOOKUP($I568,'Pricing Table - eff 27-Jan-2026'!$A:$R,13,FALSE)&amp;" "&amp;VLOOKUP($I568,'Pricing Table - eff 27-Jan-2026'!$A:$R,12,FALSE)</f>
        <v>ASC 0069 GLOSSY WHITE</v>
      </c>
      <c r="O568" s="56">
        <v>19.600000000000001</v>
      </c>
      <c r="P568" s="55">
        <f>(VLOOKUP($I568,'Pricing Table - eff 27-Jan-2026'!$A:$R,8,FALSE)/1000)*(VLOOKUP($I568,'Pricing Table - eff 27-Jan-2026'!$A:$R,10,FALSE)/1000)*Q568</f>
        <v>1822.68</v>
      </c>
      <c r="Q568" s="55">
        <f>ROUND(('Order Details'!$O568*1000)/((VLOOKUP($I568,'Pricing Table - eff 27-Jan-2026'!$A:$Q,7,FALSE)/12)*(VLOOKUP($I568,'Pricing Table - eff 27-Jan-2026'!$A:$Q,9,FALSE)/12))/5,0)*5</f>
        <v>600</v>
      </c>
      <c r="R568" s="71">
        <f>$Q568/IFERROR(VLOOKUP($F568&amp;RIGHT($K568,8),'Master Data'!$O$5:$P$10,2,FALSE),'Master Data'!$P$4)</f>
        <v>3</v>
      </c>
      <c r="S568" s="57">
        <f>VLOOKUP($I568,'Pricing Table - eff 27-Jan-2026'!$A:$Q,16,FALSE)</f>
        <v>720</v>
      </c>
      <c r="T568" s="57">
        <f>VLOOKUP(I568,'Pricing Table - eff 27-Jan-2026'!$A:$O,15,FALSE)</f>
        <v>7.73</v>
      </c>
      <c r="U568" s="57">
        <f t="shared" si="27"/>
        <v>14112.000000000002</v>
      </c>
      <c r="V568" s="111">
        <f t="shared" si="26"/>
        <v>14089.316400000002</v>
      </c>
      <c r="W568" s="55">
        <f>VLOOKUP($I568,'Pricing Table - eff 27-Jan-2026'!$A:$R,18,FALSE)</f>
        <v>45</v>
      </c>
    </row>
    <row r="569" spans="1:23" ht="15" hidden="1" thickTop="1" x14ac:dyDescent="0.3">
      <c r="A569">
        <v>53016422</v>
      </c>
      <c r="B569" s="55">
        <v>0</v>
      </c>
      <c r="C569" s="55" t="str">
        <f>VLOOKUP(A569&amp;"-"&amp;B569,'Order Summary'!$D:$E,2,FALSE)</f>
        <v>PO Received</v>
      </c>
      <c r="D569" s="216">
        <f>IF($A569="","",VLOOKUP($A569&amp;"-"&amp;$B569,'Order Summary'!$D:$U,3,FALSE))</f>
        <v>46099</v>
      </c>
      <c r="E569" s="55" t="str">
        <f>VLOOKUP(A569&amp;"-"&amp;B569,'Order Summary'!$D:$G,4,FALSE)</f>
        <v>Yes</v>
      </c>
      <c r="F569" s="55" t="str">
        <f>VLOOKUP($A569,'Order Summary'!$B:$I,8,FALSE)</f>
        <v>Hillsboro, TX</v>
      </c>
      <c r="G569" s="216" t="str">
        <f>IF($A569="","",VLOOKUP($A569&amp;"-"&amp;$B569,'Order Summary'!$D:$U,18,FALSE))</f>
        <v/>
      </c>
      <c r="H569" s="55">
        <v>2</v>
      </c>
      <c r="I569" s="55">
        <v>694437</v>
      </c>
      <c r="J569" s="55" t="str">
        <f>VLOOKUP($I569,'Pricing Table - eff 27-Jan-2026'!$A:$R,2,FALSE)</f>
        <v>G1S 694437</v>
      </c>
      <c r="K569" s="55" t="str">
        <f>VLOOKUP($I569,'Pricing Table - eff 27-Jan-2026'!$A:$R,6,FALSE)&amp;" "&amp;VLOOKUP($I569,'Pricing Table - eff 27-Jan-2026'!$A:$R,7,FALSE)&amp;""" x "&amp;VLOOKUP($I569,'Pricing Table - eff 27-Jan-2026'!$A:$R,9,FALSE)&amp;""" "&amp;VLOOKUP($I569,'Pricing Table - eff 27-Jan-2026'!$A:$R,5,FALSE)</f>
        <v>2MM 49" x 108" ACP</v>
      </c>
      <c r="L569" s="55">
        <f>VLOOKUP($I569,'Pricing Table - eff 27-Jan-2026'!$A:$K,8,FALSE)</f>
        <v>1245</v>
      </c>
      <c r="M569" s="55">
        <f>VLOOKUP($I569,'Pricing Table - eff 27-Jan-2026'!$A:$K,10,FALSE)</f>
        <v>2745</v>
      </c>
      <c r="N569" s="55" t="str">
        <f>VLOOKUP($I569,'Pricing Table - eff 27-Jan-2026'!$A:$R,13,FALSE)&amp;" "&amp;VLOOKUP($I569,'Pricing Table - eff 27-Jan-2026'!$A:$R,12,FALSE)</f>
        <v>ASC 0069 GLOSSY WHITE</v>
      </c>
      <c r="O569" s="56">
        <v>66.150000000000006</v>
      </c>
      <c r="P569" s="55">
        <f>(VLOOKUP($I569,'Pricing Table - eff 27-Jan-2026'!$A:$R,8,FALSE)/1000)*(VLOOKUP($I569,'Pricing Table - eff 27-Jan-2026'!$A:$R,10,FALSE)/1000)*Q569</f>
        <v>6151.545000000001</v>
      </c>
      <c r="Q569" s="55">
        <f>ROUND(('Order Details'!$O569*1000)/((VLOOKUP($I569,'Pricing Table - eff 27-Jan-2026'!$A:$Q,7,FALSE)/12)*(VLOOKUP($I569,'Pricing Table - eff 27-Jan-2026'!$A:$Q,9,FALSE)/12))/5,0)*5</f>
        <v>1800</v>
      </c>
      <c r="R569" s="71">
        <f>$Q569/IFERROR(VLOOKUP($F569&amp;RIGHT($K569,8),'Master Data'!$O$5:$P$10,2,FALSE),'Master Data'!$P$4)</f>
        <v>9</v>
      </c>
      <c r="S569" s="57">
        <f>VLOOKUP($I569,'Pricing Table - eff 27-Jan-2026'!$A:$Q,16,FALSE)</f>
        <v>720</v>
      </c>
      <c r="T569" s="57">
        <f>VLOOKUP(I569,'Pricing Table - eff 27-Jan-2026'!$A:$O,15,FALSE)</f>
        <v>7.73</v>
      </c>
      <c r="U569" s="57">
        <f t="shared" si="27"/>
        <v>47628.000000000007</v>
      </c>
      <c r="V569" s="111">
        <f t="shared" si="26"/>
        <v>47551.442850000007</v>
      </c>
      <c r="W569" s="55">
        <f>VLOOKUP($I569,'Pricing Table - eff 27-Jan-2026'!$A:$R,18,FALSE)</f>
        <v>45</v>
      </c>
    </row>
    <row r="570" spans="1:23" ht="15" hidden="1" thickTop="1" x14ac:dyDescent="0.3">
      <c r="A570" s="55">
        <v>53016418</v>
      </c>
      <c r="B570" s="55">
        <v>0</v>
      </c>
      <c r="C570" s="55" t="str">
        <f>VLOOKUP(A570&amp;"-"&amp;B570,'Order Summary'!$D:$E,2,FALSE)</f>
        <v>PO Received</v>
      </c>
      <c r="D570" s="216">
        <f>IF($A570="","",VLOOKUP($A570&amp;"-"&amp;$B570,'Order Summary'!$D:$U,3,FALSE))</f>
        <v>46099</v>
      </c>
      <c r="E570" s="55" t="str">
        <f>VLOOKUP(A570&amp;"-"&amp;B570,'Order Summary'!$D:$G,4,FALSE)</f>
        <v>Yes</v>
      </c>
      <c r="F570" s="55" t="str">
        <f>VLOOKUP($A570,'Order Summary'!$B:$I,8,FALSE)</f>
        <v>Hillsboro, TX</v>
      </c>
      <c r="G570" s="216" t="str">
        <f>IF($A570="","",VLOOKUP($A570&amp;"-"&amp;$B570,'Order Summary'!$D:$U,18,FALSE))</f>
        <v/>
      </c>
      <c r="H570" s="55">
        <v>1</v>
      </c>
      <c r="I570" s="55">
        <v>694432</v>
      </c>
      <c r="J570" s="55" t="str">
        <f>VLOOKUP($I570,'Pricing Table - eff 27-Jan-2026'!$A:$R,2,FALSE)</f>
        <v>G1S 694432</v>
      </c>
      <c r="K570" s="55" t="str">
        <f>VLOOKUP($I570,'Pricing Table - eff 27-Jan-2026'!$A:$R,6,FALSE)&amp;" "&amp;VLOOKUP($I570,'Pricing Table - eff 27-Jan-2026'!$A:$R,7,FALSE)&amp;""" x "&amp;VLOOKUP($I570,'Pricing Table - eff 27-Jan-2026'!$A:$R,9,FALSE)&amp;""" "&amp;VLOOKUP($I570,'Pricing Table - eff 27-Jan-2026'!$A:$R,5,FALSE)</f>
        <v>2MM 49" x 96" ACP</v>
      </c>
      <c r="L570" s="55">
        <f>VLOOKUP($I570,'Pricing Table - eff 27-Jan-2026'!$A:$K,8,FALSE)</f>
        <v>1245</v>
      </c>
      <c r="M570" s="55">
        <f>VLOOKUP($I570,'Pricing Table - eff 27-Jan-2026'!$A:$K,10,FALSE)</f>
        <v>2440</v>
      </c>
      <c r="N570" s="55" t="str">
        <f>VLOOKUP($I570,'Pricing Table - eff 27-Jan-2026'!$A:$R,13,FALSE)&amp;" "&amp;VLOOKUP($I570,'Pricing Table - eff 27-Jan-2026'!$A:$R,12,FALSE)</f>
        <v>ASC 0096 GLOSSY BLACK</v>
      </c>
      <c r="O570" s="56">
        <v>13.067</v>
      </c>
      <c r="P570" s="55">
        <f>(VLOOKUP($I570,'Pricing Table - eff 27-Jan-2026'!$A:$R,8,FALSE)/1000)*(VLOOKUP($I570,'Pricing Table - eff 27-Jan-2026'!$A:$R,10,FALSE)/1000)*Q570</f>
        <v>1215.1200000000001</v>
      </c>
      <c r="Q570" s="55">
        <f>ROUND(('Order Details'!$O570*1000)/((VLOOKUP($I570,'Pricing Table - eff 27-Jan-2026'!$A:$Q,7,FALSE)/12)*(VLOOKUP($I570,'Pricing Table - eff 27-Jan-2026'!$A:$Q,9,FALSE)/12))/5,0)*5</f>
        <v>400</v>
      </c>
      <c r="R570" s="71">
        <f>$Q570/IFERROR(VLOOKUP($F570&amp;RIGHT($K570,8),'Master Data'!$O$5:$P$10,2,FALSE),'Master Data'!$P$4)</f>
        <v>2</v>
      </c>
      <c r="S570" s="57">
        <f>VLOOKUP($I570,'Pricing Table - eff 27-Jan-2026'!$A:$Q,16,FALSE)</f>
        <v>720</v>
      </c>
      <c r="T570" s="57">
        <f>VLOOKUP(I570,'Pricing Table - eff 27-Jan-2026'!$A:$O,15,FALSE)</f>
        <v>7.73</v>
      </c>
      <c r="U570" s="57">
        <f t="shared" si="27"/>
        <v>9408.24</v>
      </c>
      <c r="V570" s="111">
        <f t="shared" si="26"/>
        <v>9392.8776000000016</v>
      </c>
      <c r="W570" s="55">
        <f>VLOOKUP($I570,'Pricing Table - eff 27-Jan-2026'!$A:$R,18,FALSE)</f>
        <v>45</v>
      </c>
    </row>
    <row r="571" spans="1:23" ht="15" hidden="1" thickTop="1" x14ac:dyDescent="0.3">
      <c r="A571" s="55">
        <v>53016418</v>
      </c>
      <c r="B571" s="55">
        <v>0</v>
      </c>
      <c r="C571" s="55" t="str">
        <f>VLOOKUP(A571&amp;"-"&amp;B571,'Order Summary'!$D:$E,2,FALSE)</f>
        <v>PO Received</v>
      </c>
      <c r="D571" s="216">
        <f>IF($A571="","",VLOOKUP($A571&amp;"-"&amp;$B571,'Order Summary'!$D:$U,3,FALSE))</f>
        <v>46099</v>
      </c>
      <c r="E571" s="55" t="str">
        <f>VLOOKUP(A571&amp;"-"&amp;B571,'Order Summary'!$D:$G,4,FALSE)</f>
        <v>Yes</v>
      </c>
      <c r="F571" s="55" t="str">
        <f>VLOOKUP($A571,'Order Summary'!$B:$I,8,FALSE)</f>
        <v>Hillsboro, TX</v>
      </c>
      <c r="G571" s="216" t="str">
        <f>IF($A571="","",VLOOKUP($A571&amp;"-"&amp;$B571,'Order Summary'!$D:$U,18,FALSE))</f>
        <v/>
      </c>
      <c r="H571" s="55">
        <v>2</v>
      </c>
      <c r="I571" s="55">
        <v>694433</v>
      </c>
      <c r="J571" s="55" t="str">
        <f>VLOOKUP($I571,'Pricing Table - eff 27-Jan-2026'!$A:$R,2,FALSE)</f>
        <v>G1S 694433</v>
      </c>
      <c r="K571" s="55" t="str">
        <f>VLOOKUP($I571,'Pricing Table - eff 27-Jan-2026'!$A:$R,6,FALSE)&amp;" "&amp;VLOOKUP($I571,'Pricing Table - eff 27-Jan-2026'!$A:$R,7,FALSE)&amp;""" x "&amp;VLOOKUP($I571,'Pricing Table - eff 27-Jan-2026'!$A:$R,9,FALSE)&amp;""" "&amp;VLOOKUP($I571,'Pricing Table - eff 27-Jan-2026'!$A:$R,5,FALSE)</f>
        <v>2MM 49" x 108" ACP</v>
      </c>
      <c r="L571" s="55">
        <f>VLOOKUP($I571,'Pricing Table - eff 27-Jan-2026'!$A:$K,8,FALSE)</f>
        <v>1245</v>
      </c>
      <c r="M571" s="55">
        <f>VLOOKUP($I571,'Pricing Table - eff 27-Jan-2026'!$A:$K,10,FALSE)</f>
        <v>2745</v>
      </c>
      <c r="N571" s="55" t="str">
        <f>VLOOKUP($I571,'Pricing Table - eff 27-Jan-2026'!$A:$R,13,FALSE)&amp;" "&amp;VLOOKUP($I571,'Pricing Table - eff 27-Jan-2026'!$A:$R,12,FALSE)</f>
        <v>ASC 0096 GLOSSY BLACK</v>
      </c>
      <c r="O571" s="56">
        <v>66.150000000000006</v>
      </c>
      <c r="P571" s="55">
        <f>(VLOOKUP($I571,'Pricing Table - eff 27-Jan-2026'!$A:$R,8,FALSE)/1000)*(VLOOKUP($I571,'Pricing Table - eff 27-Jan-2026'!$A:$R,10,FALSE)/1000)*Q571</f>
        <v>6151.545000000001</v>
      </c>
      <c r="Q571" s="55">
        <f>ROUND(('Order Details'!$O571*1000)/((VLOOKUP($I571,'Pricing Table - eff 27-Jan-2026'!$A:$Q,7,FALSE)/12)*(VLOOKUP($I571,'Pricing Table - eff 27-Jan-2026'!$A:$Q,9,FALSE)/12))/5,0)*5</f>
        <v>1800</v>
      </c>
      <c r="R571" s="71">
        <f>$Q571/IFERROR(VLOOKUP($F571&amp;RIGHT($K571,8),'Master Data'!$O$5:$P$10,2,FALSE),'Master Data'!$P$4)</f>
        <v>9</v>
      </c>
      <c r="S571" s="57">
        <f>VLOOKUP($I571,'Pricing Table - eff 27-Jan-2026'!$A:$Q,16,FALSE)</f>
        <v>720</v>
      </c>
      <c r="T571" s="57">
        <f>VLOOKUP(I571,'Pricing Table - eff 27-Jan-2026'!$A:$O,15,FALSE)</f>
        <v>7.73</v>
      </c>
      <c r="U571" s="57">
        <f t="shared" si="27"/>
        <v>47628.000000000007</v>
      </c>
      <c r="V571" s="111">
        <f t="shared" si="26"/>
        <v>47551.442850000007</v>
      </c>
      <c r="W571" s="55">
        <f>VLOOKUP($I571,'Pricing Table - eff 27-Jan-2026'!$A:$R,18,FALSE)</f>
        <v>45</v>
      </c>
    </row>
    <row r="572" spans="1:23" ht="15" hidden="1" thickTop="1" x14ac:dyDescent="0.3">
      <c r="A572" s="55">
        <v>53016418</v>
      </c>
      <c r="B572" s="55">
        <v>0</v>
      </c>
      <c r="C572" s="55" t="str">
        <f>VLOOKUP(A572&amp;"-"&amp;B572,'Order Summary'!$D:$E,2,FALSE)</f>
        <v>PO Received</v>
      </c>
      <c r="D572" s="216">
        <f>IF($A572="","",VLOOKUP($A572&amp;"-"&amp;$B572,'Order Summary'!$D:$U,3,FALSE))</f>
        <v>46099</v>
      </c>
      <c r="E572" s="55" t="str">
        <f>VLOOKUP(A572&amp;"-"&amp;B572,'Order Summary'!$D:$G,4,FALSE)</f>
        <v>Yes</v>
      </c>
      <c r="F572" s="55" t="str">
        <f>VLOOKUP($A572,'Order Summary'!$B:$I,8,FALSE)</f>
        <v>Hillsboro, TX</v>
      </c>
      <c r="G572" s="216" t="str">
        <f>IF($A572="","",VLOOKUP($A572&amp;"-"&amp;$B572,'Order Summary'!$D:$U,18,FALSE))</f>
        <v/>
      </c>
      <c r="H572" s="55">
        <v>3</v>
      </c>
      <c r="I572" s="55">
        <v>694434</v>
      </c>
      <c r="J572" s="55" t="str">
        <f>VLOOKUP($I572,'Pricing Table - eff 27-Jan-2026'!$A:$R,2,FALSE)</f>
        <v>G1S 694434</v>
      </c>
      <c r="K572" s="55" t="str">
        <f>VLOOKUP($I572,'Pricing Table - eff 27-Jan-2026'!$A:$R,6,FALSE)&amp;" "&amp;VLOOKUP($I572,'Pricing Table - eff 27-Jan-2026'!$A:$R,7,FALSE)&amp;""" x "&amp;VLOOKUP($I572,'Pricing Table - eff 27-Jan-2026'!$A:$R,9,FALSE)&amp;""" "&amp;VLOOKUP($I572,'Pricing Table - eff 27-Jan-2026'!$A:$R,5,FALSE)</f>
        <v>2MM 49" x 144" ACP</v>
      </c>
      <c r="L572" s="55">
        <f>VLOOKUP($I572,'Pricing Table - eff 27-Jan-2026'!$A:$K,8,FALSE)</f>
        <v>1245</v>
      </c>
      <c r="M572" s="55">
        <f>VLOOKUP($I572,'Pricing Table - eff 27-Jan-2026'!$A:$K,10,FALSE)</f>
        <v>3658</v>
      </c>
      <c r="N572" s="55" t="str">
        <f>VLOOKUP($I572,'Pricing Table - eff 27-Jan-2026'!$A:$R,13,FALSE)&amp;" "&amp;VLOOKUP($I572,'Pricing Table - eff 27-Jan-2026'!$A:$R,12,FALSE)</f>
        <v>ASC 0096 GLOSSY BLACK</v>
      </c>
      <c r="O572" s="56">
        <v>9.8000000000000007</v>
      </c>
      <c r="P572" s="55">
        <f>(VLOOKUP($I572,'Pricing Table - eff 27-Jan-2026'!$A:$R,8,FALSE)/1000)*(VLOOKUP($I572,'Pricing Table - eff 27-Jan-2026'!$A:$R,10,FALSE)/1000)*Q572</f>
        <v>910.8420000000001</v>
      </c>
      <c r="Q572" s="55">
        <f>ROUND(('Order Details'!$O572*1000)/((VLOOKUP($I572,'Pricing Table - eff 27-Jan-2026'!$A:$Q,7,FALSE)/12)*(VLOOKUP($I572,'Pricing Table - eff 27-Jan-2026'!$A:$Q,9,FALSE)/12))/5,0)*5</f>
        <v>200</v>
      </c>
      <c r="R572" s="71">
        <f>$Q572/IFERROR(VLOOKUP($F572&amp;RIGHT($K572,8),'Master Data'!$O$5:$P$10,2,FALSE),'Master Data'!$P$4)</f>
        <v>1</v>
      </c>
      <c r="S572" s="57">
        <f>VLOOKUP($I572,'Pricing Table - eff 27-Jan-2026'!$A:$Q,16,FALSE)</f>
        <v>720</v>
      </c>
      <c r="T572" s="57">
        <f>VLOOKUP(I572,'Pricing Table - eff 27-Jan-2026'!$A:$O,15,FALSE)</f>
        <v>7.73</v>
      </c>
      <c r="U572" s="57">
        <f t="shared" si="27"/>
        <v>7056.0000000000009</v>
      </c>
      <c r="V572" s="111">
        <f t="shared" si="26"/>
        <v>7040.8086600000015</v>
      </c>
      <c r="W572" s="55">
        <f>VLOOKUP($I572,'Pricing Table - eff 27-Jan-2026'!$A:$R,18,FALSE)</f>
        <v>45</v>
      </c>
    </row>
    <row r="573" spans="1:23" ht="15" hidden="1" thickTop="1" x14ac:dyDescent="0.3">
      <c r="A573" s="55">
        <v>53016428</v>
      </c>
      <c r="B573" s="55">
        <v>0</v>
      </c>
      <c r="C573" s="55" t="str">
        <f>VLOOKUP(A573&amp;"-"&amp;B573,'Order Summary'!$D:$E,2,FALSE)</f>
        <v>PO Received</v>
      </c>
      <c r="D573" s="216">
        <f>IF($A573="","",VLOOKUP($A573&amp;"-"&amp;$B573,'Order Summary'!$D:$U,3,FALSE))</f>
        <v>46099</v>
      </c>
      <c r="E573" s="55" t="str">
        <f>VLOOKUP(A573&amp;"-"&amp;B573,'Order Summary'!$D:$G,4,FALSE)</f>
        <v>Yes</v>
      </c>
      <c r="F573" s="55" t="str">
        <f>VLOOKUP($A573,'Order Summary'!$B:$I,8,FALSE)</f>
        <v>Hillsboro, TX</v>
      </c>
      <c r="G573" s="216" t="str">
        <f>IF($A573="","",VLOOKUP($A573&amp;"-"&amp;$B573,'Order Summary'!$D:$U,18,FALSE))</f>
        <v/>
      </c>
      <c r="H573" s="55">
        <v>1</v>
      </c>
      <c r="I573" s="55">
        <v>694445</v>
      </c>
      <c r="J573" s="55" t="str">
        <f>VLOOKUP($I573,'Pricing Table - eff 27-Jan-2026'!$A:$R,2,FALSE)</f>
        <v>G1S 694445</v>
      </c>
      <c r="K573" s="55" t="str">
        <f>VLOOKUP($I573,'Pricing Table - eff 27-Jan-2026'!$A:$R,6,FALSE)&amp;" "&amp;VLOOKUP($I573,'Pricing Table - eff 27-Jan-2026'!$A:$R,7,FALSE)&amp;""" x "&amp;VLOOKUP($I573,'Pricing Table - eff 27-Jan-2026'!$A:$R,9,FALSE)&amp;""" "&amp;VLOOKUP($I573,'Pricing Table - eff 27-Jan-2026'!$A:$R,5,FALSE)</f>
        <v>2MM 49" x 108" ACP</v>
      </c>
      <c r="L573" s="55">
        <f>VLOOKUP($I573,'Pricing Table - eff 27-Jan-2026'!$A:$K,8,FALSE)</f>
        <v>1245</v>
      </c>
      <c r="M573" s="55">
        <f>VLOOKUP($I573,'Pricing Table - eff 27-Jan-2026'!$A:$K,10,FALSE)</f>
        <v>2745</v>
      </c>
      <c r="N573" s="55" t="str">
        <f>VLOOKUP($I573,'Pricing Table - eff 27-Jan-2026'!$A:$R,13,FALSE)&amp;" "&amp;VLOOKUP($I573,'Pricing Table - eff 27-Jan-2026'!$A:$R,12,FALSE)</f>
        <v>AMC 0086 CHARCOAL METALLIC</v>
      </c>
      <c r="O573" s="56">
        <v>51.45</v>
      </c>
      <c r="P573" s="55">
        <f>(VLOOKUP($I573,'Pricing Table - eff 27-Jan-2026'!$A:$R,8,FALSE)/1000)*(VLOOKUP($I573,'Pricing Table - eff 27-Jan-2026'!$A:$R,10,FALSE)/1000)*Q573</f>
        <v>4784.5350000000008</v>
      </c>
      <c r="Q573" s="55">
        <f>ROUND(('Order Details'!$O573*1000)/((VLOOKUP($I573,'Pricing Table - eff 27-Jan-2026'!$A:$Q,7,FALSE)/12)*(VLOOKUP($I573,'Pricing Table - eff 27-Jan-2026'!$A:$Q,9,FALSE)/12))/5,0)*5</f>
        <v>1400</v>
      </c>
      <c r="R573" s="71">
        <f>$Q573/IFERROR(VLOOKUP($F573&amp;RIGHT($K573,8),'Master Data'!$O$5:$P$10,2,FALSE),'Master Data'!$P$4)</f>
        <v>7</v>
      </c>
      <c r="S573" s="57">
        <f>VLOOKUP($I573,'Pricing Table - eff 27-Jan-2026'!$A:$Q,16,FALSE)</f>
        <v>770</v>
      </c>
      <c r="T573" s="57">
        <f>VLOOKUP(I573,'Pricing Table - eff 27-Jan-2026'!$A:$O,15,FALSE)</f>
        <v>8.27</v>
      </c>
      <c r="U573" s="57">
        <f t="shared" si="27"/>
        <v>39616.5</v>
      </c>
      <c r="V573" s="111">
        <f t="shared" si="26"/>
        <v>39568.104450000006</v>
      </c>
      <c r="W573" s="55">
        <f>VLOOKUP($I573,'Pricing Table - eff 27-Jan-2026'!$A:$R,18,FALSE)</f>
        <v>45</v>
      </c>
    </row>
    <row r="574" spans="1:23" ht="15" hidden="1" thickTop="1" x14ac:dyDescent="0.3">
      <c r="A574" s="55">
        <v>53016428</v>
      </c>
      <c r="B574" s="55">
        <v>0</v>
      </c>
      <c r="C574" s="55" t="str">
        <f>VLOOKUP(A574&amp;"-"&amp;B574,'Order Summary'!$D:$E,2,FALSE)</f>
        <v>PO Received</v>
      </c>
      <c r="D574" s="216">
        <f>IF($A574="","",VLOOKUP($A574&amp;"-"&amp;$B574,'Order Summary'!$D:$U,3,FALSE))</f>
        <v>46099</v>
      </c>
      <c r="E574" s="55" t="str">
        <f>VLOOKUP(A574&amp;"-"&amp;B574,'Order Summary'!$D:$G,4,FALSE)</f>
        <v>Yes</v>
      </c>
      <c r="F574" s="55" t="str">
        <f>VLOOKUP($A574,'Order Summary'!$B:$I,8,FALSE)</f>
        <v>Hillsboro, TX</v>
      </c>
      <c r="G574" s="216" t="str">
        <f>IF($A574="","",VLOOKUP($A574&amp;"-"&amp;$B574,'Order Summary'!$D:$U,18,FALSE))</f>
        <v/>
      </c>
      <c r="H574" s="55">
        <v>2</v>
      </c>
      <c r="I574" s="55">
        <v>694446</v>
      </c>
      <c r="J574" s="55" t="str">
        <f>VLOOKUP($I574,'Pricing Table - eff 27-Jan-2026'!$A:$R,2,FALSE)</f>
        <v>G1S 694446</v>
      </c>
      <c r="K574" s="55" t="str">
        <f>VLOOKUP($I574,'Pricing Table - eff 27-Jan-2026'!$A:$R,6,FALSE)&amp;" "&amp;VLOOKUP($I574,'Pricing Table - eff 27-Jan-2026'!$A:$R,7,FALSE)&amp;""" x "&amp;VLOOKUP($I574,'Pricing Table - eff 27-Jan-2026'!$A:$R,9,FALSE)&amp;""" "&amp;VLOOKUP($I574,'Pricing Table - eff 27-Jan-2026'!$A:$R,5,FALSE)</f>
        <v>2MM 49" x 144" ACP</v>
      </c>
      <c r="L574" s="55">
        <f>VLOOKUP($I574,'Pricing Table - eff 27-Jan-2026'!$A:$K,8,FALSE)</f>
        <v>1245</v>
      </c>
      <c r="M574" s="55">
        <f>VLOOKUP($I574,'Pricing Table - eff 27-Jan-2026'!$A:$K,10,FALSE)</f>
        <v>3658</v>
      </c>
      <c r="N574" s="55" t="str">
        <f>VLOOKUP($I574,'Pricing Table - eff 27-Jan-2026'!$A:$R,13,FALSE)&amp;" "&amp;VLOOKUP($I574,'Pricing Table - eff 27-Jan-2026'!$A:$R,12,FALSE)</f>
        <v>AMC 0086 CHARCOAL METALLIC</v>
      </c>
      <c r="O574" s="56">
        <v>9.8000000000000007</v>
      </c>
      <c r="P574" s="55">
        <f>(VLOOKUP($I574,'Pricing Table - eff 27-Jan-2026'!$A:$R,8,FALSE)/1000)*(VLOOKUP($I574,'Pricing Table - eff 27-Jan-2026'!$A:$R,10,FALSE)/1000)*Q574</f>
        <v>910.8420000000001</v>
      </c>
      <c r="Q574" s="55">
        <f>ROUND(('Order Details'!$O574*1000)/((VLOOKUP($I574,'Pricing Table - eff 27-Jan-2026'!$A:$Q,7,FALSE)/12)*(VLOOKUP($I574,'Pricing Table - eff 27-Jan-2026'!$A:$Q,9,FALSE)/12))/5,0)*5</f>
        <v>200</v>
      </c>
      <c r="R574" s="71">
        <f>$Q574/IFERROR(VLOOKUP($F574&amp;RIGHT($K574,8),'Master Data'!$O$5:$P$10,2,FALSE),'Master Data'!$P$4)</f>
        <v>1</v>
      </c>
      <c r="S574" s="57">
        <f>VLOOKUP($I574,'Pricing Table - eff 27-Jan-2026'!$A:$Q,16,FALSE)</f>
        <v>770</v>
      </c>
      <c r="T574" s="57">
        <f>VLOOKUP(I574,'Pricing Table - eff 27-Jan-2026'!$A:$O,15,FALSE)</f>
        <v>8.27</v>
      </c>
      <c r="U574" s="57">
        <f t="shared" si="27"/>
        <v>7546.0000000000009</v>
      </c>
      <c r="V574" s="111">
        <f t="shared" ref="V574:V637" si="28">P574*T574</f>
        <v>7532.6633400000001</v>
      </c>
      <c r="W574" s="55">
        <f>VLOOKUP($I574,'Pricing Table - eff 27-Jan-2026'!$A:$R,18,FALSE)</f>
        <v>45</v>
      </c>
    </row>
    <row r="575" spans="1:23" ht="15" hidden="1" thickTop="1" x14ac:dyDescent="0.3">
      <c r="A575" s="55">
        <v>53016428</v>
      </c>
      <c r="B575" s="55">
        <v>0</v>
      </c>
      <c r="C575" s="55" t="str">
        <f>VLOOKUP(A575&amp;"-"&amp;B575,'Order Summary'!$D:$E,2,FALSE)</f>
        <v>PO Received</v>
      </c>
      <c r="D575" s="216">
        <f>IF($A575="","",VLOOKUP($A575&amp;"-"&amp;$B575,'Order Summary'!$D:$U,3,FALSE))</f>
        <v>46099</v>
      </c>
      <c r="E575" s="55" t="str">
        <f>VLOOKUP(A575&amp;"-"&amp;B575,'Order Summary'!$D:$G,4,FALSE)</f>
        <v>Yes</v>
      </c>
      <c r="F575" s="55" t="str">
        <f>VLOOKUP($A575,'Order Summary'!$B:$I,8,FALSE)</f>
        <v>Hillsboro, TX</v>
      </c>
      <c r="G575" s="216" t="str">
        <f>IF($A575="","",VLOOKUP($A575&amp;"-"&amp;$B575,'Order Summary'!$D:$U,18,FALSE))</f>
        <v/>
      </c>
      <c r="H575" s="55">
        <v>3</v>
      </c>
      <c r="I575" s="55">
        <v>708895</v>
      </c>
      <c r="J575" s="55" t="str">
        <f>VLOOKUP($I575,'Pricing Table - eff 27-Jan-2026'!$A:$R,2,FALSE)</f>
        <v>G1S 708895</v>
      </c>
      <c r="K575" s="55" t="str">
        <f>VLOOKUP($I575,'Pricing Table - eff 27-Jan-2026'!$A:$R,6,FALSE)&amp;" "&amp;VLOOKUP($I575,'Pricing Table - eff 27-Jan-2026'!$A:$R,7,FALSE)&amp;""" x "&amp;VLOOKUP($I575,'Pricing Table - eff 27-Jan-2026'!$A:$R,9,FALSE)&amp;""" "&amp;VLOOKUP($I575,'Pricing Table - eff 27-Jan-2026'!$A:$R,5,FALSE)</f>
        <v>2MM 49" x 120" ACP</v>
      </c>
      <c r="L575" s="55">
        <f>VLOOKUP($I575,'Pricing Table - eff 27-Jan-2026'!$A:$K,8,FALSE)</f>
        <v>1245</v>
      </c>
      <c r="M575" s="55">
        <f>VLOOKUP($I575,'Pricing Table - eff 27-Jan-2026'!$A:$K,10,FALSE)</f>
        <v>3050</v>
      </c>
      <c r="N575" s="55" t="str">
        <f>VLOOKUP($I575,'Pricing Table - eff 27-Jan-2026'!$A:$R,13,FALSE)&amp;" "&amp;VLOOKUP($I575,'Pricing Table - eff 27-Jan-2026'!$A:$R,12,FALSE)</f>
        <v>ASC 0092 PEPSI BLUE</v>
      </c>
      <c r="O575" s="56">
        <v>8.1669999999999998</v>
      </c>
      <c r="P575" s="55">
        <f>(VLOOKUP($I575,'Pricing Table - eff 27-Jan-2026'!$A:$R,8,FALSE)/1000)*(VLOOKUP($I575,'Pricing Table - eff 27-Jan-2026'!$A:$R,10,FALSE)/1000)*Q575</f>
        <v>759.45</v>
      </c>
      <c r="Q575" s="55">
        <f>ROUND(('Order Details'!$O575*1000)/((VLOOKUP($I575,'Pricing Table - eff 27-Jan-2026'!$A:$Q,7,FALSE)/12)*(VLOOKUP($I575,'Pricing Table - eff 27-Jan-2026'!$A:$Q,9,FALSE)/12))/5,0)*5</f>
        <v>200</v>
      </c>
      <c r="R575" s="71">
        <f>$Q575/IFERROR(VLOOKUP($F575&amp;RIGHT($K575,8),'Master Data'!$O$5:$P$10,2,FALSE),'Master Data'!$P$4)</f>
        <v>1</v>
      </c>
      <c r="S575" s="57">
        <f>VLOOKUP($I575,'Pricing Table - eff 27-Jan-2026'!$A:$Q,16,FALSE)</f>
        <v>720</v>
      </c>
      <c r="T575" s="57">
        <f>VLOOKUP(I575,'Pricing Table - eff 27-Jan-2026'!$A:$O,15,FALSE)</f>
        <v>7.73</v>
      </c>
      <c r="U575" s="57">
        <f t="shared" si="27"/>
        <v>5880.24</v>
      </c>
      <c r="V575" s="111">
        <f t="shared" si="28"/>
        <v>5870.5485000000008</v>
      </c>
      <c r="W575" s="55">
        <f>VLOOKUP($I575,'Pricing Table - eff 27-Jan-2026'!$A:$R,18,FALSE)</f>
        <v>90</v>
      </c>
    </row>
    <row r="576" spans="1:23" ht="15" hidden="1" thickTop="1" x14ac:dyDescent="0.3">
      <c r="A576" s="55">
        <v>53016428</v>
      </c>
      <c r="B576" s="55">
        <v>0</v>
      </c>
      <c r="C576" s="55" t="str">
        <f>VLOOKUP(A576&amp;"-"&amp;B576,'Order Summary'!$D:$E,2,FALSE)</f>
        <v>PO Received</v>
      </c>
      <c r="D576" s="216">
        <f>IF($A576="","",VLOOKUP($A576&amp;"-"&amp;$B576,'Order Summary'!$D:$U,3,FALSE))</f>
        <v>46099</v>
      </c>
      <c r="E576" s="55" t="str">
        <f>VLOOKUP(A576&amp;"-"&amp;B576,'Order Summary'!$D:$G,4,FALSE)</f>
        <v>Yes</v>
      </c>
      <c r="F576" s="55" t="str">
        <f>VLOOKUP($A576,'Order Summary'!$B:$I,8,FALSE)</f>
        <v>Hillsboro, TX</v>
      </c>
      <c r="G576" s="216" t="str">
        <f>IF($A576="","",VLOOKUP($A576&amp;"-"&amp;$B576,'Order Summary'!$D:$U,18,FALSE))</f>
        <v/>
      </c>
      <c r="H576" s="55">
        <v>4</v>
      </c>
      <c r="I576" s="55">
        <v>710941</v>
      </c>
      <c r="J576" s="55" t="str">
        <f>VLOOKUP($I576,'Pricing Table - eff 27-Jan-2026'!$A:$R,2,FALSE)</f>
        <v>G1S 710941</v>
      </c>
      <c r="K576" s="55" t="str">
        <f>VLOOKUP($I576,'Pricing Table - eff 27-Jan-2026'!$A:$R,6,FALSE)&amp;" "&amp;VLOOKUP($I576,'Pricing Table - eff 27-Jan-2026'!$A:$R,7,FALSE)&amp;""" x "&amp;VLOOKUP($I576,'Pricing Table - eff 27-Jan-2026'!$A:$R,9,FALSE)&amp;""" "&amp;VLOOKUP($I576,'Pricing Table - eff 27-Jan-2026'!$A:$R,5,FALSE)</f>
        <v>2MM 49" x 90.5" ACP</v>
      </c>
      <c r="L576" s="55">
        <f>VLOOKUP($I576,'Pricing Table - eff 27-Jan-2026'!$A:$K,8,FALSE)</f>
        <v>1245</v>
      </c>
      <c r="M576" s="55">
        <f>VLOOKUP($I576,'Pricing Table - eff 27-Jan-2026'!$A:$K,10,FALSE)</f>
        <v>2300</v>
      </c>
      <c r="N576" s="55" t="str">
        <f>VLOOKUP($I576,'Pricing Table - eff 27-Jan-2026'!$A:$R,13,FALSE)&amp;" "&amp;VLOOKUP($I576,'Pricing Table - eff 27-Jan-2026'!$A:$R,12,FALSE)</f>
        <v>ASC 0089 VICTORY RED</v>
      </c>
      <c r="O576" s="56">
        <v>6.1589999999999998</v>
      </c>
      <c r="P576" s="55">
        <f>(VLOOKUP($I576,'Pricing Table - eff 27-Jan-2026'!$A:$R,8,FALSE)/1000)*(VLOOKUP($I576,'Pricing Table - eff 27-Jan-2026'!$A:$R,10,FALSE)/1000)*Q576</f>
        <v>572.70000000000005</v>
      </c>
      <c r="Q576" s="55">
        <f>ROUND(('Order Details'!$O576*1000)/((VLOOKUP($I576,'Pricing Table - eff 27-Jan-2026'!$A:$Q,7,FALSE)/12)*(VLOOKUP($I576,'Pricing Table - eff 27-Jan-2026'!$A:$Q,9,FALSE)/12))/5,0)*5</f>
        <v>200</v>
      </c>
      <c r="R576" s="71">
        <f>$Q576/IFERROR(VLOOKUP($F576&amp;RIGHT($K576,8),'Master Data'!$O$5:$P$10,2,FALSE),'Master Data'!$P$4)</f>
        <v>1</v>
      </c>
      <c r="S576" s="57">
        <f>VLOOKUP($I576,'Pricing Table - eff 27-Jan-2026'!$A:$Q,16,FALSE)</f>
        <v>720</v>
      </c>
      <c r="T576" s="57">
        <f>VLOOKUP(I576,'Pricing Table - eff 27-Jan-2026'!$A:$O,15,FALSE)</f>
        <v>7.73</v>
      </c>
      <c r="U576" s="57">
        <f t="shared" si="27"/>
        <v>4434.4799999999996</v>
      </c>
      <c r="V576" s="111">
        <f t="shared" si="28"/>
        <v>4426.9710000000005</v>
      </c>
      <c r="W576" s="55">
        <f>VLOOKUP($I576,'Pricing Table - eff 27-Jan-2026'!$A:$R,18,FALSE)</f>
        <v>45</v>
      </c>
    </row>
    <row r="577" spans="1:23" ht="15" hidden="1" thickTop="1" x14ac:dyDescent="0.3">
      <c r="A577" s="55">
        <v>53016428</v>
      </c>
      <c r="B577" s="55">
        <v>0</v>
      </c>
      <c r="C577" s="55" t="str">
        <f>VLOOKUP(A577&amp;"-"&amp;B577,'Order Summary'!$D:$E,2,FALSE)</f>
        <v>PO Received</v>
      </c>
      <c r="D577" s="216">
        <f>IF($A577="","",VLOOKUP($A577&amp;"-"&amp;$B577,'Order Summary'!$D:$U,3,FALSE))</f>
        <v>46099</v>
      </c>
      <c r="E577" s="55" t="str">
        <f>VLOOKUP(A577&amp;"-"&amp;B577,'Order Summary'!$D:$G,4,FALSE)</f>
        <v>Yes</v>
      </c>
      <c r="F577" s="55" t="str">
        <f>VLOOKUP($A577,'Order Summary'!$B:$I,8,FALSE)</f>
        <v>Hillsboro, TX</v>
      </c>
      <c r="G577" s="216" t="str">
        <f>IF($A577="","",VLOOKUP($A577&amp;"-"&amp;$B577,'Order Summary'!$D:$U,18,FALSE))</f>
        <v/>
      </c>
      <c r="H577" s="55">
        <v>5</v>
      </c>
      <c r="I577" s="55">
        <v>694672</v>
      </c>
      <c r="J577" s="55" t="str">
        <f>VLOOKUP($I577,'Pricing Table - eff 27-Jan-2026'!$A:$R,2,FALSE)</f>
        <v>G1S 694672</v>
      </c>
      <c r="K577" s="55" t="str">
        <f>VLOOKUP($I577,'Pricing Table - eff 27-Jan-2026'!$A:$R,6,FALSE)&amp;" "&amp;VLOOKUP($I577,'Pricing Table - eff 27-Jan-2026'!$A:$R,7,FALSE)&amp;""" x "&amp;VLOOKUP($I577,'Pricing Table - eff 27-Jan-2026'!$A:$R,9,FALSE)&amp;""" "&amp;VLOOKUP($I577,'Pricing Table - eff 27-Jan-2026'!$A:$R,5,FALSE)</f>
        <v>2MM 49" x 96" ACP</v>
      </c>
      <c r="L577" s="55">
        <f>VLOOKUP($I577,'Pricing Table - eff 27-Jan-2026'!$A:$K,8,FALSE)</f>
        <v>1245</v>
      </c>
      <c r="M577" s="55">
        <f>VLOOKUP($I577,'Pricing Table - eff 27-Jan-2026'!$A:$K,10,FALSE)</f>
        <v>2440</v>
      </c>
      <c r="N577" s="55" t="str">
        <f>VLOOKUP($I577,'Pricing Table - eff 27-Jan-2026'!$A:$R,13,FALSE)&amp;" "&amp;VLOOKUP($I577,'Pricing Table - eff 27-Jan-2026'!$A:$R,12,FALSE)</f>
        <v>ASC 0089 VICTORY RED</v>
      </c>
      <c r="O577" s="56">
        <v>13.067</v>
      </c>
      <c r="P577" s="55">
        <f>(VLOOKUP($I577,'Pricing Table - eff 27-Jan-2026'!$A:$R,8,FALSE)/1000)*(VLOOKUP($I577,'Pricing Table - eff 27-Jan-2026'!$A:$R,10,FALSE)/1000)*Q577</f>
        <v>1215.1200000000001</v>
      </c>
      <c r="Q577" s="55">
        <f>ROUND(('Order Details'!$O577*1000)/((VLOOKUP($I577,'Pricing Table - eff 27-Jan-2026'!$A:$Q,7,FALSE)/12)*(VLOOKUP($I577,'Pricing Table - eff 27-Jan-2026'!$A:$Q,9,FALSE)/12))/5,0)*5</f>
        <v>400</v>
      </c>
      <c r="R577" s="71">
        <f>$Q577/IFERROR(VLOOKUP($F577&amp;RIGHT($K577,8),'Master Data'!$O$5:$P$10,2,FALSE),'Master Data'!$P$4)</f>
        <v>2</v>
      </c>
      <c r="S577" s="57">
        <f>VLOOKUP($I577,'Pricing Table - eff 27-Jan-2026'!$A:$Q,16,FALSE)</f>
        <v>720</v>
      </c>
      <c r="T577" s="57">
        <f>VLOOKUP(I577,'Pricing Table - eff 27-Jan-2026'!$A:$O,15,FALSE)</f>
        <v>7.73</v>
      </c>
      <c r="U577" s="57">
        <f t="shared" si="27"/>
        <v>9408.24</v>
      </c>
      <c r="V577" s="111">
        <f t="shared" si="28"/>
        <v>9392.8776000000016</v>
      </c>
      <c r="W577" s="55">
        <f>VLOOKUP($I577,'Pricing Table - eff 27-Jan-2026'!$A:$R,18,FALSE)</f>
        <v>45</v>
      </c>
    </row>
    <row r="578" spans="1:23" ht="15" hidden="1" thickTop="1" x14ac:dyDescent="0.3">
      <c r="A578" s="55">
        <v>53016435</v>
      </c>
      <c r="B578" s="55">
        <v>0</v>
      </c>
      <c r="C578" s="55" t="str">
        <f>VLOOKUP(A578&amp;"-"&amp;B578,'Order Summary'!$D:$E,2,FALSE)</f>
        <v>PO Received</v>
      </c>
      <c r="D578" s="216">
        <f>IF($A578="","",VLOOKUP($A578&amp;"-"&amp;$B578,'Order Summary'!$D:$U,3,FALSE))</f>
        <v>46099</v>
      </c>
      <c r="E578" s="55" t="str">
        <f>VLOOKUP(A578&amp;"-"&amp;B578,'Order Summary'!$D:$G,4,FALSE)</f>
        <v>Yes</v>
      </c>
      <c r="F578" s="55" t="str">
        <f>VLOOKUP($A578,'Order Summary'!$B:$I,8,FALSE)</f>
        <v>Hillsboro, TX</v>
      </c>
      <c r="G578" s="216" t="str">
        <f>IF($A578="","",VLOOKUP($A578&amp;"-"&amp;$B578,'Order Summary'!$D:$U,18,FALSE))</f>
        <v/>
      </c>
      <c r="H578" s="55">
        <v>1</v>
      </c>
      <c r="I578" s="55">
        <v>694434</v>
      </c>
      <c r="J578" s="55" t="str">
        <f>VLOOKUP($I578,'Pricing Table - eff 27-Jan-2026'!$A:$R,2,FALSE)</f>
        <v>G1S 694434</v>
      </c>
      <c r="K578" s="55" t="str">
        <f>VLOOKUP($I578,'Pricing Table - eff 27-Jan-2026'!$A:$R,6,FALSE)&amp;" "&amp;VLOOKUP($I578,'Pricing Table - eff 27-Jan-2026'!$A:$R,7,FALSE)&amp;""" x "&amp;VLOOKUP($I578,'Pricing Table - eff 27-Jan-2026'!$A:$R,9,FALSE)&amp;""" "&amp;VLOOKUP($I578,'Pricing Table - eff 27-Jan-2026'!$A:$R,5,FALSE)</f>
        <v>2MM 49" x 144" ACP</v>
      </c>
      <c r="L578" s="55">
        <f>VLOOKUP($I578,'Pricing Table - eff 27-Jan-2026'!$A:$K,8,FALSE)</f>
        <v>1245</v>
      </c>
      <c r="M578" s="55">
        <f>VLOOKUP($I578,'Pricing Table - eff 27-Jan-2026'!$A:$K,10,FALSE)</f>
        <v>3658</v>
      </c>
      <c r="N578" s="55" t="str">
        <f>VLOOKUP($I578,'Pricing Table - eff 27-Jan-2026'!$A:$R,13,FALSE)&amp;" "&amp;VLOOKUP($I578,'Pricing Table - eff 27-Jan-2026'!$A:$R,12,FALSE)</f>
        <v>ASC 0096 GLOSSY BLACK</v>
      </c>
      <c r="O578" s="56">
        <v>19.600000000000001</v>
      </c>
      <c r="P578" s="55">
        <f>(VLOOKUP($I578,'Pricing Table - eff 27-Jan-2026'!$A:$R,8,FALSE)/1000)*(VLOOKUP($I578,'Pricing Table - eff 27-Jan-2026'!$A:$R,10,FALSE)/1000)*Q578</f>
        <v>1821.6840000000002</v>
      </c>
      <c r="Q578" s="55">
        <f>ROUND(('Order Details'!$O578*1000)/((VLOOKUP($I578,'Pricing Table - eff 27-Jan-2026'!$A:$Q,7,FALSE)/12)*(VLOOKUP($I578,'Pricing Table - eff 27-Jan-2026'!$A:$Q,9,FALSE)/12))/5,0)*5</f>
        <v>400</v>
      </c>
      <c r="R578" s="71">
        <f>$Q578/IFERROR(VLOOKUP($F578&amp;RIGHT($K578,8),'Master Data'!$O$5:$P$10,2,FALSE),'Master Data'!$P$4)</f>
        <v>2</v>
      </c>
      <c r="S578" s="57">
        <f>VLOOKUP($I578,'Pricing Table - eff 27-Jan-2026'!$A:$Q,16,FALSE)</f>
        <v>720</v>
      </c>
      <c r="T578" s="57">
        <f>VLOOKUP(I578,'Pricing Table - eff 27-Jan-2026'!$A:$O,15,FALSE)</f>
        <v>7.73</v>
      </c>
      <c r="U578" s="57">
        <f t="shared" si="27"/>
        <v>14112.000000000002</v>
      </c>
      <c r="V578" s="111">
        <f t="shared" si="28"/>
        <v>14081.617320000003</v>
      </c>
      <c r="W578" s="55">
        <f>VLOOKUP($I578,'Pricing Table - eff 27-Jan-2026'!$A:$R,18,FALSE)</f>
        <v>45</v>
      </c>
    </row>
    <row r="579" spans="1:23" ht="15" hidden="1" thickTop="1" x14ac:dyDescent="0.3">
      <c r="A579" s="55">
        <v>53016435</v>
      </c>
      <c r="B579" s="55">
        <v>0</v>
      </c>
      <c r="C579" s="55" t="str">
        <f>VLOOKUP(A579&amp;"-"&amp;B579,'Order Summary'!$D:$E,2,FALSE)</f>
        <v>PO Received</v>
      </c>
      <c r="D579" s="216">
        <f>IF($A579="","",VLOOKUP($A579&amp;"-"&amp;$B579,'Order Summary'!$D:$U,3,FALSE))</f>
        <v>46099</v>
      </c>
      <c r="E579" s="55" t="str">
        <f>VLOOKUP(A579&amp;"-"&amp;B579,'Order Summary'!$D:$G,4,FALSE)</f>
        <v>Yes</v>
      </c>
      <c r="F579" s="55" t="str">
        <f>VLOOKUP($A579,'Order Summary'!$B:$I,8,FALSE)</f>
        <v>Hillsboro, TX</v>
      </c>
      <c r="G579" s="216" t="str">
        <f>IF($A579="","",VLOOKUP($A579&amp;"-"&amp;$B579,'Order Summary'!$D:$U,18,FALSE))</f>
        <v/>
      </c>
      <c r="H579" s="55">
        <v>2</v>
      </c>
      <c r="I579" s="55">
        <v>694436</v>
      </c>
      <c r="J579" s="55" t="str">
        <f>VLOOKUP($I579,'Pricing Table - eff 27-Jan-2026'!$A:$R,2,FALSE)</f>
        <v>G1S 694436</v>
      </c>
      <c r="K579" s="55" t="str">
        <f>VLOOKUP($I579,'Pricing Table - eff 27-Jan-2026'!$A:$R,6,FALSE)&amp;" "&amp;VLOOKUP($I579,'Pricing Table - eff 27-Jan-2026'!$A:$R,7,FALSE)&amp;""" x "&amp;VLOOKUP($I579,'Pricing Table - eff 27-Jan-2026'!$A:$R,9,FALSE)&amp;""" "&amp;VLOOKUP($I579,'Pricing Table - eff 27-Jan-2026'!$A:$R,5,FALSE)</f>
        <v>2MM 49" x 96" ACP</v>
      </c>
      <c r="L579" s="55">
        <f>VLOOKUP($I579,'Pricing Table - eff 27-Jan-2026'!$A:$K,8,FALSE)</f>
        <v>1245</v>
      </c>
      <c r="M579" s="55">
        <f>VLOOKUP($I579,'Pricing Table - eff 27-Jan-2026'!$A:$K,10,FALSE)</f>
        <v>2440</v>
      </c>
      <c r="N579" s="55" t="str">
        <f>VLOOKUP($I579,'Pricing Table - eff 27-Jan-2026'!$A:$R,13,FALSE)&amp;" "&amp;VLOOKUP($I579,'Pricing Table - eff 27-Jan-2026'!$A:$R,12,FALSE)</f>
        <v>ASC 0069 GLOSSY WHITE</v>
      </c>
      <c r="O579" s="56">
        <v>13.067</v>
      </c>
      <c r="P579" s="55">
        <f>(VLOOKUP($I579,'Pricing Table - eff 27-Jan-2026'!$A:$R,8,FALSE)/1000)*(VLOOKUP($I579,'Pricing Table - eff 27-Jan-2026'!$A:$R,10,FALSE)/1000)*Q579</f>
        <v>1215.1200000000001</v>
      </c>
      <c r="Q579" s="55">
        <f>ROUND(('Order Details'!$O579*1000)/((VLOOKUP($I579,'Pricing Table - eff 27-Jan-2026'!$A:$Q,7,FALSE)/12)*(VLOOKUP($I579,'Pricing Table - eff 27-Jan-2026'!$A:$Q,9,FALSE)/12))/5,0)*5</f>
        <v>400</v>
      </c>
      <c r="R579" s="71">
        <f>$Q579/IFERROR(VLOOKUP($F579&amp;RIGHT($K579,8),'Master Data'!$O$5:$P$10,2,FALSE),'Master Data'!$P$4)</f>
        <v>2</v>
      </c>
      <c r="S579" s="57">
        <f>VLOOKUP($I579,'Pricing Table - eff 27-Jan-2026'!$A:$Q,16,FALSE)</f>
        <v>720</v>
      </c>
      <c r="T579" s="57">
        <f>VLOOKUP(I579,'Pricing Table - eff 27-Jan-2026'!$A:$O,15,FALSE)</f>
        <v>7.73</v>
      </c>
      <c r="U579" s="57">
        <f t="shared" si="27"/>
        <v>9408.24</v>
      </c>
      <c r="V579" s="111">
        <f t="shared" si="28"/>
        <v>9392.8776000000016</v>
      </c>
      <c r="W579" s="55">
        <f>VLOOKUP($I579,'Pricing Table - eff 27-Jan-2026'!$A:$R,18,FALSE)</f>
        <v>45</v>
      </c>
    </row>
    <row r="580" spans="1:23" ht="15" hidden="1" thickTop="1" x14ac:dyDescent="0.3">
      <c r="A580" s="55">
        <v>53016435</v>
      </c>
      <c r="B580" s="55">
        <v>0</v>
      </c>
      <c r="C580" s="55" t="str">
        <f>VLOOKUP(A580&amp;"-"&amp;B580,'Order Summary'!$D:$E,2,FALSE)</f>
        <v>PO Received</v>
      </c>
      <c r="D580" s="216">
        <f>IF($A580="","",VLOOKUP($A580&amp;"-"&amp;$B580,'Order Summary'!$D:$U,3,FALSE))</f>
        <v>46099</v>
      </c>
      <c r="E580" s="55" t="str">
        <f>VLOOKUP(A580&amp;"-"&amp;B580,'Order Summary'!$D:$G,4,FALSE)</f>
        <v>Yes</v>
      </c>
      <c r="F580" s="55" t="str">
        <f>VLOOKUP($A580,'Order Summary'!$B:$I,8,FALSE)</f>
        <v>Hillsboro, TX</v>
      </c>
      <c r="G580" s="216" t="str">
        <f>IF($A580="","",VLOOKUP($A580&amp;"-"&amp;$B580,'Order Summary'!$D:$U,18,FALSE))</f>
        <v/>
      </c>
      <c r="H580" s="55">
        <v>3</v>
      </c>
      <c r="I580" s="55">
        <v>694438</v>
      </c>
      <c r="J580" s="55" t="str">
        <f>VLOOKUP($I580,'Pricing Table - eff 27-Jan-2026'!$A:$R,2,FALSE)</f>
        <v>G1S 694438</v>
      </c>
      <c r="K580" s="55" t="str">
        <f>VLOOKUP($I580,'Pricing Table - eff 27-Jan-2026'!$A:$R,6,FALSE)&amp;" "&amp;VLOOKUP($I580,'Pricing Table - eff 27-Jan-2026'!$A:$R,7,FALSE)&amp;""" x "&amp;VLOOKUP($I580,'Pricing Table - eff 27-Jan-2026'!$A:$R,9,FALSE)&amp;""" "&amp;VLOOKUP($I580,'Pricing Table - eff 27-Jan-2026'!$A:$R,5,FALSE)</f>
        <v>2MM 49" x 144" ACP</v>
      </c>
      <c r="L580" s="55">
        <f>VLOOKUP($I580,'Pricing Table - eff 27-Jan-2026'!$A:$K,8,FALSE)</f>
        <v>1245</v>
      </c>
      <c r="M580" s="55">
        <f>VLOOKUP($I580,'Pricing Table - eff 27-Jan-2026'!$A:$K,10,FALSE)</f>
        <v>3658</v>
      </c>
      <c r="N580" s="55" t="str">
        <f>VLOOKUP($I580,'Pricing Table - eff 27-Jan-2026'!$A:$R,13,FALSE)&amp;" "&amp;VLOOKUP($I580,'Pricing Table - eff 27-Jan-2026'!$A:$R,12,FALSE)</f>
        <v>ASC 0069 GLOSSY WHITE</v>
      </c>
      <c r="O580" s="56">
        <v>19.600000000000001</v>
      </c>
      <c r="P580" s="55">
        <f>(VLOOKUP($I580,'Pricing Table - eff 27-Jan-2026'!$A:$R,8,FALSE)/1000)*(VLOOKUP($I580,'Pricing Table - eff 27-Jan-2026'!$A:$R,10,FALSE)/1000)*Q580</f>
        <v>1821.6840000000002</v>
      </c>
      <c r="Q580" s="55">
        <f>ROUND(('Order Details'!$O580*1000)/((VLOOKUP($I580,'Pricing Table - eff 27-Jan-2026'!$A:$Q,7,FALSE)/12)*(VLOOKUP($I580,'Pricing Table - eff 27-Jan-2026'!$A:$Q,9,FALSE)/12))/5,0)*5</f>
        <v>400</v>
      </c>
      <c r="R580" s="71">
        <f>$Q580/IFERROR(VLOOKUP($F580&amp;RIGHT($K580,8),'Master Data'!$O$5:$P$10,2,FALSE),'Master Data'!$P$4)</f>
        <v>2</v>
      </c>
      <c r="S580" s="57">
        <f>VLOOKUP($I580,'Pricing Table - eff 27-Jan-2026'!$A:$Q,16,FALSE)</f>
        <v>720</v>
      </c>
      <c r="T580" s="57">
        <f>VLOOKUP(I580,'Pricing Table - eff 27-Jan-2026'!$A:$O,15,FALSE)</f>
        <v>7.73</v>
      </c>
      <c r="U580" s="57">
        <f t="shared" si="27"/>
        <v>14112.000000000002</v>
      </c>
      <c r="V580" s="111">
        <f t="shared" si="28"/>
        <v>14081.617320000003</v>
      </c>
      <c r="W580" s="55">
        <f>VLOOKUP($I580,'Pricing Table - eff 27-Jan-2026'!$A:$R,18,FALSE)</f>
        <v>45</v>
      </c>
    </row>
    <row r="581" spans="1:23" ht="15" hidden="1" thickTop="1" x14ac:dyDescent="0.3">
      <c r="A581" s="55">
        <v>53016435</v>
      </c>
      <c r="B581" s="55">
        <v>0</v>
      </c>
      <c r="C581" s="55" t="str">
        <f>VLOOKUP(A581&amp;"-"&amp;B581,'Order Summary'!$D:$E,2,FALSE)</f>
        <v>PO Received</v>
      </c>
      <c r="D581" s="216">
        <f>IF($A581="","",VLOOKUP($A581&amp;"-"&amp;$B581,'Order Summary'!$D:$U,3,FALSE))</f>
        <v>46099</v>
      </c>
      <c r="E581" s="55" t="str">
        <f>VLOOKUP(A581&amp;"-"&amp;B581,'Order Summary'!$D:$G,4,FALSE)</f>
        <v>Yes</v>
      </c>
      <c r="F581" s="55" t="str">
        <f>VLOOKUP($A581,'Order Summary'!$B:$I,8,FALSE)</f>
        <v>Hillsboro, TX</v>
      </c>
      <c r="G581" s="216" t="str">
        <f>IF($A581="","",VLOOKUP($A581&amp;"-"&amp;$B581,'Order Summary'!$D:$U,18,FALSE))</f>
        <v/>
      </c>
      <c r="H581" s="55">
        <v>4</v>
      </c>
      <c r="I581" s="55">
        <v>694442</v>
      </c>
      <c r="J581" s="55" t="str">
        <f>VLOOKUP($I581,'Pricing Table - eff 27-Jan-2026'!$A:$R,2,FALSE)</f>
        <v>G1S 694442</v>
      </c>
      <c r="K581" s="55" t="str">
        <f>VLOOKUP($I581,'Pricing Table - eff 27-Jan-2026'!$A:$R,6,FALSE)&amp;" "&amp;VLOOKUP($I581,'Pricing Table - eff 27-Jan-2026'!$A:$R,7,FALSE)&amp;""" x "&amp;VLOOKUP($I581,'Pricing Table - eff 27-Jan-2026'!$A:$R,9,FALSE)&amp;""" "&amp;VLOOKUP($I581,'Pricing Table - eff 27-Jan-2026'!$A:$R,5,FALSE)</f>
        <v>2MM 49" x 144" ACP</v>
      </c>
      <c r="L581" s="55">
        <f>VLOOKUP($I581,'Pricing Table - eff 27-Jan-2026'!$A:$K,8,FALSE)</f>
        <v>1245</v>
      </c>
      <c r="M581" s="55">
        <f>VLOOKUP($I581,'Pricing Table - eff 27-Jan-2026'!$A:$K,10,FALSE)</f>
        <v>3658</v>
      </c>
      <c r="N581" s="55" t="str">
        <f>VLOOKUP($I581,'Pricing Table - eff 27-Jan-2026'!$A:$R,13,FALSE)&amp;" "&amp;VLOOKUP($I581,'Pricing Table - eff 27-Jan-2026'!$A:$R,12,FALSE)</f>
        <v>AMC 0103 SILVER FROST</v>
      </c>
      <c r="O581" s="56">
        <v>19.600000000000001</v>
      </c>
      <c r="P581" s="55">
        <f>(VLOOKUP($I581,'Pricing Table - eff 27-Jan-2026'!$A:$R,8,FALSE)/1000)*(VLOOKUP($I581,'Pricing Table - eff 27-Jan-2026'!$A:$R,10,FALSE)/1000)*Q581</f>
        <v>1821.6840000000002</v>
      </c>
      <c r="Q581" s="55">
        <f>ROUND(('Order Details'!$O581*1000)/((VLOOKUP($I581,'Pricing Table - eff 27-Jan-2026'!$A:$Q,7,FALSE)/12)*(VLOOKUP($I581,'Pricing Table - eff 27-Jan-2026'!$A:$Q,9,FALSE)/12))/5,0)*5</f>
        <v>400</v>
      </c>
      <c r="R581" s="71">
        <f>$Q581/IFERROR(VLOOKUP($F581&amp;RIGHT($K581,8),'Master Data'!$O$5:$P$10,2,FALSE),'Master Data'!$P$4)</f>
        <v>2</v>
      </c>
      <c r="S581" s="57">
        <f>VLOOKUP($I581,'Pricing Table - eff 27-Jan-2026'!$A:$Q,16,FALSE)</f>
        <v>720</v>
      </c>
      <c r="T581" s="57">
        <f>VLOOKUP(I581,'Pricing Table - eff 27-Jan-2026'!$A:$O,15,FALSE)</f>
        <v>7.73</v>
      </c>
      <c r="U581" s="57">
        <f t="shared" si="27"/>
        <v>14112.000000000002</v>
      </c>
      <c r="V581" s="111">
        <f t="shared" si="28"/>
        <v>14081.617320000003</v>
      </c>
      <c r="W581" s="55">
        <f>VLOOKUP($I581,'Pricing Table - eff 27-Jan-2026'!$A:$R,18,FALSE)</f>
        <v>90</v>
      </c>
    </row>
    <row r="582" spans="1:23" ht="15" hidden="1" thickTop="1" x14ac:dyDescent="0.3">
      <c r="A582" s="55">
        <v>53016435</v>
      </c>
      <c r="B582" s="55">
        <v>0</v>
      </c>
      <c r="C582" s="55" t="str">
        <f>VLOOKUP(A582&amp;"-"&amp;B582,'Order Summary'!$D:$E,2,FALSE)</f>
        <v>PO Received</v>
      </c>
      <c r="D582" s="216">
        <f>IF($A582="","",VLOOKUP($A582&amp;"-"&amp;$B582,'Order Summary'!$D:$U,3,FALSE))</f>
        <v>46099</v>
      </c>
      <c r="E582" s="55" t="str">
        <f>VLOOKUP(A582&amp;"-"&amp;B582,'Order Summary'!$D:$G,4,FALSE)</f>
        <v>Yes</v>
      </c>
      <c r="F582" s="55" t="str">
        <f>VLOOKUP($A582,'Order Summary'!$B:$I,8,FALSE)</f>
        <v>Hillsboro, TX</v>
      </c>
      <c r="G582" s="216" t="str">
        <f>IF($A582="","",VLOOKUP($A582&amp;"-"&amp;$B582,'Order Summary'!$D:$U,18,FALSE))</f>
        <v/>
      </c>
      <c r="H582" s="55">
        <v>5</v>
      </c>
      <c r="I582" s="55">
        <v>694673</v>
      </c>
      <c r="J582" s="55" t="str">
        <f>VLOOKUP($I582,'Pricing Table - eff 27-Jan-2026'!$A:$R,2,FALSE)</f>
        <v>G1S 694673</v>
      </c>
      <c r="K582" s="55" t="str">
        <f>VLOOKUP($I582,'Pricing Table - eff 27-Jan-2026'!$A:$R,6,FALSE)&amp;" "&amp;VLOOKUP($I582,'Pricing Table - eff 27-Jan-2026'!$A:$R,7,FALSE)&amp;""" x "&amp;VLOOKUP($I582,'Pricing Table - eff 27-Jan-2026'!$A:$R,9,FALSE)&amp;""" "&amp;VLOOKUP($I582,'Pricing Table - eff 27-Jan-2026'!$A:$R,5,FALSE)</f>
        <v>2MM 49" x 108" ACP</v>
      </c>
      <c r="L582" s="55">
        <f>VLOOKUP($I582,'Pricing Table - eff 27-Jan-2026'!$A:$K,8,FALSE)</f>
        <v>1245</v>
      </c>
      <c r="M582" s="55">
        <f>VLOOKUP($I582,'Pricing Table - eff 27-Jan-2026'!$A:$K,10,FALSE)</f>
        <v>2745</v>
      </c>
      <c r="N582" s="55" t="str">
        <f>VLOOKUP($I582,'Pricing Table - eff 27-Jan-2026'!$A:$R,13,FALSE)&amp;" "&amp;VLOOKUP($I582,'Pricing Table - eff 27-Jan-2026'!$A:$R,12,FALSE)</f>
        <v>ASC 0089 VICTORY RED</v>
      </c>
      <c r="O582" s="56">
        <v>7.35</v>
      </c>
      <c r="P582" s="55">
        <f>(VLOOKUP($I582,'Pricing Table - eff 27-Jan-2026'!$A:$R,8,FALSE)/1000)*(VLOOKUP($I582,'Pricing Table - eff 27-Jan-2026'!$A:$R,10,FALSE)/1000)*Q582</f>
        <v>683.50500000000011</v>
      </c>
      <c r="Q582" s="55">
        <f>ROUND(('Order Details'!$O582*1000)/((VLOOKUP($I582,'Pricing Table - eff 27-Jan-2026'!$A:$Q,7,FALSE)/12)*(VLOOKUP($I582,'Pricing Table - eff 27-Jan-2026'!$A:$Q,9,FALSE)/12))/5,0)*5</f>
        <v>200</v>
      </c>
      <c r="R582" s="71">
        <f>$Q582/IFERROR(VLOOKUP($F582&amp;RIGHT($K582,8),'Master Data'!$O$5:$P$10,2,FALSE),'Master Data'!$P$4)</f>
        <v>1</v>
      </c>
      <c r="S582" s="57">
        <f>VLOOKUP($I582,'Pricing Table - eff 27-Jan-2026'!$A:$Q,16,FALSE)</f>
        <v>720</v>
      </c>
      <c r="T582" s="57">
        <f>VLOOKUP(I582,'Pricing Table - eff 27-Jan-2026'!$A:$O,15,FALSE)</f>
        <v>7.73</v>
      </c>
      <c r="U582" s="57">
        <f t="shared" si="27"/>
        <v>5292</v>
      </c>
      <c r="V582" s="111">
        <f t="shared" si="28"/>
        <v>5283.4936500000013</v>
      </c>
      <c r="W582" s="55">
        <f>VLOOKUP($I582,'Pricing Table - eff 27-Jan-2026'!$A:$R,18,FALSE)</f>
        <v>45</v>
      </c>
    </row>
    <row r="583" spans="1:23" ht="15" hidden="1" thickTop="1" x14ac:dyDescent="0.3">
      <c r="A583" s="55">
        <v>24233947</v>
      </c>
      <c r="B583" s="55">
        <v>0</v>
      </c>
      <c r="C583" s="55" t="str">
        <f>VLOOKUP(A583&amp;"-"&amp;B583,'Order Summary'!$D:$E,2,FALSE)</f>
        <v>PO Received</v>
      </c>
      <c r="D583" s="216">
        <f>IF($A583="","",VLOOKUP($A583&amp;"-"&amp;$B583,'Order Summary'!$D:$U,3,FALSE))</f>
        <v>46106</v>
      </c>
      <c r="E583" s="55" t="str">
        <f>VLOOKUP(A583&amp;"-"&amp;B583,'Order Summary'!$D:$G,4,FALSE)</f>
        <v>Yes</v>
      </c>
      <c r="F583" s="55" t="str">
        <f>VLOOKUP($A583,'Order Summary'!$B:$I,8,FALSE)</f>
        <v>Gordon, PA</v>
      </c>
      <c r="G583" s="216" t="str">
        <f>IF($A583="","",VLOOKUP($A583&amp;"-"&amp;$B583,'Order Summary'!$D:$U,18,FALSE))</f>
        <v/>
      </c>
      <c r="H583" s="55">
        <v>1</v>
      </c>
      <c r="I583" s="55">
        <v>709354</v>
      </c>
      <c r="J583" s="55" t="str">
        <f>VLOOKUP($I583,'Pricing Table - eff 27-Jan-2026'!$A:$R,2,FALSE)</f>
        <v>G1S 709354</v>
      </c>
      <c r="K583" s="55" t="str">
        <f>VLOOKUP($I583,'Pricing Table - eff 27-Jan-2026'!$A:$R,6,FALSE)&amp;" "&amp;VLOOKUP($I583,'Pricing Table - eff 27-Jan-2026'!$A:$R,7,FALSE)&amp;""" x "&amp;VLOOKUP($I583,'Pricing Table - eff 27-Jan-2026'!$A:$R,9,FALSE)&amp;""" "&amp;VLOOKUP($I583,'Pricing Table - eff 27-Jan-2026'!$A:$R,5,FALSE)</f>
        <v>2MM 49" x 90.5" ACP</v>
      </c>
      <c r="L583" s="55">
        <f>VLOOKUP($I583,'Pricing Table - eff 27-Jan-2026'!$A:$K,8,FALSE)</f>
        <v>1245</v>
      </c>
      <c r="M583" s="55">
        <f>VLOOKUP($I583,'Pricing Table - eff 27-Jan-2026'!$A:$K,10,FALSE)</f>
        <v>2300</v>
      </c>
      <c r="N583" s="55" t="str">
        <f>VLOOKUP($I583,'Pricing Table - eff 27-Jan-2026'!$A:$R,13,FALSE)&amp;" "&amp;VLOOKUP($I583,'Pricing Table - eff 27-Jan-2026'!$A:$R,12,FALSE)</f>
        <v>ASC 0096 GLOSSY BLACK</v>
      </c>
      <c r="O583" s="56">
        <v>24.635999999999999</v>
      </c>
      <c r="P583" s="55">
        <f>(VLOOKUP($I583,'Pricing Table - eff 27-Jan-2026'!$A:$R,8,FALSE)/1000)*(VLOOKUP($I583,'Pricing Table - eff 27-Jan-2026'!$A:$R,10,FALSE)/1000)*Q583</f>
        <v>2290.8000000000002</v>
      </c>
      <c r="Q583" s="55">
        <f>ROUND(('Order Details'!$O583*1000)/((VLOOKUP($I583,'Pricing Table - eff 27-Jan-2026'!$A:$Q,7,FALSE)/12)*(VLOOKUP($I583,'Pricing Table - eff 27-Jan-2026'!$A:$Q,9,FALSE)/12))/5,0)*5</f>
        <v>800</v>
      </c>
      <c r="R583" s="71">
        <f>$Q583/IFERROR(VLOOKUP($F583&amp;RIGHT($K583,8),'Master Data'!$O$5:$P$10,2,FALSE),'Master Data'!$P$4)</f>
        <v>4</v>
      </c>
      <c r="S583" s="57">
        <f>VLOOKUP($I583,'Pricing Table - eff 27-Jan-2026'!$A:$Q,16,FALSE)</f>
        <v>720</v>
      </c>
      <c r="T583" s="57">
        <f>VLOOKUP(I583,'Pricing Table - eff 27-Jan-2026'!$A:$O,15,FALSE)</f>
        <v>7.73</v>
      </c>
      <c r="U583" s="57">
        <f t="shared" si="27"/>
        <v>17737.919999999998</v>
      </c>
      <c r="V583" s="111">
        <f t="shared" si="28"/>
        <v>17707.884000000002</v>
      </c>
      <c r="W583" s="55">
        <f>VLOOKUP($I583,'Pricing Table - eff 27-Jan-2026'!$A:$R,18,FALSE)</f>
        <v>45</v>
      </c>
    </row>
    <row r="584" spans="1:23" ht="15" hidden="1" thickTop="1" x14ac:dyDescent="0.3">
      <c r="A584" s="55">
        <v>24233947</v>
      </c>
      <c r="B584" s="55">
        <v>0</v>
      </c>
      <c r="C584" s="55" t="str">
        <f>VLOOKUP(A584&amp;"-"&amp;B584,'Order Summary'!$D:$E,2,FALSE)</f>
        <v>PO Received</v>
      </c>
      <c r="D584" s="216">
        <f>IF($A584="","",VLOOKUP($A584&amp;"-"&amp;$B584,'Order Summary'!$D:$U,3,FALSE))</f>
        <v>46106</v>
      </c>
      <c r="E584" s="55" t="str">
        <f>VLOOKUP(A584&amp;"-"&amp;B584,'Order Summary'!$D:$G,4,FALSE)</f>
        <v>Yes</v>
      </c>
      <c r="F584" s="55" t="str">
        <f>VLOOKUP($A584,'Order Summary'!$B:$I,8,FALSE)</f>
        <v>Gordon, PA</v>
      </c>
      <c r="G584" s="216" t="str">
        <f>IF($A584="","",VLOOKUP($A584&amp;"-"&amp;$B584,'Order Summary'!$D:$U,18,FALSE))</f>
        <v/>
      </c>
      <c r="H584" s="55">
        <v>2</v>
      </c>
      <c r="I584" s="55">
        <v>709355</v>
      </c>
      <c r="J584" s="55" t="str">
        <f>VLOOKUP($I584,'Pricing Table - eff 27-Jan-2026'!$A:$R,2,FALSE)</f>
        <v>G1S 709355</v>
      </c>
      <c r="K584" s="55" t="str">
        <f>VLOOKUP($I584,'Pricing Table - eff 27-Jan-2026'!$A:$R,6,FALSE)&amp;" "&amp;VLOOKUP($I584,'Pricing Table - eff 27-Jan-2026'!$A:$R,7,FALSE)&amp;""" x "&amp;VLOOKUP($I584,'Pricing Table - eff 27-Jan-2026'!$A:$R,9,FALSE)&amp;""" "&amp;VLOOKUP($I584,'Pricing Table - eff 27-Jan-2026'!$A:$R,5,FALSE)</f>
        <v>2MM 49" x 90.5" ACP</v>
      </c>
      <c r="L584" s="55">
        <f>VLOOKUP($I584,'Pricing Table - eff 27-Jan-2026'!$A:$K,8,FALSE)</f>
        <v>1245</v>
      </c>
      <c r="M584" s="55">
        <f>VLOOKUP($I584,'Pricing Table - eff 27-Jan-2026'!$A:$K,10,FALSE)</f>
        <v>2300</v>
      </c>
      <c r="N584" s="55" t="str">
        <f>VLOOKUP($I584,'Pricing Table - eff 27-Jan-2026'!$A:$R,13,FALSE)&amp;" "&amp;VLOOKUP($I584,'Pricing Table - eff 27-Jan-2026'!$A:$R,12,FALSE)</f>
        <v>ASC 0069 GLOSSY WHITE</v>
      </c>
      <c r="O584" s="56">
        <v>24.635999999999999</v>
      </c>
      <c r="P584" s="55">
        <f>(VLOOKUP($I584,'Pricing Table - eff 27-Jan-2026'!$A:$R,8,FALSE)/1000)*(VLOOKUP($I584,'Pricing Table - eff 27-Jan-2026'!$A:$R,10,FALSE)/1000)*Q584</f>
        <v>2290.8000000000002</v>
      </c>
      <c r="Q584" s="55">
        <f>ROUND(('Order Details'!$O584*1000)/((VLOOKUP($I584,'Pricing Table - eff 27-Jan-2026'!$A:$Q,7,FALSE)/12)*(VLOOKUP($I584,'Pricing Table - eff 27-Jan-2026'!$A:$Q,9,FALSE)/12))/5,0)*5</f>
        <v>800</v>
      </c>
      <c r="R584" s="71">
        <f>$Q584/IFERROR(VLOOKUP($F584&amp;RIGHT($K584,8),'Master Data'!$O$5:$P$10,2,FALSE),'Master Data'!$P$4)</f>
        <v>4</v>
      </c>
      <c r="S584" s="57">
        <f>VLOOKUP($I584,'Pricing Table - eff 27-Jan-2026'!$A:$Q,16,FALSE)</f>
        <v>720</v>
      </c>
      <c r="T584" s="57">
        <f>VLOOKUP(I584,'Pricing Table - eff 27-Jan-2026'!$A:$O,15,FALSE)</f>
        <v>7.73</v>
      </c>
      <c r="U584" s="57">
        <f t="shared" si="27"/>
        <v>17737.919999999998</v>
      </c>
      <c r="V584" s="111">
        <f t="shared" si="28"/>
        <v>17707.884000000002</v>
      </c>
      <c r="W584" s="55">
        <f>VLOOKUP($I584,'Pricing Table - eff 27-Jan-2026'!$A:$R,18,FALSE)</f>
        <v>45</v>
      </c>
    </row>
    <row r="585" spans="1:23" ht="15" hidden="1" thickTop="1" x14ac:dyDescent="0.3">
      <c r="A585" s="55">
        <v>24233947</v>
      </c>
      <c r="B585" s="55">
        <v>0</v>
      </c>
      <c r="C585" s="55" t="str">
        <f>VLOOKUP(A585&amp;"-"&amp;B585,'Order Summary'!$D:$E,2,FALSE)</f>
        <v>PO Received</v>
      </c>
      <c r="D585" s="216">
        <f>IF($A585="","",VLOOKUP($A585&amp;"-"&amp;$B585,'Order Summary'!$D:$U,3,FALSE))</f>
        <v>46106</v>
      </c>
      <c r="E585" s="55" t="str">
        <f>VLOOKUP(A585&amp;"-"&amp;B585,'Order Summary'!$D:$G,4,FALSE)</f>
        <v>Yes</v>
      </c>
      <c r="F585" s="55" t="str">
        <f>VLOOKUP($A585,'Order Summary'!$B:$I,8,FALSE)</f>
        <v>Gordon, PA</v>
      </c>
      <c r="G585" s="216" t="str">
        <f>IF($A585="","",VLOOKUP($A585&amp;"-"&amp;$B585,'Order Summary'!$D:$U,18,FALSE))</f>
        <v/>
      </c>
      <c r="H585" s="55">
        <v>3</v>
      </c>
      <c r="I585" s="55">
        <v>709525</v>
      </c>
      <c r="J585" s="55" t="str">
        <f>VLOOKUP($I585,'Pricing Table - eff 27-Jan-2026'!$A:$R,2,FALSE)</f>
        <v>G1S 709525</v>
      </c>
      <c r="K585" s="55" t="str">
        <f>VLOOKUP($I585,'Pricing Table - eff 27-Jan-2026'!$A:$R,6,FALSE)&amp;" "&amp;VLOOKUP($I585,'Pricing Table - eff 27-Jan-2026'!$A:$R,7,FALSE)&amp;""" x "&amp;VLOOKUP($I585,'Pricing Table - eff 27-Jan-2026'!$A:$R,9,FALSE)&amp;""" "&amp;VLOOKUP($I585,'Pricing Table - eff 27-Jan-2026'!$A:$R,5,FALSE)</f>
        <v>2MM 49" x 90.5" ACP</v>
      </c>
      <c r="L585" s="55">
        <f>VLOOKUP($I585,'Pricing Table - eff 27-Jan-2026'!$A:$K,8,FALSE)</f>
        <v>1245</v>
      </c>
      <c r="M585" s="55">
        <f>VLOOKUP($I585,'Pricing Table - eff 27-Jan-2026'!$A:$K,10,FALSE)</f>
        <v>2300</v>
      </c>
      <c r="N585" s="55" t="str">
        <f>VLOOKUP($I585,'Pricing Table - eff 27-Jan-2026'!$A:$R,13,FALSE)&amp;" "&amp;VLOOKUP($I585,'Pricing Table - eff 27-Jan-2026'!$A:$R,12,FALSE)</f>
        <v>AMC 0103 SILVER FROST</v>
      </c>
      <c r="O585" s="56">
        <v>18.477</v>
      </c>
      <c r="P585" s="55">
        <f>(VLOOKUP($I585,'Pricing Table - eff 27-Jan-2026'!$A:$R,8,FALSE)/1000)*(VLOOKUP($I585,'Pricing Table - eff 27-Jan-2026'!$A:$R,10,FALSE)/1000)*Q585</f>
        <v>1718.1000000000001</v>
      </c>
      <c r="Q585" s="55">
        <f>ROUND(('Order Details'!$O585*1000)/((VLOOKUP($I585,'Pricing Table - eff 27-Jan-2026'!$A:$Q,7,FALSE)/12)*(VLOOKUP($I585,'Pricing Table - eff 27-Jan-2026'!$A:$Q,9,FALSE)/12))/5,0)*5</f>
        <v>600</v>
      </c>
      <c r="R585" s="71">
        <f>$Q585/IFERROR(VLOOKUP($F585&amp;RIGHT($K585,8),'Master Data'!$O$5:$P$10,2,FALSE),'Master Data'!$P$4)</f>
        <v>3</v>
      </c>
      <c r="S585" s="57">
        <f>VLOOKUP($I585,'Pricing Table - eff 27-Jan-2026'!$A:$Q,16,FALSE)</f>
        <v>720</v>
      </c>
      <c r="T585" s="57">
        <f>VLOOKUP(I585,'Pricing Table - eff 27-Jan-2026'!$A:$O,15,FALSE)</f>
        <v>7.73</v>
      </c>
      <c r="U585" s="57">
        <f t="shared" si="27"/>
        <v>13303.44</v>
      </c>
      <c r="V585" s="111">
        <f t="shared" si="28"/>
        <v>13280.913000000002</v>
      </c>
      <c r="W585" s="55">
        <f>VLOOKUP($I585,'Pricing Table - eff 27-Jan-2026'!$A:$R,18,FALSE)</f>
        <v>90</v>
      </c>
    </row>
    <row r="586" spans="1:23" ht="15" hidden="1" thickTop="1" x14ac:dyDescent="0.3">
      <c r="A586" s="55">
        <v>24233947</v>
      </c>
      <c r="B586" s="55">
        <v>0</v>
      </c>
      <c r="C586" s="55" t="str">
        <f>VLOOKUP(A586&amp;"-"&amp;B586,'Order Summary'!$D:$E,2,FALSE)</f>
        <v>PO Received</v>
      </c>
      <c r="D586" s="216">
        <f>IF($A586="","",VLOOKUP($A586&amp;"-"&amp;$B586,'Order Summary'!$D:$U,3,FALSE))</f>
        <v>46106</v>
      </c>
      <c r="E586" s="55" t="str">
        <f>VLOOKUP(A586&amp;"-"&amp;B586,'Order Summary'!$D:$G,4,FALSE)</f>
        <v>Yes</v>
      </c>
      <c r="F586" s="55" t="str">
        <f>VLOOKUP($A586,'Order Summary'!$B:$I,8,FALSE)</f>
        <v>Gordon, PA</v>
      </c>
      <c r="G586" s="216" t="str">
        <f>IF($A586="","",VLOOKUP($A586&amp;"-"&amp;$B586,'Order Summary'!$D:$U,18,FALSE))</f>
        <v/>
      </c>
      <c r="H586" s="55">
        <v>4</v>
      </c>
      <c r="I586" s="55">
        <v>709356</v>
      </c>
      <c r="J586" s="55" t="str">
        <f>VLOOKUP($I586,'Pricing Table - eff 27-Jan-2026'!$A:$R,2,FALSE)</f>
        <v>G1S 709356</v>
      </c>
      <c r="K586" s="55" t="str">
        <f>VLOOKUP($I586,'Pricing Table - eff 27-Jan-2026'!$A:$R,6,FALSE)&amp;" "&amp;VLOOKUP($I586,'Pricing Table - eff 27-Jan-2026'!$A:$R,7,FALSE)&amp;""" x "&amp;VLOOKUP($I586,'Pricing Table - eff 27-Jan-2026'!$A:$R,9,FALSE)&amp;""" "&amp;VLOOKUP($I586,'Pricing Table - eff 27-Jan-2026'!$A:$R,5,FALSE)</f>
        <v>2MM 49" x 90.5" ACP</v>
      </c>
      <c r="L586" s="55">
        <f>VLOOKUP($I586,'Pricing Table - eff 27-Jan-2026'!$A:$K,8,FALSE)</f>
        <v>1245</v>
      </c>
      <c r="M586" s="55">
        <f>VLOOKUP($I586,'Pricing Table - eff 27-Jan-2026'!$A:$K,10,FALSE)</f>
        <v>2300</v>
      </c>
      <c r="N586" s="55" t="str">
        <f>VLOOKUP($I586,'Pricing Table - eff 27-Jan-2026'!$A:$R,13,FALSE)&amp;" "&amp;VLOOKUP($I586,'Pricing Table - eff 27-Jan-2026'!$A:$R,12,FALSE)</f>
        <v>AMC 0086 CHARCOAL METALLIC</v>
      </c>
      <c r="O586" s="56">
        <v>18.477</v>
      </c>
      <c r="P586" s="55">
        <f>(VLOOKUP($I586,'Pricing Table - eff 27-Jan-2026'!$A:$R,8,FALSE)/1000)*(VLOOKUP($I586,'Pricing Table - eff 27-Jan-2026'!$A:$R,10,FALSE)/1000)*Q586</f>
        <v>1718.1000000000001</v>
      </c>
      <c r="Q586" s="55">
        <f>ROUND(('Order Details'!$O586*1000)/((VLOOKUP($I586,'Pricing Table - eff 27-Jan-2026'!$A:$Q,7,FALSE)/12)*(VLOOKUP($I586,'Pricing Table - eff 27-Jan-2026'!$A:$Q,9,FALSE)/12))/5,0)*5</f>
        <v>600</v>
      </c>
      <c r="R586" s="71">
        <f>$Q586/IFERROR(VLOOKUP($F586&amp;RIGHT($K586,8),'Master Data'!$O$5:$P$10,2,FALSE),'Master Data'!$P$4)</f>
        <v>3</v>
      </c>
      <c r="S586" s="57">
        <f>VLOOKUP($I586,'Pricing Table - eff 27-Jan-2026'!$A:$Q,16,FALSE)</f>
        <v>770</v>
      </c>
      <c r="T586" s="57">
        <f>VLOOKUP(I586,'Pricing Table - eff 27-Jan-2026'!$A:$O,15,FALSE)</f>
        <v>8.27</v>
      </c>
      <c r="U586" s="57">
        <f t="shared" si="27"/>
        <v>14227.29</v>
      </c>
      <c r="V586" s="111">
        <f t="shared" si="28"/>
        <v>14208.687</v>
      </c>
      <c r="W586" s="55">
        <f>VLOOKUP($I586,'Pricing Table - eff 27-Jan-2026'!$A:$R,18,FALSE)</f>
        <v>45</v>
      </c>
    </row>
    <row r="587" spans="1:23" ht="15" hidden="1" thickTop="1" x14ac:dyDescent="0.3">
      <c r="A587" s="55">
        <v>52996151</v>
      </c>
      <c r="B587" s="55">
        <v>1</v>
      </c>
      <c r="C587" s="55" t="str">
        <f>VLOOKUP(A587&amp;"-"&amp;B587,'Order Summary'!$D:$E,2,FALSE)</f>
        <v>Balance Payment Received</v>
      </c>
      <c r="D587" s="216">
        <f>IF($A587="","",VLOOKUP($A587&amp;"-"&amp;$B587,'Order Summary'!$D:$U,3,FALSE))</f>
        <v>46056</v>
      </c>
      <c r="E587" s="55" t="str">
        <f>VLOOKUP(A587&amp;"-"&amp;B587,'Order Summary'!$D:$G,4,FALSE)</f>
        <v>Yes</v>
      </c>
      <c r="F587" s="55" t="str">
        <f>VLOOKUP($A587,'Order Summary'!$B:$I,8,FALSE)</f>
        <v>Nampa, ID</v>
      </c>
      <c r="G587" s="216">
        <f>IF($A587="","",VLOOKUP($A587&amp;"-"&amp;$B587,'Order Summary'!$D:$U,18,FALSE))</f>
        <v>46191</v>
      </c>
      <c r="H587" s="55">
        <v>1</v>
      </c>
      <c r="I587" s="55">
        <v>709355</v>
      </c>
      <c r="J587" s="55" t="str">
        <f>VLOOKUP($I587,'Pricing Table - eff 27-Jan-2026'!$A:$R,2,FALSE)</f>
        <v>G1S 709355</v>
      </c>
      <c r="K587" s="55" t="str">
        <f>VLOOKUP($I587,'Pricing Table - eff 27-Jan-2026'!$A:$R,6,FALSE)&amp;" "&amp;VLOOKUP($I587,'Pricing Table - eff 27-Jan-2026'!$A:$R,7,FALSE)&amp;""" x "&amp;VLOOKUP($I587,'Pricing Table - eff 27-Jan-2026'!$A:$R,9,FALSE)&amp;""" "&amp;VLOOKUP($I587,'Pricing Table - eff 27-Jan-2026'!$A:$R,5,FALSE)</f>
        <v>2MM 49" x 90.5" ACP</v>
      </c>
      <c r="L587" s="55">
        <f>VLOOKUP($I587,'Pricing Table - eff 27-Jan-2026'!$A:$K,8,FALSE)</f>
        <v>1245</v>
      </c>
      <c r="M587" s="55">
        <f>VLOOKUP($I587,'Pricing Table - eff 27-Jan-2026'!$A:$K,10,FALSE)</f>
        <v>2300</v>
      </c>
      <c r="N587" s="55" t="str">
        <f>VLOOKUP($I587,'Pricing Table - eff 27-Jan-2026'!$A:$R,13,FALSE)&amp;" "&amp;VLOOKUP($I587,'Pricing Table - eff 27-Jan-2026'!$A:$R,12,FALSE)</f>
        <v>ASC 0069 GLOSSY WHITE</v>
      </c>
      <c r="O587" s="56">
        <v>12.318</v>
      </c>
      <c r="P587" s="55">
        <f>(VLOOKUP($I587,'Pricing Table - eff 27-Jan-2026'!$A:$R,8,FALSE)/1000)*(VLOOKUP($I587,'Pricing Table - eff 27-Jan-2026'!$A:$R,10,FALSE)/1000)*Q587</f>
        <v>1145.4000000000001</v>
      </c>
      <c r="Q587" s="55">
        <f>ROUND(('Order Details'!$O587*1000)/((VLOOKUP($I587,'Pricing Table - eff 27-Jan-2026'!$A:$Q,7,FALSE)/12)*(VLOOKUP($I587,'Pricing Table - eff 27-Jan-2026'!$A:$Q,9,FALSE)/12))/5,0)*5</f>
        <v>400</v>
      </c>
      <c r="R587" s="71">
        <f>$Q587/IFERROR(VLOOKUP($F587&amp;RIGHT($K587,8),'Master Data'!$O$5:$P$10,2,FALSE),'Master Data'!$P$4)</f>
        <v>2</v>
      </c>
      <c r="S587" s="57">
        <f>VLOOKUP($I587,'Pricing Table - eff 27-Jan-2026'!$A:$Q,16,FALSE)</f>
        <v>720</v>
      </c>
      <c r="T587" s="57">
        <f>VLOOKUP(I587,'Pricing Table - eff 27-Jan-2026'!$A:$O,15,FALSE)</f>
        <v>7.73</v>
      </c>
      <c r="U587" s="57">
        <f t="shared" si="27"/>
        <v>8868.9599999999991</v>
      </c>
      <c r="V587" s="111">
        <f t="shared" si="28"/>
        <v>8853.9420000000009</v>
      </c>
      <c r="W587" s="55">
        <f>VLOOKUP($I587,'Pricing Table - eff 27-Jan-2026'!$A:$R,18,FALSE)</f>
        <v>45</v>
      </c>
    </row>
    <row r="588" spans="1:23" ht="15" hidden="1" thickTop="1" x14ac:dyDescent="0.3">
      <c r="A588" s="55">
        <v>52996151</v>
      </c>
      <c r="B588" s="55">
        <v>1</v>
      </c>
      <c r="C588" s="55" t="str">
        <f>VLOOKUP(A588&amp;"-"&amp;B588,'Order Summary'!$D:$E,2,FALSE)</f>
        <v>Balance Payment Received</v>
      </c>
      <c r="D588" s="216">
        <f>IF($A588="","",VLOOKUP($A588&amp;"-"&amp;$B588,'Order Summary'!$D:$U,3,FALSE))</f>
        <v>46056</v>
      </c>
      <c r="E588" s="55" t="str">
        <f>VLOOKUP(A588&amp;"-"&amp;B588,'Order Summary'!$D:$G,4,FALSE)</f>
        <v>Yes</v>
      </c>
      <c r="F588" s="55" t="str">
        <f>VLOOKUP($A588,'Order Summary'!$B:$I,8,FALSE)</f>
        <v>Nampa, ID</v>
      </c>
      <c r="G588" s="216">
        <f>IF($A588="","",VLOOKUP($A588&amp;"-"&amp;$B588,'Order Summary'!$D:$U,18,FALSE))</f>
        <v>46191</v>
      </c>
      <c r="H588" s="55">
        <v>2</v>
      </c>
      <c r="I588" s="55">
        <v>694436</v>
      </c>
      <c r="J588" s="55" t="str">
        <f>VLOOKUP($I588,'Pricing Table - eff 27-Jan-2026'!$A:$R,2,FALSE)</f>
        <v>G1S 694436</v>
      </c>
      <c r="K588" s="55" t="str">
        <f>VLOOKUP($I588,'Pricing Table - eff 27-Jan-2026'!$A:$R,6,FALSE)&amp;" "&amp;VLOOKUP($I588,'Pricing Table - eff 27-Jan-2026'!$A:$R,7,FALSE)&amp;""" x "&amp;VLOOKUP($I588,'Pricing Table - eff 27-Jan-2026'!$A:$R,9,FALSE)&amp;""" "&amp;VLOOKUP($I588,'Pricing Table - eff 27-Jan-2026'!$A:$R,5,FALSE)</f>
        <v>2MM 49" x 96" ACP</v>
      </c>
      <c r="L588" s="55">
        <f>VLOOKUP($I588,'Pricing Table - eff 27-Jan-2026'!$A:$K,8,FALSE)</f>
        <v>1245</v>
      </c>
      <c r="M588" s="55">
        <f>VLOOKUP($I588,'Pricing Table - eff 27-Jan-2026'!$A:$K,10,FALSE)</f>
        <v>2440</v>
      </c>
      <c r="N588" s="55" t="str">
        <f>VLOOKUP($I588,'Pricing Table - eff 27-Jan-2026'!$A:$R,13,FALSE)&amp;" "&amp;VLOOKUP($I588,'Pricing Table - eff 27-Jan-2026'!$A:$R,12,FALSE)</f>
        <v>ASC 0069 GLOSSY WHITE</v>
      </c>
      <c r="O588" s="56">
        <v>13.067</v>
      </c>
      <c r="P588" s="55">
        <f>(VLOOKUP($I588,'Pricing Table - eff 27-Jan-2026'!$A:$R,8,FALSE)/1000)*(VLOOKUP($I588,'Pricing Table - eff 27-Jan-2026'!$A:$R,10,FALSE)/1000)*Q588</f>
        <v>1215.1200000000001</v>
      </c>
      <c r="Q588" s="55">
        <f>ROUND(('Order Details'!$O588*1000)/((VLOOKUP($I588,'Pricing Table - eff 27-Jan-2026'!$A:$Q,7,FALSE)/12)*(VLOOKUP($I588,'Pricing Table - eff 27-Jan-2026'!$A:$Q,9,FALSE)/12))/5,0)*5</f>
        <v>400</v>
      </c>
      <c r="R588" s="71">
        <f>$Q588/IFERROR(VLOOKUP($F588&amp;RIGHT($K588,8),'Master Data'!$O$5:$P$10,2,FALSE),'Master Data'!$P$4)</f>
        <v>2</v>
      </c>
      <c r="S588" s="57">
        <f>VLOOKUP($I588,'Pricing Table - eff 27-Jan-2026'!$A:$Q,16,FALSE)</f>
        <v>720</v>
      </c>
      <c r="T588" s="57">
        <f>VLOOKUP(I588,'Pricing Table - eff 27-Jan-2026'!$A:$O,15,FALSE)</f>
        <v>7.73</v>
      </c>
      <c r="U588" s="57">
        <f t="shared" si="27"/>
        <v>9408.24</v>
      </c>
      <c r="V588" s="111">
        <f t="shared" si="28"/>
        <v>9392.8776000000016</v>
      </c>
      <c r="W588" s="55">
        <f>VLOOKUP($I588,'Pricing Table - eff 27-Jan-2026'!$A:$R,18,FALSE)</f>
        <v>45</v>
      </c>
    </row>
    <row r="589" spans="1:23" ht="15" hidden="1" thickTop="1" x14ac:dyDescent="0.3">
      <c r="A589" s="55">
        <v>52996151</v>
      </c>
      <c r="B589" s="55">
        <v>1</v>
      </c>
      <c r="C589" s="55" t="str">
        <f>VLOOKUP(A589&amp;"-"&amp;B589,'Order Summary'!$D:$E,2,FALSE)</f>
        <v>Balance Payment Received</v>
      </c>
      <c r="D589" s="216">
        <f>IF($A589="","",VLOOKUP($A589&amp;"-"&amp;$B589,'Order Summary'!$D:$U,3,FALSE))</f>
        <v>46056</v>
      </c>
      <c r="E589" s="55" t="str">
        <f>VLOOKUP(A589&amp;"-"&amp;B589,'Order Summary'!$D:$G,4,FALSE)</f>
        <v>Yes</v>
      </c>
      <c r="F589" s="55" t="str">
        <f>VLOOKUP($A589,'Order Summary'!$B:$I,8,FALSE)</f>
        <v>Nampa, ID</v>
      </c>
      <c r="G589" s="216">
        <f>IF($A589="","",VLOOKUP($A589&amp;"-"&amp;$B589,'Order Summary'!$D:$U,18,FALSE))</f>
        <v>46191</v>
      </c>
      <c r="H589" s="55">
        <v>3</v>
      </c>
      <c r="I589" s="55">
        <v>694437</v>
      </c>
      <c r="J589" s="55" t="str">
        <f>VLOOKUP($I589,'Pricing Table - eff 27-Jan-2026'!$A:$R,2,FALSE)</f>
        <v>G1S 694437</v>
      </c>
      <c r="K589" s="55" t="str">
        <f>VLOOKUP($I589,'Pricing Table - eff 27-Jan-2026'!$A:$R,6,FALSE)&amp;" "&amp;VLOOKUP($I589,'Pricing Table - eff 27-Jan-2026'!$A:$R,7,FALSE)&amp;""" x "&amp;VLOOKUP($I589,'Pricing Table - eff 27-Jan-2026'!$A:$R,9,FALSE)&amp;""" "&amp;VLOOKUP($I589,'Pricing Table - eff 27-Jan-2026'!$A:$R,5,FALSE)</f>
        <v>2MM 49" x 108" ACP</v>
      </c>
      <c r="L589" s="55">
        <f>VLOOKUP($I589,'Pricing Table - eff 27-Jan-2026'!$A:$K,8,FALSE)</f>
        <v>1245</v>
      </c>
      <c r="M589" s="55">
        <f>VLOOKUP($I589,'Pricing Table - eff 27-Jan-2026'!$A:$K,10,FALSE)</f>
        <v>2745</v>
      </c>
      <c r="N589" s="55" t="str">
        <f>VLOOKUP($I589,'Pricing Table - eff 27-Jan-2026'!$A:$R,13,FALSE)&amp;" "&amp;VLOOKUP($I589,'Pricing Table - eff 27-Jan-2026'!$A:$R,12,FALSE)</f>
        <v>ASC 0069 GLOSSY WHITE</v>
      </c>
      <c r="O589" s="56">
        <v>14.7</v>
      </c>
      <c r="P589" s="55">
        <f>(VLOOKUP($I589,'Pricing Table - eff 27-Jan-2026'!$A:$R,8,FALSE)/1000)*(VLOOKUP($I589,'Pricing Table - eff 27-Jan-2026'!$A:$R,10,FALSE)/1000)*Q589</f>
        <v>1367.0100000000002</v>
      </c>
      <c r="Q589" s="55">
        <f>ROUND(('Order Details'!$O589*1000)/((VLOOKUP($I589,'Pricing Table - eff 27-Jan-2026'!$A:$Q,7,FALSE)/12)*(VLOOKUP($I589,'Pricing Table - eff 27-Jan-2026'!$A:$Q,9,FALSE)/12))/5,0)*5</f>
        <v>400</v>
      </c>
      <c r="R589" s="71">
        <f>$Q589/IFERROR(VLOOKUP($F589&amp;RIGHT($K589,8),'Master Data'!$O$5:$P$10,2,FALSE),'Master Data'!$P$4)</f>
        <v>2</v>
      </c>
      <c r="S589" s="57">
        <f>VLOOKUP($I589,'Pricing Table - eff 27-Jan-2026'!$A:$Q,16,FALSE)</f>
        <v>720</v>
      </c>
      <c r="T589" s="57">
        <f>VLOOKUP(I589,'Pricing Table - eff 27-Jan-2026'!$A:$O,15,FALSE)</f>
        <v>7.73</v>
      </c>
      <c r="U589" s="57">
        <f t="shared" si="27"/>
        <v>10584</v>
      </c>
      <c r="V589" s="111">
        <f t="shared" si="28"/>
        <v>10566.987300000003</v>
      </c>
      <c r="W589" s="55">
        <f>VLOOKUP($I589,'Pricing Table - eff 27-Jan-2026'!$A:$R,18,FALSE)</f>
        <v>45</v>
      </c>
    </row>
    <row r="590" spans="1:23" ht="15" hidden="1" thickTop="1" x14ac:dyDescent="0.3">
      <c r="A590" s="55">
        <v>52996151</v>
      </c>
      <c r="B590" s="55">
        <v>1</v>
      </c>
      <c r="C590" s="55" t="str">
        <f>VLOOKUP(A590&amp;"-"&amp;B590,'Order Summary'!$D:$E,2,FALSE)</f>
        <v>Balance Payment Received</v>
      </c>
      <c r="D590" s="216">
        <f>IF($A590="","",VLOOKUP($A590&amp;"-"&amp;$B590,'Order Summary'!$D:$U,3,FALSE))</f>
        <v>46056</v>
      </c>
      <c r="E590" s="55" t="str">
        <f>VLOOKUP(A590&amp;"-"&amp;B590,'Order Summary'!$D:$G,4,FALSE)</f>
        <v>Yes</v>
      </c>
      <c r="F590" s="55" t="str">
        <f>VLOOKUP($A590,'Order Summary'!$B:$I,8,FALSE)</f>
        <v>Nampa, ID</v>
      </c>
      <c r="G590" s="216">
        <f>IF($A590="","",VLOOKUP($A590&amp;"-"&amp;$B590,'Order Summary'!$D:$U,18,FALSE))</f>
        <v>46191</v>
      </c>
      <c r="H590" s="55">
        <v>4</v>
      </c>
      <c r="I590" s="55">
        <v>709355</v>
      </c>
      <c r="J590" s="55" t="str">
        <f>VLOOKUP($I590,'Pricing Table - eff 27-Jan-2026'!$A:$R,2,FALSE)</f>
        <v>G1S 709355</v>
      </c>
      <c r="K590" s="55" t="str">
        <f>VLOOKUP($I590,'Pricing Table - eff 27-Jan-2026'!$A:$R,6,FALSE)&amp;" "&amp;VLOOKUP($I590,'Pricing Table - eff 27-Jan-2026'!$A:$R,7,FALSE)&amp;""" x "&amp;VLOOKUP($I590,'Pricing Table - eff 27-Jan-2026'!$A:$R,9,FALSE)&amp;""" "&amp;VLOOKUP($I590,'Pricing Table - eff 27-Jan-2026'!$A:$R,5,FALSE)</f>
        <v>2MM 49" x 90.5" ACP</v>
      </c>
      <c r="L590" s="55">
        <f>VLOOKUP($I590,'Pricing Table - eff 27-Jan-2026'!$A:$K,8,FALSE)</f>
        <v>1245</v>
      </c>
      <c r="M590" s="55">
        <f>VLOOKUP($I590,'Pricing Table - eff 27-Jan-2026'!$A:$K,10,FALSE)</f>
        <v>2300</v>
      </c>
      <c r="N590" s="55" t="str">
        <f>VLOOKUP($I590,'Pricing Table - eff 27-Jan-2026'!$A:$R,13,FALSE)&amp;" "&amp;VLOOKUP($I590,'Pricing Table - eff 27-Jan-2026'!$A:$R,12,FALSE)</f>
        <v>ASC 0069 GLOSSY WHITE</v>
      </c>
      <c r="O590" s="56">
        <v>12.318</v>
      </c>
      <c r="P590" s="55">
        <f>(VLOOKUP($I590,'Pricing Table - eff 27-Jan-2026'!$A:$R,8,FALSE)/1000)*(VLOOKUP($I590,'Pricing Table - eff 27-Jan-2026'!$A:$R,10,FALSE)/1000)*Q590</f>
        <v>1145.4000000000001</v>
      </c>
      <c r="Q590" s="55">
        <f>ROUND(('Order Details'!$O590*1000)/((VLOOKUP($I590,'Pricing Table - eff 27-Jan-2026'!$A:$Q,7,FALSE)/12)*(VLOOKUP($I590,'Pricing Table - eff 27-Jan-2026'!$A:$Q,9,FALSE)/12))/5,0)*5</f>
        <v>400</v>
      </c>
      <c r="R590" s="71">
        <f>$Q590/IFERROR(VLOOKUP($F590&amp;RIGHT($K590,8),'Master Data'!$O$5:$P$10,2,FALSE),'Master Data'!$P$4)</f>
        <v>2</v>
      </c>
      <c r="S590" s="57">
        <f>VLOOKUP($I590,'Pricing Table - eff 27-Jan-2026'!$A:$Q,16,FALSE)</f>
        <v>720</v>
      </c>
      <c r="T590" s="57">
        <f>VLOOKUP(I590,'Pricing Table - eff 27-Jan-2026'!$A:$O,15,FALSE)</f>
        <v>7.73</v>
      </c>
      <c r="U590" s="57">
        <f t="shared" si="27"/>
        <v>8868.9599999999991</v>
      </c>
      <c r="V590" s="111">
        <f t="shared" si="28"/>
        <v>8853.9420000000009</v>
      </c>
      <c r="W590" s="55">
        <f>VLOOKUP($I590,'Pricing Table - eff 27-Jan-2026'!$A:$R,18,FALSE)</f>
        <v>45</v>
      </c>
    </row>
    <row r="591" spans="1:23" ht="15" hidden="1" thickTop="1" x14ac:dyDescent="0.3">
      <c r="A591" s="55">
        <v>52996151</v>
      </c>
      <c r="B591" s="55">
        <v>1</v>
      </c>
      <c r="C591" s="55" t="str">
        <f>VLOOKUP(A591&amp;"-"&amp;B591,'Order Summary'!$D:$E,2,FALSE)</f>
        <v>Balance Payment Received</v>
      </c>
      <c r="D591" s="216">
        <f>IF($A591="","",VLOOKUP($A591&amp;"-"&amp;$B591,'Order Summary'!$D:$U,3,FALSE))</f>
        <v>46056</v>
      </c>
      <c r="E591" s="55" t="str">
        <f>VLOOKUP(A591&amp;"-"&amp;B591,'Order Summary'!$D:$G,4,FALSE)</f>
        <v>Yes</v>
      </c>
      <c r="F591" s="55" t="str">
        <f>VLOOKUP($A591,'Order Summary'!$B:$I,8,FALSE)</f>
        <v>Nampa, ID</v>
      </c>
      <c r="G591" s="216">
        <f>IF($A591="","",VLOOKUP($A591&amp;"-"&amp;$B591,'Order Summary'!$D:$U,18,FALSE))</f>
        <v>46191</v>
      </c>
      <c r="H591" s="55">
        <v>5</v>
      </c>
      <c r="I591" s="55">
        <v>694436</v>
      </c>
      <c r="J591" s="55" t="str">
        <f>VLOOKUP($I591,'Pricing Table - eff 27-Jan-2026'!$A:$R,2,FALSE)</f>
        <v>G1S 694436</v>
      </c>
      <c r="K591" s="55" t="str">
        <f>VLOOKUP($I591,'Pricing Table - eff 27-Jan-2026'!$A:$R,6,FALSE)&amp;" "&amp;VLOOKUP($I591,'Pricing Table - eff 27-Jan-2026'!$A:$R,7,FALSE)&amp;""" x "&amp;VLOOKUP($I591,'Pricing Table - eff 27-Jan-2026'!$A:$R,9,FALSE)&amp;""" "&amp;VLOOKUP($I591,'Pricing Table - eff 27-Jan-2026'!$A:$R,5,FALSE)</f>
        <v>2MM 49" x 96" ACP</v>
      </c>
      <c r="L591" s="55">
        <f>VLOOKUP($I591,'Pricing Table - eff 27-Jan-2026'!$A:$K,8,FALSE)</f>
        <v>1245</v>
      </c>
      <c r="M591" s="55">
        <f>VLOOKUP($I591,'Pricing Table - eff 27-Jan-2026'!$A:$K,10,FALSE)</f>
        <v>2440</v>
      </c>
      <c r="N591" s="55" t="str">
        <f>VLOOKUP($I591,'Pricing Table - eff 27-Jan-2026'!$A:$R,13,FALSE)&amp;" "&amp;VLOOKUP($I591,'Pricing Table - eff 27-Jan-2026'!$A:$R,12,FALSE)</f>
        <v>ASC 0069 GLOSSY WHITE</v>
      </c>
      <c r="O591" s="56">
        <v>13.067</v>
      </c>
      <c r="P591" s="55">
        <f>(VLOOKUP($I591,'Pricing Table - eff 27-Jan-2026'!$A:$R,8,FALSE)/1000)*(VLOOKUP($I591,'Pricing Table - eff 27-Jan-2026'!$A:$R,10,FALSE)/1000)*Q591</f>
        <v>1215.1200000000001</v>
      </c>
      <c r="Q591" s="55">
        <f>ROUND(('Order Details'!$O591*1000)/((VLOOKUP($I591,'Pricing Table - eff 27-Jan-2026'!$A:$Q,7,FALSE)/12)*(VLOOKUP($I591,'Pricing Table - eff 27-Jan-2026'!$A:$Q,9,FALSE)/12))/5,0)*5</f>
        <v>400</v>
      </c>
      <c r="R591" s="71">
        <f>$Q591/IFERROR(VLOOKUP($F591&amp;RIGHT($K591,8),'Master Data'!$O$5:$P$10,2,FALSE),'Master Data'!$P$4)</f>
        <v>2</v>
      </c>
      <c r="S591" s="57">
        <f>VLOOKUP($I591,'Pricing Table - eff 27-Jan-2026'!$A:$Q,16,FALSE)</f>
        <v>720</v>
      </c>
      <c r="T591" s="57">
        <f>VLOOKUP(I591,'Pricing Table - eff 27-Jan-2026'!$A:$O,15,FALSE)</f>
        <v>7.73</v>
      </c>
      <c r="U591" s="57">
        <f t="shared" si="27"/>
        <v>9408.24</v>
      </c>
      <c r="V591" s="111">
        <f t="shared" si="28"/>
        <v>9392.8776000000016</v>
      </c>
      <c r="W591" s="55">
        <f>VLOOKUP($I591,'Pricing Table - eff 27-Jan-2026'!$A:$R,18,FALSE)</f>
        <v>45</v>
      </c>
    </row>
    <row r="592" spans="1:23" ht="15" hidden="1" thickTop="1" x14ac:dyDescent="0.3">
      <c r="A592" s="55">
        <v>52996151</v>
      </c>
      <c r="B592" s="55">
        <v>1</v>
      </c>
      <c r="C592" s="55" t="str">
        <f>VLOOKUP(A592&amp;"-"&amp;B592,'Order Summary'!$D:$E,2,FALSE)</f>
        <v>Balance Payment Received</v>
      </c>
      <c r="D592" s="216">
        <f>IF($A592="","",VLOOKUP($A592&amp;"-"&amp;$B592,'Order Summary'!$D:$U,3,FALSE))</f>
        <v>46056</v>
      </c>
      <c r="E592" s="55" t="str">
        <f>VLOOKUP(A592&amp;"-"&amp;B592,'Order Summary'!$D:$G,4,FALSE)</f>
        <v>Yes</v>
      </c>
      <c r="F592" s="55" t="str">
        <f>VLOOKUP($A592,'Order Summary'!$B:$I,8,FALSE)</f>
        <v>Nampa, ID</v>
      </c>
      <c r="G592" s="216">
        <f>IF($A592="","",VLOOKUP($A592&amp;"-"&amp;$B592,'Order Summary'!$D:$U,18,FALSE))</f>
        <v>46191</v>
      </c>
      <c r="H592" s="55">
        <v>6</v>
      </c>
      <c r="I592" s="55">
        <v>694437</v>
      </c>
      <c r="J592" s="55" t="str">
        <f>VLOOKUP($I592,'Pricing Table - eff 27-Jan-2026'!$A:$R,2,FALSE)</f>
        <v>G1S 694437</v>
      </c>
      <c r="K592" s="55" t="str">
        <f>VLOOKUP($I592,'Pricing Table - eff 27-Jan-2026'!$A:$R,6,FALSE)&amp;" "&amp;VLOOKUP($I592,'Pricing Table - eff 27-Jan-2026'!$A:$R,7,FALSE)&amp;""" x "&amp;VLOOKUP($I592,'Pricing Table - eff 27-Jan-2026'!$A:$R,9,FALSE)&amp;""" "&amp;VLOOKUP($I592,'Pricing Table - eff 27-Jan-2026'!$A:$R,5,FALSE)</f>
        <v>2MM 49" x 108" ACP</v>
      </c>
      <c r="L592" s="55">
        <f>VLOOKUP($I592,'Pricing Table - eff 27-Jan-2026'!$A:$K,8,FALSE)</f>
        <v>1245</v>
      </c>
      <c r="M592" s="55">
        <f>VLOOKUP($I592,'Pricing Table - eff 27-Jan-2026'!$A:$K,10,FALSE)</f>
        <v>2745</v>
      </c>
      <c r="N592" s="55" t="str">
        <f>VLOOKUP($I592,'Pricing Table - eff 27-Jan-2026'!$A:$R,13,FALSE)&amp;" "&amp;VLOOKUP($I592,'Pricing Table - eff 27-Jan-2026'!$A:$R,12,FALSE)</f>
        <v>ASC 0069 GLOSSY WHITE</v>
      </c>
      <c r="O592" s="56">
        <v>14.7</v>
      </c>
      <c r="P592" s="55">
        <f>(VLOOKUP($I592,'Pricing Table - eff 27-Jan-2026'!$A:$R,8,FALSE)/1000)*(VLOOKUP($I592,'Pricing Table - eff 27-Jan-2026'!$A:$R,10,FALSE)/1000)*Q592</f>
        <v>1367.0100000000002</v>
      </c>
      <c r="Q592" s="55">
        <f>ROUND(('Order Details'!$O592*1000)/((VLOOKUP($I592,'Pricing Table - eff 27-Jan-2026'!$A:$Q,7,FALSE)/12)*(VLOOKUP($I592,'Pricing Table - eff 27-Jan-2026'!$A:$Q,9,FALSE)/12))/5,0)*5</f>
        <v>400</v>
      </c>
      <c r="R592" s="71">
        <f>$Q592/IFERROR(VLOOKUP($F592&amp;RIGHT($K592,8),'Master Data'!$O$5:$P$10,2,FALSE),'Master Data'!$P$4)</f>
        <v>2</v>
      </c>
      <c r="S592" s="57">
        <f>VLOOKUP($I592,'Pricing Table - eff 27-Jan-2026'!$A:$Q,16,FALSE)</f>
        <v>720</v>
      </c>
      <c r="T592" s="57">
        <f>VLOOKUP(I592,'Pricing Table - eff 27-Jan-2026'!$A:$O,15,FALSE)</f>
        <v>7.73</v>
      </c>
      <c r="U592" s="57">
        <f t="shared" si="27"/>
        <v>10584</v>
      </c>
      <c r="V592" s="111">
        <f t="shared" si="28"/>
        <v>10566.987300000003</v>
      </c>
      <c r="W592" s="55">
        <f>VLOOKUP($I592,'Pricing Table - eff 27-Jan-2026'!$A:$R,18,FALSE)</f>
        <v>45</v>
      </c>
    </row>
    <row r="593" spans="1:23" ht="15" hidden="1" thickTop="1" x14ac:dyDescent="0.3">
      <c r="A593" s="55">
        <v>53013961</v>
      </c>
      <c r="B593" s="55">
        <v>1</v>
      </c>
      <c r="C593" s="55" t="str">
        <f>VLOOKUP(A593&amp;"-"&amp;B593,'Order Summary'!$D:$E,2,FALSE)</f>
        <v>PO Received</v>
      </c>
      <c r="D593" s="216">
        <f>IF($A593="","",VLOOKUP($A593&amp;"-"&amp;$B593,'Order Summary'!$D:$U,3,FALSE))</f>
        <v>46099</v>
      </c>
      <c r="E593" s="55" t="str">
        <f>VLOOKUP(A593&amp;"-"&amp;B593,'Order Summary'!$D:$G,4,FALSE)</f>
        <v>Yes</v>
      </c>
      <c r="F593" s="55" t="str">
        <f>VLOOKUP($A593,'Order Summary'!$B:$I,8,FALSE)</f>
        <v>Minneota, MN</v>
      </c>
      <c r="G593" s="216" t="str">
        <f>IF($A593="","",VLOOKUP($A593&amp;"-"&amp;$B593,'Order Summary'!$D:$U,18,FALSE))</f>
        <v/>
      </c>
      <c r="H593" s="55">
        <v>1</v>
      </c>
      <c r="I593" s="55">
        <v>694445</v>
      </c>
      <c r="J593" s="55" t="str">
        <f>VLOOKUP($I593,'Pricing Table - eff 27-Jan-2026'!$A:$R,2,FALSE)</f>
        <v>G1S 694445</v>
      </c>
      <c r="K593" s="55" t="str">
        <f>VLOOKUP($I593,'Pricing Table - eff 27-Jan-2026'!$A:$R,6,FALSE)&amp;" "&amp;VLOOKUP($I593,'Pricing Table - eff 27-Jan-2026'!$A:$R,7,FALSE)&amp;""" x "&amp;VLOOKUP($I593,'Pricing Table - eff 27-Jan-2026'!$A:$R,9,FALSE)&amp;""" "&amp;VLOOKUP($I593,'Pricing Table - eff 27-Jan-2026'!$A:$R,5,FALSE)</f>
        <v>2MM 49" x 108" ACP</v>
      </c>
      <c r="L593" s="55">
        <f>VLOOKUP($I593,'Pricing Table - eff 27-Jan-2026'!$A:$K,8,FALSE)</f>
        <v>1245</v>
      </c>
      <c r="M593" s="55">
        <f>VLOOKUP($I593,'Pricing Table - eff 27-Jan-2026'!$A:$K,10,FALSE)</f>
        <v>2745</v>
      </c>
      <c r="N593" s="55" t="str">
        <f>VLOOKUP($I593,'Pricing Table - eff 27-Jan-2026'!$A:$R,13,FALSE)&amp;" "&amp;VLOOKUP($I593,'Pricing Table - eff 27-Jan-2026'!$A:$R,12,FALSE)</f>
        <v>AMC 0086 CHARCOAL METALLIC</v>
      </c>
      <c r="O593" s="56">
        <v>22.05</v>
      </c>
      <c r="P593" s="55">
        <f>(VLOOKUP($I593,'Pricing Table - eff 27-Jan-2026'!$A:$R,8,FALSE)/1000)*(VLOOKUP($I593,'Pricing Table - eff 27-Jan-2026'!$A:$R,10,FALSE)/1000)*Q593</f>
        <v>2050.5150000000003</v>
      </c>
      <c r="Q593" s="55">
        <f>ROUND(('Order Details'!$O593*1000)/((VLOOKUP($I593,'Pricing Table - eff 27-Jan-2026'!$A:$Q,7,FALSE)/12)*(VLOOKUP($I593,'Pricing Table - eff 27-Jan-2026'!$A:$Q,9,FALSE)/12))/5,0)*5</f>
        <v>600</v>
      </c>
      <c r="R593" s="71">
        <f>$Q593/IFERROR(VLOOKUP($F593&amp;RIGHT($K593,8),'Master Data'!$O$5:$P$10,2,FALSE),'Master Data'!$P$4)</f>
        <v>3</v>
      </c>
      <c r="S593" s="57">
        <f>VLOOKUP($I593,'Pricing Table - eff 27-Jan-2026'!$A:$Q,16,FALSE)</f>
        <v>770</v>
      </c>
      <c r="T593" s="57">
        <f>VLOOKUP(I593,'Pricing Table - eff 27-Jan-2026'!$A:$O,15,FALSE)</f>
        <v>8.27</v>
      </c>
      <c r="U593" s="57">
        <f t="shared" si="27"/>
        <v>16978.5</v>
      </c>
      <c r="V593" s="111">
        <f t="shared" si="28"/>
        <v>16957.759050000001</v>
      </c>
      <c r="W593" s="55">
        <f>VLOOKUP($I593,'Pricing Table - eff 27-Jan-2026'!$A:$R,18,FALSE)</f>
        <v>45</v>
      </c>
    </row>
    <row r="594" spans="1:23" ht="15" hidden="1" thickTop="1" x14ac:dyDescent="0.3">
      <c r="A594" s="55">
        <v>53013961</v>
      </c>
      <c r="B594" s="55">
        <v>1</v>
      </c>
      <c r="C594" s="55" t="str">
        <f>VLOOKUP(A594&amp;"-"&amp;B594,'Order Summary'!$D:$E,2,FALSE)</f>
        <v>PO Received</v>
      </c>
      <c r="D594" s="216">
        <f>IF($A594="","",VLOOKUP($A594&amp;"-"&amp;$B594,'Order Summary'!$D:$U,3,FALSE))</f>
        <v>46099</v>
      </c>
      <c r="E594" s="55" t="str">
        <f>VLOOKUP(A594&amp;"-"&amp;B594,'Order Summary'!$D:$G,4,FALSE)</f>
        <v>Yes</v>
      </c>
      <c r="F594" s="55" t="str">
        <f>VLOOKUP($A594,'Order Summary'!$B:$I,8,FALSE)</f>
        <v>Minneota, MN</v>
      </c>
      <c r="G594" s="216" t="str">
        <f>IF($A594="","",VLOOKUP($A594&amp;"-"&amp;$B594,'Order Summary'!$D:$U,18,FALSE))</f>
        <v/>
      </c>
      <c r="H594" s="55">
        <v>2</v>
      </c>
      <c r="I594" s="55">
        <v>694433</v>
      </c>
      <c r="J594" s="55" t="str">
        <f>VLOOKUP($I594,'Pricing Table - eff 27-Jan-2026'!$A:$R,2,FALSE)</f>
        <v>G1S 694433</v>
      </c>
      <c r="K594" s="55" t="str">
        <f>VLOOKUP($I594,'Pricing Table - eff 27-Jan-2026'!$A:$R,6,FALSE)&amp;" "&amp;VLOOKUP($I594,'Pricing Table - eff 27-Jan-2026'!$A:$R,7,FALSE)&amp;""" x "&amp;VLOOKUP($I594,'Pricing Table - eff 27-Jan-2026'!$A:$R,9,FALSE)&amp;""" "&amp;VLOOKUP($I594,'Pricing Table - eff 27-Jan-2026'!$A:$R,5,FALSE)</f>
        <v>2MM 49" x 108" ACP</v>
      </c>
      <c r="L594" s="55">
        <f>VLOOKUP($I594,'Pricing Table - eff 27-Jan-2026'!$A:$K,8,FALSE)</f>
        <v>1245</v>
      </c>
      <c r="M594" s="55">
        <f>VLOOKUP($I594,'Pricing Table - eff 27-Jan-2026'!$A:$K,10,FALSE)</f>
        <v>2745</v>
      </c>
      <c r="N594" s="55" t="str">
        <f>VLOOKUP($I594,'Pricing Table - eff 27-Jan-2026'!$A:$R,13,FALSE)&amp;" "&amp;VLOOKUP($I594,'Pricing Table - eff 27-Jan-2026'!$A:$R,12,FALSE)</f>
        <v>ASC 0096 GLOSSY BLACK</v>
      </c>
      <c r="O594" s="56">
        <v>22.05</v>
      </c>
      <c r="P594" s="55">
        <f>(VLOOKUP($I594,'Pricing Table - eff 27-Jan-2026'!$A:$R,8,FALSE)/1000)*(VLOOKUP($I594,'Pricing Table - eff 27-Jan-2026'!$A:$R,10,FALSE)/1000)*Q594</f>
        <v>2050.5150000000003</v>
      </c>
      <c r="Q594" s="55">
        <f>ROUND(('Order Details'!$O594*1000)/((VLOOKUP($I594,'Pricing Table - eff 27-Jan-2026'!$A:$Q,7,FALSE)/12)*(VLOOKUP($I594,'Pricing Table - eff 27-Jan-2026'!$A:$Q,9,FALSE)/12))/5,0)*5</f>
        <v>600</v>
      </c>
      <c r="R594" s="71">
        <f>$Q594/IFERROR(VLOOKUP($F594&amp;RIGHT($K594,8),'Master Data'!$O$5:$P$10,2,FALSE),'Master Data'!$P$4)</f>
        <v>3</v>
      </c>
      <c r="S594" s="57">
        <f>VLOOKUP($I594,'Pricing Table - eff 27-Jan-2026'!$A:$Q,16,FALSE)</f>
        <v>720</v>
      </c>
      <c r="T594" s="57">
        <f>VLOOKUP(I594,'Pricing Table - eff 27-Jan-2026'!$A:$O,15,FALSE)</f>
        <v>7.73</v>
      </c>
      <c r="U594" s="57">
        <f t="shared" si="27"/>
        <v>15876</v>
      </c>
      <c r="V594" s="111">
        <f t="shared" si="28"/>
        <v>15850.480950000003</v>
      </c>
      <c r="W594" s="55">
        <f>VLOOKUP($I594,'Pricing Table - eff 27-Jan-2026'!$A:$R,18,FALSE)</f>
        <v>45</v>
      </c>
    </row>
    <row r="595" spans="1:23" ht="15" hidden="1" thickTop="1" x14ac:dyDescent="0.3">
      <c r="A595" s="55">
        <v>53013961</v>
      </c>
      <c r="B595" s="55">
        <v>1</v>
      </c>
      <c r="C595" s="55" t="str">
        <f>VLOOKUP(A595&amp;"-"&amp;B595,'Order Summary'!$D:$E,2,FALSE)</f>
        <v>PO Received</v>
      </c>
      <c r="D595" s="216">
        <f>IF($A595="","",VLOOKUP($A595&amp;"-"&amp;$B595,'Order Summary'!$D:$U,3,FALSE))</f>
        <v>46099</v>
      </c>
      <c r="E595" s="55" t="str">
        <f>VLOOKUP(A595&amp;"-"&amp;B595,'Order Summary'!$D:$G,4,FALSE)</f>
        <v>Yes</v>
      </c>
      <c r="F595" s="55" t="str">
        <f>VLOOKUP($A595,'Order Summary'!$B:$I,8,FALSE)</f>
        <v>Minneota, MN</v>
      </c>
      <c r="G595" s="216" t="str">
        <f>IF($A595="","",VLOOKUP($A595&amp;"-"&amp;$B595,'Order Summary'!$D:$U,18,FALSE))</f>
        <v/>
      </c>
      <c r="H595" s="55">
        <v>3</v>
      </c>
      <c r="I595" s="55">
        <v>694437</v>
      </c>
      <c r="J595" s="55" t="str">
        <f>VLOOKUP($I595,'Pricing Table - eff 27-Jan-2026'!$A:$R,2,FALSE)</f>
        <v>G1S 694437</v>
      </c>
      <c r="K595" s="55" t="str">
        <f>VLOOKUP($I595,'Pricing Table - eff 27-Jan-2026'!$A:$R,6,FALSE)&amp;" "&amp;VLOOKUP($I595,'Pricing Table - eff 27-Jan-2026'!$A:$R,7,FALSE)&amp;""" x "&amp;VLOOKUP($I595,'Pricing Table - eff 27-Jan-2026'!$A:$R,9,FALSE)&amp;""" "&amp;VLOOKUP($I595,'Pricing Table - eff 27-Jan-2026'!$A:$R,5,FALSE)</f>
        <v>2MM 49" x 108" ACP</v>
      </c>
      <c r="L595" s="55">
        <f>VLOOKUP($I595,'Pricing Table - eff 27-Jan-2026'!$A:$K,8,FALSE)</f>
        <v>1245</v>
      </c>
      <c r="M595" s="55">
        <f>VLOOKUP($I595,'Pricing Table - eff 27-Jan-2026'!$A:$K,10,FALSE)</f>
        <v>2745</v>
      </c>
      <c r="N595" s="55" t="str">
        <f>VLOOKUP($I595,'Pricing Table - eff 27-Jan-2026'!$A:$R,13,FALSE)&amp;" "&amp;VLOOKUP($I595,'Pricing Table - eff 27-Jan-2026'!$A:$R,12,FALSE)</f>
        <v>ASC 0069 GLOSSY WHITE</v>
      </c>
      <c r="O595" s="56">
        <v>22.05</v>
      </c>
      <c r="P595" s="55">
        <f>(VLOOKUP($I595,'Pricing Table - eff 27-Jan-2026'!$A:$R,8,FALSE)/1000)*(VLOOKUP($I595,'Pricing Table - eff 27-Jan-2026'!$A:$R,10,FALSE)/1000)*Q595</f>
        <v>2050.5150000000003</v>
      </c>
      <c r="Q595" s="55">
        <f>ROUND(('Order Details'!$O595*1000)/((VLOOKUP($I595,'Pricing Table - eff 27-Jan-2026'!$A:$Q,7,FALSE)/12)*(VLOOKUP($I595,'Pricing Table - eff 27-Jan-2026'!$A:$Q,9,FALSE)/12))/5,0)*5</f>
        <v>600</v>
      </c>
      <c r="R595" s="71">
        <f>$Q595/IFERROR(VLOOKUP($F595&amp;RIGHT($K595,8),'Master Data'!$O$5:$P$10,2,FALSE),'Master Data'!$P$4)</f>
        <v>3</v>
      </c>
      <c r="S595" s="57">
        <f>VLOOKUP($I595,'Pricing Table - eff 27-Jan-2026'!$A:$Q,16,FALSE)</f>
        <v>720</v>
      </c>
      <c r="T595" s="57">
        <f>VLOOKUP(I595,'Pricing Table - eff 27-Jan-2026'!$A:$O,15,FALSE)</f>
        <v>7.73</v>
      </c>
      <c r="U595" s="57">
        <f t="shared" si="27"/>
        <v>15876</v>
      </c>
      <c r="V595" s="111">
        <f t="shared" si="28"/>
        <v>15850.480950000003</v>
      </c>
      <c r="W595" s="55">
        <f>VLOOKUP($I595,'Pricing Table - eff 27-Jan-2026'!$A:$R,18,FALSE)</f>
        <v>45</v>
      </c>
    </row>
    <row r="596" spans="1:23" ht="15" hidden="1" thickTop="1" x14ac:dyDescent="0.3">
      <c r="A596" s="55">
        <v>53013961</v>
      </c>
      <c r="B596" s="55">
        <v>1</v>
      </c>
      <c r="C596" s="55" t="str">
        <f>VLOOKUP(A596&amp;"-"&amp;B596,'Order Summary'!$D:$E,2,FALSE)</f>
        <v>PO Received</v>
      </c>
      <c r="D596" s="216">
        <f>IF($A596="","",VLOOKUP($A596&amp;"-"&amp;$B596,'Order Summary'!$D:$U,3,FALSE))</f>
        <v>46099</v>
      </c>
      <c r="E596" s="55" t="str">
        <f>VLOOKUP(A596&amp;"-"&amp;B596,'Order Summary'!$D:$G,4,FALSE)</f>
        <v>Yes</v>
      </c>
      <c r="F596" s="55" t="str">
        <f>VLOOKUP($A596,'Order Summary'!$B:$I,8,FALSE)</f>
        <v>Minneota, MN</v>
      </c>
      <c r="G596" s="216" t="str">
        <f>IF($A596="","",VLOOKUP($A596&amp;"-"&amp;$B596,'Order Summary'!$D:$U,18,FALSE))</f>
        <v/>
      </c>
      <c r="H596" s="55">
        <v>4</v>
      </c>
      <c r="I596" s="55">
        <v>694441</v>
      </c>
      <c r="J596" s="55" t="str">
        <f>VLOOKUP($I596,'Pricing Table - eff 27-Jan-2026'!$A:$R,2,FALSE)</f>
        <v>G1S 694441</v>
      </c>
      <c r="K596" s="55" t="str">
        <f>VLOOKUP($I596,'Pricing Table - eff 27-Jan-2026'!$A:$R,6,FALSE)&amp;" "&amp;VLOOKUP($I596,'Pricing Table - eff 27-Jan-2026'!$A:$R,7,FALSE)&amp;""" x "&amp;VLOOKUP($I596,'Pricing Table - eff 27-Jan-2026'!$A:$R,9,FALSE)&amp;""" "&amp;VLOOKUP($I596,'Pricing Table - eff 27-Jan-2026'!$A:$R,5,FALSE)</f>
        <v>2MM 49" x 108" ACP</v>
      </c>
      <c r="L596" s="55">
        <f>VLOOKUP($I596,'Pricing Table - eff 27-Jan-2026'!$A:$K,8,FALSE)</f>
        <v>1245</v>
      </c>
      <c r="M596" s="55">
        <f>VLOOKUP($I596,'Pricing Table - eff 27-Jan-2026'!$A:$K,10,FALSE)</f>
        <v>2745</v>
      </c>
      <c r="N596" s="55" t="str">
        <f>VLOOKUP($I596,'Pricing Table - eff 27-Jan-2026'!$A:$R,13,FALSE)&amp;" "&amp;VLOOKUP($I596,'Pricing Table - eff 27-Jan-2026'!$A:$R,12,FALSE)</f>
        <v>AMC 0103 SILVER FROST</v>
      </c>
      <c r="O596" s="56">
        <v>22.05</v>
      </c>
      <c r="P596" s="55">
        <f>(VLOOKUP($I596,'Pricing Table - eff 27-Jan-2026'!$A:$R,8,FALSE)/1000)*(VLOOKUP($I596,'Pricing Table - eff 27-Jan-2026'!$A:$R,10,FALSE)/1000)*Q596</f>
        <v>2050.5150000000003</v>
      </c>
      <c r="Q596" s="55">
        <f>ROUND(('Order Details'!$O596*1000)/((VLOOKUP($I596,'Pricing Table - eff 27-Jan-2026'!$A:$Q,7,FALSE)/12)*(VLOOKUP($I596,'Pricing Table - eff 27-Jan-2026'!$A:$Q,9,FALSE)/12))/5,0)*5</f>
        <v>600</v>
      </c>
      <c r="R596" s="71">
        <f>$Q596/IFERROR(VLOOKUP($F596&amp;RIGHT($K596,8),'Master Data'!$O$5:$P$10,2,FALSE),'Master Data'!$P$4)</f>
        <v>3</v>
      </c>
      <c r="S596" s="57">
        <f>VLOOKUP($I596,'Pricing Table - eff 27-Jan-2026'!$A:$Q,16,FALSE)</f>
        <v>720</v>
      </c>
      <c r="T596" s="57">
        <f>VLOOKUP(I596,'Pricing Table - eff 27-Jan-2026'!$A:$O,15,FALSE)</f>
        <v>7.73</v>
      </c>
      <c r="U596" s="57">
        <f t="shared" si="27"/>
        <v>15876</v>
      </c>
      <c r="V596" s="111">
        <f t="shared" si="28"/>
        <v>15850.480950000003</v>
      </c>
      <c r="W596" s="55">
        <f>VLOOKUP($I596,'Pricing Table - eff 27-Jan-2026'!$A:$R,18,FALSE)</f>
        <v>90</v>
      </c>
    </row>
    <row r="597" spans="1:23" ht="15" hidden="1" thickTop="1" x14ac:dyDescent="0.3">
      <c r="A597" s="55">
        <v>53022400</v>
      </c>
      <c r="B597" s="55">
        <v>0</v>
      </c>
      <c r="C597" s="55" t="str">
        <f>VLOOKUP(A597&amp;"-"&amp;B597,'Order Summary'!$D:$E,2,FALSE)</f>
        <v>PO Received</v>
      </c>
      <c r="D597" s="216">
        <f>IF($A597="","",VLOOKUP($A597&amp;"-"&amp;$B597,'Order Summary'!$D:$U,3,FALSE))</f>
        <v>46112</v>
      </c>
      <c r="E597" s="55" t="str">
        <f>VLOOKUP(A597&amp;"-"&amp;B597,'Order Summary'!$D:$G,4,FALSE)</f>
        <v>Yes</v>
      </c>
      <c r="F597" s="55" t="str">
        <f>VLOOKUP($A597,'Order Summary'!$B:$I,8,FALSE)</f>
        <v>Minneota, MN</v>
      </c>
      <c r="G597" s="216" t="str">
        <f>IF($A597="","",VLOOKUP($A597&amp;"-"&amp;$B597,'Order Summary'!$D:$U,18,FALSE))</f>
        <v/>
      </c>
      <c r="H597" s="55">
        <v>1</v>
      </c>
      <c r="I597" s="55">
        <v>694433</v>
      </c>
      <c r="J597" s="55" t="str">
        <f>VLOOKUP($I597,'Pricing Table - eff 27-Jan-2026'!$A:$R,2,FALSE)</f>
        <v>G1S 694433</v>
      </c>
      <c r="K597" s="55" t="str">
        <f>VLOOKUP($I597,'Pricing Table - eff 27-Jan-2026'!$A:$R,6,FALSE)&amp;" "&amp;VLOOKUP($I597,'Pricing Table - eff 27-Jan-2026'!$A:$R,7,FALSE)&amp;""" x "&amp;VLOOKUP($I597,'Pricing Table - eff 27-Jan-2026'!$A:$R,9,FALSE)&amp;""" "&amp;VLOOKUP($I597,'Pricing Table - eff 27-Jan-2026'!$A:$R,5,FALSE)</f>
        <v>2MM 49" x 108" ACP</v>
      </c>
      <c r="L597" s="55">
        <f>VLOOKUP($I597,'Pricing Table - eff 27-Jan-2026'!$A:$K,8,FALSE)</f>
        <v>1245</v>
      </c>
      <c r="M597" s="55">
        <f>VLOOKUP($I597,'Pricing Table - eff 27-Jan-2026'!$A:$K,10,FALSE)</f>
        <v>2745</v>
      </c>
      <c r="N597" s="55" t="str">
        <f>VLOOKUP($I597,'Pricing Table - eff 27-Jan-2026'!$A:$R,13,FALSE)&amp;" "&amp;VLOOKUP($I597,'Pricing Table - eff 27-Jan-2026'!$A:$R,12,FALSE)</f>
        <v>ASC 0096 GLOSSY BLACK</v>
      </c>
      <c r="O597" s="56">
        <v>14.7</v>
      </c>
      <c r="P597" s="55">
        <f>(VLOOKUP($I597,'Pricing Table - eff 27-Jan-2026'!$A:$R,8,FALSE)/1000)*(VLOOKUP($I597,'Pricing Table - eff 27-Jan-2026'!$A:$R,10,FALSE)/1000)*Q597</f>
        <v>1367.0100000000002</v>
      </c>
      <c r="Q597" s="55">
        <f>ROUND(('Order Details'!$O597*1000)/((VLOOKUP($I597,'Pricing Table - eff 27-Jan-2026'!$A:$Q,7,FALSE)/12)*(VLOOKUP($I597,'Pricing Table - eff 27-Jan-2026'!$A:$Q,9,FALSE)/12))/5,0)*5</f>
        <v>400</v>
      </c>
      <c r="R597" s="71">
        <f>$Q597/IFERROR(VLOOKUP($F597&amp;RIGHT($K597,8),'Master Data'!$O$5:$P$10,2,FALSE),'Master Data'!$P$4)</f>
        <v>2</v>
      </c>
      <c r="S597" s="57">
        <f>VLOOKUP($I597,'Pricing Table - eff 27-Jan-2026'!$A:$Q,16,FALSE)</f>
        <v>720</v>
      </c>
      <c r="T597" s="57">
        <f>VLOOKUP(I597,'Pricing Table - eff 27-Jan-2026'!$A:$O,15,FALSE)</f>
        <v>7.73</v>
      </c>
      <c r="U597" s="57">
        <f t="shared" si="27"/>
        <v>10584</v>
      </c>
      <c r="V597" s="111">
        <f t="shared" si="28"/>
        <v>10566.987300000003</v>
      </c>
      <c r="W597" s="55">
        <f>VLOOKUP($I597,'Pricing Table - eff 27-Jan-2026'!$A:$R,18,FALSE)</f>
        <v>45</v>
      </c>
    </row>
    <row r="598" spans="1:23" ht="15" hidden="1" thickTop="1" x14ac:dyDescent="0.3">
      <c r="A598" s="55">
        <v>53022400</v>
      </c>
      <c r="B598" s="55">
        <v>0</v>
      </c>
      <c r="C598" s="55" t="str">
        <f>VLOOKUP(A598&amp;"-"&amp;B598,'Order Summary'!$D:$E,2,FALSE)</f>
        <v>PO Received</v>
      </c>
      <c r="D598" s="216">
        <f>IF($A598="","",VLOOKUP($A598&amp;"-"&amp;$B598,'Order Summary'!$D:$U,3,FALSE))</f>
        <v>46112</v>
      </c>
      <c r="E598" s="55" t="str">
        <f>VLOOKUP(A598&amp;"-"&amp;B598,'Order Summary'!$D:$G,4,FALSE)</f>
        <v>Yes</v>
      </c>
      <c r="F598" s="55" t="str">
        <f>VLOOKUP($A598,'Order Summary'!$B:$I,8,FALSE)</f>
        <v>Minneota, MN</v>
      </c>
      <c r="G598" s="216" t="str">
        <f>IF($A598="","",VLOOKUP($A598&amp;"-"&amp;$B598,'Order Summary'!$D:$U,18,FALSE))</f>
        <v/>
      </c>
      <c r="H598" s="55">
        <v>2</v>
      </c>
      <c r="I598" s="55">
        <v>694432</v>
      </c>
      <c r="J598" s="55" t="str">
        <f>VLOOKUP($I598,'Pricing Table - eff 27-Jan-2026'!$A:$R,2,FALSE)</f>
        <v>G1S 694432</v>
      </c>
      <c r="K598" s="55" t="str">
        <f>VLOOKUP($I598,'Pricing Table - eff 27-Jan-2026'!$A:$R,6,FALSE)&amp;" "&amp;VLOOKUP($I598,'Pricing Table - eff 27-Jan-2026'!$A:$R,7,FALSE)&amp;""" x "&amp;VLOOKUP($I598,'Pricing Table - eff 27-Jan-2026'!$A:$R,9,FALSE)&amp;""" "&amp;VLOOKUP($I598,'Pricing Table - eff 27-Jan-2026'!$A:$R,5,FALSE)</f>
        <v>2MM 49" x 96" ACP</v>
      </c>
      <c r="L598" s="55">
        <f>VLOOKUP($I598,'Pricing Table - eff 27-Jan-2026'!$A:$K,8,FALSE)</f>
        <v>1245</v>
      </c>
      <c r="M598" s="55">
        <f>VLOOKUP($I598,'Pricing Table - eff 27-Jan-2026'!$A:$K,10,FALSE)</f>
        <v>2440</v>
      </c>
      <c r="N598" s="55" t="str">
        <f>VLOOKUP($I598,'Pricing Table - eff 27-Jan-2026'!$A:$R,13,FALSE)&amp;" "&amp;VLOOKUP($I598,'Pricing Table - eff 27-Jan-2026'!$A:$R,12,FALSE)</f>
        <v>ASC 0096 GLOSSY BLACK</v>
      </c>
      <c r="O598" s="56">
        <v>6.5330000000000004</v>
      </c>
      <c r="P598" s="55">
        <f>(VLOOKUP($I598,'Pricing Table - eff 27-Jan-2026'!$A:$R,8,FALSE)/1000)*(VLOOKUP($I598,'Pricing Table - eff 27-Jan-2026'!$A:$R,10,FALSE)/1000)*Q598</f>
        <v>607.56000000000006</v>
      </c>
      <c r="Q598" s="55">
        <f>ROUND(('Order Details'!$O598*1000)/((VLOOKUP($I598,'Pricing Table - eff 27-Jan-2026'!$A:$Q,7,FALSE)/12)*(VLOOKUP($I598,'Pricing Table - eff 27-Jan-2026'!$A:$Q,9,FALSE)/12))/5,0)*5</f>
        <v>200</v>
      </c>
      <c r="R598" s="71">
        <f>$Q598/IFERROR(VLOOKUP($F598&amp;RIGHT($K598,8),'Master Data'!$O$5:$P$10,2,FALSE),'Master Data'!$P$4)</f>
        <v>1</v>
      </c>
      <c r="S598" s="57">
        <f>VLOOKUP($I598,'Pricing Table - eff 27-Jan-2026'!$A:$Q,16,FALSE)</f>
        <v>720</v>
      </c>
      <c r="T598" s="57">
        <f>VLOOKUP(I598,'Pricing Table - eff 27-Jan-2026'!$A:$O,15,FALSE)</f>
        <v>7.73</v>
      </c>
      <c r="U598" s="57">
        <f t="shared" si="27"/>
        <v>4703.76</v>
      </c>
      <c r="V598" s="111">
        <f t="shared" si="28"/>
        <v>4696.4388000000008</v>
      </c>
      <c r="W598" s="55">
        <f>VLOOKUP($I598,'Pricing Table - eff 27-Jan-2026'!$A:$R,18,FALSE)</f>
        <v>45</v>
      </c>
    </row>
    <row r="599" spans="1:23" ht="15" hidden="1" thickTop="1" x14ac:dyDescent="0.3">
      <c r="A599" s="55">
        <v>53022400</v>
      </c>
      <c r="B599" s="55">
        <v>0</v>
      </c>
      <c r="C599" s="55" t="str">
        <f>VLOOKUP(A599&amp;"-"&amp;B599,'Order Summary'!$D:$E,2,FALSE)</f>
        <v>PO Received</v>
      </c>
      <c r="D599" s="216">
        <f>IF($A599="","",VLOOKUP($A599&amp;"-"&amp;$B599,'Order Summary'!$D:$U,3,FALSE))</f>
        <v>46112</v>
      </c>
      <c r="E599" s="55" t="str">
        <f>VLOOKUP(A599&amp;"-"&amp;B599,'Order Summary'!$D:$G,4,FALSE)</f>
        <v>Yes</v>
      </c>
      <c r="F599" s="55" t="str">
        <f>VLOOKUP($A599,'Order Summary'!$B:$I,8,FALSE)</f>
        <v>Minneota, MN</v>
      </c>
      <c r="G599" s="216" t="str">
        <f>IF($A599="","",VLOOKUP($A599&amp;"-"&amp;$B599,'Order Summary'!$D:$U,18,FALSE))</f>
        <v/>
      </c>
      <c r="H599" s="55">
        <v>3</v>
      </c>
      <c r="I599" s="55">
        <v>694436</v>
      </c>
      <c r="J599" s="55" t="str">
        <f>VLOOKUP($I599,'Pricing Table - eff 27-Jan-2026'!$A:$R,2,FALSE)</f>
        <v>G1S 694436</v>
      </c>
      <c r="K599" s="55" t="str">
        <f>VLOOKUP($I599,'Pricing Table - eff 27-Jan-2026'!$A:$R,6,FALSE)&amp;" "&amp;VLOOKUP($I599,'Pricing Table - eff 27-Jan-2026'!$A:$R,7,FALSE)&amp;""" x "&amp;VLOOKUP($I599,'Pricing Table - eff 27-Jan-2026'!$A:$R,9,FALSE)&amp;""" "&amp;VLOOKUP($I599,'Pricing Table - eff 27-Jan-2026'!$A:$R,5,FALSE)</f>
        <v>2MM 49" x 96" ACP</v>
      </c>
      <c r="L599" s="55">
        <f>VLOOKUP($I599,'Pricing Table - eff 27-Jan-2026'!$A:$K,8,FALSE)</f>
        <v>1245</v>
      </c>
      <c r="M599" s="55">
        <f>VLOOKUP($I599,'Pricing Table - eff 27-Jan-2026'!$A:$K,10,FALSE)</f>
        <v>2440</v>
      </c>
      <c r="N599" s="55" t="str">
        <f>VLOOKUP($I599,'Pricing Table - eff 27-Jan-2026'!$A:$R,13,FALSE)&amp;" "&amp;VLOOKUP($I599,'Pricing Table - eff 27-Jan-2026'!$A:$R,12,FALSE)</f>
        <v>ASC 0069 GLOSSY WHITE</v>
      </c>
      <c r="O599" s="56">
        <v>13.067</v>
      </c>
      <c r="P599" s="55">
        <f>(VLOOKUP($I599,'Pricing Table - eff 27-Jan-2026'!$A:$R,8,FALSE)/1000)*(VLOOKUP($I599,'Pricing Table - eff 27-Jan-2026'!$A:$R,10,FALSE)/1000)*Q599</f>
        <v>1215.1200000000001</v>
      </c>
      <c r="Q599" s="55">
        <f>ROUND(('Order Details'!$O599*1000)/((VLOOKUP($I599,'Pricing Table - eff 27-Jan-2026'!$A:$Q,7,FALSE)/12)*(VLOOKUP($I599,'Pricing Table - eff 27-Jan-2026'!$A:$Q,9,FALSE)/12))/5,0)*5</f>
        <v>400</v>
      </c>
      <c r="R599" s="71">
        <f>$Q599/IFERROR(VLOOKUP($F599&amp;RIGHT($K599,8),'Master Data'!$O$5:$P$10,2,FALSE),'Master Data'!$P$4)</f>
        <v>2</v>
      </c>
      <c r="S599" s="57">
        <f>VLOOKUP($I599,'Pricing Table - eff 27-Jan-2026'!$A:$Q,16,FALSE)</f>
        <v>720</v>
      </c>
      <c r="T599" s="57">
        <f>VLOOKUP(I599,'Pricing Table - eff 27-Jan-2026'!$A:$O,15,FALSE)</f>
        <v>7.73</v>
      </c>
      <c r="U599" s="57">
        <f t="shared" si="27"/>
        <v>9408.24</v>
      </c>
      <c r="V599" s="111">
        <f t="shared" si="28"/>
        <v>9392.8776000000016</v>
      </c>
      <c r="W599" s="55">
        <f>VLOOKUP($I599,'Pricing Table - eff 27-Jan-2026'!$A:$R,18,FALSE)</f>
        <v>45</v>
      </c>
    </row>
    <row r="600" spans="1:23" ht="15" hidden="1" thickTop="1" x14ac:dyDescent="0.3">
      <c r="A600" s="55">
        <v>53022400</v>
      </c>
      <c r="B600" s="55">
        <v>0</v>
      </c>
      <c r="C600" s="55" t="str">
        <f>VLOOKUP(A600&amp;"-"&amp;B600,'Order Summary'!$D:$E,2,FALSE)</f>
        <v>PO Received</v>
      </c>
      <c r="D600" s="216">
        <f>IF($A600="","",VLOOKUP($A600&amp;"-"&amp;$B600,'Order Summary'!$D:$U,3,FALSE))</f>
        <v>46112</v>
      </c>
      <c r="E600" s="55" t="str">
        <f>VLOOKUP(A600&amp;"-"&amp;B600,'Order Summary'!$D:$G,4,FALSE)</f>
        <v>Yes</v>
      </c>
      <c r="F600" s="55" t="str">
        <f>VLOOKUP($A600,'Order Summary'!$B:$I,8,FALSE)</f>
        <v>Minneota, MN</v>
      </c>
      <c r="G600" s="216" t="str">
        <f>IF($A600="","",VLOOKUP($A600&amp;"-"&amp;$B600,'Order Summary'!$D:$U,18,FALSE))</f>
        <v/>
      </c>
      <c r="H600" s="55">
        <v>4</v>
      </c>
      <c r="I600" s="55">
        <v>694437</v>
      </c>
      <c r="J600" s="55" t="str">
        <f>VLOOKUP($I600,'Pricing Table - eff 27-Jan-2026'!$A:$R,2,FALSE)</f>
        <v>G1S 694437</v>
      </c>
      <c r="K600" s="55" t="str">
        <f>VLOOKUP($I600,'Pricing Table - eff 27-Jan-2026'!$A:$R,6,FALSE)&amp;" "&amp;VLOOKUP($I600,'Pricing Table - eff 27-Jan-2026'!$A:$R,7,FALSE)&amp;""" x "&amp;VLOOKUP($I600,'Pricing Table - eff 27-Jan-2026'!$A:$R,9,FALSE)&amp;""" "&amp;VLOOKUP($I600,'Pricing Table - eff 27-Jan-2026'!$A:$R,5,FALSE)</f>
        <v>2MM 49" x 108" ACP</v>
      </c>
      <c r="L600" s="55">
        <f>VLOOKUP($I600,'Pricing Table - eff 27-Jan-2026'!$A:$K,8,FALSE)</f>
        <v>1245</v>
      </c>
      <c r="M600" s="55">
        <f>VLOOKUP($I600,'Pricing Table - eff 27-Jan-2026'!$A:$K,10,FALSE)</f>
        <v>2745</v>
      </c>
      <c r="N600" s="55" t="str">
        <f>VLOOKUP($I600,'Pricing Table - eff 27-Jan-2026'!$A:$R,13,FALSE)&amp;" "&amp;VLOOKUP($I600,'Pricing Table - eff 27-Jan-2026'!$A:$R,12,FALSE)</f>
        <v>ASC 0069 GLOSSY WHITE</v>
      </c>
      <c r="O600" s="56">
        <v>14.7</v>
      </c>
      <c r="P600" s="55">
        <f>(VLOOKUP($I600,'Pricing Table - eff 27-Jan-2026'!$A:$R,8,FALSE)/1000)*(VLOOKUP($I600,'Pricing Table - eff 27-Jan-2026'!$A:$R,10,FALSE)/1000)*Q600</f>
        <v>1367.0100000000002</v>
      </c>
      <c r="Q600" s="55">
        <f>ROUND(('Order Details'!$O600*1000)/((VLOOKUP($I600,'Pricing Table - eff 27-Jan-2026'!$A:$Q,7,FALSE)/12)*(VLOOKUP($I600,'Pricing Table - eff 27-Jan-2026'!$A:$Q,9,FALSE)/12))/5,0)*5</f>
        <v>400</v>
      </c>
      <c r="R600" s="71">
        <f>$Q600/IFERROR(VLOOKUP($F600&amp;RIGHT($K600,8),'Master Data'!$O$5:$P$10,2,FALSE),'Master Data'!$P$4)</f>
        <v>2</v>
      </c>
      <c r="S600" s="57">
        <f>VLOOKUP($I600,'Pricing Table - eff 27-Jan-2026'!$A:$Q,16,FALSE)</f>
        <v>720</v>
      </c>
      <c r="T600" s="57">
        <f>VLOOKUP(I600,'Pricing Table - eff 27-Jan-2026'!$A:$O,15,FALSE)</f>
        <v>7.73</v>
      </c>
      <c r="U600" s="57">
        <f t="shared" si="27"/>
        <v>10584</v>
      </c>
      <c r="V600" s="111">
        <f t="shared" si="28"/>
        <v>10566.987300000003</v>
      </c>
      <c r="W600" s="55">
        <f>VLOOKUP($I600,'Pricing Table - eff 27-Jan-2026'!$A:$R,18,FALSE)</f>
        <v>45</v>
      </c>
    </row>
    <row r="601" spans="1:23" ht="15" hidden="1" thickTop="1" x14ac:dyDescent="0.3">
      <c r="A601" s="55">
        <v>53022400</v>
      </c>
      <c r="B601" s="55">
        <v>0</v>
      </c>
      <c r="C601" s="55" t="str">
        <f>VLOOKUP(A601&amp;"-"&amp;B601,'Order Summary'!$D:$E,2,FALSE)</f>
        <v>PO Received</v>
      </c>
      <c r="D601" s="216">
        <f>IF($A601="","",VLOOKUP($A601&amp;"-"&amp;$B601,'Order Summary'!$D:$U,3,FALSE))</f>
        <v>46112</v>
      </c>
      <c r="E601" s="55" t="str">
        <f>VLOOKUP(A601&amp;"-"&amp;B601,'Order Summary'!$D:$G,4,FALSE)</f>
        <v>Yes</v>
      </c>
      <c r="F601" s="55" t="str">
        <f>VLOOKUP($A601,'Order Summary'!$B:$I,8,FALSE)</f>
        <v>Minneota, MN</v>
      </c>
      <c r="G601" s="216" t="str">
        <f>IF($A601="","",VLOOKUP($A601&amp;"-"&amp;$B601,'Order Summary'!$D:$U,18,FALSE))</f>
        <v/>
      </c>
      <c r="H601" s="55">
        <v>5</v>
      </c>
      <c r="I601" s="55">
        <v>694440</v>
      </c>
      <c r="J601" s="55" t="str">
        <f>VLOOKUP($I601,'Pricing Table - eff 27-Jan-2026'!$A:$R,2,FALSE)</f>
        <v>G1S 694440</v>
      </c>
      <c r="K601" s="55" t="str">
        <f>VLOOKUP($I601,'Pricing Table - eff 27-Jan-2026'!$A:$R,6,FALSE)&amp;" "&amp;VLOOKUP($I601,'Pricing Table - eff 27-Jan-2026'!$A:$R,7,FALSE)&amp;""" x "&amp;VLOOKUP($I601,'Pricing Table - eff 27-Jan-2026'!$A:$R,9,FALSE)&amp;""" "&amp;VLOOKUP($I601,'Pricing Table - eff 27-Jan-2026'!$A:$R,5,FALSE)</f>
        <v>2MM 49" x 96" ACP</v>
      </c>
      <c r="L601" s="55">
        <f>VLOOKUP($I601,'Pricing Table - eff 27-Jan-2026'!$A:$K,8,FALSE)</f>
        <v>1245</v>
      </c>
      <c r="M601" s="55">
        <f>VLOOKUP($I601,'Pricing Table - eff 27-Jan-2026'!$A:$K,10,FALSE)</f>
        <v>2440</v>
      </c>
      <c r="N601" s="55" t="str">
        <f>VLOOKUP($I601,'Pricing Table - eff 27-Jan-2026'!$A:$R,13,FALSE)&amp;" "&amp;VLOOKUP($I601,'Pricing Table - eff 27-Jan-2026'!$A:$R,12,FALSE)</f>
        <v>AMC 0103 SILVER FROST</v>
      </c>
      <c r="O601" s="56">
        <v>13.067</v>
      </c>
      <c r="P601" s="55">
        <f>(VLOOKUP($I601,'Pricing Table - eff 27-Jan-2026'!$A:$R,8,FALSE)/1000)*(VLOOKUP($I601,'Pricing Table - eff 27-Jan-2026'!$A:$R,10,FALSE)/1000)*Q601</f>
        <v>1215.1200000000001</v>
      </c>
      <c r="Q601" s="55">
        <f>ROUND(('Order Details'!$O601*1000)/((VLOOKUP($I601,'Pricing Table - eff 27-Jan-2026'!$A:$Q,7,FALSE)/12)*(VLOOKUP($I601,'Pricing Table - eff 27-Jan-2026'!$A:$Q,9,FALSE)/12))/5,0)*5</f>
        <v>400</v>
      </c>
      <c r="R601" s="71">
        <f>$Q601/IFERROR(VLOOKUP($F601&amp;RIGHT($K601,8),'Master Data'!$O$5:$P$10,2,FALSE),'Master Data'!$P$4)</f>
        <v>2</v>
      </c>
      <c r="S601" s="57">
        <f>VLOOKUP($I601,'Pricing Table - eff 27-Jan-2026'!$A:$Q,16,FALSE)</f>
        <v>720</v>
      </c>
      <c r="T601" s="57">
        <f>VLOOKUP(I601,'Pricing Table - eff 27-Jan-2026'!$A:$O,15,FALSE)</f>
        <v>7.73</v>
      </c>
      <c r="U601" s="57">
        <f t="shared" si="27"/>
        <v>9408.24</v>
      </c>
      <c r="V601" s="111">
        <f t="shared" si="28"/>
        <v>9392.8776000000016</v>
      </c>
      <c r="W601" s="55">
        <f>VLOOKUP($I601,'Pricing Table - eff 27-Jan-2026'!$A:$R,18,FALSE)</f>
        <v>90</v>
      </c>
    </row>
    <row r="602" spans="1:23" ht="15" hidden="1" thickTop="1" x14ac:dyDescent="0.3">
      <c r="A602" s="55">
        <v>53022400</v>
      </c>
      <c r="B602" s="55">
        <v>0</v>
      </c>
      <c r="C602" s="55" t="str">
        <f>VLOOKUP(A602&amp;"-"&amp;B602,'Order Summary'!$D:$E,2,FALSE)</f>
        <v>PO Received</v>
      </c>
      <c r="D602" s="216">
        <f>IF($A602="","",VLOOKUP($A602&amp;"-"&amp;$B602,'Order Summary'!$D:$U,3,FALSE))</f>
        <v>46112</v>
      </c>
      <c r="E602" s="55" t="str">
        <f>VLOOKUP(A602&amp;"-"&amp;B602,'Order Summary'!$D:$G,4,FALSE)</f>
        <v>Yes</v>
      </c>
      <c r="F602" s="55" t="str">
        <f>VLOOKUP($A602,'Order Summary'!$B:$I,8,FALSE)</f>
        <v>Minneota, MN</v>
      </c>
      <c r="G602" s="216" t="str">
        <f>IF($A602="","",VLOOKUP($A602&amp;"-"&amp;$B602,'Order Summary'!$D:$U,18,FALSE))</f>
        <v/>
      </c>
      <c r="H602" s="55">
        <v>6</v>
      </c>
      <c r="I602" s="55">
        <v>694441</v>
      </c>
      <c r="J602" s="55" t="str">
        <f>VLOOKUP($I602,'Pricing Table - eff 27-Jan-2026'!$A:$R,2,FALSE)</f>
        <v>G1S 694441</v>
      </c>
      <c r="K602" s="55" t="str">
        <f>VLOOKUP($I602,'Pricing Table - eff 27-Jan-2026'!$A:$R,6,FALSE)&amp;" "&amp;VLOOKUP($I602,'Pricing Table - eff 27-Jan-2026'!$A:$R,7,FALSE)&amp;""" x "&amp;VLOOKUP($I602,'Pricing Table - eff 27-Jan-2026'!$A:$R,9,FALSE)&amp;""" "&amp;VLOOKUP($I602,'Pricing Table - eff 27-Jan-2026'!$A:$R,5,FALSE)</f>
        <v>2MM 49" x 108" ACP</v>
      </c>
      <c r="L602" s="55">
        <f>VLOOKUP($I602,'Pricing Table - eff 27-Jan-2026'!$A:$K,8,FALSE)</f>
        <v>1245</v>
      </c>
      <c r="M602" s="55">
        <f>VLOOKUP($I602,'Pricing Table - eff 27-Jan-2026'!$A:$K,10,FALSE)</f>
        <v>2745</v>
      </c>
      <c r="N602" s="55" t="str">
        <f>VLOOKUP($I602,'Pricing Table - eff 27-Jan-2026'!$A:$R,13,FALSE)&amp;" "&amp;VLOOKUP($I602,'Pricing Table - eff 27-Jan-2026'!$A:$R,12,FALSE)</f>
        <v>AMC 0103 SILVER FROST</v>
      </c>
      <c r="O602" s="56">
        <v>14.7</v>
      </c>
      <c r="P602" s="55">
        <f>(VLOOKUP($I602,'Pricing Table - eff 27-Jan-2026'!$A:$R,8,FALSE)/1000)*(VLOOKUP($I602,'Pricing Table - eff 27-Jan-2026'!$A:$R,10,FALSE)/1000)*Q602</f>
        <v>1367.0100000000002</v>
      </c>
      <c r="Q602" s="55">
        <f>ROUND(('Order Details'!$O602*1000)/((VLOOKUP($I602,'Pricing Table - eff 27-Jan-2026'!$A:$Q,7,FALSE)/12)*(VLOOKUP($I602,'Pricing Table - eff 27-Jan-2026'!$A:$Q,9,FALSE)/12))/5,0)*5</f>
        <v>400</v>
      </c>
      <c r="R602" s="71">
        <f>$Q602/IFERROR(VLOOKUP($F602&amp;RIGHT($K602,8),'Master Data'!$O$5:$P$10,2,FALSE),'Master Data'!$P$4)</f>
        <v>2</v>
      </c>
      <c r="S602" s="57">
        <f>VLOOKUP($I602,'Pricing Table - eff 27-Jan-2026'!$A:$Q,16,FALSE)</f>
        <v>720</v>
      </c>
      <c r="T602" s="57">
        <f>VLOOKUP(I602,'Pricing Table - eff 27-Jan-2026'!$A:$O,15,FALSE)</f>
        <v>7.73</v>
      </c>
      <c r="U602" s="57">
        <f t="shared" si="27"/>
        <v>10584</v>
      </c>
      <c r="V602" s="111">
        <f t="shared" si="28"/>
        <v>10566.987300000003</v>
      </c>
      <c r="W602" s="55">
        <f>VLOOKUP($I602,'Pricing Table - eff 27-Jan-2026'!$A:$R,18,FALSE)</f>
        <v>90</v>
      </c>
    </row>
    <row r="603" spans="1:23" ht="15" hidden="1" thickTop="1" x14ac:dyDescent="0.3">
      <c r="A603" s="55">
        <v>53022400</v>
      </c>
      <c r="B603" s="55">
        <v>0</v>
      </c>
      <c r="C603" s="55" t="str">
        <f>VLOOKUP(A603&amp;"-"&amp;B603,'Order Summary'!$D:$E,2,FALSE)</f>
        <v>PO Received</v>
      </c>
      <c r="D603" s="216">
        <f>IF($A603="","",VLOOKUP($A603&amp;"-"&amp;$B603,'Order Summary'!$D:$U,3,FALSE))</f>
        <v>46112</v>
      </c>
      <c r="E603" s="55" t="str">
        <f>VLOOKUP(A603&amp;"-"&amp;B603,'Order Summary'!$D:$G,4,FALSE)</f>
        <v>Yes</v>
      </c>
      <c r="F603" s="55" t="str">
        <f>VLOOKUP($A603,'Order Summary'!$B:$I,8,FALSE)</f>
        <v>Minneota, MN</v>
      </c>
      <c r="G603" s="216" t="str">
        <f>IF($A603="","",VLOOKUP($A603&amp;"-"&amp;$B603,'Order Summary'!$D:$U,18,FALSE))</f>
        <v/>
      </c>
      <c r="H603" s="55">
        <v>7</v>
      </c>
      <c r="I603" s="55">
        <v>694445</v>
      </c>
      <c r="J603" s="55" t="str">
        <f>VLOOKUP($I603,'Pricing Table - eff 27-Jan-2026'!$A:$R,2,FALSE)</f>
        <v>G1S 694445</v>
      </c>
      <c r="K603" s="55" t="str">
        <f>VLOOKUP($I603,'Pricing Table - eff 27-Jan-2026'!$A:$R,6,FALSE)&amp;" "&amp;VLOOKUP($I603,'Pricing Table - eff 27-Jan-2026'!$A:$R,7,FALSE)&amp;""" x "&amp;VLOOKUP($I603,'Pricing Table - eff 27-Jan-2026'!$A:$R,9,FALSE)&amp;""" "&amp;VLOOKUP($I603,'Pricing Table - eff 27-Jan-2026'!$A:$R,5,FALSE)</f>
        <v>2MM 49" x 108" ACP</v>
      </c>
      <c r="L603" s="55">
        <f>VLOOKUP($I603,'Pricing Table - eff 27-Jan-2026'!$A:$K,8,FALSE)</f>
        <v>1245</v>
      </c>
      <c r="M603" s="55">
        <f>VLOOKUP($I603,'Pricing Table - eff 27-Jan-2026'!$A:$K,10,FALSE)</f>
        <v>2745</v>
      </c>
      <c r="N603" s="55" t="str">
        <f>VLOOKUP($I603,'Pricing Table - eff 27-Jan-2026'!$A:$R,13,FALSE)&amp;" "&amp;VLOOKUP($I603,'Pricing Table - eff 27-Jan-2026'!$A:$R,12,FALSE)</f>
        <v>AMC 0086 CHARCOAL METALLIC</v>
      </c>
      <c r="O603" s="56">
        <v>14.7</v>
      </c>
      <c r="P603" s="55">
        <f>(VLOOKUP($I603,'Pricing Table - eff 27-Jan-2026'!$A:$R,8,FALSE)/1000)*(VLOOKUP($I603,'Pricing Table - eff 27-Jan-2026'!$A:$R,10,FALSE)/1000)*Q603</f>
        <v>1367.0100000000002</v>
      </c>
      <c r="Q603" s="55">
        <f>ROUND(('Order Details'!$O603*1000)/((VLOOKUP($I603,'Pricing Table - eff 27-Jan-2026'!$A:$Q,7,FALSE)/12)*(VLOOKUP($I603,'Pricing Table - eff 27-Jan-2026'!$A:$Q,9,FALSE)/12))/5,0)*5</f>
        <v>400</v>
      </c>
      <c r="R603" s="71">
        <f>$Q603/IFERROR(VLOOKUP($F603&amp;RIGHT($K603,8),'Master Data'!$O$5:$P$10,2,FALSE),'Master Data'!$P$4)</f>
        <v>2</v>
      </c>
      <c r="S603" s="57">
        <f>VLOOKUP($I603,'Pricing Table - eff 27-Jan-2026'!$A:$Q,16,FALSE)</f>
        <v>770</v>
      </c>
      <c r="T603" s="57">
        <f>VLOOKUP(I603,'Pricing Table - eff 27-Jan-2026'!$A:$O,15,FALSE)</f>
        <v>8.27</v>
      </c>
      <c r="U603" s="57">
        <f t="shared" si="27"/>
        <v>11319</v>
      </c>
      <c r="V603" s="111">
        <f t="shared" si="28"/>
        <v>11305.172700000001</v>
      </c>
      <c r="W603" s="55">
        <f>VLOOKUP($I603,'Pricing Table - eff 27-Jan-2026'!$A:$R,18,FALSE)</f>
        <v>45</v>
      </c>
    </row>
    <row r="604" spans="1:23" ht="15" hidden="1" thickTop="1" x14ac:dyDescent="0.3">
      <c r="A604" s="55">
        <v>24169131</v>
      </c>
      <c r="B604" s="55">
        <v>1</v>
      </c>
      <c r="C604" s="55" t="str">
        <f>VLOOKUP(A604&amp;"-"&amp;B604,'Order Summary'!$D:$E,2,FALSE)</f>
        <v>Downpayment Received</v>
      </c>
      <c r="D604" s="216">
        <f>IF($A604="","",VLOOKUP($A604&amp;"-"&amp;$B604,'Order Summary'!$D:$U,3,FALSE))</f>
        <v>46032</v>
      </c>
      <c r="E604" s="55" t="str">
        <f>VLOOKUP(A604&amp;"-"&amp;B604,'Order Summary'!$D:$G,4,FALSE)</f>
        <v>Yes</v>
      </c>
      <c r="F604" s="55" t="str">
        <f>VLOOKUP($A604,'Order Summary'!$B:$I,8,FALSE)</f>
        <v>Granger, IN</v>
      </c>
      <c r="G604" s="216">
        <f>IF($A604="","",VLOOKUP($A604&amp;"-"&amp;$B604,'Order Summary'!$D:$U,18,FALSE))</f>
        <v>46185</v>
      </c>
      <c r="H604" s="55">
        <v>1</v>
      </c>
      <c r="I604" s="55">
        <v>695621</v>
      </c>
      <c r="J604" s="55" t="str">
        <f>VLOOKUP($I604,'Pricing Table - eff 27-Jan-2026'!$A:$R,2,FALSE)</f>
        <v>G1S 695621</v>
      </c>
      <c r="K604" s="55" t="str">
        <f>VLOOKUP($I604,'Pricing Table - eff 27-Jan-2026'!$A:$R,6,FALSE)&amp;" "&amp;VLOOKUP($I604,'Pricing Table - eff 27-Jan-2026'!$A:$R,7,FALSE)&amp;""" x "&amp;VLOOKUP($I604,'Pricing Table - eff 27-Jan-2026'!$A:$R,9,FALSE)&amp;""" "&amp;VLOOKUP($I604,'Pricing Table - eff 27-Jan-2026'!$A:$R,5,FALSE)</f>
        <v>2MM 49" x 108" ACP</v>
      </c>
      <c r="L604" s="55">
        <f>VLOOKUP($I604,'Pricing Table - eff 27-Jan-2026'!$A:$K,8,FALSE)</f>
        <v>1245</v>
      </c>
      <c r="M604" s="55">
        <f>VLOOKUP($I604,'Pricing Table - eff 27-Jan-2026'!$A:$K,10,FALSE)</f>
        <v>2745</v>
      </c>
      <c r="N604" s="55" t="str">
        <f>VLOOKUP($I604,'Pricing Table - eff 27-Jan-2026'!$A:$R,13,FALSE)&amp;" "&amp;VLOOKUP($I604,'Pricing Table - eff 27-Jan-2026'!$A:$R,12,FALSE)</f>
        <v>ASC 0105 INDIGO BLUE</v>
      </c>
      <c r="O604" s="56">
        <v>29.4</v>
      </c>
      <c r="P604" s="55">
        <f>(VLOOKUP($I604,'Pricing Table - eff 27-Jan-2026'!$A:$R,8,FALSE)/1000)*(VLOOKUP($I604,'Pricing Table - eff 27-Jan-2026'!$A:$R,10,FALSE)/1000)*Q604</f>
        <v>2734.0200000000004</v>
      </c>
      <c r="Q604" s="55">
        <f>ROUND(('Order Details'!$O604*1000)/((VLOOKUP($I604,'Pricing Table - eff 27-Jan-2026'!$A:$Q,7,FALSE)/12)*(VLOOKUP($I604,'Pricing Table - eff 27-Jan-2026'!$A:$Q,9,FALSE)/12))/5,0)*5</f>
        <v>800</v>
      </c>
      <c r="R604" s="71">
        <f>$Q604/IFERROR(VLOOKUP($F604&amp;RIGHT($K604,8),'Master Data'!$O$5:$P$10,2,FALSE),'Master Data'!$P$4)</f>
        <v>4</v>
      </c>
      <c r="S604" s="57">
        <f>VLOOKUP($I604,'Pricing Table - eff 27-Jan-2026'!$A:$Q,16,FALSE)</f>
        <v>770</v>
      </c>
      <c r="T604" s="57">
        <f>VLOOKUP(I604,'Pricing Table - eff 27-Jan-2026'!$A:$O,15,FALSE)</f>
        <v>8.27</v>
      </c>
      <c r="U604" s="57">
        <f t="shared" si="27"/>
        <v>22638</v>
      </c>
      <c r="V604" s="111">
        <f t="shared" si="28"/>
        <v>22610.345400000002</v>
      </c>
      <c r="W604" s="55">
        <f>VLOOKUP($I604,'Pricing Table - eff 27-Jan-2026'!$A:$R,18,FALSE)</f>
        <v>45</v>
      </c>
    </row>
    <row r="605" spans="1:23" ht="15" hidden="1" thickTop="1" x14ac:dyDescent="0.3">
      <c r="A605" s="55">
        <v>24169131</v>
      </c>
      <c r="B605" s="55">
        <v>1</v>
      </c>
      <c r="C605" s="55" t="str">
        <f>VLOOKUP(A605&amp;"-"&amp;B605,'Order Summary'!$D:$E,2,FALSE)</f>
        <v>Downpayment Received</v>
      </c>
      <c r="D605" s="216">
        <f>IF($A605="","",VLOOKUP($A605&amp;"-"&amp;$B605,'Order Summary'!$D:$U,3,FALSE))</f>
        <v>46032</v>
      </c>
      <c r="E605" s="55" t="str">
        <f>VLOOKUP(A605&amp;"-"&amp;B605,'Order Summary'!$D:$G,4,FALSE)</f>
        <v>Yes</v>
      </c>
      <c r="F605" s="55" t="str">
        <f>VLOOKUP($A605,'Order Summary'!$B:$I,8,FALSE)</f>
        <v>Granger, IN</v>
      </c>
      <c r="G605" s="216">
        <f>IF($A605="","",VLOOKUP($A605&amp;"-"&amp;$B605,'Order Summary'!$D:$U,18,FALSE))</f>
        <v>46185</v>
      </c>
      <c r="H605" s="55">
        <v>2</v>
      </c>
      <c r="I605" s="55">
        <v>694437</v>
      </c>
      <c r="J605" s="55" t="str">
        <f>VLOOKUP($I605,'Pricing Table - eff 27-Jan-2026'!$A:$R,2,FALSE)</f>
        <v>G1S 694437</v>
      </c>
      <c r="K605" s="55" t="str">
        <f>VLOOKUP($I605,'Pricing Table - eff 27-Jan-2026'!$A:$R,6,FALSE)&amp;" "&amp;VLOOKUP($I605,'Pricing Table - eff 27-Jan-2026'!$A:$R,7,FALSE)&amp;""" x "&amp;VLOOKUP($I605,'Pricing Table - eff 27-Jan-2026'!$A:$R,9,FALSE)&amp;""" "&amp;VLOOKUP($I605,'Pricing Table - eff 27-Jan-2026'!$A:$R,5,FALSE)</f>
        <v>2MM 49" x 108" ACP</v>
      </c>
      <c r="L605" s="55">
        <f>VLOOKUP($I605,'Pricing Table - eff 27-Jan-2026'!$A:$K,8,FALSE)</f>
        <v>1245</v>
      </c>
      <c r="M605" s="55">
        <f>VLOOKUP($I605,'Pricing Table - eff 27-Jan-2026'!$A:$K,10,FALSE)</f>
        <v>2745</v>
      </c>
      <c r="N605" s="55" t="str">
        <f>VLOOKUP($I605,'Pricing Table - eff 27-Jan-2026'!$A:$R,13,FALSE)&amp;" "&amp;VLOOKUP($I605,'Pricing Table - eff 27-Jan-2026'!$A:$R,12,FALSE)</f>
        <v>ASC 0069 GLOSSY WHITE</v>
      </c>
      <c r="O605" s="56">
        <v>29.4</v>
      </c>
      <c r="P605" s="55">
        <f>(VLOOKUP($I605,'Pricing Table - eff 27-Jan-2026'!$A:$R,8,FALSE)/1000)*(VLOOKUP($I605,'Pricing Table - eff 27-Jan-2026'!$A:$R,10,FALSE)/1000)*Q605</f>
        <v>2734.0200000000004</v>
      </c>
      <c r="Q605" s="55">
        <f>ROUND(('Order Details'!$O605*1000)/((VLOOKUP($I605,'Pricing Table - eff 27-Jan-2026'!$A:$Q,7,FALSE)/12)*(VLOOKUP($I605,'Pricing Table - eff 27-Jan-2026'!$A:$Q,9,FALSE)/12))/5,0)*5</f>
        <v>800</v>
      </c>
      <c r="R605" s="71">
        <f>$Q605/IFERROR(VLOOKUP($F605&amp;RIGHT($K605,8),'Master Data'!$O$5:$P$10,2,FALSE),'Master Data'!$P$4)</f>
        <v>4</v>
      </c>
      <c r="S605" s="57">
        <f>VLOOKUP($I605,'Pricing Table - eff 27-Jan-2026'!$A:$Q,16,FALSE)</f>
        <v>720</v>
      </c>
      <c r="T605" s="57">
        <f>VLOOKUP(I605,'Pricing Table - eff 27-Jan-2026'!$A:$O,15,FALSE)</f>
        <v>7.73</v>
      </c>
      <c r="U605" s="57">
        <f t="shared" si="27"/>
        <v>21168</v>
      </c>
      <c r="V605" s="111">
        <f t="shared" si="28"/>
        <v>21133.974600000005</v>
      </c>
      <c r="W605" s="55">
        <f>VLOOKUP($I605,'Pricing Table - eff 27-Jan-2026'!$A:$R,18,FALSE)</f>
        <v>45</v>
      </c>
    </row>
    <row r="606" spans="1:23" ht="15" hidden="1" thickTop="1" x14ac:dyDescent="0.3">
      <c r="A606" s="55">
        <v>24169131</v>
      </c>
      <c r="B606" s="55">
        <v>1</v>
      </c>
      <c r="C606" s="55" t="str">
        <f>VLOOKUP(A606&amp;"-"&amp;B606,'Order Summary'!$D:$E,2,FALSE)</f>
        <v>Downpayment Received</v>
      </c>
      <c r="D606" s="216">
        <f>IF($A606="","",VLOOKUP($A606&amp;"-"&amp;$B606,'Order Summary'!$D:$U,3,FALSE))</f>
        <v>46032</v>
      </c>
      <c r="E606" s="55" t="str">
        <f>VLOOKUP(A606&amp;"-"&amp;B606,'Order Summary'!$D:$G,4,FALSE)</f>
        <v>Yes</v>
      </c>
      <c r="F606" s="55" t="str">
        <f>VLOOKUP($A606,'Order Summary'!$B:$I,8,FALSE)</f>
        <v>Granger, IN</v>
      </c>
      <c r="G606" s="216">
        <f>IF($A606="","",VLOOKUP($A606&amp;"-"&amp;$B606,'Order Summary'!$D:$U,18,FALSE))</f>
        <v>46185</v>
      </c>
      <c r="H606" s="55">
        <v>3</v>
      </c>
      <c r="I606" s="55">
        <v>694441</v>
      </c>
      <c r="J606" s="55" t="str">
        <f>VLOOKUP($I606,'Pricing Table - eff 27-Jan-2026'!$A:$R,2,FALSE)</f>
        <v>G1S 694441</v>
      </c>
      <c r="K606" s="55" t="str">
        <f>VLOOKUP($I606,'Pricing Table - eff 27-Jan-2026'!$A:$R,6,FALSE)&amp;" "&amp;VLOOKUP($I606,'Pricing Table - eff 27-Jan-2026'!$A:$R,7,FALSE)&amp;""" x "&amp;VLOOKUP($I606,'Pricing Table - eff 27-Jan-2026'!$A:$R,9,FALSE)&amp;""" "&amp;VLOOKUP($I606,'Pricing Table - eff 27-Jan-2026'!$A:$R,5,FALSE)</f>
        <v>2MM 49" x 108" ACP</v>
      </c>
      <c r="L606" s="55">
        <f>VLOOKUP($I606,'Pricing Table - eff 27-Jan-2026'!$A:$K,8,FALSE)</f>
        <v>1245</v>
      </c>
      <c r="M606" s="55">
        <f>VLOOKUP($I606,'Pricing Table - eff 27-Jan-2026'!$A:$K,10,FALSE)</f>
        <v>2745</v>
      </c>
      <c r="N606" s="55" t="str">
        <f>VLOOKUP($I606,'Pricing Table - eff 27-Jan-2026'!$A:$R,13,FALSE)&amp;" "&amp;VLOOKUP($I606,'Pricing Table - eff 27-Jan-2026'!$A:$R,12,FALSE)</f>
        <v>AMC 0103 SILVER FROST</v>
      </c>
      <c r="O606" s="56">
        <v>14.7</v>
      </c>
      <c r="P606" s="55">
        <f>(VLOOKUP($I606,'Pricing Table - eff 27-Jan-2026'!$A:$R,8,FALSE)/1000)*(VLOOKUP($I606,'Pricing Table - eff 27-Jan-2026'!$A:$R,10,FALSE)/1000)*Q606</f>
        <v>1367.0100000000002</v>
      </c>
      <c r="Q606" s="55">
        <f>ROUND(('Order Details'!$O606*1000)/((VLOOKUP($I606,'Pricing Table - eff 27-Jan-2026'!$A:$Q,7,FALSE)/12)*(VLOOKUP($I606,'Pricing Table - eff 27-Jan-2026'!$A:$Q,9,FALSE)/12))/5,0)*5</f>
        <v>400</v>
      </c>
      <c r="R606" s="71">
        <f>$Q606/IFERROR(VLOOKUP($F606&amp;RIGHT($K606,8),'Master Data'!$O$5:$P$10,2,FALSE),'Master Data'!$P$4)</f>
        <v>2</v>
      </c>
      <c r="S606" s="57">
        <f>VLOOKUP($I606,'Pricing Table - eff 27-Jan-2026'!$A:$Q,16,FALSE)</f>
        <v>720</v>
      </c>
      <c r="T606" s="57">
        <f>VLOOKUP(I606,'Pricing Table - eff 27-Jan-2026'!$A:$O,15,FALSE)</f>
        <v>7.73</v>
      </c>
      <c r="U606" s="57">
        <f t="shared" si="27"/>
        <v>10584</v>
      </c>
      <c r="V606" s="111">
        <f t="shared" si="28"/>
        <v>10566.987300000003</v>
      </c>
      <c r="W606" s="55">
        <f>VLOOKUP($I606,'Pricing Table - eff 27-Jan-2026'!$A:$R,18,FALSE)</f>
        <v>90</v>
      </c>
    </row>
    <row r="607" spans="1:23" ht="15" hidden="1" thickTop="1" x14ac:dyDescent="0.3">
      <c r="A607" s="55">
        <v>24169131</v>
      </c>
      <c r="B607" s="55">
        <v>1</v>
      </c>
      <c r="C607" s="55" t="str">
        <f>VLOOKUP(A607&amp;"-"&amp;B607,'Order Summary'!$D:$E,2,FALSE)</f>
        <v>Downpayment Received</v>
      </c>
      <c r="D607" s="216">
        <f>IF($A607="","",VLOOKUP($A607&amp;"-"&amp;$B607,'Order Summary'!$D:$U,3,FALSE))</f>
        <v>46032</v>
      </c>
      <c r="E607" s="55" t="str">
        <f>VLOOKUP(A607&amp;"-"&amp;B607,'Order Summary'!$D:$G,4,FALSE)</f>
        <v>Yes</v>
      </c>
      <c r="F607" s="55" t="str">
        <f>VLOOKUP($A607,'Order Summary'!$B:$I,8,FALSE)</f>
        <v>Granger, IN</v>
      </c>
      <c r="G607" s="216">
        <f>IF($A607="","",VLOOKUP($A607&amp;"-"&amp;$B607,'Order Summary'!$D:$U,18,FALSE))</f>
        <v>46185</v>
      </c>
      <c r="H607" s="55">
        <v>4</v>
      </c>
      <c r="I607" s="55">
        <v>694433</v>
      </c>
      <c r="J607" s="55" t="str">
        <f>VLOOKUP($I607,'Pricing Table - eff 27-Jan-2026'!$A:$R,2,FALSE)</f>
        <v>G1S 694433</v>
      </c>
      <c r="K607" s="55" t="str">
        <f>VLOOKUP($I607,'Pricing Table - eff 27-Jan-2026'!$A:$R,6,FALSE)&amp;" "&amp;VLOOKUP($I607,'Pricing Table - eff 27-Jan-2026'!$A:$R,7,FALSE)&amp;""" x "&amp;VLOOKUP($I607,'Pricing Table - eff 27-Jan-2026'!$A:$R,9,FALSE)&amp;""" "&amp;VLOOKUP($I607,'Pricing Table - eff 27-Jan-2026'!$A:$R,5,FALSE)</f>
        <v>2MM 49" x 108" ACP</v>
      </c>
      <c r="L607" s="55">
        <f>VLOOKUP($I607,'Pricing Table - eff 27-Jan-2026'!$A:$K,8,FALSE)</f>
        <v>1245</v>
      </c>
      <c r="M607" s="55">
        <f>VLOOKUP($I607,'Pricing Table - eff 27-Jan-2026'!$A:$K,10,FALSE)</f>
        <v>2745</v>
      </c>
      <c r="N607" s="55" t="str">
        <f>VLOOKUP($I607,'Pricing Table - eff 27-Jan-2026'!$A:$R,13,FALSE)&amp;" "&amp;VLOOKUP($I607,'Pricing Table - eff 27-Jan-2026'!$A:$R,12,FALSE)</f>
        <v>ASC 0096 GLOSSY BLACK</v>
      </c>
      <c r="O607" s="56">
        <v>14.7</v>
      </c>
      <c r="P607" s="55">
        <f>(VLOOKUP($I607,'Pricing Table - eff 27-Jan-2026'!$A:$R,8,FALSE)/1000)*(VLOOKUP($I607,'Pricing Table - eff 27-Jan-2026'!$A:$R,10,FALSE)/1000)*Q607</f>
        <v>1367.0100000000002</v>
      </c>
      <c r="Q607" s="55">
        <f>ROUND(('Order Details'!$O607*1000)/((VLOOKUP($I607,'Pricing Table - eff 27-Jan-2026'!$A:$Q,7,FALSE)/12)*(VLOOKUP($I607,'Pricing Table - eff 27-Jan-2026'!$A:$Q,9,FALSE)/12))/5,0)*5</f>
        <v>400</v>
      </c>
      <c r="R607" s="71">
        <f>$Q607/IFERROR(VLOOKUP($F607&amp;RIGHT($K607,8),'Master Data'!$O$5:$P$10,2,FALSE),'Master Data'!$P$4)</f>
        <v>2</v>
      </c>
      <c r="S607" s="57">
        <f>VLOOKUP($I607,'Pricing Table - eff 27-Jan-2026'!$A:$Q,16,FALSE)</f>
        <v>720</v>
      </c>
      <c r="T607" s="57">
        <f>VLOOKUP(I607,'Pricing Table - eff 27-Jan-2026'!$A:$O,15,FALSE)</f>
        <v>7.73</v>
      </c>
      <c r="U607" s="57">
        <f t="shared" si="27"/>
        <v>10584</v>
      </c>
      <c r="V607" s="111">
        <f t="shared" si="28"/>
        <v>10566.987300000003</v>
      </c>
      <c r="W607" s="55">
        <f>VLOOKUP($I607,'Pricing Table - eff 27-Jan-2026'!$A:$R,18,FALSE)</f>
        <v>45</v>
      </c>
    </row>
    <row r="608" spans="1:23" ht="15" hidden="1" thickTop="1" x14ac:dyDescent="0.3">
      <c r="A608" s="55">
        <v>53023614</v>
      </c>
      <c r="B608" s="55">
        <v>0</v>
      </c>
      <c r="C608" s="55" t="str">
        <f>VLOOKUP(A608&amp;"-"&amp;B608,'Order Summary'!$D:$E,2,FALSE)</f>
        <v>PO Received</v>
      </c>
      <c r="D608" s="216">
        <f>IF($A608="","",VLOOKUP($A608&amp;"-"&amp;$B608,'Order Summary'!$D:$U,3,FALSE))</f>
        <v>46115</v>
      </c>
      <c r="E608" s="55" t="str">
        <f>VLOOKUP(A608&amp;"-"&amp;B608,'Order Summary'!$D:$G,4,FALSE)</f>
        <v>Yes</v>
      </c>
      <c r="F608" s="55" t="str">
        <f>VLOOKUP($A608,'Order Summary'!$B:$I,8,FALSE)</f>
        <v>Hillsboro, TX</v>
      </c>
      <c r="G608" s="216" t="str">
        <f>IF($A608="","",VLOOKUP($A608&amp;"-"&amp;$B608,'Order Summary'!$D:$U,18,FALSE))</f>
        <v/>
      </c>
      <c r="H608" s="55">
        <v>1</v>
      </c>
      <c r="I608" s="55">
        <v>709355</v>
      </c>
      <c r="J608" s="55" t="str">
        <f>VLOOKUP($I608,'Pricing Table - eff 27-Jan-2026'!$A:$R,2,FALSE)</f>
        <v>G1S 709355</v>
      </c>
      <c r="K608" s="55" t="str">
        <f>VLOOKUP($I608,'Pricing Table - eff 27-Jan-2026'!$A:$R,6,FALSE)&amp;" "&amp;VLOOKUP($I608,'Pricing Table - eff 27-Jan-2026'!$A:$R,7,FALSE)&amp;""" x "&amp;VLOOKUP($I608,'Pricing Table - eff 27-Jan-2026'!$A:$R,9,FALSE)&amp;""" "&amp;VLOOKUP($I608,'Pricing Table - eff 27-Jan-2026'!$A:$R,5,FALSE)</f>
        <v>2MM 49" x 90.5" ACP</v>
      </c>
      <c r="L608" s="55">
        <f>VLOOKUP($I608,'Pricing Table - eff 27-Jan-2026'!$A:$K,8,FALSE)</f>
        <v>1245</v>
      </c>
      <c r="M608" s="55">
        <f>VLOOKUP($I608,'Pricing Table - eff 27-Jan-2026'!$A:$K,10,FALSE)</f>
        <v>2300</v>
      </c>
      <c r="N608" s="55" t="str">
        <f>VLOOKUP($I608,'Pricing Table - eff 27-Jan-2026'!$A:$R,13,FALSE)&amp;" "&amp;VLOOKUP($I608,'Pricing Table - eff 27-Jan-2026'!$A:$R,12,FALSE)</f>
        <v>ASC 0069 GLOSSY WHITE</v>
      </c>
      <c r="O608" s="56">
        <v>12.318</v>
      </c>
      <c r="P608" s="55">
        <f>(VLOOKUP($I608,'Pricing Table - eff 27-Jan-2026'!$A:$R,8,FALSE)/1000)*(VLOOKUP($I608,'Pricing Table - eff 27-Jan-2026'!$A:$R,10,FALSE)/1000)*Q608</f>
        <v>1145.4000000000001</v>
      </c>
      <c r="Q608" s="55">
        <f>ROUND(('Order Details'!$O608*1000)/((VLOOKUP($I608,'Pricing Table - eff 27-Jan-2026'!$A:$Q,7,FALSE)/12)*(VLOOKUP($I608,'Pricing Table - eff 27-Jan-2026'!$A:$Q,9,FALSE)/12))/5,0)*5</f>
        <v>400</v>
      </c>
      <c r="R608" s="71">
        <f>$Q608/IFERROR(VLOOKUP($F608&amp;RIGHT($K608,8),'Master Data'!$O$5:$P$10,2,FALSE),'Master Data'!$P$4)</f>
        <v>2</v>
      </c>
      <c r="S608" s="57">
        <f>VLOOKUP($I608,'Pricing Table - eff 27-Jan-2026'!$A:$Q,16,FALSE)</f>
        <v>720</v>
      </c>
      <c r="T608" s="57">
        <f>VLOOKUP(I608,'Pricing Table - eff 27-Jan-2026'!$A:$O,15,FALSE)</f>
        <v>7.73</v>
      </c>
      <c r="U608" s="57">
        <f t="shared" si="27"/>
        <v>8868.9599999999991</v>
      </c>
      <c r="V608" s="111">
        <f t="shared" si="28"/>
        <v>8853.9420000000009</v>
      </c>
      <c r="W608" s="55">
        <f>VLOOKUP($I608,'Pricing Table - eff 27-Jan-2026'!$A:$R,18,FALSE)</f>
        <v>45</v>
      </c>
    </row>
    <row r="609" spans="1:23" ht="15" hidden="1" thickTop="1" x14ac:dyDescent="0.3">
      <c r="A609" s="55">
        <v>53023614</v>
      </c>
      <c r="B609" s="55">
        <v>0</v>
      </c>
      <c r="C609" s="55" t="str">
        <f>VLOOKUP(A609&amp;"-"&amp;B609,'Order Summary'!$D:$E,2,FALSE)</f>
        <v>PO Received</v>
      </c>
      <c r="D609" s="216">
        <f>IF($A609="","",VLOOKUP($A609&amp;"-"&amp;$B609,'Order Summary'!$D:$U,3,FALSE))</f>
        <v>46115</v>
      </c>
      <c r="E609" s="55" t="str">
        <f>VLOOKUP(A609&amp;"-"&amp;B609,'Order Summary'!$D:$G,4,FALSE)</f>
        <v>Yes</v>
      </c>
      <c r="F609" s="55" t="str">
        <f>VLOOKUP($A609,'Order Summary'!$B:$I,8,FALSE)</f>
        <v>Hillsboro, TX</v>
      </c>
      <c r="G609" s="216" t="str">
        <f>IF($A609="","",VLOOKUP($A609&amp;"-"&amp;$B609,'Order Summary'!$D:$U,18,FALSE))</f>
        <v/>
      </c>
      <c r="H609" s="55">
        <v>2</v>
      </c>
      <c r="I609" s="55">
        <v>694436</v>
      </c>
      <c r="J609" s="55" t="str">
        <f>VLOOKUP($I609,'Pricing Table - eff 27-Jan-2026'!$A:$R,2,FALSE)</f>
        <v>G1S 694436</v>
      </c>
      <c r="K609" s="55" t="str">
        <f>VLOOKUP($I609,'Pricing Table - eff 27-Jan-2026'!$A:$R,6,FALSE)&amp;" "&amp;VLOOKUP($I609,'Pricing Table - eff 27-Jan-2026'!$A:$R,7,FALSE)&amp;""" x "&amp;VLOOKUP($I609,'Pricing Table - eff 27-Jan-2026'!$A:$R,9,FALSE)&amp;""" "&amp;VLOOKUP($I609,'Pricing Table - eff 27-Jan-2026'!$A:$R,5,FALSE)</f>
        <v>2MM 49" x 96" ACP</v>
      </c>
      <c r="L609" s="55">
        <f>VLOOKUP($I609,'Pricing Table - eff 27-Jan-2026'!$A:$K,8,FALSE)</f>
        <v>1245</v>
      </c>
      <c r="M609" s="55">
        <f>VLOOKUP($I609,'Pricing Table - eff 27-Jan-2026'!$A:$K,10,FALSE)</f>
        <v>2440</v>
      </c>
      <c r="N609" s="55" t="str">
        <f>VLOOKUP($I609,'Pricing Table - eff 27-Jan-2026'!$A:$R,13,FALSE)&amp;" "&amp;VLOOKUP($I609,'Pricing Table - eff 27-Jan-2026'!$A:$R,12,FALSE)</f>
        <v>ASC 0069 GLOSSY WHITE</v>
      </c>
      <c r="O609" s="56">
        <v>19.600000000000001</v>
      </c>
      <c r="P609" s="55">
        <f>(VLOOKUP($I609,'Pricing Table - eff 27-Jan-2026'!$A:$R,8,FALSE)/1000)*(VLOOKUP($I609,'Pricing Table - eff 27-Jan-2026'!$A:$R,10,FALSE)/1000)*Q609</f>
        <v>1822.68</v>
      </c>
      <c r="Q609" s="55">
        <f>ROUND(('Order Details'!$O609*1000)/((VLOOKUP($I609,'Pricing Table - eff 27-Jan-2026'!$A:$Q,7,FALSE)/12)*(VLOOKUP($I609,'Pricing Table - eff 27-Jan-2026'!$A:$Q,9,FALSE)/12))/5,0)*5</f>
        <v>600</v>
      </c>
      <c r="R609" s="71">
        <f>$Q609/IFERROR(VLOOKUP($F609&amp;RIGHT($K609,8),'Master Data'!$O$5:$P$10,2,FALSE),'Master Data'!$P$4)</f>
        <v>3</v>
      </c>
      <c r="S609" s="57">
        <f>VLOOKUP($I609,'Pricing Table - eff 27-Jan-2026'!$A:$Q,16,FALSE)</f>
        <v>720</v>
      </c>
      <c r="T609" s="57">
        <f>VLOOKUP(I609,'Pricing Table - eff 27-Jan-2026'!$A:$O,15,FALSE)</f>
        <v>7.73</v>
      </c>
      <c r="U609" s="57">
        <f t="shared" si="27"/>
        <v>14112.000000000002</v>
      </c>
      <c r="V609" s="111">
        <f t="shared" si="28"/>
        <v>14089.316400000002</v>
      </c>
      <c r="W609" s="55">
        <f>VLOOKUP($I609,'Pricing Table - eff 27-Jan-2026'!$A:$R,18,FALSE)</f>
        <v>45</v>
      </c>
    </row>
    <row r="610" spans="1:23" ht="15" hidden="1" thickTop="1" x14ac:dyDescent="0.3">
      <c r="A610" s="55">
        <v>53023614</v>
      </c>
      <c r="B610" s="55">
        <v>0</v>
      </c>
      <c r="C610" s="55" t="str">
        <f>VLOOKUP(A610&amp;"-"&amp;B610,'Order Summary'!$D:$E,2,FALSE)</f>
        <v>PO Received</v>
      </c>
      <c r="D610" s="216">
        <f>IF($A610="","",VLOOKUP($A610&amp;"-"&amp;$B610,'Order Summary'!$D:$U,3,FALSE))</f>
        <v>46115</v>
      </c>
      <c r="E610" s="55" t="str">
        <f>VLOOKUP(A610&amp;"-"&amp;B610,'Order Summary'!$D:$G,4,FALSE)</f>
        <v>Yes</v>
      </c>
      <c r="F610" s="55" t="str">
        <f>VLOOKUP($A610,'Order Summary'!$B:$I,8,FALSE)</f>
        <v>Hillsboro, TX</v>
      </c>
      <c r="G610" s="216" t="str">
        <f>IF($A610="","",VLOOKUP($A610&amp;"-"&amp;$B610,'Order Summary'!$D:$U,18,FALSE))</f>
        <v/>
      </c>
      <c r="H610" s="55">
        <v>3</v>
      </c>
      <c r="I610" s="55">
        <v>709525</v>
      </c>
      <c r="J610" s="55" t="str">
        <f>VLOOKUP($I610,'Pricing Table - eff 27-Jan-2026'!$A:$R,2,FALSE)</f>
        <v>G1S 709525</v>
      </c>
      <c r="K610" s="55" t="str">
        <f>VLOOKUP($I610,'Pricing Table - eff 27-Jan-2026'!$A:$R,6,FALSE)&amp;" "&amp;VLOOKUP($I610,'Pricing Table - eff 27-Jan-2026'!$A:$R,7,FALSE)&amp;""" x "&amp;VLOOKUP($I610,'Pricing Table - eff 27-Jan-2026'!$A:$R,9,FALSE)&amp;""" "&amp;VLOOKUP($I610,'Pricing Table - eff 27-Jan-2026'!$A:$R,5,FALSE)</f>
        <v>2MM 49" x 90.5" ACP</v>
      </c>
      <c r="L610" s="55">
        <f>VLOOKUP($I610,'Pricing Table - eff 27-Jan-2026'!$A:$K,8,FALSE)</f>
        <v>1245</v>
      </c>
      <c r="M610" s="55">
        <f>VLOOKUP($I610,'Pricing Table - eff 27-Jan-2026'!$A:$K,10,FALSE)</f>
        <v>2300</v>
      </c>
      <c r="N610" s="55" t="str">
        <f>VLOOKUP($I610,'Pricing Table - eff 27-Jan-2026'!$A:$R,13,FALSE)&amp;" "&amp;VLOOKUP($I610,'Pricing Table - eff 27-Jan-2026'!$A:$R,12,FALSE)</f>
        <v>AMC 0103 SILVER FROST</v>
      </c>
      <c r="O610" s="56">
        <v>18.477</v>
      </c>
      <c r="P610" s="55">
        <f>(VLOOKUP($I610,'Pricing Table - eff 27-Jan-2026'!$A:$R,8,FALSE)/1000)*(VLOOKUP($I610,'Pricing Table - eff 27-Jan-2026'!$A:$R,10,FALSE)/1000)*Q610</f>
        <v>1718.1000000000001</v>
      </c>
      <c r="Q610" s="55">
        <f>ROUND(('Order Details'!$O610*1000)/((VLOOKUP($I610,'Pricing Table - eff 27-Jan-2026'!$A:$Q,7,FALSE)/12)*(VLOOKUP($I610,'Pricing Table - eff 27-Jan-2026'!$A:$Q,9,FALSE)/12))/5,0)*5</f>
        <v>600</v>
      </c>
      <c r="R610" s="71">
        <f>$Q610/IFERROR(VLOOKUP($F610&amp;RIGHT($K610,8),'Master Data'!$O$5:$P$10,2,FALSE),'Master Data'!$P$4)</f>
        <v>3</v>
      </c>
      <c r="S610" s="57">
        <f>VLOOKUP($I610,'Pricing Table - eff 27-Jan-2026'!$A:$Q,16,FALSE)</f>
        <v>720</v>
      </c>
      <c r="T610" s="57">
        <f>VLOOKUP(I610,'Pricing Table - eff 27-Jan-2026'!$A:$O,15,FALSE)</f>
        <v>7.73</v>
      </c>
      <c r="U610" s="57">
        <f t="shared" si="27"/>
        <v>13303.44</v>
      </c>
      <c r="V610" s="111">
        <f t="shared" si="28"/>
        <v>13280.913000000002</v>
      </c>
      <c r="W610" s="55">
        <f>VLOOKUP($I610,'Pricing Table - eff 27-Jan-2026'!$A:$R,18,FALSE)</f>
        <v>90</v>
      </c>
    </row>
    <row r="611" spans="1:23" ht="15" hidden="1" thickTop="1" x14ac:dyDescent="0.3">
      <c r="A611" s="55">
        <v>53023614</v>
      </c>
      <c r="B611" s="55">
        <v>0</v>
      </c>
      <c r="C611" s="55" t="str">
        <f>VLOOKUP(A611&amp;"-"&amp;B611,'Order Summary'!$D:$E,2,FALSE)</f>
        <v>PO Received</v>
      </c>
      <c r="D611" s="216">
        <f>IF($A611="","",VLOOKUP($A611&amp;"-"&amp;$B611,'Order Summary'!$D:$U,3,FALSE))</f>
        <v>46115</v>
      </c>
      <c r="E611" s="55" t="str">
        <f>VLOOKUP(A611&amp;"-"&amp;B611,'Order Summary'!$D:$G,4,FALSE)</f>
        <v>Yes</v>
      </c>
      <c r="F611" s="55" t="str">
        <f>VLOOKUP($A611,'Order Summary'!$B:$I,8,FALSE)</f>
        <v>Hillsboro, TX</v>
      </c>
      <c r="G611" s="216" t="str">
        <f>IF($A611="","",VLOOKUP($A611&amp;"-"&amp;$B611,'Order Summary'!$D:$U,18,FALSE))</f>
        <v/>
      </c>
      <c r="H611" s="55">
        <v>4</v>
      </c>
      <c r="I611" s="55">
        <v>694440</v>
      </c>
      <c r="J611" s="55" t="str">
        <f>VLOOKUP($I611,'Pricing Table - eff 27-Jan-2026'!$A:$R,2,FALSE)</f>
        <v>G1S 694440</v>
      </c>
      <c r="K611" s="55" t="str">
        <f>VLOOKUP($I611,'Pricing Table - eff 27-Jan-2026'!$A:$R,6,FALSE)&amp;" "&amp;VLOOKUP($I611,'Pricing Table - eff 27-Jan-2026'!$A:$R,7,FALSE)&amp;""" x "&amp;VLOOKUP($I611,'Pricing Table - eff 27-Jan-2026'!$A:$R,9,FALSE)&amp;""" "&amp;VLOOKUP($I611,'Pricing Table - eff 27-Jan-2026'!$A:$R,5,FALSE)</f>
        <v>2MM 49" x 96" ACP</v>
      </c>
      <c r="L611" s="55">
        <f>VLOOKUP($I611,'Pricing Table - eff 27-Jan-2026'!$A:$K,8,FALSE)</f>
        <v>1245</v>
      </c>
      <c r="M611" s="55">
        <f>VLOOKUP($I611,'Pricing Table - eff 27-Jan-2026'!$A:$K,10,FALSE)</f>
        <v>2440</v>
      </c>
      <c r="N611" s="55" t="str">
        <f>VLOOKUP($I611,'Pricing Table - eff 27-Jan-2026'!$A:$R,13,FALSE)&amp;" "&amp;VLOOKUP($I611,'Pricing Table - eff 27-Jan-2026'!$A:$R,12,FALSE)</f>
        <v>AMC 0103 SILVER FROST</v>
      </c>
      <c r="O611" s="56">
        <v>19.600000000000001</v>
      </c>
      <c r="P611" s="55">
        <f>(VLOOKUP($I611,'Pricing Table - eff 27-Jan-2026'!$A:$R,8,FALSE)/1000)*(VLOOKUP($I611,'Pricing Table - eff 27-Jan-2026'!$A:$R,10,FALSE)/1000)*Q611</f>
        <v>1822.68</v>
      </c>
      <c r="Q611" s="55">
        <f>ROUND(('Order Details'!$O611*1000)/((VLOOKUP($I611,'Pricing Table - eff 27-Jan-2026'!$A:$Q,7,FALSE)/12)*(VLOOKUP($I611,'Pricing Table - eff 27-Jan-2026'!$A:$Q,9,FALSE)/12))/5,0)*5</f>
        <v>600</v>
      </c>
      <c r="R611" s="71">
        <f>$Q611/IFERROR(VLOOKUP($F611&amp;RIGHT($K611,8),'Master Data'!$O$5:$P$10,2,FALSE),'Master Data'!$P$4)</f>
        <v>3</v>
      </c>
      <c r="S611" s="57">
        <f>VLOOKUP($I611,'Pricing Table - eff 27-Jan-2026'!$A:$Q,16,FALSE)</f>
        <v>720</v>
      </c>
      <c r="T611" s="57">
        <f>VLOOKUP(I611,'Pricing Table - eff 27-Jan-2026'!$A:$O,15,FALSE)</f>
        <v>7.73</v>
      </c>
      <c r="U611" s="57">
        <f t="shared" si="27"/>
        <v>14112.000000000002</v>
      </c>
      <c r="V611" s="111">
        <f t="shared" si="28"/>
        <v>14089.316400000002</v>
      </c>
      <c r="W611" s="55">
        <f>VLOOKUP($I611,'Pricing Table - eff 27-Jan-2026'!$A:$R,18,FALSE)</f>
        <v>90</v>
      </c>
    </row>
    <row r="612" spans="1:23" ht="15" hidden="1" thickTop="1" x14ac:dyDescent="0.3">
      <c r="A612" s="55">
        <v>53023614</v>
      </c>
      <c r="B612" s="55">
        <v>0</v>
      </c>
      <c r="C612" s="55" t="str">
        <f>VLOOKUP(A612&amp;"-"&amp;B612,'Order Summary'!$D:$E,2,FALSE)</f>
        <v>PO Received</v>
      </c>
      <c r="D612" s="216">
        <f>IF($A612="","",VLOOKUP($A612&amp;"-"&amp;$B612,'Order Summary'!$D:$U,3,FALSE))</f>
        <v>46115</v>
      </c>
      <c r="E612" s="55" t="str">
        <f>VLOOKUP(A612&amp;"-"&amp;B612,'Order Summary'!$D:$G,4,FALSE)</f>
        <v>Yes</v>
      </c>
      <c r="F612" s="55" t="str">
        <f>VLOOKUP($A612,'Order Summary'!$B:$I,8,FALSE)</f>
        <v>Hillsboro, TX</v>
      </c>
      <c r="G612" s="216" t="str">
        <f>IF($A612="","",VLOOKUP($A612&amp;"-"&amp;$B612,'Order Summary'!$D:$U,18,FALSE))</f>
        <v/>
      </c>
      <c r="H612" s="55">
        <v>5</v>
      </c>
      <c r="I612" s="55">
        <v>694446</v>
      </c>
      <c r="J612" s="55" t="str">
        <f>VLOOKUP($I612,'Pricing Table - eff 27-Jan-2026'!$A:$R,2,FALSE)</f>
        <v>G1S 694446</v>
      </c>
      <c r="K612" s="55" t="str">
        <f>VLOOKUP($I612,'Pricing Table - eff 27-Jan-2026'!$A:$R,6,FALSE)&amp;" "&amp;VLOOKUP($I612,'Pricing Table - eff 27-Jan-2026'!$A:$R,7,FALSE)&amp;""" x "&amp;VLOOKUP($I612,'Pricing Table - eff 27-Jan-2026'!$A:$R,9,FALSE)&amp;""" "&amp;VLOOKUP($I612,'Pricing Table - eff 27-Jan-2026'!$A:$R,5,FALSE)</f>
        <v>2MM 49" x 144" ACP</v>
      </c>
      <c r="L612" s="55">
        <f>VLOOKUP($I612,'Pricing Table - eff 27-Jan-2026'!$A:$K,8,FALSE)</f>
        <v>1245</v>
      </c>
      <c r="M612" s="55">
        <f>VLOOKUP($I612,'Pricing Table - eff 27-Jan-2026'!$A:$K,10,FALSE)</f>
        <v>3658</v>
      </c>
      <c r="N612" s="55" t="str">
        <f>VLOOKUP($I612,'Pricing Table - eff 27-Jan-2026'!$A:$R,13,FALSE)&amp;" "&amp;VLOOKUP($I612,'Pricing Table - eff 27-Jan-2026'!$A:$R,12,FALSE)</f>
        <v>AMC 0086 CHARCOAL METALLIC</v>
      </c>
      <c r="O612" s="56">
        <v>9.8000000000000007</v>
      </c>
      <c r="P612" s="55">
        <f>(VLOOKUP($I612,'Pricing Table - eff 27-Jan-2026'!$A:$R,8,FALSE)/1000)*(VLOOKUP($I612,'Pricing Table - eff 27-Jan-2026'!$A:$R,10,FALSE)/1000)*Q612</f>
        <v>910.8420000000001</v>
      </c>
      <c r="Q612" s="55">
        <f>ROUND(('Order Details'!$O612*1000)/((VLOOKUP($I612,'Pricing Table - eff 27-Jan-2026'!$A:$Q,7,FALSE)/12)*(VLOOKUP($I612,'Pricing Table - eff 27-Jan-2026'!$A:$Q,9,FALSE)/12))/5,0)*5</f>
        <v>200</v>
      </c>
      <c r="R612" s="71">
        <f>$Q612/IFERROR(VLOOKUP($F612&amp;RIGHT($K612,8),'Master Data'!$O$5:$P$10,2,FALSE),'Master Data'!$P$4)</f>
        <v>1</v>
      </c>
      <c r="S612" s="57">
        <f>VLOOKUP($I612,'Pricing Table - eff 27-Jan-2026'!$A:$Q,16,FALSE)</f>
        <v>770</v>
      </c>
      <c r="T612" s="57">
        <f>VLOOKUP(I612,'Pricing Table - eff 27-Jan-2026'!$A:$O,15,FALSE)</f>
        <v>8.27</v>
      </c>
      <c r="U612" s="57">
        <f t="shared" si="27"/>
        <v>7546.0000000000009</v>
      </c>
      <c r="V612" s="111">
        <f t="shared" si="28"/>
        <v>7532.6633400000001</v>
      </c>
      <c r="W612" s="55">
        <f>VLOOKUP($I612,'Pricing Table - eff 27-Jan-2026'!$A:$R,18,FALSE)</f>
        <v>45</v>
      </c>
    </row>
    <row r="613" spans="1:23" ht="15" hidden="1" thickTop="1" x14ac:dyDescent="0.3">
      <c r="A613" s="55">
        <v>53023614</v>
      </c>
      <c r="B613" s="55">
        <v>0</v>
      </c>
      <c r="C613" s="55" t="str">
        <f>VLOOKUP(A613&amp;"-"&amp;B613,'Order Summary'!$D:$E,2,FALSE)</f>
        <v>PO Received</v>
      </c>
      <c r="D613" s="216">
        <f>IF($A613="","",VLOOKUP($A613&amp;"-"&amp;$B613,'Order Summary'!$D:$U,3,FALSE))</f>
        <v>46115</v>
      </c>
      <c r="E613" s="55" t="str">
        <f>VLOOKUP(A613&amp;"-"&amp;B613,'Order Summary'!$D:$G,4,FALSE)</f>
        <v>Yes</v>
      </c>
      <c r="F613" s="55" t="str">
        <f>VLOOKUP($A613,'Order Summary'!$B:$I,8,FALSE)</f>
        <v>Hillsboro, TX</v>
      </c>
      <c r="G613" s="216" t="str">
        <f>IF($A613="","",VLOOKUP($A613&amp;"-"&amp;$B613,'Order Summary'!$D:$U,18,FALSE))</f>
        <v/>
      </c>
      <c r="H613" s="55">
        <v>6</v>
      </c>
      <c r="I613" s="55">
        <v>694673</v>
      </c>
      <c r="J613" s="55" t="str">
        <f>VLOOKUP($I613,'Pricing Table - eff 27-Jan-2026'!$A:$R,2,FALSE)</f>
        <v>G1S 694673</v>
      </c>
      <c r="K613" s="55" t="str">
        <f>VLOOKUP($I613,'Pricing Table - eff 27-Jan-2026'!$A:$R,6,FALSE)&amp;" "&amp;VLOOKUP($I613,'Pricing Table - eff 27-Jan-2026'!$A:$R,7,FALSE)&amp;""" x "&amp;VLOOKUP($I613,'Pricing Table - eff 27-Jan-2026'!$A:$R,9,FALSE)&amp;""" "&amp;VLOOKUP($I613,'Pricing Table - eff 27-Jan-2026'!$A:$R,5,FALSE)</f>
        <v>2MM 49" x 108" ACP</v>
      </c>
      <c r="L613" s="55">
        <f>VLOOKUP($I613,'Pricing Table - eff 27-Jan-2026'!$A:$K,8,FALSE)</f>
        <v>1245</v>
      </c>
      <c r="M613" s="55">
        <f>VLOOKUP($I613,'Pricing Table - eff 27-Jan-2026'!$A:$K,10,FALSE)</f>
        <v>2745</v>
      </c>
      <c r="N613" s="55" t="str">
        <f>VLOOKUP($I613,'Pricing Table - eff 27-Jan-2026'!$A:$R,13,FALSE)&amp;" "&amp;VLOOKUP($I613,'Pricing Table - eff 27-Jan-2026'!$A:$R,12,FALSE)</f>
        <v>ASC 0089 VICTORY RED</v>
      </c>
      <c r="O613" s="56">
        <v>7.35</v>
      </c>
      <c r="P613" s="55">
        <f>(VLOOKUP($I613,'Pricing Table - eff 27-Jan-2026'!$A:$R,8,FALSE)/1000)*(VLOOKUP($I613,'Pricing Table - eff 27-Jan-2026'!$A:$R,10,FALSE)/1000)*Q613</f>
        <v>683.50500000000011</v>
      </c>
      <c r="Q613" s="55">
        <f>ROUND(('Order Details'!$O613*1000)/((VLOOKUP($I613,'Pricing Table - eff 27-Jan-2026'!$A:$Q,7,FALSE)/12)*(VLOOKUP($I613,'Pricing Table - eff 27-Jan-2026'!$A:$Q,9,FALSE)/12))/5,0)*5</f>
        <v>200</v>
      </c>
      <c r="R613" s="71">
        <f>$Q613/IFERROR(VLOOKUP($F613&amp;RIGHT($K613,8),'Master Data'!$O$5:$P$10,2,FALSE),'Master Data'!$P$4)</f>
        <v>1</v>
      </c>
      <c r="S613" s="57">
        <f>VLOOKUP($I613,'Pricing Table - eff 27-Jan-2026'!$A:$Q,16,FALSE)</f>
        <v>720</v>
      </c>
      <c r="T613" s="57">
        <f>VLOOKUP(I613,'Pricing Table - eff 27-Jan-2026'!$A:$O,15,FALSE)</f>
        <v>7.73</v>
      </c>
      <c r="U613" s="57">
        <f t="shared" si="27"/>
        <v>5292</v>
      </c>
      <c r="V613" s="111">
        <f t="shared" si="28"/>
        <v>5283.4936500000013</v>
      </c>
      <c r="W613" s="55">
        <f>VLOOKUP($I613,'Pricing Table - eff 27-Jan-2026'!$A:$R,18,FALSE)</f>
        <v>45</v>
      </c>
    </row>
    <row r="614" spans="1:23" ht="15" hidden="1" thickTop="1" x14ac:dyDescent="0.3">
      <c r="A614" s="55">
        <v>53023619</v>
      </c>
      <c r="B614" s="55">
        <v>0</v>
      </c>
      <c r="C614" s="55" t="str">
        <f>VLOOKUP(A614&amp;"-"&amp;B614,'Order Summary'!$D:$E,2,FALSE)</f>
        <v>PO Received</v>
      </c>
      <c r="D614" s="216">
        <f>IF($A614="","",VLOOKUP($A614&amp;"-"&amp;$B614,'Order Summary'!$D:$U,3,FALSE))</f>
        <v>46115</v>
      </c>
      <c r="E614" s="55" t="str">
        <f>VLOOKUP(A614&amp;"-"&amp;B614,'Order Summary'!$D:$G,4,FALSE)</f>
        <v>Yes</v>
      </c>
      <c r="F614" s="55" t="str">
        <f>VLOOKUP($A614,'Order Summary'!$B:$I,8,FALSE)</f>
        <v>Hillsboro, TX</v>
      </c>
      <c r="G614" s="216" t="str">
        <f>IF($A614="","",VLOOKUP($A614&amp;"-"&amp;$B614,'Order Summary'!$D:$U,18,FALSE))</f>
        <v/>
      </c>
      <c r="H614" s="55">
        <v>1</v>
      </c>
      <c r="I614" s="55">
        <v>709354</v>
      </c>
      <c r="J614" s="55" t="str">
        <f>VLOOKUP($I614,'Pricing Table - eff 27-Jan-2026'!$A:$R,2,FALSE)</f>
        <v>G1S 709354</v>
      </c>
      <c r="K614" s="55" t="str">
        <f>VLOOKUP($I614,'Pricing Table - eff 27-Jan-2026'!$A:$R,6,FALSE)&amp;" "&amp;VLOOKUP($I614,'Pricing Table - eff 27-Jan-2026'!$A:$R,7,FALSE)&amp;""" x "&amp;VLOOKUP($I614,'Pricing Table - eff 27-Jan-2026'!$A:$R,9,FALSE)&amp;""" "&amp;VLOOKUP($I614,'Pricing Table - eff 27-Jan-2026'!$A:$R,5,FALSE)</f>
        <v>2MM 49" x 90.5" ACP</v>
      </c>
      <c r="L614" s="55">
        <f>VLOOKUP($I614,'Pricing Table - eff 27-Jan-2026'!$A:$K,8,FALSE)</f>
        <v>1245</v>
      </c>
      <c r="M614" s="55">
        <f>VLOOKUP($I614,'Pricing Table - eff 27-Jan-2026'!$A:$K,10,FALSE)</f>
        <v>2300</v>
      </c>
      <c r="N614" s="55" t="str">
        <f>VLOOKUP($I614,'Pricing Table - eff 27-Jan-2026'!$A:$R,13,FALSE)&amp;" "&amp;VLOOKUP($I614,'Pricing Table - eff 27-Jan-2026'!$A:$R,12,FALSE)</f>
        <v>ASC 0096 GLOSSY BLACK</v>
      </c>
      <c r="O614" s="56">
        <v>43.113</v>
      </c>
      <c r="P614" s="55">
        <f>(VLOOKUP($I614,'Pricing Table - eff 27-Jan-2026'!$A:$R,8,FALSE)/1000)*(VLOOKUP($I614,'Pricing Table - eff 27-Jan-2026'!$A:$R,10,FALSE)/1000)*Q614</f>
        <v>4008.9</v>
      </c>
      <c r="Q614" s="55">
        <f>ROUND(('Order Details'!$O614*1000)/((VLOOKUP($I614,'Pricing Table - eff 27-Jan-2026'!$A:$Q,7,FALSE)/12)*(VLOOKUP($I614,'Pricing Table - eff 27-Jan-2026'!$A:$Q,9,FALSE)/12))/5,0)*5</f>
        <v>1400</v>
      </c>
      <c r="R614" s="71">
        <f>$Q614/IFERROR(VLOOKUP($F614&amp;RIGHT($K614,8),'Master Data'!$O$5:$P$10,2,FALSE),'Master Data'!$P$4)</f>
        <v>7</v>
      </c>
      <c r="S614" s="57">
        <f>VLOOKUP($I614,'Pricing Table - eff 27-Jan-2026'!$A:$Q,16,FALSE)</f>
        <v>720</v>
      </c>
      <c r="T614" s="57">
        <f>VLOOKUP(I614,'Pricing Table - eff 27-Jan-2026'!$A:$O,15,FALSE)</f>
        <v>7.73</v>
      </c>
      <c r="U614" s="57">
        <f t="shared" si="27"/>
        <v>31041.360000000001</v>
      </c>
      <c r="V614" s="111">
        <f t="shared" si="28"/>
        <v>30988.797000000002</v>
      </c>
      <c r="W614" s="55">
        <f>VLOOKUP($I614,'Pricing Table - eff 27-Jan-2026'!$A:$R,18,FALSE)</f>
        <v>45</v>
      </c>
    </row>
    <row r="615" spans="1:23" ht="15" hidden="1" thickTop="1" x14ac:dyDescent="0.3">
      <c r="A615" s="55">
        <v>53023619</v>
      </c>
      <c r="B615" s="55">
        <v>0</v>
      </c>
      <c r="C615" s="55" t="str">
        <f>VLOOKUP(A615&amp;"-"&amp;B615,'Order Summary'!$D:$E,2,FALSE)</f>
        <v>PO Received</v>
      </c>
      <c r="D615" s="216">
        <f>IF($A615="","",VLOOKUP($A615&amp;"-"&amp;$B615,'Order Summary'!$D:$U,3,FALSE))</f>
        <v>46115</v>
      </c>
      <c r="E615" s="55" t="str">
        <f>VLOOKUP(A615&amp;"-"&amp;B615,'Order Summary'!$D:$G,4,FALSE)</f>
        <v>Yes</v>
      </c>
      <c r="F615" s="55" t="str">
        <f>VLOOKUP($A615,'Order Summary'!$B:$I,8,FALSE)</f>
        <v>Hillsboro, TX</v>
      </c>
      <c r="G615" s="216" t="str">
        <f>IF($A615="","",VLOOKUP($A615&amp;"-"&amp;$B615,'Order Summary'!$D:$U,18,FALSE))</f>
        <v/>
      </c>
      <c r="H615" s="55">
        <v>2</v>
      </c>
      <c r="I615" s="55">
        <v>694432</v>
      </c>
      <c r="J615" s="55" t="str">
        <f>VLOOKUP($I615,'Pricing Table - eff 27-Jan-2026'!$A:$R,2,FALSE)</f>
        <v>G1S 694432</v>
      </c>
      <c r="K615" s="55" t="str">
        <f>VLOOKUP($I615,'Pricing Table - eff 27-Jan-2026'!$A:$R,6,FALSE)&amp;" "&amp;VLOOKUP($I615,'Pricing Table - eff 27-Jan-2026'!$A:$R,7,FALSE)&amp;""" x "&amp;VLOOKUP($I615,'Pricing Table - eff 27-Jan-2026'!$A:$R,9,FALSE)&amp;""" "&amp;VLOOKUP($I615,'Pricing Table - eff 27-Jan-2026'!$A:$R,5,FALSE)</f>
        <v>2MM 49" x 96" ACP</v>
      </c>
      <c r="L615" s="55">
        <f>VLOOKUP($I615,'Pricing Table - eff 27-Jan-2026'!$A:$K,8,FALSE)</f>
        <v>1245</v>
      </c>
      <c r="M615" s="55">
        <f>VLOOKUP($I615,'Pricing Table - eff 27-Jan-2026'!$A:$K,10,FALSE)</f>
        <v>2440</v>
      </c>
      <c r="N615" s="55" t="str">
        <f>VLOOKUP($I615,'Pricing Table - eff 27-Jan-2026'!$A:$R,13,FALSE)&amp;" "&amp;VLOOKUP($I615,'Pricing Table - eff 27-Jan-2026'!$A:$R,12,FALSE)</f>
        <v>ASC 0096 GLOSSY BLACK</v>
      </c>
      <c r="O615" s="56">
        <v>13.067</v>
      </c>
      <c r="P615" s="55">
        <f>(VLOOKUP($I615,'Pricing Table - eff 27-Jan-2026'!$A:$R,8,FALSE)/1000)*(VLOOKUP($I615,'Pricing Table - eff 27-Jan-2026'!$A:$R,10,FALSE)/1000)*Q615</f>
        <v>1215.1200000000001</v>
      </c>
      <c r="Q615" s="55">
        <f>ROUND(('Order Details'!$O615*1000)/((VLOOKUP($I615,'Pricing Table - eff 27-Jan-2026'!$A:$Q,7,FALSE)/12)*(VLOOKUP($I615,'Pricing Table - eff 27-Jan-2026'!$A:$Q,9,FALSE)/12))/5,0)*5</f>
        <v>400</v>
      </c>
      <c r="R615" s="71">
        <f>$Q615/IFERROR(VLOOKUP($F615&amp;RIGHT($K615,8),'Master Data'!$O$5:$P$10,2,FALSE),'Master Data'!$P$4)</f>
        <v>2</v>
      </c>
      <c r="S615" s="57">
        <f>VLOOKUP($I615,'Pricing Table - eff 27-Jan-2026'!$A:$Q,16,FALSE)</f>
        <v>720</v>
      </c>
      <c r="T615" s="57">
        <f>VLOOKUP(I615,'Pricing Table - eff 27-Jan-2026'!$A:$O,15,FALSE)</f>
        <v>7.73</v>
      </c>
      <c r="U615" s="57">
        <f t="shared" ref="U615:U678" si="29">O615*S615</f>
        <v>9408.24</v>
      </c>
      <c r="V615" s="111">
        <f t="shared" si="28"/>
        <v>9392.8776000000016</v>
      </c>
      <c r="W615" s="55">
        <f>VLOOKUP($I615,'Pricing Table - eff 27-Jan-2026'!$A:$R,18,FALSE)</f>
        <v>45</v>
      </c>
    </row>
    <row r="616" spans="1:23" ht="15" hidden="1" thickTop="1" x14ac:dyDescent="0.3">
      <c r="A616" s="55">
        <v>53023619</v>
      </c>
      <c r="B616" s="55">
        <v>0</v>
      </c>
      <c r="C616" s="55" t="str">
        <f>VLOOKUP(A616&amp;"-"&amp;B616,'Order Summary'!$D:$E,2,FALSE)</f>
        <v>PO Received</v>
      </c>
      <c r="D616" s="216">
        <f>IF($A616="","",VLOOKUP($A616&amp;"-"&amp;$B616,'Order Summary'!$D:$U,3,FALSE))</f>
        <v>46115</v>
      </c>
      <c r="E616" s="55" t="str">
        <f>VLOOKUP(A616&amp;"-"&amp;B616,'Order Summary'!$D:$G,4,FALSE)</f>
        <v>Yes</v>
      </c>
      <c r="F616" s="55" t="str">
        <f>VLOOKUP($A616,'Order Summary'!$B:$I,8,FALSE)</f>
        <v>Hillsboro, TX</v>
      </c>
      <c r="G616" s="216" t="str">
        <f>IF($A616="","",VLOOKUP($A616&amp;"-"&amp;$B616,'Order Summary'!$D:$U,18,FALSE))</f>
        <v/>
      </c>
      <c r="H616" s="55">
        <v>3</v>
      </c>
      <c r="I616" s="55">
        <v>694434</v>
      </c>
      <c r="J616" s="55" t="str">
        <f>VLOOKUP($I616,'Pricing Table - eff 27-Jan-2026'!$A:$R,2,FALSE)</f>
        <v>G1S 694434</v>
      </c>
      <c r="K616" s="55" t="str">
        <f>VLOOKUP($I616,'Pricing Table - eff 27-Jan-2026'!$A:$R,6,FALSE)&amp;" "&amp;VLOOKUP($I616,'Pricing Table - eff 27-Jan-2026'!$A:$R,7,FALSE)&amp;""" x "&amp;VLOOKUP($I616,'Pricing Table - eff 27-Jan-2026'!$A:$R,9,FALSE)&amp;""" "&amp;VLOOKUP($I616,'Pricing Table - eff 27-Jan-2026'!$A:$R,5,FALSE)</f>
        <v>2MM 49" x 144" ACP</v>
      </c>
      <c r="L616" s="55">
        <f>VLOOKUP($I616,'Pricing Table - eff 27-Jan-2026'!$A:$K,8,FALSE)</f>
        <v>1245</v>
      </c>
      <c r="M616" s="55">
        <f>VLOOKUP($I616,'Pricing Table - eff 27-Jan-2026'!$A:$K,10,FALSE)</f>
        <v>3658</v>
      </c>
      <c r="N616" s="55" t="str">
        <f>VLOOKUP($I616,'Pricing Table - eff 27-Jan-2026'!$A:$R,13,FALSE)&amp;" "&amp;VLOOKUP($I616,'Pricing Table - eff 27-Jan-2026'!$A:$R,12,FALSE)</f>
        <v>ASC 0096 GLOSSY BLACK</v>
      </c>
      <c r="O616" s="56">
        <v>19.600000000000001</v>
      </c>
      <c r="P616" s="55">
        <f>(VLOOKUP($I616,'Pricing Table - eff 27-Jan-2026'!$A:$R,8,FALSE)/1000)*(VLOOKUP($I616,'Pricing Table - eff 27-Jan-2026'!$A:$R,10,FALSE)/1000)*Q616</f>
        <v>1821.6840000000002</v>
      </c>
      <c r="Q616" s="55">
        <f>ROUND(('Order Details'!$O616*1000)/((VLOOKUP($I616,'Pricing Table - eff 27-Jan-2026'!$A:$Q,7,FALSE)/12)*(VLOOKUP($I616,'Pricing Table - eff 27-Jan-2026'!$A:$Q,9,FALSE)/12))/5,0)*5</f>
        <v>400</v>
      </c>
      <c r="R616" s="71">
        <f>$Q616/IFERROR(VLOOKUP($F616&amp;RIGHT($K616,8),'Master Data'!$O$5:$P$10,2,FALSE),'Master Data'!$P$4)</f>
        <v>2</v>
      </c>
      <c r="S616" s="57">
        <f>VLOOKUP($I616,'Pricing Table - eff 27-Jan-2026'!$A:$Q,16,FALSE)</f>
        <v>720</v>
      </c>
      <c r="T616" s="57">
        <f>VLOOKUP(I616,'Pricing Table - eff 27-Jan-2026'!$A:$O,15,FALSE)</f>
        <v>7.73</v>
      </c>
      <c r="U616" s="57">
        <f t="shared" si="29"/>
        <v>14112.000000000002</v>
      </c>
      <c r="V616" s="111">
        <f t="shared" si="28"/>
        <v>14081.617320000003</v>
      </c>
      <c r="W616" s="55">
        <f>VLOOKUP($I616,'Pricing Table - eff 27-Jan-2026'!$A:$R,18,FALSE)</f>
        <v>45</v>
      </c>
    </row>
    <row r="617" spans="1:23" ht="15" hidden="1" thickTop="1" x14ac:dyDescent="0.3">
      <c r="A617" s="55">
        <v>53023619</v>
      </c>
      <c r="B617" s="55">
        <v>0</v>
      </c>
      <c r="C617" s="55" t="str">
        <f>VLOOKUP(A617&amp;"-"&amp;B617,'Order Summary'!$D:$E,2,FALSE)</f>
        <v>PO Received</v>
      </c>
      <c r="D617" s="216">
        <f>IF($A617="","",VLOOKUP($A617&amp;"-"&amp;$B617,'Order Summary'!$D:$U,3,FALSE))</f>
        <v>46115</v>
      </c>
      <c r="E617" s="55" t="str">
        <f>VLOOKUP(A617&amp;"-"&amp;B617,'Order Summary'!$D:$G,4,FALSE)</f>
        <v>Yes</v>
      </c>
      <c r="F617" s="55" t="str">
        <f>VLOOKUP($A617,'Order Summary'!$B:$I,8,FALSE)</f>
        <v>Hillsboro, TX</v>
      </c>
      <c r="G617" s="216" t="str">
        <f>IF($A617="","",VLOOKUP($A617&amp;"-"&amp;$B617,'Order Summary'!$D:$U,18,FALSE))</f>
        <v/>
      </c>
      <c r="H617" s="55">
        <v>4</v>
      </c>
      <c r="I617" s="55">
        <v>709355</v>
      </c>
      <c r="J617" s="55" t="str">
        <f>VLOOKUP($I617,'Pricing Table - eff 27-Jan-2026'!$A:$R,2,FALSE)</f>
        <v>G1S 709355</v>
      </c>
      <c r="K617" s="55" t="str">
        <f>VLOOKUP($I617,'Pricing Table - eff 27-Jan-2026'!$A:$R,6,FALSE)&amp;" "&amp;VLOOKUP($I617,'Pricing Table - eff 27-Jan-2026'!$A:$R,7,FALSE)&amp;""" x "&amp;VLOOKUP($I617,'Pricing Table - eff 27-Jan-2026'!$A:$R,9,FALSE)&amp;""" "&amp;VLOOKUP($I617,'Pricing Table - eff 27-Jan-2026'!$A:$R,5,FALSE)</f>
        <v>2MM 49" x 90.5" ACP</v>
      </c>
      <c r="L617" s="55">
        <f>VLOOKUP($I617,'Pricing Table - eff 27-Jan-2026'!$A:$K,8,FALSE)</f>
        <v>1245</v>
      </c>
      <c r="M617" s="55">
        <f>VLOOKUP($I617,'Pricing Table - eff 27-Jan-2026'!$A:$K,10,FALSE)</f>
        <v>2300</v>
      </c>
      <c r="N617" s="55" t="str">
        <f>VLOOKUP($I617,'Pricing Table - eff 27-Jan-2026'!$A:$R,13,FALSE)&amp;" "&amp;VLOOKUP($I617,'Pricing Table - eff 27-Jan-2026'!$A:$R,12,FALSE)</f>
        <v>ASC 0069 GLOSSY WHITE</v>
      </c>
      <c r="O617" s="56">
        <v>12.318</v>
      </c>
      <c r="P617" s="55">
        <f>(VLOOKUP($I617,'Pricing Table - eff 27-Jan-2026'!$A:$R,8,FALSE)/1000)*(VLOOKUP($I617,'Pricing Table - eff 27-Jan-2026'!$A:$R,10,FALSE)/1000)*Q617</f>
        <v>1145.4000000000001</v>
      </c>
      <c r="Q617" s="55">
        <f>ROUND(('Order Details'!$O617*1000)/((VLOOKUP($I617,'Pricing Table - eff 27-Jan-2026'!$A:$Q,7,FALSE)/12)*(VLOOKUP($I617,'Pricing Table - eff 27-Jan-2026'!$A:$Q,9,FALSE)/12))/5,0)*5</f>
        <v>400</v>
      </c>
      <c r="R617" s="71">
        <f>$Q617/IFERROR(VLOOKUP($F617&amp;RIGHT($K617,8),'Master Data'!$O$5:$P$10,2,FALSE),'Master Data'!$P$4)</f>
        <v>2</v>
      </c>
      <c r="S617" s="57">
        <f>VLOOKUP($I617,'Pricing Table - eff 27-Jan-2026'!$A:$Q,16,FALSE)</f>
        <v>720</v>
      </c>
      <c r="T617" s="57">
        <f>VLOOKUP(I617,'Pricing Table - eff 27-Jan-2026'!$A:$O,15,FALSE)</f>
        <v>7.73</v>
      </c>
      <c r="U617" s="57">
        <f t="shared" si="29"/>
        <v>8868.9599999999991</v>
      </c>
      <c r="V617" s="111">
        <f t="shared" si="28"/>
        <v>8853.9420000000009</v>
      </c>
      <c r="W617" s="55">
        <f>VLOOKUP($I617,'Pricing Table - eff 27-Jan-2026'!$A:$R,18,FALSE)</f>
        <v>45</v>
      </c>
    </row>
    <row r="618" spans="1:23" ht="15" hidden="1" thickTop="1" x14ac:dyDescent="0.3">
      <c r="A618" s="55">
        <v>24202686</v>
      </c>
      <c r="B618" s="55">
        <v>1</v>
      </c>
      <c r="C618" s="55" t="str">
        <f>VLOOKUP(A618&amp;"-"&amp;B618,'Order Summary'!$D:$E,2,FALSE)</f>
        <v>Proforma Invoice Sent</v>
      </c>
      <c r="D618" s="216">
        <f>IF($A618="","",VLOOKUP($A618&amp;"-"&amp;$B618,'Order Summary'!$D:$U,3,FALSE))</f>
        <v>46073</v>
      </c>
      <c r="E618" s="55" t="str">
        <f>VLOOKUP(A618&amp;"-"&amp;B618,'Order Summary'!$D:$G,4,FALSE)</f>
        <v>Yes</v>
      </c>
      <c r="F618" s="55" t="str">
        <f>VLOOKUP($A618,'Order Summary'!$B:$I,8,FALSE)</f>
        <v>Gordon, PA</v>
      </c>
      <c r="G618" s="216" t="str">
        <f>IF($A618="","",VLOOKUP($A618&amp;"-"&amp;$B618,'Order Summary'!$D:$U,18,FALSE))</f>
        <v/>
      </c>
      <c r="H618" s="55">
        <v>1</v>
      </c>
      <c r="I618" s="55">
        <v>694432</v>
      </c>
      <c r="J618" s="55" t="str">
        <f>VLOOKUP($I618,'Pricing Table - eff 27-Jan-2026'!$A:$R,2,FALSE)</f>
        <v>G1S 694432</v>
      </c>
      <c r="K618" s="55" t="str">
        <f>VLOOKUP($I618,'Pricing Table - eff 27-Jan-2026'!$A:$R,6,FALSE)&amp;" "&amp;VLOOKUP($I618,'Pricing Table - eff 27-Jan-2026'!$A:$R,7,FALSE)&amp;""" x "&amp;VLOOKUP($I618,'Pricing Table - eff 27-Jan-2026'!$A:$R,9,FALSE)&amp;""" "&amp;VLOOKUP($I618,'Pricing Table - eff 27-Jan-2026'!$A:$R,5,FALSE)</f>
        <v>2MM 49" x 96" ACP</v>
      </c>
      <c r="L618" s="55">
        <f>VLOOKUP($I618,'Pricing Table - eff 27-Jan-2026'!$A:$K,8,FALSE)</f>
        <v>1245</v>
      </c>
      <c r="M618" s="55">
        <f>VLOOKUP($I618,'Pricing Table - eff 27-Jan-2026'!$A:$K,10,FALSE)</f>
        <v>2440</v>
      </c>
      <c r="N618" s="55" t="str">
        <f>VLOOKUP($I618,'Pricing Table - eff 27-Jan-2026'!$A:$R,13,FALSE)&amp;" "&amp;VLOOKUP($I618,'Pricing Table - eff 27-Jan-2026'!$A:$R,12,FALSE)</f>
        <v>ASC 0096 GLOSSY BLACK</v>
      </c>
      <c r="O618" s="56">
        <v>19.600000000000001</v>
      </c>
      <c r="P618" s="55">
        <f>(VLOOKUP($I618,'Pricing Table - eff 27-Jan-2026'!$A:$R,8,FALSE)/1000)*(VLOOKUP($I618,'Pricing Table - eff 27-Jan-2026'!$A:$R,10,FALSE)/1000)*Q618</f>
        <v>1822.68</v>
      </c>
      <c r="Q618" s="55">
        <f>ROUND(('Order Details'!$O618*1000)/((VLOOKUP($I618,'Pricing Table - eff 27-Jan-2026'!$A:$Q,7,FALSE)/12)*(VLOOKUP($I618,'Pricing Table - eff 27-Jan-2026'!$A:$Q,9,FALSE)/12))/5,0)*5</f>
        <v>600</v>
      </c>
      <c r="R618" s="71">
        <f>$Q618/IFERROR(VLOOKUP($F618&amp;RIGHT($K618,8),'Master Data'!$O$5:$P$10,2,FALSE),'Master Data'!$P$4)</f>
        <v>3</v>
      </c>
      <c r="S618" s="57">
        <f>VLOOKUP($I618,'Pricing Table - eff 27-Jan-2026'!$A:$Q,16,FALSE)</f>
        <v>720</v>
      </c>
      <c r="T618" s="57">
        <f>VLOOKUP(I618,'Pricing Table - eff 27-Jan-2026'!$A:$O,15,FALSE)</f>
        <v>7.73</v>
      </c>
      <c r="U618" s="57">
        <f t="shared" si="29"/>
        <v>14112.000000000002</v>
      </c>
      <c r="V618" s="111">
        <f t="shared" si="28"/>
        <v>14089.316400000002</v>
      </c>
      <c r="W618" s="55">
        <f>VLOOKUP($I618,'Pricing Table - eff 27-Jan-2026'!$A:$R,18,FALSE)</f>
        <v>45</v>
      </c>
    </row>
    <row r="619" spans="1:23" ht="15" hidden="1" thickTop="1" x14ac:dyDescent="0.3">
      <c r="A619" s="55">
        <v>24202686</v>
      </c>
      <c r="B619" s="55">
        <v>1</v>
      </c>
      <c r="C619" s="55" t="str">
        <f>VLOOKUP(A619&amp;"-"&amp;B619,'Order Summary'!$D:$E,2,FALSE)</f>
        <v>Proforma Invoice Sent</v>
      </c>
      <c r="D619" s="216">
        <f>IF($A619="","",VLOOKUP($A619&amp;"-"&amp;$B619,'Order Summary'!$D:$U,3,FALSE))</f>
        <v>46073</v>
      </c>
      <c r="E619" s="55" t="str">
        <f>VLOOKUP(A619&amp;"-"&amp;B619,'Order Summary'!$D:$G,4,FALSE)</f>
        <v>Yes</v>
      </c>
      <c r="F619" s="55" t="str">
        <f>VLOOKUP($A619,'Order Summary'!$B:$I,8,FALSE)</f>
        <v>Gordon, PA</v>
      </c>
      <c r="G619" s="216" t="str">
        <f>IF($A619="","",VLOOKUP($A619&amp;"-"&amp;$B619,'Order Summary'!$D:$U,18,FALSE))</f>
        <v/>
      </c>
      <c r="H619" s="55">
        <v>2</v>
      </c>
      <c r="I619" s="55">
        <v>694436</v>
      </c>
      <c r="J619" s="55" t="str">
        <f>VLOOKUP($I619,'Pricing Table - eff 27-Jan-2026'!$A:$R,2,FALSE)</f>
        <v>G1S 694436</v>
      </c>
      <c r="K619" s="55" t="str">
        <f>VLOOKUP($I619,'Pricing Table - eff 27-Jan-2026'!$A:$R,6,FALSE)&amp;" "&amp;VLOOKUP($I619,'Pricing Table - eff 27-Jan-2026'!$A:$R,7,FALSE)&amp;""" x "&amp;VLOOKUP($I619,'Pricing Table - eff 27-Jan-2026'!$A:$R,9,FALSE)&amp;""" "&amp;VLOOKUP($I619,'Pricing Table - eff 27-Jan-2026'!$A:$R,5,FALSE)</f>
        <v>2MM 49" x 96" ACP</v>
      </c>
      <c r="L619" s="55">
        <f>VLOOKUP($I619,'Pricing Table - eff 27-Jan-2026'!$A:$K,8,FALSE)</f>
        <v>1245</v>
      </c>
      <c r="M619" s="55">
        <f>VLOOKUP($I619,'Pricing Table - eff 27-Jan-2026'!$A:$K,10,FALSE)</f>
        <v>2440</v>
      </c>
      <c r="N619" s="55" t="str">
        <f>VLOOKUP($I619,'Pricing Table - eff 27-Jan-2026'!$A:$R,13,FALSE)&amp;" "&amp;VLOOKUP($I619,'Pricing Table - eff 27-Jan-2026'!$A:$R,12,FALSE)</f>
        <v>ASC 0069 GLOSSY WHITE</v>
      </c>
      <c r="O619" s="56">
        <v>32.667000000000002</v>
      </c>
      <c r="P619" s="55">
        <f>(VLOOKUP($I619,'Pricing Table - eff 27-Jan-2026'!$A:$R,8,FALSE)/1000)*(VLOOKUP($I619,'Pricing Table - eff 27-Jan-2026'!$A:$R,10,FALSE)/1000)*Q619</f>
        <v>3037.8</v>
      </c>
      <c r="Q619" s="55">
        <f>ROUND(('Order Details'!$O619*1000)/((VLOOKUP($I619,'Pricing Table - eff 27-Jan-2026'!$A:$Q,7,FALSE)/12)*(VLOOKUP($I619,'Pricing Table - eff 27-Jan-2026'!$A:$Q,9,FALSE)/12))/5,0)*5</f>
        <v>1000</v>
      </c>
      <c r="R619" s="71">
        <f>$Q619/IFERROR(VLOOKUP($F619&amp;RIGHT($K619,8),'Master Data'!$O$5:$P$10,2,FALSE),'Master Data'!$P$4)</f>
        <v>5</v>
      </c>
      <c r="S619" s="57">
        <f>VLOOKUP($I619,'Pricing Table - eff 27-Jan-2026'!$A:$Q,16,FALSE)</f>
        <v>720</v>
      </c>
      <c r="T619" s="57">
        <f>VLOOKUP(I619,'Pricing Table - eff 27-Jan-2026'!$A:$O,15,FALSE)</f>
        <v>7.73</v>
      </c>
      <c r="U619" s="57">
        <f t="shared" si="29"/>
        <v>23520.240000000002</v>
      </c>
      <c r="V619" s="111">
        <f t="shared" si="28"/>
        <v>23482.194000000003</v>
      </c>
      <c r="W619" s="55">
        <f>VLOOKUP($I619,'Pricing Table - eff 27-Jan-2026'!$A:$R,18,FALSE)</f>
        <v>45</v>
      </c>
    </row>
    <row r="620" spans="1:23" ht="15" hidden="1" thickTop="1" x14ac:dyDescent="0.3">
      <c r="A620" s="55">
        <v>24202686</v>
      </c>
      <c r="B620" s="55">
        <v>1</v>
      </c>
      <c r="C620" s="55" t="str">
        <f>VLOOKUP(A620&amp;"-"&amp;B620,'Order Summary'!$D:$E,2,FALSE)</f>
        <v>Proforma Invoice Sent</v>
      </c>
      <c r="D620" s="216">
        <f>IF($A620="","",VLOOKUP($A620&amp;"-"&amp;$B620,'Order Summary'!$D:$U,3,FALSE))</f>
        <v>46073</v>
      </c>
      <c r="E620" s="55" t="str">
        <f>VLOOKUP(A620&amp;"-"&amp;B620,'Order Summary'!$D:$G,4,FALSE)</f>
        <v>Yes</v>
      </c>
      <c r="F620" s="55" t="str">
        <f>VLOOKUP($A620,'Order Summary'!$B:$I,8,FALSE)</f>
        <v>Gordon, PA</v>
      </c>
      <c r="G620" s="216" t="str">
        <f>IF($A620="","",VLOOKUP($A620&amp;"-"&amp;$B620,'Order Summary'!$D:$U,18,FALSE))</f>
        <v/>
      </c>
      <c r="H620" s="55">
        <v>3</v>
      </c>
      <c r="I620" s="55">
        <v>694444</v>
      </c>
      <c r="J620" s="55" t="str">
        <f>VLOOKUP($I620,'Pricing Table - eff 27-Jan-2026'!$A:$R,2,FALSE)</f>
        <v>G1S 694444</v>
      </c>
      <c r="K620" s="55" t="str">
        <f>VLOOKUP($I620,'Pricing Table - eff 27-Jan-2026'!$A:$R,6,FALSE)&amp;" "&amp;VLOOKUP($I620,'Pricing Table - eff 27-Jan-2026'!$A:$R,7,FALSE)&amp;""" x "&amp;VLOOKUP($I620,'Pricing Table - eff 27-Jan-2026'!$A:$R,9,FALSE)&amp;""" "&amp;VLOOKUP($I620,'Pricing Table - eff 27-Jan-2026'!$A:$R,5,FALSE)</f>
        <v>2MM 49" x 96" ACP</v>
      </c>
      <c r="L620" s="55">
        <f>VLOOKUP($I620,'Pricing Table - eff 27-Jan-2026'!$A:$K,8,FALSE)</f>
        <v>1245</v>
      </c>
      <c r="M620" s="55">
        <f>VLOOKUP($I620,'Pricing Table - eff 27-Jan-2026'!$A:$K,10,FALSE)</f>
        <v>2440</v>
      </c>
      <c r="N620" s="55" t="str">
        <f>VLOOKUP($I620,'Pricing Table - eff 27-Jan-2026'!$A:$R,13,FALSE)&amp;" "&amp;VLOOKUP($I620,'Pricing Table - eff 27-Jan-2026'!$A:$R,12,FALSE)</f>
        <v>AMC 0086 CHARCOAL METALLIC</v>
      </c>
      <c r="O620" s="56">
        <v>32.667000000000002</v>
      </c>
      <c r="P620" s="55">
        <f>(VLOOKUP($I620,'Pricing Table - eff 27-Jan-2026'!$A:$R,8,FALSE)/1000)*(VLOOKUP($I620,'Pricing Table - eff 27-Jan-2026'!$A:$R,10,FALSE)/1000)*Q620</f>
        <v>3037.8</v>
      </c>
      <c r="Q620" s="55">
        <f>ROUND(('Order Details'!$O620*1000)/((VLOOKUP($I620,'Pricing Table - eff 27-Jan-2026'!$A:$Q,7,FALSE)/12)*(VLOOKUP($I620,'Pricing Table - eff 27-Jan-2026'!$A:$Q,9,FALSE)/12))/5,0)*5</f>
        <v>1000</v>
      </c>
      <c r="R620" s="71">
        <f>$Q620/IFERROR(VLOOKUP($F620&amp;RIGHT($K620,8),'Master Data'!$O$5:$P$10,2,FALSE),'Master Data'!$P$4)</f>
        <v>5</v>
      </c>
      <c r="S620" s="57">
        <f>VLOOKUP($I620,'Pricing Table - eff 27-Jan-2026'!$A:$Q,16,FALSE)</f>
        <v>770</v>
      </c>
      <c r="T620" s="57">
        <f>VLOOKUP(I620,'Pricing Table - eff 27-Jan-2026'!$A:$O,15,FALSE)</f>
        <v>8.27</v>
      </c>
      <c r="U620" s="57">
        <f t="shared" si="29"/>
        <v>25153.59</v>
      </c>
      <c r="V620" s="111">
        <f t="shared" si="28"/>
        <v>25122.606</v>
      </c>
      <c r="W620" s="55">
        <f>VLOOKUP($I620,'Pricing Table - eff 27-Jan-2026'!$A:$R,18,FALSE)</f>
        <v>45</v>
      </c>
    </row>
    <row r="621" spans="1:23" ht="15" hidden="1" thickTop="1" x14ac:dyDescent="0.3">
      <c r="A621" s="55">
        <v>24202686</v>
      </c>
      <c r="B621" s="55">
        <v>1</v>
      </c>
      <c r="C621" s="55" t="str">
        <f>VLOOKUP(A621&amp;"-"&amp;B621,'Order Summary'!$D:$E,2,FALSE)</f>
        <v>Proforma Invoice Sent</v>
      </c>
      <c r="D621" s="216">
        <f>IF($A621="","",VLOOKUP($A621&amp;"-"&amp;$B621,'Order Summary'!$D:$U,3,FALSE))</f>
        <v>46073</v>
      </c>
      <c r="E621" s="55" t="str">
        <f>VLOOKUP(A621&amp;"-"&amp;B621,'Order Summary'!$D:$G,4,FALSE)</f>
        <v>Yes</v>
      </c>
      <c r="F621" s="55" t="str">
        <f>VLOOKUP($A621,'Order Summary'!$B:$I,8,FALSE)</f>
        <v>Gordon, PA</v>
      </c>
      <c r="G621" s="216" t="str">
        <f>IF($A621="","",VLOOKUP($A621&amp;"-"&amp;$B621,'Order Summary'!$D:$U,18,FALSE))</f>
        <v/>
      </c>
      <c r="H621" s="55">
        <v>4</v>
      </c>
      <c r="I621" s="55">
        <v>695620</v>
      </c>
      <c r="J621" s="55" t="str">
        <f>VLOOKUP($I621,'Pricing Table - eff 27-Jan-2026'!$A:$R,2,FALSE)</f>
        <v>G1S 695620</v>
      </c>
      <c r="K621" s="55" t="str">
        <f>VLOOKUP($I621,'Pricing Table - eff 27-Jan-2026'!$A:$R,6,FALSE)&amp;" "&amp;VLOOKUP($I621,'Pricing Table - eff 27-Jan-2026'!$A:$R,7,FALSE)&amp;""" x "&amp;VLOOKUP($I621,'Pricing Table - eff 27-Jan-2026'!$A:$R,9,FALSE)&amp;""" "&amp;VLOOKUP($I621,'Pricing Table - eff 27-Jan-2026'!$A:$R,5,FALSE)</f>
        <v>2MM 49" x 96" ACP</v>
      </c>
      <c r="L621" s="55">
        <f>VLOOKUP($I621,'Pricing Table - eff 27-Jan-2026'!$A:$K,8,FALSE)</f>
        <v>1245</v>
      </c>
      <c r="M621" s="55">
        <f>VLOOKUP($I621,'Pricing Table - eff 27-Jan-2026'!$A:$K,10,FALSE)</f>
        <v>2440</v>
      </c>
      <c r="N621" s="55" t="str">
        <f>VLOOKUP($I621,'Pricing Table - eff 27-Jan-2026'!$A:$R,13,FALSE)&amp;" "&amp;VLOOKUP($I621,'Pricing Table - eff 27-Jan-2026'!$A:$R,12,FALSE)</f>
        <v>ASC 0105 INDIGO BLUE</v>
      </c>
      <c r="O621" s="56">
        <v>6.5330000000000004</v>
      </c>
      <c r="P621" s="55">
        <f>(VLOOKUP($I621,'Pricing Table - eff 27-Jan-2026'!$A:$R,8,FALSE)/1000)*(VLOOKUP($I621,'Pricing Table - eff 27-Jan-2026'!$A:$R,10,FALSE)/1000)*Q621</f>
        <v>607.56000000000006</v>
      </c>
      <c r="Q621" s="55">
        <f>ROUND(('Order Details'!$O621*1000)/((VLOOKUP($I621,'Pricing Table - eff 27-Jan-2026'!$A:$Q,7,FALSE)/12)*(VLOOKUP($I621,'Pricing Table - eff 27-Jan-2026'!$A:$Q,9,FALSE)/12))/5,0)*5</f>
        <v>200</v>
      </c>
      <c r="R621" s="71">
        <f>$Q621/IFERROR(VLOOKUP($F621&amp;RIGHT($K621,8),'Master Data'!$O$5:$P$10,2,FALSE),'Master Data'!$P$4)</f>
        <v>1</v>
      </c>
      <c r="S621" s="57">
        <f>VLOOKUP($I621,'Pricing Table - eff 27-Jan-2026'!$A:$Q,16,FALSE)</f>
        <v>770</v>
      </c>
      <c r="T621" s="57">
        <f>VLOOKUP(I621,'Pricing Table - eff 27-Jan-2026'!$A:$O,15,FALSE)</f>
        <v>8.27</v>
      </c>
      <c r="U621" s="57">
        <f t="shared" si="29"/>
        <v>5030.41</v>
      </c>
      <c r="V621" s="111">
        <f t="shared" si="28"/>
        <v>5024.5212000000001</v>
      </c>
      <c r="W621" s="55">
        <f>VLOOKUP($I621,'Pricing Table - eff 27-Jan-2026'!$A:$R,18,FALSE)</f>
        <v>45</v>
      </c>
    </row>
    <row r="622" spans="1:23" ht="15" hidden="1" thickTop="1" x14ac:dyDescent="0.3">
      <c r="A622" s="55">
        <v>24202634</v>
      </c>
      <c r="B622" s="55">
        <v>1</v>
      </c>
      <c r="C622" s="55" t="str">
        <f>VLOOKUP(A622&amp;"-"&amp;B622,'Order Summary'!$D:$E,2,FALSE)</f>
        <v>Proforma Invoice Sent</v>
      </c>
      <c r="D622" s="216">
        <f>IF($A622="","",VLOOKUP($A622&amp;"-"&amp;$B622,'Order Summary'!$D:$U,3,FALSE))</f>
        <v>46076</v>
      </c>
      <c r="E622" s="55" t="str">
        <f>VLOOKUP(A622&amp;"-"&amp;B622,'Order Summary'!$D:$G,4,FALSE)</f>
        <v>Yes</v>
      </c>
      <c r="F622" s="55" t="str">
        <f>VLOOKUP($A622,'Order Summary'!$B:$I,8,FALSE)</f>
        <v>Gordon, PA</v>
      </c>
      <c r="G622" s="216" t="str">
        <f>IF($A622="","",VLOOKUP($A622&amp;"-"&amp;$B622,'Order Summary'!$D:$U,18,FALSE))</f>
        <v/>
      </c>
      <c r="H622" s="55">
        <v>1</v>
      </c>
      <c r="I622" s="55">
        <v>694440</v>
      </c>
      <c r="J622" s="55" t="str">
        <f>VLOOKUP($I622,'Pricing Table - eff 27-Jan-2026'!$A:$R,2,FALSE)</f>
        <v>G1S 694440</v>
      </c>
      <c r="K622" s="55" t="str">
        <f>VLOOKUP($I622,'Pricing Table - eff 27-Jan-2026'!$A:$R,6,FALSE)&amp;" "&amp;VLOOKUP($I622,'Pricing Table - eff 27-Jan-2026'!$A:$R,7,FALSE)&amp;""" x "&amp;VLOOKUP($I622,'Pricing Table - eff 27-Jan-2026'!$A:$R,9,FALSE)&amp;""" "&amp;VLOOKUP($I622,'Pricing Table - eff 27-Jan-2026'!$A:$R,5,FALSE)</f>
        <v>2MM 49" x 96" ACP</v>
      </c>
      <c r="L622" s="55">
        <f>VLOOKUP($I622,'Pricing Table - eff 27-Jan-2026'!$A:$K,8,FALSE)</f>
        <v>1245</v>
      </c>
      <c r="M622" s="55">
        <f>VLOOKUP($I622,'Pricing Table - eff 27-Jan-2026'!$A:$K,10,FALSE)</f>
        <v>2440</v>
      </c>
      <c r="N622" s="55" t="str">
        <f>VLOOKUP($I622,'Pricing Table - eff 27-Jan-2026'!$A:$R,13,FALSE)&amp;" "&amp;VLOOKUP($I622,'Pricing Table - eff 27-Jan-2026'!$A:$R,12,FALSE)</f>
        <v>AMC 0103 SILVER FROST</v>
      </c>
      <c r="O622" s="56">
        <v>19.600000000000001</v>
      </c>
      <c r="P622" s="55">
        <f>(VLOOKUP($I622,'Pricing Table - eff 27-Jan-2026'!$A:$R,8,FALSE)/1000)*(VLOOKUP($I622,'Pricing Table - eff 27-Jan-2026'!$A:$R,10,FALSE)/1000)*Q622</f>
        <v>1822.68</v>
      </c>
      <c r="Q622" s="55">
        <f>ROUND(('Order Details'!$O622*1000)/((VLOOKUP($I622,'Pricing Table - eff 27-Jan-2026'!$A:$Q,7,FALSE)/12)*(VLOOKUP($I622,'Pricing Table - eff 27-Jan-2026'!$A:$Q,9,FALSE)/12))/5,0)*5</f>
        <v>600</v>
      </c>
      <c r="R622" s="71">
        <f>$Q622/IFERROR(VLOOKUP($F622&amp;RIGHT($K622,8),'Master Data'!$O$5:$P$10,2,FALSE),'Master Data'!$P$4)</f>
        <v>3</v>
      </c>
      <c r="S622" s="57">
        <f>VLOOKUP($I622,'Pricing Table - eff 27-Jan-2026'!$A:$Q,16,FALSE)</f>
        <v>720</v>
      </c>
      <c r="T622" s="57">
        <f>VLOOKUP(I622,'Pricing Table - eff 27-Jan-2026'!$A:$O,15,FALSE)</f>
        <v>7.73</v>
      </c>
      <c r="U622" s="57">
        <f t="shared" si="29"/>
        <v>14112.000000000002</v>
      </c>
      <c r="V622" s="111">
        <f t="shared" si="28"/>
        <v>14089.316400000002</v>
      </c>
      <c r="W622" s="55">
        <f>VLOOKUP($I622,'Pricing Table - eff 27-Jan-2026'!$A:$R,18,FALSE)</f>
        <v>90</v>
      </c>
    </row>
    <row r="623" spans="1:23" ht="15" hidden="1" thickTop="1" x14ac:dyDescent="0.3">
      <c r="A623" s="55">
        <v>24202634</v>
      </c>
      <c r="B623" s="55">
        <v>1</v>
      </c>
      <c r="C623" s="55" t="str">
        <f>VLOOKUP(A623&amp;"-"&amp;B623,'Order Summary'!$D:$E,2,FALSE)</f>
        <v>Proforma Invoice Sent</v>
      </c>
      <c r="D623" s="216">
        <f>IF($A623="","",VLOOKUP($A623&amp;"-"&amp;$B623,'Order Summary'!$D:$U,3,FALSE))</f>
        <v>46076</v>
      </c>
      <c r="E623" s="55" t="str">
        <f>VLOOKUP(A623&amp;"-"&amp;B623,'Order Summary'!$D:$G,4,FALSE)</f>
        <v>Yes</v>
      </c>
      <c r="F623" s="55" t="str">
        <f>VLOOKUP($A623,'Order Summary'!$B:$I,8,FALSE)</f>
        <v>Gordon, PA</v>
      </c>
      <c r="G623" s="216" t="str">
        <f>IF($A623="","",VLOOKUP($A623&amp;"-"&amp;$B623,'Order Summary'!$D:$U,18,FALSE))</f>
        <v/>
      </c>
      <c r="H623" s="55">
        <v>2</v>
      </c>
      <c r="I623" s="55">
        <v>694441</v>
      </c>
      <c r="J623" s="55" t="str">
        <f>VLOOKUP($I623,'Pricing Table - eff 27-Jan-2026'!$A:$R,2,FALSE)</f>
        <v>G1S 694441</v>
      </c>
      <c r="K623" s="55" t="str">
        <f>VLOOKUP($I623,'Pricing Table - eff 27-Jan-2026'!$A:$R,6,FALSE)&amp;" "&amp;VLOOKUP($I623,'Pricing Table - eff 27-Jan-2026'!$A:$R,7,FALSE)&amp;""" x "&amp;VLOOKUP($I623,'Pricing Table - eff 27-Jan-2026'!$A:$R,9,FALSE)&amp;""" "&amp;VLOOKUP($I623,'Pricing Table - eff 27-Jan-2026'!$A:$R,5,FALSE)</f>
        <v>2MM 49" x 108" ACP</v>
      </c>
      <c r="L623" s="55">
        <f>VLOOKUP($I623,'Pricing Table - eff 27-Jan-2026'!$A:$K,8,FALSE)</f>
        <v>1245</v>
      </c>
      <c r="M623" s="55">
        <f>VLOOKUP($I623,'Pricing Table - eff 27-Jan-2026'!$A:$K,10,FALSE)</f>
        <v>2745</v>
      </c>
      <c r="N623" s="55" t="str">
        <f>VLOOKUP($I623,'Pricing Table - eff 27-Jan-2026'!$A:$R,13,FALSE)&amp;" "&amp;VLOOKUP($I623,'Pricing Table - eff 27-Jan-2026'!$A:$R,12,FALSE)</f>
        <v>AMC 0103 SILVER FROST</v>
      </c>
      <c r="O623" s="56">
        <v>7.35</v>
      </c>
      <c r="P623" s="55">
        <f>(VLOOKUP($I623,'Pricing Table - eff 27-Jan-2026'!$A:$R,8,FALSE)/1000)*(VLOOKUP($I623,'Pricing Table - eff 27-Jan-2026'!$A:$R,10,FALSE)/1000)*Q623</f>
        <v>683.50500000000011</v>
      </c>
      <c r="Q623" s="55">
        <f>ROUND(('Order Details'!$O623*1000)/((VLOOKUP($I623,'Pricing Table - eff 27-Jan-2026'!$A:$Q,7,FALSE)/12)*(VLOOKUP($I623,'Pricing Table - eff 27-Jan-2026'!$A:$Q,9,FALSE)/12))/5,0)*5</f>
        <v>200</v>
      </c>
      <c r="R623" s="71">
        <f>$Q623/IFERROR(VLOOKUP($F623&amp;RIGHT($K623,8),'Master Data'!$O$5:$P$10,2,FALSE),'Master Data'!$P$4)</f>
        <v>1</v>
      </c>
      <c r="S623" s="57">
        <f>VLOOKUP($I623,'Pricing Table - eff 27-Jan-2026'!$A:$Q,16,FALSE)</f>
        <v>720</v>
      </c>
      <c r="T623" s="57">
        <f>VLOOKUP(I623,'Pricing Table - eff 27-Jan-2026'!$A:$O,15,FALSE)</f>
        <v>7.73</v>
      </c>
      <c r="U623" s="57">
        <f t="shared" si="29"/>
        <v>5292</v>
      </c>
      <c r="V623" s="111">
        <f t="shared" si="28"/>
        <v>5283.4936500000013</v>
      </c>
      <c r="W623" s="55">
        <f>VLOOKUP($I623,'Pricing Table - eff 27-Jan-2026'!$A:$R,18,FALSE)</f>
        <v>90</v>
      </c>
    </row>
    <row r="624" spans="1:23" ht="15" hidden="1" thickTop="1" x14ac:dyDescent="0.3">
      <c r="A624" s="55">
        <v>24202634</v>
      </c>
      <c r="B624" s="55">
        <v>1</v>
      </c>
      <c r="C624" s="55" t="str">
        <f>VLOOKUP(A624&amp;"-"&amp;B624,'Order Summary'!$D:$E,2,FALSE)</f>
        <v>Proforma Invoice Sent</v>
      </c>
      <c r="D624" s="216">
        <f>IF($A624="","",VLOOKUP($A624&amp;"-"&amp;$B624,'Order Summary'!$D:$U,3,FALSE))</f>
        <v>46076</v>
      </c>
      <c r="E624" s="55" t="str">
        <f>VLOOKUP(A624&amp;"-"&amp;B624,'Order Summary'!$D:$G,4,FALSE)</f>
        <v>Yes</v>
      </c>
      <c r="F624" s="55" t="str">
        <f>VLOOKUP($A624,'Order Summary'!$B:$I,8,FALSE)</f>
        <v>Gordon, PA</v>
      </c>
      <c r="G624" s="216" t="str">
        <f>IF($A624="","",VLOOKUP($A624&amp;"-"&amp;$B624,'Order Summary'!$D:$U,18,FALSE))</f>
        <v/>
      </c>
      <c r="H624" s="55">
        <v>3</v>
      </c>
      <c r="I624" s="55">
        <v>694444</v>
      </c>
      <c r="J624" s="55" t="str">
        <f>VLOOKUP($I624,'Pricing Table - eff 27-Jan-2026'!$A:$R,2,FALSE)</f>
        <v>G1S 694444</v>
      </c>
      <c r="K624" s="55" t="str">
        <f>VLOOKUP($I624,'Pricing Table - eff 27-Jan-2026'!$A:$R,6,FALSE)&amp;" "&amp;VLOOKUP($I624,'Pricing Table - eff 27-Jan-2026'!$A:$R,7,FALSE)&amp;""" x "&amp;VLOOKUP($I624,'Pricing Table - eff 27-Jan-2026'!$A:$R,9,FALSE)&amp;""" "&amp;VLOOKUP($I624,'Pricing Table - eff 27-Jan-2026'!$A:$R,5,FALSE)</f>
        <v>2MM 49" x 96" ACP</v>
      </c>
      <c r="L624" s="55">
        <f>VLOOKUP($I624,'Pricing Table - eff 27-Jan-2026'!$A:$K,8,FALSE)</f>
        <v>1245</v>
      </c>
      <c r="M624" s="55">
        <f>VLOOKUP($I624,'Pricing Table - eff 27-Jan-2026'!$A:$K,10,FALSE)</f>
        <v>2440</v>
      </c>
      <c r="N624" s="55" t="str">
        <f>VLOOKUP($I624,'Pricing Table - eff 27-Jan-2026'!$A:$R,13,FALSE)&amp;" "&amp;VLOOKUP($I624,'Pricing Table - eff 27-Jan-2026'!$A:$R,12,FALSE)</f>
        <v>AMC 0086 CHARCOAL METALLIC</v>
      </c>
      <c r="O624" s="56">
        <v>26.132999999999999</v>
      </c>
      <c r="P624" s="55">
        <f>(VLOOKUP($I624,'Pricing Table - eff 27-Jan-2026'!$A:$R,8,FALSE)/1000)*(VLOOKUP($I624,'Pricing Table - eff 27-Jan-2026'!$A:$R,10,FALSE)/1000)*Q624</f>
        <v>2430.2400000000002</v>
      </c>
      <c r="Q624" s="55">
        <f>ROUND(('Order Details'!$O624*1000)/((VLOOKUP($I624,'Pricing Table - eff 27-Jan-2026'!$A:$Q,7,FALSE)/12)*(VLOOKUP($I624,'Pricing Table - eff 27-Jan-2026'!$A:$Q,9,FALSE)/12))/5,0)*5</f>
        <v>800</v>
      </c>
      <c r="R624" s="71">
        <f>$Q624/IFERROR(VLOOKUP($F624&amp;RIGHT($K624,8),'Master Data'!$O$5:$P$10,2,FALSE),'Master Data'!$P$4)</f>
        <v>4</v>
      </c>
      <c r="S624" s="57">
        <f>VLOOKUP($I624,'Pricing Table - eff 27-Jan-2026'!$A:$Q,16,FALSE)</f>
        <v>770</v>
      </c>
      <c r="T624" s="57">
        <f>VLOOKUP(I624,'Pricing Table - eff 27-Jan-2026'!$A:$O,15,FALSE)</f>
        <v>8.27</v>
      </c>
      <c r="U624" s="57">
        <f t="shared" si="29"/>
        <v>20122.41</v>
      </c>
      <c r="V624" s="111">
        <f t="shared" si="28"/>
        <v>20098.084800000001</v>
      </c>
      <c r="W624" s="55">
        <f>VLOOKUP($I624,'Pricing Table - eff 27-Jan-2026'!$A:$R,18,FALSE)</f>
        <v>45</v>
      </c>
    </row>
    <row r="625" spans="1:23" ht="15" hidden="1" thickTop="1" x14ac:dyDescent="0.3">
      <c r="A625" s="55">
        <v>24202634</v>
      </c>
      <c r="B625" s="55">
        <v>1</v>
      </c>
      <c r="C625" s="55" t="str">
        <f>VLOOKUP(A625&amp;"-"&amp;B625,'Order Summary'!$D:$E,2,FALSE)</f>
        <v>Proforma Invoice Sent</v>
      </c>
      <c r="D625" s="216">
        <f>IF($A625="","",VLOOKUP($A625&amp;"-"&amp;$B625,'Order Summary'!$D:$U,3,FALSE))</f>
        <v>46076</v>
      </c>
      <c r="E625" s="55" t="str">
        <f>VLOOKUP(A625&amp;"-"&amp;B625,'Order Summary'!$D:$G,4,FALSE)</f>
        <v>Yes</v>
      </c>
      <c r="F625" s="55" t="str">
        <f>VLOOKUP($A625,'Order Summary'!$B:$I,8,FALSE)</f>
        <v>Gordon, PA</v>
      </c>
      <c r="G625" s="216" t="str">
        <f>IF($A625="","",VLOOKUP($A625&amp;"-"&amp;$B625,'Order Summary'!$D:$U,18,FALSE))</f>
        <v/>
      </c>
      <c r="H625" s="55">
        <v>4</v>
      </c>
      <c r="I625" s="55">
        <v>694445</v>
      </c>
      <c r="J625" s="55" t="str">
        <f>VLOOKUP($I625,'Pricing Table - eff 27-Jan-2026'!$A:$R,2,FALSE)</f>
        <v>G1S 694445</v>
      </c>
      <c r="K625" s="55" t="str">
        <f>VLOOKUP($I625,'Pricing Table - eff 27-Jan-2026'!$A:$R,6,FALSE)&amp;" "&amp;VLOOKUP($I625,'Pricing Table - eff 27-Jan-2026'!$A:$R,7,FALSE)&amp;""" x "&amp;VLOOKUP($I625,'Pricing Table - eff 27-Jan-2026'!$A:$R,9,FALSE)&amp;""" "&amp;VLOOKUP($I625,'Pricing Table - eff 27-Jan-2026'!$A:$R,5,FALSE)</f>
        <v>2MM 49" x 108" ACP</v>
      </c>
      <c r="L625" s="55">
        <f>VLOOKUP($I625,'Pricing Table - eff 27-Jan-2026'!$A:$K,8,FALSE)</f>
        <v>1245</v>
      </c>
      <c r="M625" s="55">
        <f>VLOOKUP($I625,'Pricing Table - eff 27-Jan-2026'!$A:$K,10,FALSE)</f>
        <v>2745</v>
      </c>
      <c r="N625" s="55" t="str">
        <f>VLOOKUP($I625,'Pricing Table - eff 27-Jan-2026'!$A:$R,13,FALSE)&amp;" "&amp;VLOOKUP($I625,'Pricing Table - eff 27-Jan-2026'!$A:$R,12,FALSE)</f>
        <v>AMC 0086 CHARCOAL METALLIC</v>
      </c>
      <c r="O625" s="56">
        <v>22.05</v>
      </c>
      <c r="P625" s="55">
        <f>(VLOOKUP($I625,'Pricing Table - eff 27-Jan-2026'!$A:$R,8,FALSE)/1000)*(VLOOKUP($I625,'Pricing Table - eff 27-Jan-2026'!$A:$R,10,FALSE)/1000)*Q625</f>
        <v>2050.5150000000003</v>
      </c>
      <c r="Q625" s="55">
        <f>ROUND(('Order Details'!$O625*1000)/((VLOOKUP($I625,'Pricing Table - eff 27-Jan-2026'!$A:$Q,7,FALSE)/12)*(VLOOKUP($I625,'Pricing Table - eff 27-Jan-2026'!$A:$Q,9,FALSE)/12))/5,0)*5</f>
        <v>600</v>
      </c>
      <c r="R625" s="71">
        <f>$Q625/IFERROR(VLOOKUP($F625&amp;RIGHT($K625,8),'Master Data'!$O$5:$P$10,2,FALSE),'Master Data'!$P$4)</f>
        <v>3</v>
      </c>
      <c r="S625" s="57">
        <f>VLOOKUP($I625,'Pricing Table - eff 27-Jan-2026'!$A:$Q,16,FALSE)</f>
        <v>770</v>
      </c>
      <c r="T625" s="57">
        <f>VLOOKUP(I625,'Pricing Table - eff 27-Jan-2026'!$A:$O,15,FALSE)</f>
        <v>8.27</v>
      </c>
      <c r="U625" s="57">
        <f t="shared" si="29"/>
        <v>16978.5</v>
      </c>
      <c r="V625" s="111">
        <f t="shared" si="28"/>
        <v>16957.759050000001</v>
      </c>
      <c r="W625" s="55">
        <f>VLOOKUP($I625,'Pricing Table - eff 27-Jan-2026'!$A:$R,18,FALSE)</f>
        <v>45</v>
      </c>
    </row>
    <row r="626" spans="1:23" ht="15" hidden="1" thickTop="1" x14ac:dyDescent="0.3">
      <c r="A626" s="55">
        <v>24202634</v>
      </c>
      <c r="B626" s="55">
        <v>1</v>
      </c>
      <c r="C626" s="55" t="str">
        <f>VLOOKUP(A626&amp;"-"&amp;B626,'Order Summary'!$D:$E,2,FALSE)</f>
        <v>Proforma Invoice Sent</v>
      </c>
      <c r="D626" s="216">
        <f>IF($A626="","",VLOOKUP($A626&amp;"-"&amp;$B626,'Order Summary'!$D:$U,3,FALSE))</f>
        <v>46076</v>
      </c>
      <c r="E626" s="55" t="str">
        <f>VLOOKUP(A626&amp;"-"&amp;B626,'Order Summary'!$D:$G,4,FALSE)</f>
        <v>Yes</v>
      </c>
      <c r="F626" s="55" t="str">
        <f>VLOOKUP($A626,'Order Summary'!$B:$I,8,FALSE)</f>
        <v>Gordon, PA</v>
      </c>
      <c r="G626" s="216" t="str">
        <f>IF($A626="","",VLOOKUP($A626&amp;"-"&amp;$B626,'Order Summary'!$D:$U,18,FALSE))</f>
        <v/>
      </c>
      <c r="H626" s="55">
        <v>5</v>
      </c>
      <c r="I626" s="55">
        <v>694672</v>
      </c>
      <c r="J626" s="55" t="str">
        <f>VLOOKUP($I626,'Pricing Table - eff 27-Jan-2026'!$A:$R,2,FALSE)</f>
        <v>G1S 694672</v>
      </c>
      <c r="K626" s="55" t="str">
        <f>VLOOKUP($I626,'Pricing Table - eff 27-Jan-2026'!$A:$R,6,FALSE)&amp;" "&amp;VLOOKUP($I626,'Pricing Table - eff 27-Jan-2026'!$A:$R,7,FALSE)&amp;""" x "&amp;VLOOKUP($I626,'Pricing Table - eff 27-Jan-2026'!$A:$R,9,FALSE)&amp;""" "&amp;VLOOKUP($I626,'Pricing Table - eff 27-Jan-2026'!$A:$R,5,FALSE)</f>
        <v>2MM 49" x 96" ACP</v>
      </c>
      <c r="L626" s="55">
        <f>VLOOKUP($I626,'Pricing Table - eff 27-Jan-2026'!$A:$K,8,FALSE)</f>
        <v>1245</v>
      </c>
      <c r="M626" s="55">
        <f>VLOOKUP($I626,'Pricing Table - eff 27-Jan-2026'!$A:$K,10,FALSE)</f>
        <v>2440</v>
      </c>
      <c r="N626" s="55" t="str">
        <f>VLOOKUP($I626,'Pricing Table - eff 27-Jan-2026'!$A:$R,13,FALSE)&amp;" "&amp;VLOOKUP($I626,'Pricing Table - eff 27-Jan-2026'!$A:$R,12,FALSE)</f>
        <v>ASC 0089 VICTORY RED</v>
      </c>
      <c r="O626" s="56">
        <v>6.5330000000000004</v>
      </c>
      <c r="P626" s="55">
        <f>(VLOOKUP($I626,'Pricing Table - eff 27-Jan-2026'!$A:$R,8,FALSE)/1000)*(VLOOKUP($I626,'Pricing Table - eff 27-Jan-2026'!$A:$R,10,FALSE)/1000)*Q626</f>
        <v>607.56000000000006</v>
      </c>
      <c r="Q626" s="55">
        <f>ROUND(('Order Details'!$O626*1000)/((VLOOKUP($I626,'Pricing Table - eff 27-Jan-2026'!$A:$Q,7,FALSE)/12)*(VLOOKUP($I626,'Pricing Table - eff 27-Jan-2026'!$A:$Q,9,FALSE)/12))/5,0)*5</f>
        <v>200</v>
      </c>
      <c r="R626" s="71">
        <f>$Q626/IFERROR(VLOOKUP($F626&amp;RIGHT($K626,8),'Master Data'!$O$5:$P$10,2,FALSE),'Master Data'!$P$4)</f>
        <v>1</v>
      </c>
      <c r="S626" s="57">
        <f>VLOOKUP($I626,'Pricing Table - eff 27-Jan-2026'!$A:$Q,16,FALSE)</f>
        <v>720</v>
      </c>
      <c r="T626" s="57">
        <f>VLOOKUP(I626,'Pricing Table - eff 27-Jan-2026'!$A:$O,15,FALSE)</f>
        <v>7.73</v>
      </c>
      <c r="U626" s="57">
        <f t="shared" si="29"/>
        <v>4703.76</v>
      </c>
      <c r="V626" s="111">
        <f t="shared" si="28"/>
        <v>4696.4388000000008</v>
      </c>
      <c r="W626" s="55">
        <f>VLOOKUP($I626,'Pricing Table - eff 27-Jan-2026'!$A:$R,18,FALSE)</f>
        <v>45</v>
      </c>
    </row>
    <row r="627" spans="1:23" ht="15" hidden="1" thickTop="1" x14ac:dyDescent="0.3">
      <c r="A627" s="55">
        <v>24202634</v>
      </c>
      <c r="B627" s="55">
        <v>1</v>
      </c>
      <c r="C627" s="55" t="str">
        <f>VLOOKUP(A627&amp;"-"&amp;B627,'Order Summary'!$D:$E,2,FALSE)</f>
        <v>Proforma Invoice Sent</v>
      </c>
      <c r="D627" s="216">
        <f>IF($A627="","",VLOOKUP($A627&amp;"-"&amp;$B627,'Order Summary'!$D:$U,3,FALSE))</f>
        <v>46076</v>
      </c>
      <c r="E627" s="55" t="str">
        <f>VLOOKUP(A627&amp;"-"&amp;B627,'Order Summary'!$D:$G,4,FALSE)</f>
        <v>Yes</v>
      </c>
      <c r="F627" s="55" t="str">
        <f>VLOOKUP($A627,'Order Summary'!$B:$I,8,FALSE)</f>
        <v>Gordon, PA</v>
      </c>
      <c r="G627" s="216" t="str">
        <f>IF($A627="","",VLOOKUP($A627&amp;"-"&amp;$B627,'Order Summary'!$D:$U,18,FALSE))</f>
        <v/>
      </c>
      <c r="H627" s="55">
        <v>6</v>
      </c>
      <c r="I627" s="55">
        <v>695620</v>
      </c>
      <c r="J627" s="55" t="str">
        <f>VLOOKUP($I627,'Pricing Table - eff 27-Jan-2026'!$A:$R,2,FALSE)</f>
        <v>G1S 695620</v>
      </c>
      <c r="K627" s="55" t="str">
        <f>VLOOKUP($I627,'Pricing Table - eff 27-Jan-2026'!$A:$R,6,FALSE)&amp;" "&amp;VLOOKUP($I627,'Pricing Table - eff 27-Jan-2026'!$A:$R,7,FALSE)&amp;""" x "&amp;VLOOKUP($I627,'Pricing Table - eff 27-Jan-2026'!$A:$R,9,FALSE)&amp;""" "&amp;VLOOKUP($I627,'Pricing Table - eff 27-Jan-2026'!$A:$R,5,FALSE)</f>
        <v>2MM 49" x 96" ACP</v>
      </c>
      <c r="L627" s="55">
        <f>VLOOKUP($I627,'Pricing Table - eff 27-Jan-2026'!$A:$K,8,FALSE)</f>
        <v>1245</v>
      </c>
      <c r="M627" s="55">
        <f>VLOOKUP($I627,'Pricing Table - eff 27-Jan-2026'!$A:$K,10,FALSE)</f>
        <v>2440</v>
      </c>
      <c r="N627" s="55" t="str">
        <f>VLOOKUP($I627,'Pricing Table - eff 27-Jan-2026'!$A:$R,13,FALSE)&amp;" "&amp;VLOOKUP($I627,'Pricing Table - eff 27-Jan-2026'!$A:$R,12,FALSE)</f>
        <v>ASC 0105 INDIGO BLUE</v>
      </c>
      <c r="O627" s="56">
        <v>6.5330000000000004</v>
      </c>
      <c r="P627" s="55">
        <f>(VLOOKUP($I627,'Pricing Table - eff 27-Jan-2026'!$A:$R,8,FALSE)/1000)*(VLOOKUP($I627,'Pricing Table - eff 27-Jan-2026'!$A:$R,10,FALSE)/1000)*Q627</f>
        <v>607.56000000000006</v>
      </c>
      <c r="Q627" s="55">
        <f>ROUND(('Order Details'!$O627*1000)/((VLOOKUP($I627,'Pricing Table - eff 27-Jan-2026'!$A:$Q,7,FALSE)/12)*(VLOOKUP($I627,'Pricing Table - eff 27-Jan-2026'!$A:$Q,9,FALSE)/12))/5,0)*5</f>
        <v>200</v>
      </c>
      <c r="R627" s="71">
        <f>$Q627/IFERROR(VLOOKUP($F627&amp;RIGHT($K627,8),'Master Data'!$O$5:$P$10,2,FALSE),'Master Data'!$P$4)</f>
        <v>1</v>
      </c>
      <c r="S627" s="57">
        <f>VLOOKUP($I627,'Pricing Table - eff 27-Jan-2026'!$A:$Q,16,FALSE)</f>
        <v>770</v>
      </c>
      <c r="T627" s="57">
        <f>VLOOKUP(I627,'Pricing Table - eff 27-Jan-2026'!$A:$O,15,FALSE)</f>
        <v>8.27</v>
      </c>
      <c r="U627" s="57">
        <f t="shared" si="29"/>
        <v>5030.41</v>
      </c>
      <c r="V627" s="111">
        <f t="shared" si="28"/>
        <v>5024.5212000000001</v>
      </c>
      <c r="W627" s="55">
        <f>VLOOKUP($I627,'Pricing Table - eff 27-Jan-2026'!$A:$R,18,FALSE)</f>
        <v>45</v>
      </c>
    </row>
    <row r="628" spans="1:23" ht="15" hidden="1" thickTop="1" x14ac:dyDescent="0.3">
      <c r="A628" s="55">
        <v>24202608</v>
      </c>
      <c r="B628" s="55">
        <v>1</v>
      </c>
      <c r="C628" s="55" t="str">
        <f>VLOOKUP(A628&amp;"-"&amp;B628,'Order Summary'!$D:$E,2,FALSE)</f>
        <v>Proforma Invoice Sent</v>
      </c>
      <c r="D628" s="216">
        <f>IF($A628="","",VLOOKUP($A628&amp;"-"&amp;$B628,'Order Summary'!$D:$U,3,FALSE))</f>
        <v>46076</v>
      </c>
      <c r="E628" s="55" t="str">
        <f>VLOOKUP(A628&amp;"-"&amp;B628,'Order Summary'!$D:$G,4,FALSE)</f>
        <v>Yes</v>
      </c>
      <c r="F628" s="55" t="str">
        <f>VLOOKUP($A628,'Order Summary'!$B:$I,8,FALSE)</f>
        <v>Gordon, PA</v>
      </c>
      <c r="G628" s="216" t="str">
        <f>IF($A628="","",VLOOKUP($A628&amp;"-"&amp;$B628,'Order Summary'!$D:$U,18,FALSE))</f>
        <v/>
      </c>
      <c r="H628" s="55">
        <v>1</v>
      </c>
      <c r="I628" s="55">
        <v>694440</v>
      </c>
      <c r="J628" s="55" t="str">
        <f>VLOOKUP($I628,'Pricing Table - eff 27-Jan-2026'!$A:$R,2,FALSE)</f>
        <v>G1S 694440</v>
      </c>
      <c r="K628" s="55" t="str">
        <f>VLOOKUP($I628,'Pricing Table - eff 27-Jan-2026'!$A:$R,6,FALSE)&amp;" "&amp;VLOOKUP($I628,'Pricing Table - eff 27-Jan-2026'!$A:$R,7,FALSE)&amp;""" x "&amp;VLOOKUP($I628,'Pricing Table - eff 27-Jan-2026'!$A:$R,9,FALSE)&amp;""" "&amp;VLOOKUP($I628,'Pricing Table - eff 27-Jan-2026'!$A:$R,5,FALSE)</f>
        <v>2MM 49" x 96" ACP</v>
      </c>
      <c r="L628" s="55">
        <f>VLOOKUP($I628,'Pricing Table - eff 27-Jan-2026'!$A:$K,8,FALSE)</f>
        <v>1245</v>
      </c>
      <c r="M628" s="55">
        <f>VLOOKUP($I628,'Pricing Table - eff 27-Jan-2026'!$A:$K,10,FALSE)</f>
        <v>2440</v>
      </c>
      <c r="N628" s="55" t="str">
        <f>VLOOKUP($I628,'Pricing Table - eff 27-Jan-2026'!$A:$R,13,FALSE)&amp;" "&amp;VLOOKUP($I628,'Pricing Table - eff 27-Jan-2026'!$A:$R,12,FALSE)</f>
        <v>AMC 0103 SILVER FROST</v>
      </c>
      <c r="O628" s="56">
        <v>19.600000000000001</v>
      </c>
      <c r="P628" s="55">
        <f>(VLOOKUP($I628,'Pricing Table - eff 27-Jan-2026'!$A:$R,8,FALSE)/1000)*(VLOOKUP($I628,'Pricing Table - eff 27-Jan-2026'!$A:$R,10,FALSE)/1000)*Q628</f>
        <v>1822.68</v>
      </c>
      <c r="Q628" s="55">
        <f>ROUND(('Order Details'!$O628*1000)/((VLOOKUP($I628,'Pricing Table - eff 27-Jan-2026'!$A:$Q,7,FALSE)/12)*(VLOOKUP($I628,'Pricing Table - eff 27-Jan-2026'!$A:$Q,9,FALSE)/12))/5,0)*5</f>
        <v>600</v>
      </c>
      <c r="R628" s="71">
        <f>$Q628/IFERROR(VLOOKUP($F628&amp;RIGHT($K628,8),'Master Data'!$O$5:$P$10,2,FALSE),'Master Data'!$P$4)</f>
        <v>3</v>
      </c>
      <c r="S628" s="57">
        <f>VLOOKUP($I628,'Pricing Table - eff 27-Jan-2026'!$A:$Q,16,FALSE)</f>
        <v>720</v>
      </c>
      <c r="T628" s="57">
        <f>VLOOKUP(I628,'Pricing Table - eff 27-Jan-2026'!$A:$O,15,FALSE)</f>
        <v>7.73</v>
      </c>
      <c r="U628" s="57">
        <f t="shared" si="29"/>
        <v>14112.000000000002</v>
      </c>
      <c r="V628" s="111">
        <f t="shared" si="28"/>
        <v>14089.316400000002</v>
      </c>
      <c r="W628" s="55">
        <f>VLOOKUP($I628,'Pricing Table - eff 27-Jan-2026'!$A:$R,18,FALSE)</f>
        <v>90</v>
      </c>
    </row>
    <row r="629" spans="1:23" ht="15" hidden="1" thickTop="1" x14ac:dyDescent="0.3">
      <c r="A629" s="55">
        <v>24202608</v>
      </c>
      <c r="B629" s="55">
        <v>1</v>
      </c>
      <c r="C629" s="55" t="str">
        <f>VLOOKUP(A629&amp;"-"&amp;B629,'Order Summary'!$D:$E,2,FALSE)</f>
        <v>Proforma Invoice Sent</v>
      </c>
      <c r="D629" s="216">
        <f>IF($A629="","",VLOOKUP($A629&amp;"-"&amp;$B629,'Order Summary'!$D:$U,3,FALSE))</f>
        <v>46076</v>
      </c>
      <c r="E629" s="55" t="str">
        <f>VLOOKUP(A629&amp;"-"&amp;B629,'Order Summary'!$D:$G,4,FALSE)</f>
        <v>Yes</v>
      </c>
      <c r="F629" s="55" t="str">
        <f>VLOOKUP($A629,'Order Summary'!$B:$I,8,FALSE)</f>
        <v>Gordon, PA</v>
      </c>
      <c r="G629" s="216" t="str">
        <f>IF($A629="","",VLOOKUP($A629&amp;"-"&amp;$B629,'Order Summary'!$D:$U,18,FALSE))</f>
        <v/>
      </c>
      <c r="H629" s="55">
        <v>2</v>
      </c>
      <c r="I629" s="55">
        <v>694441</v>
      </c>
      <c r="J629" s="55" t="str">
        <f>VLOOKUP($I629,'Pricing Table - eff 27-Jan-2026'!$A:$R,2,FALSE)</f>
        <v>G1S 694441</v>
      </c>
      <c r="K629" s="55" t="str">
        <f>VLOOKUP($I629,'Pricing Table - eff 27-Jan-2026'!$A:$R,6,FALSE)&amp;" "&amp;VLOOKUP($I629,'Pricing Table - eff 27-Jan-2026'!$A:$R,7,FALSE)&amp;""" x "&amp;VLOOKUP($I629,'Pricing Table - eff 27-Jan-2026'!$A:$R,9,FALSE)&amp;""" "&amp;VLOOKUP($I629,'Pricing Table - eff 27-Jan-2026'!$A:$R,5,FALSE)</f>
        <v>2MM 49" x 108" ACP</v>
      </c>
      <c r="L629" s="55">
        <f>VLOOKUP($I629,'Pricing Table - eff 27-Jan-2026'!$A:$K,8,FALSE)</f>
        <v>1245</v>
      </c>
      <c r="M629" s="55">
        <f>VLOOKUP($I629,'Pricing Table - eff 27-Jan-2026'!$A:$K,10,FALSE)</f>
        <v>2745</v>
      </c>
      <c r="N629" s="55" t="str">
        <f>VLOOKUP($I629,'Pricing Table - eff 27-Jan-2026'!$A:$R,13,FALSE)&amp;" "&amp;VLOOKUP($I629,'Pricing Table - eff 27-Jan-2026'!$A:$R,12,FALSE)</f>
        <v>AMC 0103 SILVER FROST</v>
      </c>
      <c r="O629" s="56">
        <v>22.05</v>
      </c>
      <c r="P629" s="55">
        <f>(VLOOKUP($I629,'Pricing Table - eff 27-Jan-2026'!$A:$R,8,FALSE)/1000)*(VLOOKUP($I629,'Pricing Table - eff 27-Jan-2026'!$A:$R,10,FALSE)/1000)*Q629</f>
        <v>2050.5150000000003</v>
      </c>
      <c r="Q629" s="55">
        <f>ROUND(('Order Details'!$O629*1000)/((VLOOKUP($I629,'Pricing Table - eff 27-Jan-2026'!$A:$Q,7,FALSE)/12)*(VLOOKUP($I629,'Pricing Table - eff 27-Jan-2026'!$A:$Q,9,FALSE)/12))/5,0)*5</f>
        <v>600</v>
      </c>
      <c r="R629" s="71">
        <f>$Q629/IFERROR(VLOOKUP($F629&amp;RIGHT($K629,8),'Master Data'!$O$5:$P$10,2,FALSE),'Master Data'!$P$4)</f>
        <v>3</v>
      </c>
      <c r="S629" s="57">
        <f>VLOOKUP($I629,'Pricing Table - eff 27-Jan-2026'!$A:$Q,16,FALSE)</f>
        <v>720</v>
      </c>
      <c r="T629" s="57">
        <f>VLOOKUP(I629,'Pricing Table - eff 27-Jan-2026'!$A:$O,15,FALSE)</f>
        <v>7.73</v>
      </c>
      <c r="U629" s="57">
        <f t="shared" si="29"/>
        <v>15876</v>
      </c>
      <c r="V629" s="111">
        <f t="shared" si="28"/>
        <v>15850.480950000003</v>
      </c>
      <c r="W629" s="55">
        <f>VLOOKUP($I629,'Pricing Table - eff 27-Jan-2026'!$A:$R,18,FALSE)</f>
        <v>90</v>
      </c>
    </row>
    <row r="630" spans="1:23" ht="15" hidden="1" thickTop="1" x14ac:dyDescent="0.3">
      <c r="A630" s="55">
        <v>24202608</v>
      </c>
      <c r="B630" s="55">
        <v>1</v>
      </c>
      <c r="C630" s="55" t="str">
        <f>VLOOKUP(A630&amp;"-"&amp;B630,'Order Summary'!$D:$E,2,FALSE)</f>
        <v>Proforma Invoice Sent</v>
      </c>
      <c r="D630" s="216">
        <f>IF($A630="","",VLOOKUP($A630&amp;"-"&amp;$B630,'Order Summary'!$D:$U,3,FALSE))</f>
        <v>46076</v>
      </c>
      <c r="E630" s="55" t="str">
        <f>VLOOKUP(A630&amp;"-"&amp;B630,'Order Summary'!$D:$G,4,FALSE)</f>
        <v>Yes</v>
      </c>
      <c r="F630" s="55" t="str">
        <f>VLOOKUP($A630,'Order Summary'!$B:$I,8,FALSE)</f>
        <v>Gordon, PA</v>
      </c>
      <c r="G630" s="216" t="str">
        <f>IF($A630="","",VLOOKUP($A630&amp;"-"&amp;$B630,'Order Summary'!$D:$U,18,FALSE))</f>
        <v/>
      </c>
      <c r="H630" s="55">
        <v>3</v>
      </c>
      <c r="I630" s="55">
        <v>694444</v>
      </c>
      <c r="J630" s="55" t="str">
        <f>VLOOKUP($I630,'Pricing Table - eff 27-Jan-2026'!$A:$R,2,FALSE)</f>
        <v>G1S 694444</v>
      </c>
      <c r="K630" s="55" t="str">
        <f>VLOOKUP($I630,'Pricing Table - eff 27-Jan-2026'!$A:$R,6,FALSE)&amp;" "&amp;VLOOKUP($I630,'Pricing Table - eff 27-Jan-2026'!$A:$R,7,FALSE)&amp;""" x "&amp;VLOOKUP($I630,'Pricing Table - eff 27-Jan-2026'!$A:$R,9,FALSE)&amp;""" "&amp;VLOOKUP($I630,'Pricing Table - eff 27-Jan-2026'!$A:$R,5,FALSE)</f>
        <v>2MM 49" x 96" ACP</v>
      </c>
      <c r="L630" s="55">
        <f>VLOOKUP($I630,'Pricing Table - eff 27-Jan-2026'!$A:$K,8,FALSE)</f>
        <v>1245</v>
      </c>
      <c r="M630" s="55">
        <f>VLOOKUP($I630,'Pricing Table - eff 27-Jan-2026'!$A:$K,10,FALSE)</f>
        <v>2440</v>
      </c>
      <c r="N630" s="55" t="str">
        <f>VLOOKUP($I630,'Pricing Table - eff 27-Jan-2026'!$A:$R,13,FALSE)&amp;" "&amp;VLOOKUP($I630,'Pricing Table - eff 27-Jan-2026'!$A:$R,12,FALSE)</f>
        <v>AMC 0086 CHARCOAL METALLIC</v>
      </c>
      <c r="O630" s="56">
        <v>19.600000000000001</v>
      </c>
      <c r="P630" s="55">
        <f>(VLOOKUP($I630,'Pricing Table - eff 27-Jan-2026'!$A:$R,8,FALSE)/1000)*(VLOOKUP($I630,'Pricing Table - eff 27-Jan-2026'!$A:$R,10,FALSE)/1000)*Q630</f>
        <v>1822.68</v>
      </c>
      <c r="Q630" s="55">
        <f>ROUND(('Order Details'!$O630*1000)/((VLOOKUP($I630,'Pricing Table - eff 27-Jan-2026'!$A:$Q,7,FALSE)/12)*(VLOOKUP($I630,'Pricing Table - eff 27-Jan-2026'!$A:$Q,9,FALSE)/12))/5,0)*5</f>
        <v>600</v>
      </c>
      <c r="R630" s="71">
        <f>$Q630/IFERROR(VLOOKUP($F630&amp;RIGHT($K630,8),'Master Data'!$O$5:$P$10,2,FALSE),'Master Data'!$P$4)</f>
        <v>3</v>
      </c>
      <c r="S630" s="57">
        <f>VLOOKUP($I630,'Pricing Table - eff 27-Jan-2026'!$A:$Q,16,FALSE)</f>
        <v>770</v>
      </c>
      <c r="T630" s="57">
        <f>VLOOKUP(I630,'Pricing Table - eff 27-Jan-2026'!$A:$O,15,FALSE)</f>
        <v>8.27</v>
      </c>
      <c r="U630" s="57">
        <f t="shared" si="29"/>
        <v>15092.000000000002</v>
      </c>
      <c r="V630" s="111">
        <f t="shared" si="28"/>
        <v>15073.563599999999</v>
      </c>
      <c r="W630" s="55">
        <f>VLOOKUP($I630,'Pricing Table - eff 27-Jan-2026'!$A:$R,18,FALSE)</f>
        <v>45</v>
      </c>
    </row>
    <row r="631" spans="1:23" ht="15" hidden="1" thickTop="1" x14ac:dyDescent="0.3">
      <c r="A631" s="55">
        <v>24202608</v>
      </c>
      <c r="B631" s="55">
        <v>1</v>
      </c>
      <c r="C631" s="55" t="str">
        <f>VLOOKUP(A631&amp;"-"&amp;B631,'Order Summary'!$D:$E,2,FALSE)</f>
        <v>Proforma Invoice Sent</v>
      </c>
      <c r="D631" s="216">
        <f>IF($A631="","",VLOOKUP($A631&amp;"-"&amp;$B631,'Order Summary'!$D:$U,3,FALSE))</f>
        <v>46076</v>
      </c>
      <c r="E631" s="55" t="str">
        <f>VLOOKUP(A631&amp;"-"&amp;B631,'Order Summary'!$D:$G,4,FALSE)</f>
        <v>Yes</v>
      </c>
      <c r="F631" s="55" t="str">
        <f>VLOOKUP($A631,'Order Summary'!$B:$I,8,FALSE)</f>
        <v>Gordon, PA</v>
      </c>
      <c r="G631" s="216" t="str">
        <f>IF($A631="","",VLOOKUP($A631&amp;"-"&amp;$B631,'Order Summary'!$D:$U,18,FALSE))</f>
        <v/>
      </c>
      <c r="H631" s="55">
        <v>4</v>
      </c>
      <c r="I631" s="55">
        <v>694445</v>
      </c>
      <c r="J631" s="55" t="str">
        <f>VLOOKUP($I631,'Pricing Table - eff 27-Jan-2026'!$A:$R,2,FALSE)</f>
        <v>G1S 694445</v>
      </c>
      <c r="K631" s="55" t="str">
        <f>VLOOKUP($I631,'Pricing Table - eff 27-Jan-2026'!$A:$R,6,FALSE)&amp;" "&amp;VLOOKUP($I631,'Pricing Table - eff 27-Jan-2026'!$A:$R,7,FALSE)&amp;""" x "&amp;VLOOKUP($I631,'Pricing Table - eff 27-Jan-2026'!$A:$R,9,FALSE)&amp;""" "&amp;VLOOKUP($I631,'Pricing Table - eff 27-Jan-2026'!$A:$R,5,FALSE)</f>
        <v>2MM 49" x 108" ACP</v>
      </c>
      <c r="L631" s="55">
        <f>VLOOKUP($I631,'Pricing Table - eff 27-Jan-2026'!$A:$K,8,FALSE)</f>
        <v>1245</v>
      </c>
      <c r="M631" s="55">
        <f>VLOOKUP($I631,'Pricing Table - eff 27-Jan-2026'!$A:$K,10,FALSE)</f>
        <v>2745</v>
      </c>
      <c r="N631" s="55" t="str">
        <f>VLOOKUP($I631,'Pricing Table - eff 27-Jan-2026'!$A:$R,13,FALSE)&amp;" "&amp;VLOOKUP($I631,'Pricing Table - eff 27-Jan-2026'!$A:$R,12,FALSE)</f>
        <v>AMC 0086 CHARCOAL METALLIC</v>
      </c>
      <c r="O631" s="56">
        <v>14.7</v>
      </c>
      <c r="P631" s="55">
        <f>(VLOOKUP($I631,'Pricing Table - eff 27-Jan-2026'!$A:$R,8,FALSE)/1000)*(VLOOKUP($I631,'Pricing Table - eff 27-Jan-2026'!$A:$R,10,FALSE)/1000)*Q631</f>
        <v>1367.0100000000002</v>
      </c>
      <c r="Q631" s="55">
        <f>ROUND(('Order Details'!$O631*1000)/((VLOOKUP($I631,'Pricing Table - eff 27-Jan-2026'!$A:$Q,7,FALSE)/12)*(VLOOKUP($I631,'Pricing Table - eff 27-Jan-2026'!$A:$Q,9,FALSE)/12))/5,0)*5</f>
        <v>400</v>
      </c>
      <c r="R631" s="71">
        <f>$Q631/IFERROR(VLOOKUP($F631&amp;RIGHT($K631,8),'Master Data'!$O$5:$P$10,2,FALSE),'Master Data'!$P$4)</f>
        <v>2</v>
      </c>
      <c r="S631" s="57">
        <f>VLOOKUP($I631,'Pricing Table - eff 27-Jan-2026'!$A:$Q,16,FALSE)</f>
        <v>770</v>
      </c>
      <c r="T631" s="57">
        <f>VLOOKUP(I631,'Pricing Table - eff 27-Jan-2026'!$A:$O,15,FALSE)</f>
        <v>8.27</v>
      </c>
      <c r="U631" s="57">
        <f t="shared" si="29"/>
        <v>11319</v>
      </c>
      <c r="V631" s="111">
        <f t="shared" si="28"/>
        <v>11305.172700000001</v>
      </c>
      <c r="W631" s="55">
        <f>VLOOKUP($I631,'Pricing Table - eff 27-Jan-2026'!$A:$R,18,FALSE)</f>
        <v>45</v>
      </c>
    </row>
    <row r="632" spans="1:23" ht="15" hidden="1" thickTop="1" x14ac:dyDescent="0.3">
      <c r="A632" s="55">
        <v>24202608</v>
      </c>
      <c r="B632" s="55">
        <v>1</v>
      </c>
      <c r="C632" s="55" t="str">
        <f>VLOOKUP(A632&amp;"-"&amp;B632,'Order Summary'!$D:$E,2,FALSE)</f>
        <v>Proforma Invoice Sent</v>
      </c>
      <c r="D632" s="216">
        <f>IF($A632="","",VLOOKUP($A632&amp;"-"&amp;$B632,'Order Summary'!$D:$U,3,FALSE))</f>
        <v>46076</v>
      </c>
      <c r="E632" s="55" t="str">
        <f>VLOOKUP(A632&amp;"-"&amp;B632,'Order Summary'!$D:$G,4,FALSE)</f>
        <v>Yes</v>
      </c>
      <c r="F632" s="55" t="str">
        <f>VLOOKUP($A632,'Order Summary'!$B:$I,8,FALSE)</f>
        <v>Gordon, PA</v>
      </c>
      <c r="G632" s="216" t="str">
        <f>IF($A632="","",VLOOKUP($A632&amp;"-"&amp;$B632,'Order Summary'!$D:$U,18,FALSE))</f>
        <v/>
      </c>
      <c r="H632" s="55">
        <v>5</v>
      </c>
      <c r="I632" s="55">
        <v>694672</v>
      </c>
      <c r="J632" s="55" t="str">
        <f>VLOOKUP($I632,'Pricing Table - eff 27-Jan-2026'!$A:$R,2,FALSE)</f>
        <v>G1S 694672</v>
      </c>
      <c r="K632" s="55" t="str">
        <f>VLOOKUP($I632,'Pricing Table - eff 27-Jan-2026'!$A:$R,6,FALSE)&amp;" "&amp;VLOOKUP($I632,'Pricing Table - eff 27-Jan-2026'!$A:$R,7,FALSE)&amp;""" x "&amp;VLOOKUP($I632,'Pricing Table - eff 27-Jan-2026'!$A:$R,9,FALSE)&amp;""" "&amp;VLOOKUP($I632,'Pricing Table - eff 27-Jan-2026'!$A:$R,5,FALSE)</f>
        <v>2MM 49" x 96" ACP</v>
      </c>
      <c r="L632" s="55">
        <f>VLOOKUP($I632,'Pricing Table - eff 27-Jan-2026'!$A:$K,8,FALSE)</f>
        <v>1245</v>
      </c>
      <c r="M632" s="55">
        <f>VLOOKUP($I632,'Pricing Table - eff 27-Jan-2026'!$A:$K,10,FALSE)</f>
        <v>2440</v>
      </c>
      <c r="N632" s="55" t="str">
        <f>VLOOKUP($I632,'Pricing Table - eff 27-Jan-2026'!$A:$R,13,FALSE)&amp;" "&amp;VLOOKUP($I632,'Pricing Table - eff 27-Jan-2026'!$A:$R,12,FALSE)</f>
        <v>ASC 0089 VICTORY RED</v>
      </c>
      <c r="O632" s="56">
        <v>6.5330000000000004</v>
      </c>
      <c r="P632" s="55">
        <f>(VLOOKUP($I632,'Pricing Table - eff 27-Jan-2026'!$A:$R,8,FALSE)/1000)*(VLOOKUP($I632,'Pricing Table - eff 27-Jan-2026'!$A:$R,10,FALSE)/1000)*Q632</f>
        <v>607.56000000000006</v>
      </c>
      <c r="Q632" s="55">
        <f>ROUND(('Order Details'!$O632*1000)/((VLOOKUP($I632,'Pricing Table - eff 27-Jan-2026'!$A:$Q,7,FALSE)/12)*(VLOOKUP($I632,'Pricing Table - eff 27-Jan-2026'!$A:$Q,9,FALSE)/12))/5,0)*5</f>
        <v>200</v>
      </c>
      <c r="R632" s="71">
        <f>$Q632/IFERROR(VLOOKUP($F632&amp;RIGHT($K632,8),'Master Data'!$O$5:$P$10,2,FALSE),'Master Data'!$P$4)</f>
        <v>1</v>
      </c>
      <c r="S632" s="57">
        <f>VLOOKUP($I632,'Pricing Table - eff 27-Jan-2026'!$A:$Q,16,FALSE)</f>
        <v>720</v>
      </c>
      <c r="T632" s="57">
        <f>VLOOKUP(I632,'Pricing Table - eff 27-Jan-2026'!$A:$O,15,FALSE)</f>
        <v>7.73</v>
      </c>
      <c r="U632" s="57">
        <f t="shared" si="29"/>
        <v>4703.76</v>
      </c>
      <c r="V632" s="111">
        <f t="shared" si="28"/>
        <v>4696.4388000000008</v>
      </c>
      <c r="W632" s="55">
        <f>VLOOKUP($I632,'Pricing Table - eff 27-Jan-2026'!$A:$R,18,FALSE)</f>
        <v>45</v>
      </c>
    </row>
    <row r="633" spans="1:23" ht="15" hidden="1" thickTop="1" x14ac:dyDescent="0.3">
      <c r="A633" s="55">
        <v>24202608</v>
      </c>
      <c r="B633" s="55">
        <v>1</v>
      </c>
      <c r="C633" s="55" t="str">
        <f>VLOOKUP(A633&amp;"-"&amp;B633,'Order Summary'!$D:$E,2,FALSE)</f>
        <v>Proforma Invoice Sent</v>
      </c>
      <c r="D633" s="216">
        <f>IF($A633="","",VLOOKUP($A633&amp;"-"&amp;$B633,'Order Summary'!$D:$U,3,FALSE))</f>
        <v>46076</v>
      </c>
      <c r="E633" s="55" t="str">
        <f>VLOOKUP(A633&amp;"-"&amp;B633,'Order Summary'!$D:$G,4,FALSE)</f>
        <v>Yes</v>
      </c>
      <c r="F633" s="55" t="str">
        <f>VLOOKUP($A633,'Order Summary'!$B:$I,8,FALSE)</f>
        <v>Gordon, PA</v>
      </c>
      <c r="G633" s="216" t="str">
        <f>IF($A633="","",VLOOKUP($A633&amp;"-"&amp;$B633,'Order Summary'!$D:$U,18,FALSE))</f>
        <v/>
      </c>
      <c r="H633" s="55">
        <v>6</v>
      </c>
      <c r="I633" s="55">
        <v>695620</v>
      </c>
      <c r="J633" s="55" t="str">
        <f>VLOOKUP($I633,'Pricing Table - eff 27-Jan-2026'!$A:$R,2,FALSE)</f>
        <v>G1S 695620</v>
      </c>
      <c r="K633" s="55" t="str">
        <f>VLOOKUP($I633,'Pricing Table - eff 27-Jan-2026'!$A:$R,6,FALSE)&amp;" "&amp;VLOOKUP($I633,'Pricing Table - eff 27-Jan-2026'!$A:$R,7,FALSE)&amp;""" x "&amp;VLOOKUP($I633,'Pricing Table - eff 27-Jan-2026'!$A:$R,9,FALSE)&amp;""" "&amp;VLOOKUP($I633,'Pricing Table - eff 27-Jan-2026'!$A:$R,5,FALSE)</f>
        <v>2MM 49" x 96" ACP</v>
      </c>
      <c r="L633" s="55">
        <f>VLOOKUP($I633,'Pricing Table - eff 27-Jan-2026'!$A:$K,8,FALSE)</f>
        <v>1245</v>
      </c>
      <c r="M633" s="55">
        <f>VLOOKUP($I633,'Pricing Table - eff 27-Jan-2026'!$A:$K,10,FALSE)</f>
        <v>2440</v>
      </c>
      <c r="N633" s="55" t="str">
        <f>VLOOKUP($I633,'Pricing Table - eff 27-Jan-2026'!$A:$R,13,FALSE)&amp;" "&amp;VLOOKUP($I633,'Pricing Table - eff 27-Jan-2026'!$A:$R,12,FALSE)</f>
        <v>ASC 0105 INDIGO BLUE</v>
      </c>
      <c r="O633" s="56">
        <v>6.5330000000000004</v>
      </c>
      <c r="P633" s="55">
        <f>(VLOOKUP($I633,'Pricing Table - eff 27-Jan-2026'!$A:$R,8,FALSE)/1000)*(VLOOKUP($I633,'Pricing Table - eff 27-Jan-2026'!$A:$R,10,FALSE)/1000)*Q633</f>
        <v>607.56000000000006</v>
      </c>
      <c r="Q633" s="55">
        <f>ROUND(('Order Details'!$O633*1000)/((VLOOKUP($I633,'Pricing Table - eff 27-Jan-2026'!$A:$Q,7,FALSE)/12)*(VLOOKUP($I633,'Pricing Table - eff 27-Jan-2026'!$A:$Q,9,FALSE)/12))/5,0)*5</f>
        <v>200</v>
      </c>
      <c r="R633" s="71">
        <f>$Q633/IFERROR(VLOOKUP($F633&amp;RIGHT($K633,8),'Master Data'!$O$5:$P$10,2,FALSE),'Master Data'!$P$4)</f>
        <v>1</v>
      </c>
      <c r="S633" s="57">
        <f>VLOOKUP($I633,'Pricing Table - eff 27-Jan-2026'!$A:$Q,16,FALSE)</f>
        <v>770</v>
      </c>
      <c r="T633" s="57">
        <f>VLOOKUP(I633,'Pricing Table - eff 27-Jan-2026'!$A:$O,15,FALSE)</f>
        <v>8.27</v>
      </c>
      <c r="U633" s="57">
        <f t="shared" si="29"/>
        <v>5030.41</v>
      </c>
      <c r="V633" s="111">
        <f t="shared" si="28"/>
        <v>5024.5212000000001</v>
      </c>
      <c r="W633" s="55">
        <f>VLOOKUP($I633,'Pricing Table - eff 27-Jan-2026'!$A:$R,18,FALSE)</f>
        <v>45</v>
      </c>
    </row>
    <row r="634" spans="1:23" ht="15" hidden="1" thickTop="1" x14ac:dyDescent="0.3">
      <c r="A634" s="55">
        <v>24202721</v>
      </c>
      <c r="B634" s="55">
        <v>1</v>
      </c>
      <c r="C634" s="55" t="str">
        <f>VLOOKUP(A634&amp;"-"&amp;B634,'Order Summary'!$D:$E,2,FALSE)</f>
        <v>Proforma Invoice Sent</v>
      </c>
      <c r="D634" s="216">
        <f>IF($A634="","",VLOOKUP($A634&amp;"-"&amp;$B634,'Order Summary'!$D:$U,3,FALSE))</f>
        <v>46073</v>
      </c>
      <c r="E634" s="55" t="str">
        <f>VLOOKUP(A634&amp;"-"&amp;B634,'Order Summary'!$D:$G,4,FALSE)</f>
        <v>Yes</v>
      </c>
      <c r="F634" s="55" t="str">
        <f>VLOOKUP($A634,'Order Summary'!$B:$I,8,FALSE)</f>
        <v>Gordon, PA</v>
      </c>
      <c r="G634" s="216" t="str">
        <f>IF($A634="","",VLOOKUP($A634&amp;"-"&amp;$B634,'Order Summary'!$D:$U,18,FALSE))</f>
        <v/>
      </c>
      <c r="H634" s="55">
        <v>1</v>
      </c>
      <c r="I634" s="55">
        <v>694432</v>
      </c>
      <c r="J634" s="55" t="str">
        <f>VLOOKUP($I634,'Pricing Table - eff 27-Jan-2026'!$A:$R,2,FALSE)</f>
        <v>G1S 694432</v>
      </c>
      <c r="K634" s="55" t="str">
        <f>VLOOKUP($I634,'Pricing Table - eff 27-Jan-2026'!$A:$R,6,FALSE)&amp;" "&amp;VLOOKUP($I634,'Pricing Table - eff 27-Jan-2026'!$A:$R,7,FALSE)&amp;""" x "&amp;VLOOKUP($I634,'Pricing Table - eff 27-Jan-2026'!$A:$R,9,FALSE)&amp;""" "&amp;VLOOKUP($I634,'Pricing Table - eff 27-Jan-2026'!$A:$R,5,FALSE)</f>
        <v>2MM 49" x 96" ACP</v>
      </c>
      <c r="L634" s="55">
        <f>VLOOKUP($I634,'Pricing Table - eff 27-Jan-2026'!$A:$K,8,FALSE)</f>
        <v>1245</v>
      </c>
      <c r="M634" s="55">
        <f>VLOOKUP($I634,'Pricing Table - eff 27-Jan-2026'!$A:$K,10,FALSE)</f>
        <v>2440</v>
      </c>
      <c r="N634" s="55" t="str">
        <f>VLOOKUP($I634,'Pricing Table - eff 27-Jan-2026'!$A:$R,13,FALSE)&amp;" "&amp;VLOOKUP($I634,'Pricing Table - eff 27-Jan-2026'!$A:$R,12,FALSE)</f>
        <v>ASC 0096 GLOSSY BLACK</v>
      </c>
      <c r="O634" s="56">
        <v>26.132999999999999</v>
      </c>
      <c r="P634" s="55">
        <f>(VLOOKUP($I634,'Pricing Table - eff 27-Jan-2026'!$A:$R,8,FALSE)/1000)*(VLOOKUP($I634,'Pricing Table - eff 27-Jan-2026'!$A:$R,10,FALSE)/1000)*Q634</f>
        <v>2430.2400000000002</v>
      </c>
      <c r="Q634" s="55">
        <f>ROUND(('Order Details'!$O634*1000)/((VLOOKUP($I634,'Pricing Table - eff 27-Jan-2026'!$A:$Q,7,FALSE)/12)*(VLOOKUP($I634,'Pricing Table - eff 27-Jan-2026'!$A:$Q,9,FALSE)/12))/5,0)*5</f>
        <v>800</v>
      </c>
      <c r="R634" s="71">
        <f>$Q634/IFERROR(VLOOKUP($F634&amp;RIGHT($K634,8),'Master Data'!$O$5:$P$10,2,FALSE),'Master Data'!$P$4)</f>
        <v>4</v>
      </c>
      <c r="S634" s="57">
        <f>VLOOKUP($I634,'Pricing Table - eff 27-Jan-2026'!$A:$Q,16,FALSE)</f>
        <v>720</v>
      </c>
      <c r="T634" s="57">
        <f>VLOOKUP(I634,'Pricing Table - eff 27-Jan-2026'!$A:$O,15,FALSE)</f>
        <v>7.73</v>
      </c>
      <c r="U634" s="57">
        <f t="shared" si="29"/>
        <v>18815.759999999998</v>
      </c>
      <c r="V634" s="111">
        <f t="shared" si="28"/>
        <v>18785.755200000003</v>
      </c>
      <c r="W634" s="55">
        <f>VLOOKUP($I634,'Pricing Table - eff 27-Jan-2026'!$A:$R,18,FALSE)</f>
        <v>45</v>
      </c>
    </row>
    <row r="635" spans="1:23" ht="15" hidden="1" thickTop="1" x14ac:dyDescent="0.3">
      <c r="A635" s="55">
        <v>24202721</v>
      </c>
      <c r="B635" s="55">
        <v>1</v>
      </c>
      <c r="C635" s="55" t="str">
        <f>VLOOKUP(A635&amp;"-"&amp;B635,'Order Summary'!$D:$E,2,FALSE)</f>
        <v>Proforma Invoice Sent</v>
      </c>
      <c r="D635" s="216">
        <f>IF($A635="","",VLOOKUP($A635&amp;"-"&amp;$B635,'Order Summary'!$D:$U,3,FALSE))</f>
        <v>46073</v>
      </c>
      <c r="E635" s="55" t="str">
        <f>VLOOKUP(A635&amp;"-"&amp;B635,'Order Summary'!$D:$G,4,FALSE)</f>
        <v>Yes</v>
      </c>
      <c r="F635" s="55" t="str">
        <f>VLOOKUP($A635,'Order Summary'!$B:$I,8,FALSE)</f>
        <v>Gordon, PA</v>
      </c>
      <c r="G635" s="216" t="str">
        <f>IF($A635="","",VLOOKUP($A635&amp;"-"&amp;$B635,'Order Summary'!$D:$U,18,FALSE))</f>
        <v/>
      </c>
      <c r="H635" s="55">
        <v>2</v>
      </c>
      <c r="I635" s="55">
        <v>694436</v>
      </c>
      <c r="J635" s="55" t="str">
        <f>VLOOKUP($I635,'Pricing Table - eff 27-Jan-2026'!$A:$R,2,FALSE)</f>
        <v>G1S 694436</v>
      </c>
      <c r="K635" s="55" t="str">
        <f>VLOOKUP($I635,'Pricing Table - eff 27-Jan-2026'!$A:$R,6,FALSE)&amp;" "&amp;VLOOKUP($I635,'Pricing Table - eff 27-Jan-2026'!$A:$R,7,FALSE)&amp;""" x "&amp;VLOOKUP($I635,'Pricing Table - eff 27-Jan-2026'!$A:$R,9,FALSE)&amp;""" "&amp;VLOOKUP($I635,'Pricing Table - eff 27-Jan-2026'!$A:$R,5,FALSE)</f>
        <v>2MM 49" x 96" ACP</v>
      </c>
      <c r="L635" s="55">
        <f>VLOOKUP($I635,'Pricing Table - eff 27-Jan-2026'!$A:$K,8,FALSE)</f>
        <v>1245</v>
      </c>
      <c r="M635" s="55">
        <f>VLOOKUP($I635,'Pricing Table - eff 27-Jan-2026'!$A:$K,10,FALSE)</f>
        <v>2440</v>
      </c>
      <c r="N635" s="55" t="str">
        <f>VLOOKUP($I635,'Pricing Table - eff 27-Jan-2026'!$A:$R,13,FALSE)&amp;" "&amp;VLOOKUP($I635,'Pricing Table - eff 27-Jan-2026'!$A:$R,12,FALSE)</f>
        <v>ASC 0069 GLOSSY WHITE</v>
      </c>
      <c r="O635" s="56">
        <v>26.132999999999999</v>
      </c>
      <c r="P635" s="55">
        <f>(VLOOKUP($I635,'Pricing Table - eff 27-Jan-2026'!$A:$R,8,FALSE)/1000)*(VLOOKUP($I635,'Pricing Table - eff 27-Jan-2026'!$A:$R,10,FALSE)/1000)*Q635</f>
        <v>2430.2400000000002</v>
      </c>
      <c r="Q635" s="55">
        <f>ROUND(('Order Details'!$O635*1000)/((VLOOKUP($I635,'Pricing Table - eff 27-Jan-2026'!$A:$Q,7,FALSE)/12)*(VLOOKUP($I635,'Pricing Table - eff 27-Jan-2026'!$A:$Q,9,FALSE)/12))/5,0)*5</f>
        <v>800</v>
      </c>
      <c r="R635" s="71">
        <f>$Q635/IFERROR(VLOOKUP($F635&amp;RIGHT($K635,8),'Master Data'!$O$5:$P$10,2,FALSE),'Master Data'!$P$4)</f>
        <v>4</v>
      </c>
      <c r="S635" s="57">
        <f>VLOOKUP($I635,'Pricing Table - eff 27-Jan-2026'!$A:$Q,16,FALSE)</f>
        <v>720</v>
      </c>
      <c r="T635" s="57">
        <f>VLOOKUP(I635,'Pricing Table - eff 27-Jan-2026'!$A:$O,15,FALSE)</f>
        <v>7.73</v>
      </c>
      <c r="U635" s="57">
        <f t="shared" si="29"/>
        <v>18815.759999999998</v>
      </c>
      <c r="V635" s="111">
        <f t="shared" si="28"/>
        <v>18785.755200000003</v>
      </c>
      <c r="W635" s="55">
        <f>VLOOKUP($I635,'Pricing Table - eff 27-Jan-2026'!$A:$R,18,FALSE)</f>
        <v>45</v>
      </c>
    </row>
    <row r="636" spans="1:23" ht="15" hidden="1" thickTop="1" x14ac:dyDescent="0.3">
      <c r="A636" s="55">
        <v>24202721</v>
      </c>
      <c r="B636" s="55">
        <v>1</v>
      </c>
      <c r="C636" s="55" t="str">
        <f>VLOOKUP(A636&amp;"-"&amp;B636,'Order Summary'!$D:$E,2,FALSE)</f>
        <v>Proforma Invoice Sent</v>
      </c>
      <c r="D636" s="216">
        <f>IF($A636="","",VLOOKUP($A636&amp;"-"&amp;$B636,'Order Summary'!$D:$U,3,FALSE))</f>
        <v>46073</v>
      </c>
      <c r="E636" s="55" t="str">
        <f>VLOOKUP(A636&amp;"-"&amp;B636,'Order Summary'!$D:$G,4,FALSE)</f>
        <v>Yes</v>
      </c>
      <c r="F636" s="55" t="str">
        <f>VLOOKUP($A636,'Order Summary'!$B:$I,8,FALSE)</f>
        <v>Gordon, PA</v>
      </c>
      <c r="G636" s="216" t="str">
        <f>IF($A636="","",VLOOKUP($A636&amp;"-"&amp;$B636,'Order Summary'!$D:$U,18,FALSE))</f>
        <v/>
      </c>
      <c r="H636" s="55">
        <v>3</v>
      </c>
      <c r="I636" s="55">
        <v>694440</v>
      </c>
      <c r="J636" s="55" t="str">
        <f>VLOOKUP($I636,'Pricing Table - eff 27-Jan-2026'!$A:$R,2,FALSE)</f>
        <v>G1S 694440</v>
      </c>
      <c r="K636" s="55" t="str">
        <f>VLOOKUP($I636,'Pricing Table - eff 27-Jan-2026'!$A:$R,6,FALSE)&amp;" "&amp;VLOOKUP($I636,'Pricing Table - eff 27-Jan-2026'!$A:$R,7,FALSE)&amp;""" x "&amp;VLOOKUP($I636,'Pricing Table - eff 27-Jan-2026'!$A:$R,9,FALSE)&amp;""" "&amp;VLOOKUP($I636,'Pricing Table - eff 27-Jan-2026'!$A:$R,5,FALSE)</f>
        <v>2MM 49" x 96" ACP</v>
      </c>
      <c r="L636" s="55">
        <f>VLOOKUP($I636,'Pricing Table - eff 27-Jan-2026'!$A:$K,8,FALSE)</f>
        <v>1245</v>
      </c>
      <c r="M636" s="55">
        <f>VLOOKUP($I636,'Pricing Table - eff 27-Jan-2026'!$A:$K,10,FALSE)</f>
        <v>2440</v>
      </c>
      <c r="N636" s="55" t="str">
        <f>VLOOKUP($I636,'Pricing Table - eff 27-Jan-2026'!$A:$R,13,FALSE)&amp;" "&amp;VLOOKUP($I636,'Pricing Table - eff 27-Jan-2026'!$A:$R,12,FALSE)</f>
        <v>AMC 0103 SILVER FROST</v>
      </c>
      <c r="O636" s="56">
        <v>13.067</v>
      </c>
      <c r="P636" s="55">
        <f>(VLOOKUP($I636,'Pricing Table - eff 27-Jan-2026'!$A:$R,8,FALSE)/1000)*(VLOOKUP($I636,'Pricing Table - eff 27-Jan-2026'!$A:$R,10,FALSE)/1000)*Q636</f>
        <v>1215.1200000000001</v>
      </c>
      <c r="Q636" s="55">
        <f>ROUND(('Order Details'!$O636*1000)/((VLOOKUP($I636,'Pricing Table - eff 27-Jan-2026'!$A:$Q,7,FALSE)/12)*(VLOOKUP($I636,'Pricing Table - eff 27-Jan-2026'!$A:$Q,9,FALSE)/12))/5,0)*5</f>
        <v>400</v>
      </c>
      <c r="R636" s="71">
        <f>$Q636/IFERROR(VLOOKUP($F636&amp;RIGHT($K636,8),'Master Data'!$O$5:$P$10,2,FALSE),'Master Data'!$P$4)</f>
        <v>2</v>
      </c>
      <c r="S636" s="57">
        <f>VLOOKUP($I636,'Pricing Table - eff 27-Jan-2026'!$A:$Q,16,FALSE)</f>
        <v>720</v>
      </c>
      <c r="T636" s="57">
        <f>VLOOKUP(I636,'Pricing Table - eff 27-Jan-2026'!$A:$O,15,FALSE)</f>
        <v>7.73</v>
      </c>
      <c r="U636" s="57">
        <f t="shared" si="29"/>
        <v>9408.24</v>
      </c>
      <c r="V636" s="111">
        <f t="shared" si="28"/>
        <v>9392.8776000000016</v>
      </c>
      <c r="W636" s="55">
        <f>VLOOKUP($I636,'Pricing Table - eff 27-Jan-2026'!$A:$R,18,FALSE)</f>
        <v>90</v>
      </c>
    </row>
    <row r="637" spans="1:23" ht="15" hidden="1" thickTop="1" x14ac:dyDescent="0.3">
      <c r="A637" s="55">
        <v>24202721</v>
      </c>
      <c r="B637" s="55">
        <v>1</v>
      </c>
      <c r="C637" s="55" t="str">
        <f>VLOOKUP(A637&amp;"-"&amp;B637,'Order Summary'!$D:$E,2,FALSE)</f>
        <v>Proforma Invoice Sent</v>
      </c>
      <c r="D637" s="216">
        <f>IF($A637="","",VLOOKUP($A637&amp;"-"&amp;$B637,'Order Summary'!$D:$U,3,FALSE))</f>
        <v>46073</v>
      </c>
      <c r="E637" s="55" t="str">
        <f>VLOOKUP(A637&amp;"-"&amp;B637,'Order Summary'!$D:$G,4,FALSE)</f>
        <v>Yes</v>
      </c>
      <c r="F637" s="55" t="str">
        <f>VLOOKUP($A637,'Order Summary'!$B:$I,8,FALSE)</f>
        <v>Gordon, PA</v>
      </c>
      <c r="G637" s="216" t="str">
        <f>IF($A637="","",VLOOKUP($A637&amp;"-"&amp;$B637,'Order Summary'!$D:$U,18,FALSE))</f>
        <v/>
      </c>
      <c r="H637" s="55">
        <v>4</v>
      </c>
      <c r="I637" s="55">
        <v>694444</v>
      </c>
      <c r="J637" s="55" t="str">
        <f>VLOOKUP($I637,'Pricing Table - eff 27-Jan-2026'!$A:$R,2,FALSE)</f>
        <v>G1S 694444</v>
      </c>
      <c r="K637" s="55" t="str">
        <f>VLOOKUP($I637,'Pricing Table - eff 27-Jan-2026'!$A:$R,6,FALSE)&amp;" "&amp;VLOOKUP($I637,'Pricing Table - eff 27-Jan-2026'!$A:$R,7,FALSE)&amp;""" x "&amp;VLOOKUP($I637,'Pricing Table - eff 27-Jan-2026'!$A:$R,9,FALSE)&amp;""" "&amp;VLOOKUP($I637,'Pricing Table - eff 27-Jan-2026'!$A:$R,5,FALSE)</f>
        <v>2MM 49" x 96" ACP</v>
      </c>
      <c r="L637" s="55">
        <f>VLOOKUP($I637,'Pricing Table - eff 27-Jan-2026'!$A:$K,8,FALSE)</f>
        <v>1245</v>
      </c>
      <c r="M637" s="55">
        <f>VLOOKUP($I637,'Pricing Table - eff 27-Jan-2026'!$A:$K,10,FALSE)</f>
        <v>2440</v>
      </c>
      <c r="N637" s="55" t="str">
        <f>VLOOKUP($I637,'Pricing Table - eff 27-Jan-2026'!$A:$R,13,FALSE)&amp;" "&amp;VLOOKUP($I637,'Pricing Table - eff 27-Jan-2026'!$A:$R,12,FALSE)</f>
        <v>AMC 0086 CHARCOAL METALLIC</v>
      </c>
      <c r="O637" s="56">
        <v>13.067</v>
      </c>
      <c r="P637" s="55">
        <f>(VLOOKUP($I637,'Pricing Table - eff 27-Jan-2026'!$A:$R,8,FALSE)/1000)*(VLOOKUP($I637,'Pricing Table - eff 27-Jan-2026'!$A:$R,10,FALSE)/1000)*Q637</f>
        <v>1215.1200000000001</v>
      </c>
      <c r="Q637" s="55">
        <f>ROUND(('Order Details'!$O637*1000)/((VLOOKUP($I637,'Pricing Table - eff 27-Jan-2026'!$A:$Q,7,FALSE)/12)*(VLOOKUP($I637,'Pricing Table - eff 27-Jan-2026'!$A:$Q,9,FALSE)/12))/5,0)*5</f>
        <v>400</v>
      </c>
      <c r="R637" s="71">
        <f>$Q637/IFERROR(VLOOKUP($F637&amp;RIGHT($K637,8),'Master Data'!$O$5:$P$10,2,FALSE),'Master Data'!$P$4)</f>
        <v>2</v>
      </c>
      <c r="S637" s="57">
        <f>VLOOKUP($I637,'Pricing Table - eff 27-Jan-2026'!$A:$Q,16,FALSE)</f>
        <v>770</v>
      </c>
      <c r="T637" s="57">
        <f>VLOOKUP(I637,'Pricing Table - eff 27-Jan-2026'!$A:$O,15,FALSE)</f>
        <v>8.27</v>
      </c>
      <c r="U637" s="57">
        <f t="shared" si="29"/>
        <v>10061.59</v>
      </c>
      <c r="V637" s="111">
        <f t="shared" si="28"/>
        <v>10049.0424</v>
      </c>
      <c r="W637" s="55">
        <f>VLOOKUP($I637,'Pricing Table - eff 27-Jan-2026'!$A:$R,18,FALSE)</f>
        <v>45</v>
      </c>
    </row>
    <row r="638" spans="1:23" ht="15" hidden="1" thickTop="1" x14ac:dyDescent="0.3">
      <c r="A638" s="55">
        <v>24202721</v>
      </c>
      <c r="B638" s="55">
        <v>1</v>
      </c>
      <c r="C638" s="55" t="str">
        <f>VLOOKUP(A638&amp;"-"&amp;B638,'Order Summary'!$D:$E,2,FALSE)</f>
        <v>Proforma Invoice Sent</v>
      </c>
      <c r="D638" s="216">
        <f>IF($A638="","",VLOOKUP($A638&amp;"-"&amp;$B638,'Order Summary'!$D:$U,3,FALSE))</f>
        <v>46073</v>
      </c>
      <c r="E638" s="55" t="str">
        <f>VLOOKUP(A638&amp;"-"&amp;B638,'Order Summary'!$D:$G,4,FALSE)</f>
        <v>Yes</v>
      </c>
      <c r="F638" s="55" t="str">
        <f>VLOOKUP($A638,'Order Summary'!$B:$I,8,FALSE)</f>
        <v>Gordon, PA</v>
      </c>
      <c r="G638" s="216" t="str">
        <f>IF($A638="","",VLOOKUP($A638&amp;"-"&amp;$B638,'Order Summary'!$D:$U,18,FALSE))</f>
        <v/>
      </c>
      <c r="H638" s="55">
        <v>5</v>
      </c>
      <c r="I638" s="55">
        <v>694672</v>
      </c>
      <c r="J638" s="55" t="str">
        <f>VLOOKUP($I638,'Pricing Table - eff 27-Jan-2026'!$A:$R,2,FALSE)</f>
        <v>G1S 694672</v>
      </c>
      <c r="K638" s="55" t="str">
        <f>VLOOKUP($I638,'Pricing Table - eff 27-Jan-2026'!$A:$R,6,FALSE)&amp;" "&amp;VLOOKUP($I638,'Pricing Table - eff 27-Jan-2026'!$A:$R,7,FALSE)&amp;""" x "&amp;VLOOKUP($I638,'Pricing Table - eff 27-Jan-2026'!$A:$R,9,FALSE)&amp;""" "&amp;VLOOKUP($I638,'Pricing Table - eff 27-Jan-2026'!$A:$R,5,FALSE)</f>
        <v>2MM 49" x 96" ACP</v>
      </c>
      <c r="L638" s="55">
        <f>VLOOKUP($I638,'Pricing Table - eff 27-Jan-2026'!$A:$K,8,FALSE)</f>
        <v>1245</v>
      </c>
      <c r="M638" s="55">
        <f>VLOOKUP($I638,'Pricing Table - eff 27-Jan-2026'!$A:$K,10,FALSE)</f>
        <v>2440</v>
      </c>
      <c r="N638" s="55" t="str">
        <f>VLOOKUP($I638,'Pricing Table - eff 27-Jan-2026'!$A:$R,13,FALSE)&amp;" "&amp;VLOOKUP($I638,'Pricing Table - eff 27-Jan-2026'!$A:$R,12,FALSE)</f>
        <v>ASC 0089 VICTORY RED</v>
      </c>
      <c r="O638" s="56">
        <v>6.5330000000000004</v>
      </c>
      <c r="P638" s="55">
        <f>(VLOOKUP($I638,'Pricing Table - eff 27-Jan-2026'!$A:$R,8,FALSE)/1000)*(VLOOKUP($I638,'Pricing Table - eff 27-Jan-2026'!$A:$R,10,FALSE)/1000)*Q638</f>
        <v>607.56000000000006</v>
      </c>
      <c r="Q638" s="55">
        <f>ROUND(('Order Details'!$O638*1000)/((VLOOKUP($I638,'Pricing Table - eff 27-Jan-2026'!$A:$Q,7,FALSE)/12)*(VLOOKUP($I638,'Pricing Table - eff 27-Jan-2026'!$A:$Q,9,FALSE)/12))/5,0)*5</f>
        <v>200</v>
      </c>
      <c r="R638" s="71">
        <f>$Q638/IFERROR(VLOOKUP($F638&amp;RIGHT($K638,8),'Master Data'!$O$5:$P$10,2,FALSE),'Master Data'!$P$4)</f>
        <v>1</v>
      </c>
      <c r="S638" s="57">
        <f>VLOOKUP($I638,'Pricing Table - eff 27-Jan-2026'!$A:$Q,16,FALSE)</f>
        <v>720</v>
      </c>
      <c r="T638" s="57">
        <f>VLOOKUP(I638,'Pricing Table - eff 27-Jan-2026'!$A:$O,15,FALSE)</f>
        <v>7.73</v>
      </c>
      <c r="U638" s="57">
        <f t="shared" si="29"/>
        <v>4703.76</v>
      </c>
      <c r="V638" s="111">
        <f t="shared" ref="V638:V701" si="30">P638*T638</f>
        <v>4696.4388000000008</v>
      </c>
      <c r="W638" s="55">
        <f>VLOOKUP($I638,'Pricing Table - eff 27-Jan-2026'!$A:$R,18,FALSE)</f>
        <v>45</v>
      </c>
    </row>
    <row r="639" spans="1:23" ht="15" hidden="1" thickTop="1" x14ac:dyDescent="0.3">
      <c r="A639" s="55">
        <v>24202721</v>
      </c>
      <c r="B639" s="55">
        <v>1</v>
      </c>
      <c r="C639" s="55" t="str">
        <f>VLOOKUP(A639&amp;"-"&amp;B639,'Order Summary'!$D:$E,2,FALSE)</f>
        <v>Proforma Invoice Sent</v>
      </c>
      <c r="D639" s="216">
        <f>IF($A639="","",VLOOKUP($A639&amp;"-"&amp;$B639,'Order Summary'!$D:$U,3,FALSE))</f>
        <v>46073</v>
      </c>
      <c r="E639" s="55" t="str">
        <f>VLOOKUP(A639&amp;"-"&amp;B639,'Order Summary'!$D:$G,4,FALSE)</f>
        <v>Yes</v>
      </c>
      <c r="F639" s="55" t="str">
        <f>VLOOKUP($A639,'Order Summary'!$B:$I,8,FALSE)</f>
        <v>Gordon, PA</v>
      </c>
      <c r="G639" s="216" t="str">
        <f>IF($A639="","",VLOOKUP($A639&amp;"-"&amp;$B639,'Order Summary'!$D:$U,18,FALSE))</f>
        <v/>
      </c>
      <c r="H639" s="55">
        <v>6</v>
      </c>
      <c r="I639" s="55">
        <v>695620</v>
      </c>
      <c r="J639" s="55" t="str">
        <f>VLOOKUP($I639,'Pricing Table - eff 27-Jan-2026'!$A:$R,2,FALSE)</f>
        <v>G1S 695620</v>
      </c>
      <c r="K639" s="55" t="str">
        <f>VLOOKUP($I639,'Pricing Table - eff 27-Jan-2026'!$A:$R,6,FALSE)&amp;" "&amp;VLOOKUP($I639,'Pricing Table - eff 27-Jan-2026'!$A:$R,7,FALSE)&amp;""" x "&amp;VLOOKUP($I639,'Pricing Table - eff 27-Jan-2026'!$A:$R,9,FALSE)&amp;""" "&amp;VLOOKUP($I639,'Pricing Table - eff 27-Jan-2026'!$A:$R,5,FALSE)</f>
        <v>2MM 49" x 96" ACP</v>
      </c>
      <c r="L639" s="55">
        <f>VLOOKUP($I639,'Pricing Table - eff 27-Jan-2026'!$A:$K,8,FALSE)</f>
        <v>1245</v>
      </c>
      <c r="M639" s="55">
        <f>VLOOKUP($I639,'Pricing Table - eff 27-Jan-2026'!$A:$K,10,FALSE)</f>
        <v>2440</v>
      </c>
      <c r="N639" s="55" t="str">
        <f>VLOOKUP($I639,'Pricing Table - eff 27-Jan-2026'!$A:$R,13,FALSE)&amp;" "&amp;VLOOKUP($I639,'Pricing Table - eff 27-Jan-2026'!$A:$R,12,FALSE)</f>
        <v>ASC 0105 INDIGO BLUE</v>
      </c>
      <c r="O639" s="56">
        <v>6.5330000000000004</v>
      </c>
      <c r="P639" s="55">
        <f>(VLOOKUP($I639,'Pricing Table - eff 27-Jan-2026'!$A:$R,8,FALSE)/1000)*(VLOOKUP($I639,'Pricing Table - eff 27-Jan-2026'!$A:$R,10,FALSE)/1000)*Q639</f>
        <v>607.56000000000006</v>
      </c>
      <c r="Q639" s="55">
        <f>ROUND(('Order Details'!$O639*1000)/((VLOOKUP($I639,'Pricing Table - eff 27-Jan-2026'!$A:$Q,7,FALSE)/12)*(VLOOKUP($I639,'Pricing Table - eff 27-Jan-2026'!$A:$Q,9,FALSE)/12))/5,0)*5</f>
        <v>200</v>
      </c>
      <c r="R639" s="71">
        <f>$Q639/IFERROR(VLOOKUP($F639&amp;RIGHT($K639,8),'Master Data'!$O$5:$P$10,2,FALSE),'Master Data'!$P$4)</f>
        <v>1</v>
      </c>
      <c r="S639" s="57">
        <f>VLOOKUP($I639,'Pricing Table - eff 27-Jan-2026'!$A:$Q,16,FALSE)</f>
        <v>770</v>
      </c>
      <c r="T639" s="57">
        <f>VLOOKUP(I639,'Pricing Table - eff 27-Jan-2026'!$A:$O,15,FALSE)</f>
        <v>8.27</v>
      </c>
      <c r="U639" s="57">
        <f t="shared" si="29"/>
        <v>5030.41</v>
      </c>
      <c r="V639" s="111">
        <f t="shared" si="30"/>
        <v>5024.5212000000001</v>
      </c>
      <c r="W639" s="55">
        <f>VLOOKUP($I639,'Pricing Table - eff 27-Jan-2026'!$A:$R,18,FALSE)</f>
        <v>45</v>
      </c>
    </row>
    <row r="640" spans="1:23" ht="15" hidden="1" thickTop="1" x14ac:dyDescent="0.3">
      <c r="A640" s="55">
        <v>53036679</v>
      </c>
      <c r="B640" s="55">
        <v>0</v>
      </c>
      <c r="C640" s="55" t="str">
        <f>VLOOKUP(A640&amp;"-"&amp;B640,'Order Summary'!$D:$E,2,FALSE)</f>
        <v>PO Received</v>
      </c>
      <c r="D640" s="216">
        <f>IF($A640="","",VLOOKUP($A640&amp;"-"&amp;$B640,'Order Summary'!$D:$U,3,FALSE))</f>
        <v>46149</v>
      </c>
      <c r="E640" s="55" t="str">
        <f>VLOOKUP(A640&amp;"-"&amp;B640,'Order Summary'!$D:$G,4,FALSE)</f>
        <v>Yes</v>
      </c>
      <c r="F640" s="55" t="str">
        <f>VLOOKUP($A640,'Order Summary'!$B:$I,8,FALSE)</f>
        <v>Granger, IN</v>
      </c>
      <c r="G640" s="216" t="str">
        <f>IF($A640="","",VLOOKUP($A640&amp;"-"&amp;$B640,'Order Summary'!$D:$U,18,FALSE))</f>
        <v/>
      </c>
      <c r="H640" s="55">
        <v>1</v>
      </c>
      <c r="I640" s="55">
        <v>694432</v>
      </c>
      <c r="J640" s="55" t="str">
        <f>VLOOKUP($I640,'Pricing Table - eff 27-Jan-2026'!$A:$R,2,FALSE)</f>
        <v>G1S 694432</v>
      </c>
      <c r="K640" s="55" t="str">
        <f>VLOOKUP($I640,'Pricing Table - eff 27-Jan-2026'!$A:$R,6,FALSE)&amp;" "&amp;VLOOKUP($I640,'Pricing Table - eff 27-Jan-2026'!$A:$R,7,FALSE)&amp;""" x "&amp;VLOOKUP($I640,'Pricing Table - eff 27-Jan-2026'!$A:$R,9,FALSE)&amp;""" "&amp;VLOOKUP($I640,'Pricing Table - eff 27-Jan-2026'!$A:$R,5,FALSE)</f>
        <v>2MM 49" x 96" ACP</v>
      </c>
      <c r="L640" s="55">
        <f>VLOOKUP($I640,'Pricing Table - eff 27-Jan-2026'!$A:$K,8,FALSE)</f>
        <v>1245</v>
      </c>
      <c r="M640" s="55">
        <f>VLOOKUP($I640,'Pricing Table - eff 27-Jan-2026'!$A:$K,10,FALSE)</f>
        <v>2440</v>
      </c>
      <c r="N640" s="55" t="str">
        <f>VLOOKUP($I640,'Pricing Table - eff 27-Jan-2026'!$A:$R,13,FALSE)&amp;" "&amp;VLOOKUP($I640,'Pricing Table - eff 27-Jan-2026'!$A:$R,12,FALSE)</f>
        <v>ASC 0096 GLOSSY BLACK</v>
      </c>
      <c r="O640" s="56">
        <v>45.732999999999997</v>
      </c>
      <c r="P640" s="55">
        <f>(VLOOKUP($I640,'Pricing Table - eff 27-Jan-2026'!$A:$R,8,FALSE)/1000)*(VLOOKUP($I640,'Pricing Table - eff 27-Jan-2026'!$A:$R,10,FALSE)/1000)*Q640</f>
        <v>4252.92</v>
      </c>
      <c r="Q640" s="55">
        <f>ROUND(('Order Details'!$O640*1000)/((VLOOKUP($I640,'Pricing Table - eff 27-Jan-2026'!$A:$Q,7,FALSE)/12)*(VLOOKUP($I640,'Pricing Table - eff 27-Jan-2026'!$A:$Q,9,FALSE)/12))/5,0)*5</f>
        <v>1400</v>
      </c>
      <c r="R640" s="71">
        <f>$Q640/IFERROR(VLOOKUP($F640&amp;RIGHT($K640,8),'Master Data'!$O$5:$P$10,2,FALSE),'Master Data'!$P$4)</f>
        <v>7</v>
      </c>
      <c r="S640" s="57">
        <f>VLOOKUP($I640,'Pricing Table - eff 27-Jan-2026'!$A:$Q,16,FALSE)</f>
        <v>720</v>
      </c>
      <c r="T640" s="57">
        <f>VLOOKUP(I640,'Pricing Table - eff 27-Jan-2026'!$A:$O,15,FALSE)</f>
        <v>7.73</v>
      </c>
      <c r="U640" s="57">
        <f t="shared" si="29"/>
        <v>32927.759999999995</v>
      </c>
      <c r="V640" s="111">
        <f t="shared" si="30"/>
        <v>32875.071600000003</v>
      </c>
      <c r="W640" s="55">
        <f>VLOOKUP($I640,'Pricing Table - eff 27-Jan-2026'!$A:$R,18,FALSE)</f>
        <v>45</v>
      </c>
    </row>
    <row r="641" spans="1:23" ht="15" hidden="1" thickTop="1" x14ac:dyDescent="0.3">
      <c r="A641" s="55">
        <v>53036679</v>
      </c>
      <c r="B641" s="55">
        <v>0</v>
      </c>
      <c r="C641" s="55" t="str">
        <f>VLOOKUP(A641&amp;"-"&amp;B641,'Order Summary'!$D:$E,2,FALSE)</f>
        <v>PO Received</v>
      </c>
      <c r="D641" s="216">
        <f>IF($A641="","",VLOOKUP($A641&amp;"-"&amp;$B641,'Order Summary'!$D:$U,3,FALSE))</f>
        <v>46149</v>
      </c>
      <c r="E641" s="55" t="str">
        <f>VLOOKUP(A641&amp;"-"&amp;B641,'Order Summary'!$D:$G,4,FALSE)</f>
        <v>Yes</v>
      </c>
      <c r="F641" s="55" t="str">
        <f>VLOOKUP($A641,'Order Summary'!$B:$I,8,FALSE)</f>
        <v>Granger, IN</v>
      </c>
      <c r="G641" s="216" t="str">
        <f>IF($A641="","",VLOOKUP($A641&amp;"-"&amp;$B641,'Order Summary'!$D:$U,18,FALSE))</f>
        <v/>
      </c>
      <c r="H641" s="55">
        <v>2</v>
      </c>
      <c r="I641" s="55">
        <v>694444</v>
      </c>
      <c r="J641" s="55" t="str">
        <f>VLOOKUP($I641,'Pricing Table - eff 27-Jan-2026'!$A:$R,2,FALSE)</f>
        <v>G1S 694444</v>
      </c>
      <c r="K641" s="55" t="str">
        <f>VLOOKUP($I641,'Pricing Table - eff 27-Jan-2026'!$A:$R,6,FALSE)&amp;" "&amp;VLOOKUP($I641,'Pricing Table - eff 27-Jan-2026'!$A:$R,7,FALSE)&amp;""" x "&amp;VLOOKUP($I641,'Pricing Table - eff 27-Jan-2026'!$A:$R,9,FALSE)&amp;""" "&amp;VLOOKUP($I641,'Pricing Table - eff 27-Jan-2026'!$A:$R,5,FALSE)</f>
        <v>2MM 49" x 96" ACP</v>
      </c>
      <c r="L641" s="55">
        <f>VLOOKUP($I641,'Pricing Table - eff 27-Jan-2026'!$A:$K,8,FALSE)</f>
        <v>1245</v>
      </c>
      <c r="M641" s="55">
        <f>VLOOKUP($I641,'Pricing Table - eff 27-Jan-2026'!$A:$K,10,FALSE)</f>
        <v>2440</v>
      </c>
      <c r="N641" s="55" t="str">
        <f>VLOOKUP($I641,'Pricing Table - eff 27-Jan-2026'!$A:$R,13,FALSE)&amp;" "&amp;VLOOKUP($I641,'Pricing Table - eff 27-Jan-2026'!$A:$R,12,FALSE)</f>
        <v>AMC 0086 CHARCOAL METALLIC</v>
      </c>
      <c r="O641" s="56">
        <v>45.732999999999997</v>
      </c>
      <c r="P641" s="55">
        <f>(VLOOKUP($I641,'Pricing Table - eff 27-Jan-2026'!$A:$R,8,FALSE)/1000)*(VLOOKUP($I641,'Pricing Table - eff 27-Jan-2026'!$A:$R,10,FALSE)/1000)*Q641</f>
        <v>4252.92</v>
      </c>
      <c r="Q641" s="55">
        <f>ROUND(('Order Details'!$O641*1000)/((VLOOKUP($I641,'Pricing Table - eff 27-Jan-2026'!$A:$Q,7,FALSE)/12)*(VLOOKUP($I641,'Pricing Table - eff 27-Jan-2026'!$A:$Q,9,FALSE)/12))/5,0)*5</f>
        <v>1400</v>
      </c>
      <c r="R641" s="71">
        <f>$Q641/IFERROR(VLOOKUP($F641&amp;RIGHT($K641,8),'Master Data'!$O$5:$P$10,2,FALSE),'Master Data'!$P$4)</f>
        <v>7</v>
      </c>
      <c r="S641" s="57">
        <f>VLOOKUP($I641,'Pricing Table - eff 27-Jan-2026'!$A:$Q,16,FALSE)</f>
        <v>770</v>
      </c>
      <c r="T641" s="57">
        <f>VLOOKUP(I641,'Pricing Table - eff 27-Jan-2026'!$A:$O,15,FALSE)</f>
        <v>8.27</v>
      </c>
      <c r="U641" s="57">
        <f t="shared" si="29"/>
        <v>35214.409999999996</v>
      </c>
      <c r="V641" s="111">
        <f t="shared" si="30"/>
        <v>35171.648399999998</v>
      </c>
      <c r="W641" s="55">
        <f>VLOOKUP($I641,'Pricing Table - eff 27-Jan-2026'!$A:$R,18,FALSE)</f>
        <v>45</v>
      </c>
    </row>
    <row r="642" spans="1:23" ht="15" hidden="1" thickTop="1" x14ac:dyDescent="0.3">
      <c r="A642" s="55">
        <v>53036684</v>
      </c>
      <c r="B642" s="55">
        <v>0</v>
      </c>
      <c r="C642" s="55" t="str">
        <f>VLOOKUP(A642&amp;"-"&amp;B642,'Order Summary'!$D:$E,2,FALSE)</f>
        <v>PO Received</v>
      </c>
      <c r="D642" s="216">
        <f>IF($A642="","",VLOOKUP($A642&amp;"-"&amp;$B642,'Order Summary'!$D:$U,3,FALSE))</f>
        <v>46149</v>
      </c>
      <c r="E642" s="55" t="str">
        <f>VLOOKUP(A642&amp;"-"&amp;B642,'Order Summary'!$D:$G,4,FALSE)</f>
        <v>Yes</v>
      </c>
      <c r="F642" s="55" t="str">
        <f>VLOOKUP($A642,'Order Summary'!$B:$I,8,FALSE)</f>
        <v>Minneota, MN</v>
      </c>
      <c r="G642" s="216" t="str">
        <f>IF($A642="","",VLOOKUP($A642&amp;"-"&amp;$B642,'Order Summary'!$D:$U,18,FALSE))</f>
        <v/>
      </c>
      <c r="H642" s="55">
        <v>1</v>
      </c>
      <c r="I642" s="55">
        <v>694436</v>
      </c>
      <c r="J642" s="55" t="str">
        <f>VLOOKUP($I642,'Pricing Table - eff 27-Jan-2026'!$A:$R,2,FALSE)</f>
        <v>G1S 694436</v>
      </c>
      <c r="K642" s="55" t="str">
        <f>VLOOKUP($I642,'Pricing Table - eff 27-Jan-2026'!$A:$R,6,FALSE)&amp;" "&amp;VLOOKUP($I642,'Pricing Table - eff 27-Jan-2026'!$A:$R,7,FALSE)&amp;""" x "&amp;VLOOKUP($I642,'Pricing Table - eff 27-Jan-2026'!$A:$R,9,FALSE)&amp;""" "&amp;VLOOKUP($I642,'Pricing Table - eff 27-Jan-2026'!$A:$R,5,FALSE)</f>
        <v>2MM 49" x 96" ACP</v>
      </c>
      <c r="L642" s="55">
        <f>VLOOKUP($I642,'Pricing Table - eff 27-Jan-2026'!$A:$K,8,FALSE)</f>
        <v>1245</v>
      </c>
      <c r="M642" s="55">
        <f>VLOOKUP($I642,'Pricing Table - eff 27-Jan-2026'!$A:$K,10,FALSE)</f>
        <v>2440</v>
      </c>
      <c r="N642" s="55" t="str">
        <f>VLOOKUP($I642,'Pricing Table - eff 27-Jan-2026'!$A:$R,13,FALSE)&amp;" "&amp;VLOOKUP($I642,'Pricing Table - eff 27-Jan-2026'!$A:$R,12,FALSE)</f>
        <v>ASC 0069 GLOSSY WHITE</v>
      </c>
      <c r="O642" s="56">
        <v>91.466999999999999</v>
      </c>
      <c r="P642" s="55">
        <f>(VLOOKUP($I642,'Pricing Table - eff 27-Jan-2026'!$A:$R,8,FALSE)/1000)*(VLOOKUP($I642,'Pricing Table - eff 27-Jan-2026'!$A:$R,10,FALSE)/1000)*Q642</f>
        <v>8505.84</v>
      </c>
      <c r="Q642" s="55">
        <f>ROUND(('Order Details'!$O642*1000)/((VLOOKUP($I642,'Pricing Table - eff 27-Jan-2026'!$A:$Q,7,FALSE)/12)*(VLOOKUP($I642,'Pricing Table - eff 27-Jan-2026'!$A:$Q,9,FALSE)/12))/5,0)*5</f>
        <v>2800</v>
      </c>
      <c r="R642" s="71">
        <f>$Q642/IFERROR(VLOOKUP($F642&amp;RIGHT($K642,8),'Master Data'!$O$5:$P$10,2,FALSE),'Master Data'!$P$4)</f>
        <v>14</v>
      </c>
      <c r="S642" s="57">
        <f>VLOOKUP($I642,'Pricing Table - eff 27-Jan-2026'!$A:$Q,16,FALSE)</f>
        <v>720</v>
      </c>
      <c r="T642" s="57">
        <f>VLOOKUP(I642,'Pricing Table - eff 27-Jan-2026'!$A:$O,15,FALSE)</f>
        <v>7.73</v>
      </c>
      <c r="U642" s="57">
        <f t="shared" si="29"/>
        <v>65856.240000000005</v>
      </c>
      <c r="V642" s="111">
        <f t="shared" si="30"/>
        <v>65750.143200000006</v>
      </c>
      <c r="W642" s="55">
        <f>VLOOKUP($I642,'Pricing Table - eff 27-Jan-2026'!$A:$R,18,FALSE)</f>
        <v>45</v>
      </c>
    </row>
    <row r="643" spans="1:23" ht="15" hidden="1" thickTop="1" x14ac:dyDescent="0.3">
      <c r="A643" s="55">
        <v>53036682</v>
      </c>
      <c r="B643" s="55">
        <v>0</v>
      </c>
      <c r="C643" s="55" t="str">
        <f>VLOOKUP(A643&amp;"-"&amp;B643,'Order Summary'!$D:$E,2,FALSE)</f>
        <v>PO Received</v>
      </c>
      <c r="D643" s="216">
        <f>IF($A643="","",VLOOKUP($A643&amp;"-"&amp;$B643,'Order Summary'!$D:$U,3,FALSE))</f>
        <v>46149</v>
      </c>
      <c r="E643" s="55" t="str">
        <f>VLOOKUP(A643&amp;"-"&amp;B643,'Order Summary'!$D:$G,4,FALSE)</f>
        <v>Yes</v>
      </c>
      <c r="F643" s="55" t="str">
        <f>VLOOKUP($A643,'Order Summary'!$B:$I,8,FALSE)</f>
        <v>Minneota, MN</v>
      </c>
      <c r="G643" s="216" t="str">
        <f>IF($A643="","",VLOOKUP($A643&amp;"-"&amp;$B643,'Order Summary'!$D:$U,18,FALSE))</f>
        <v/>
      </c>
      <c r="H643" s="55">
        <v>1</v>
      </c>
      <c r="I643" s="55">
        <v>694436</v>
      </c>
      <c r="J643" s="55" t="str">
        <f>VLOOKUP($I643,'Pricing Table - eff 27-Jan-2026'!$A:$R,2,FALSE)</f>
        <v>G1S 694436</v>
      </c>
      <c r="K643" s="55" t="str">
        <f>VLOOKUP($I643,'Pricing Table - eff 27-Jan-2026'!$A:$R,6,FALSE)&amp;" "&amp;VLOOKUP($I643,'Pricing Table - eff 27-Jan-2026'!$A:$R,7,FALSE)&amp;""" x "&amp;VLOOKUP($I643,'Pricing Table - eff 27-Jan-2026'!$A:$R,9,FALSE)&amp;""" "&amp;VLOOKUP($I643,'Pricing Table - eff 27-Jan-2026'!$A:$R,5,FALSE)</f>
        <v>2MM 49" x 96" ACP</v>
      </c>
      <c r="L643" s="55">
        <f>VLOOKUP($I643,'Pricing Table - eff 27-Jan-2026'!$A:$K,8,FALSE)</f>
        <v>1245</v>
      </c>
      <c r="M643" s="55">
        <f>VLOOKUP($I643,'Pricing Table - eff 27-Jan-2026'!$A:$K,10,FALSE)</f>
        <v>2440</v>
      </c>
      <c r="N643" s="55" t="str">
        <f>VLOOKUP($I643,'Pricing Table - eff 27-Jan-2026'!$A:$R,13,FALSE)&amp;" "&amp;VLOOKUP($I643,'Pricing Table - eff 27-Jan-2026'!$A:$R,12,FALSE)</f>
        <v>ASC 0069 GLOSSY WHITE</v>
      </c>
      <c r="O643" s="56">
        <v>91.466999999999999</v>
      </c>
      <c r="P643" s="55">
        <f>(VLOOKUP($I643,'Pricing Table - eff 27-Jan-2026'!$A:$R,8,FALSE)/1000)*(VLOOKUP($I643,'Pricing Table - eff 27-Jan-2026'!$A:$R,10,FALSE)/1000)*Q643</f>
        <v>8505.84</v>
      </c>
      <c r="Q643" s="55">
        <f>ROUND(('Order Details'!$O643*1000)/((VLOOKUP($I643,'Pricing Table - eff 27-Jan-2026'!$A:$Q,7,FALSE)/12)*(VLOOKUP($I643,'Pricing Table - eff 27-Jan-2026'!$A:$Q,9,FALSE)/12))/5,0)*5</f>
        <v>2800</v>
      </c>
      <c r="R643" s="71">
        <f>$Q643/IFERROR(VLOOKUP($F643&amp;RIGHT($K643,8),'Master Data'!$O$5:$P$10,2,FALSE),'Master Data'!$P$4)</f>
        <v>14</v>
      </c>
      <c r="S643" s="57">
        <f>VLOOKUP($I643,'Pricing Table - eff 27-Jan-2026'!$A:$Q,16,FALSE)</f>
        <v>720</v>
      </c>
      <c r="T643" s="57">
        <f>VLOOKUP(I643,'Pricing Table - eff 27-Jan-2026'!$A:$O,15,FALSE)</f>
        <v>7.73</v>
      </c>
      <c r="U643" s="57">
        <f t="shared" si="29"/>
        <v>65856.240000000005</v>
      </c>
      <c r="V643" s="111">
        <f t="shared" si="30"/>
        <v>65750.143200000006</v>
      </c>
      <c r="W643" s="55">
        <f>VLOOKUP($I643,'Pricing Table - eff 27-Jan-2026'!$A:$R,18,FALSE)</f>
        <v>45</v>
      </c>
    </row>
    <row r="644" spans="1:23" ht="15" thickTop="1" x14ac:dyDescent="0.3">
      <c r="A644" s="55">
        <v>53036685</v>
      </c>
      <c r="B644" s="55">
        <v>0</v>
      </c>
      <c r="C644" s="55" t="str">
        <f>VLOOKUP(A644&amp;"-"&amp;B644,'Order Summary'!$D:$E,2,FALSE)</f>
        <v>PO Received</v>
      </c>
      <c r="D644" s="216">
        <f>IF($A644="","",VLOOKUP($A644&amp;"-"&amp;$B644,'Order Summary'!$D:$U,3,FALSE))</f>
        <v>46149</v>
      </c>
      <c r="E644" s="55" t="str">
        <f>VLOOKUP(A644&amp;"-"&amp;B644,'Order Summary'!$D:$G,4,FALSE)</f>
        <v>Yes</v>
      </c>
      <c r="F644" s="55" t="str">
        <f>VLOOKUP($A644,'Order Summary'!$B:$I,8,FALSE)</f>
        <v>Minneota, MN</v>
      </c>
      <c r="G644" s="216" t="str">
        <f>IF($A644="","",VLOOKUP($A644&amp;"-"&amp;$B644,'Order Summary'!$D:$U,18,FALSE))</f>
        <v/>
      </c>
      <c r="H644" s="55">
        <v>1</v>
      </c>
      <c r="I644" s="55">
        <v>694440</v>
      </c>
      <c r="J644" s="55" t="str">
        <f>VLOOKUP($I644,'Pricing Table - eff 27-Jan-2026'!$A:$R,2,FALSE)</f>
        <v>G1S 694440</v>
      </c>
      <c r="K644" s="55" t="str">
        <f>VLOOKUP($I644,'Pricing Table - eff 27-Jan-2026'!$A:$R,6,FALSE)&amp;" "&amp;VLOOKUP($I644,'Pricing Table - eff 27-Jan-2026'!$A:$R,7,FALSE)&amp;""" x "&amp;VLOOKUP($I644,'Pricing Table - eff 27-Jan-2026'!$A:$R,9,FALSE)&amp;""" "&amp;VLOOKUP($I644,'Pricing Table - eff 27-Jan-2026'!$A:$R,5,FALSE)</f>
        <v>2MM 49" x 96" ACP</v>
      </c>
      <c r="L644" s="55">
        <f>VLOOKUP($I644,'Pricing Table - eff 27-Jan-2026'!$A:$K,8,FALSE)</f>
        <v>1245</v>
      </c>
      <c r="M644" s="55">
        <f>VLOOKUP($I644,'Pricing Table - eff 27-Jan-2026'!$A:$K,10,FALSE)</f>
        <v>2440</v>
      </c>
      <c r="N644" s="55" t="str">
        <f>VLOOKUP($I644,'Pricing Table - eff 27-Jan-2026'!$A:$R,13,FALSE)&amp;" "&amp;VLOOKUP($I644,'Pricing Table - eff 27-Jan-2026'!$A:$R,12,FALSE)</f>
        <v>AMC 0103 SILVER FROST</v>
      </c>
      <c r="O644" s="56">
        <v>45.732999999999997</v>
      </c>
      <c r="P644" s="55">
        <f>(VLOOKUP($I644,'Pricing Table - eff 27-Jan-2026'!$A:$R,8,FALSE)/1000)*(VLOOKUP($I644,'Pricing Table - eff 27-Jan-2026'!$A:$R,10,FALSE)/1000)*Q644</f>
        <v>4252.92</v>
      </c>
      <c r="Q644" s="55">
        <f>ROUND(('Order Details'!$O644*1000)/((VLOOKUP($I644,'Pricing Table - eff 27-Jan-2026'!$A:$Q,7,FALSE)/12)*(VLOOKUP($I644,'Pricing Table - eff 27-Jan-2026'!$A:$Q,9,FALSE)/12))/5,0)*5</f>
        <v>1400</v>
      </c>
      <c r="R644" s="71">
        <f>$Q644/IFERROR(VLOOKUP($F644&amp;RIGHT($K644,8),'Master Data'!$O$5:$P$10,2,FALSE),'Master Data'!$P$4)</f>
        <v>7</v>
      </c>
      <c r="S644" s="57">
        <f>VLOOKUP($I644,'Pricing Table - eff 27-Jan-2026'!$A:$Q,16,FALSE)</f>
        <v>720</v>
      </c>
      <c r="T644" s="57">
        <f>VLOOKUP(I644,'Pricing Table - eff 27-Jan-2026'!$A:$O,15,FALSE)</f>
        <v>7.73</v>
      </c>
      <c r="U644" s="57">
        <f t="shared" si="29"/>
        <v>32927.759999999995</v>
      </c>
      <c r="V644" s="111">
        <f t="shared" si="30"/>
        <v>32875.071600000003</v>
      </c>
      <c r="W644" s="55">
        <f>VLOOKUP($I644,'Pricing Table - eff 27-Jan-2026'!$A:$R,18,FALSE)</f>
        <v>90</v>
      </c>
    </row>
    <row r="645" spans="1:23" x14ac:dyDescent="0.3">
      <c r="A645" s="55">
        <v>53036685</v>
      </c>
      <c r="B645" s="55">
        <v>0</v>
      </c>
      <c r="C645" s="55" t="str">
        <f>VLOOKUP(A645&amp;"-"&amp;B645,'Order Summary'!$D:$E,2,FALSE)</f>
        <v>PO Received</v>
      </c>
      <c r="D645" s="216">
        <f>IF($A645="","",VLOOKUP($A645&amp;"-"&amp;$B645,'Order Summary'!$D:$U,3,FALSE))</f>
        <v>46149</v>
      </c>
      <c r="E645" s="55" t="str">
        <f>VLOOKUP(A645&amp;"-"&amp;B645,'Order Summary'!$D:$G,4,FALSE)</f>
        <v>Yes</v>
      </c>
      <c r="F645" s="55" t="str">
        <f>VLOOKUP($A645,'Order Summary'!$B:$I,8,FALSE)</f>
        <v>Minneota, MN</v>
      </c>
      <c r="G645" s="216" t="str">
        <f>IF($A645="","",VLOOKUP($A645&amp;"-"&amp;$B645,'Order Summary'!$D:$U,18,FALSE))</f>
        <v/>
      </c>
      <c r="H645" s="55">
        <v>2</v>
      </c>
      <c r="I645" s="55">
        <v>694436</v>
      </c>
      <c r="J645" s="55" t="str">
        <f>VLOOKUP($I645,'Pricing Table - eff 27-Jan-2026'!$A:$R,2,FALSE)</f>
        <v>G1S 694436</v>
      </c>
      <c r="K645" s="55" t="str">
        <f>VLOOKUP($I645,'Pricing Table - eff 27-Jan-2026'!$A:$R,6,FALSE)&amp;" "&amp;VLOOKUP($I645,'Pricing Table - eff 27-Jan-2026'!$A:$R,7,FALSE)&amp;""" x "&amp;VLOOKUP($I645,'Pricing Table - eff 27-Jan-2026'!$A:$R,9,FALSE)&amp;""" "&amp;VLOOKUP($I645,'Pricing Table - eff 27-Jan-2026'!$A:$R,5,FALSE)</f>
        <v>2MM 49" x 96" ACP</v>
      </c>
      <c r="L645" s="55">
        <f>VLOOKUP($I645,'Pricing Table - eff 27-Jan-2026'!$A:$K,8,FALSE)</f>
        <v>1245</v>
      </c>
      <c r="M645" s="55">
        <f>VLOOKUP($I645,'Pricing Table - eff 27-Jan-2026'!$A:$K,10,FALSE)</f>
        <v>2440</v>
      </c>
      <c r="N645" s="55" t="str">
        <f>VLOOKUP($I645,'Pricing Table - eff 27-Jan-2026'!$A:$R,13,FALSE)&amp;" "&amp;VLOOKUP($I645,'Pricing Table - eff 27-Jan-2026'!$A:$R,12,FALSE)</f>
        <v>ASC 0069 GLOSSY WHITE</v>
      </c>
      <c r="O645" s="56">
        <v>45.732999999999997</v>
      </c>
      <c r="P645" s="55">
        <f>(VLOOKUP($I645,'Pricing Table - eff 27-Jan-2026'!$A:$R,8,FALSE)/1000)*(VLOOKUP($I645,'Pricing Table - eff 27-Jan-2026'!$A:$R,10,FALSE)/1000)*Q645</f>
        <v>4252.92</v>
      </c>
      <c r="Q645" s="55">
        <f>ROUND(('Order Details'!$O645*1000)/((VLOOKUP($I645,'Pricing Table - eff 27-Jan-2026'!$A:$Q,7,FALSE)/12)*(VLOOKUP($I645,'Pricing Table - eff 27-Jan-2026'!$A:$Q,9,FALSE)/12))/5,0)*5</f>
        <v>1400</v>
      </c>
      <c r="R645" s="71">
        <f>$Q645/IFERROR(VLOOKUP($F645&amp;RIGHT($K645,8),'Master Data'!$O$5:$P$10,2,FALSE),'Master Data'!$P$4)</f>
        <v>7</v>
      </c>
      <c r="S645" s="57">
        <f>VLOOKUP($I645,'Pricing Table - eff 27-Jan-2026'!$A:$Q,16,FALSE)</f>
        <v>720</v>
      </c>
      <c r="T645" s="57">
        <f>VLOOKUP(I645,'Pricing Table - eff 27-Jan-2026'!$A:$O,15,FALSE)</f>
        <v>7.73</v>
      </c>
      <c r="U645" s="57">
        <f t="shared" si="29"/>
        <v>32927.759999999995</v>
      </c>
      <c r="V645" s="111">
        <f t="shared" si="30"/>
        <v>32875.071600000003</v>
      </c>
      <c r="W645" s="55">
        <f>VLOOKUP($I645,'Pricing Table - eff 27-Jan-2026'!$A:$R,18,FALSE)</f>
        <v>45</v>
      </c>
    </row>
    <row r="646" spans="1:23" hidden="1" x14ac:dyDescent="0.3">
      <c r="A646" s="55">
        <v>24272100</v>
      </c>
      <c r="B646" s="55">
        <v>0</v>
      </c>
      <c r="C646" s="55" t="str">
        <f>VLOOKUP(A646&amp;"-"&amp;B646,'Order Summary'!$D:$E,2,FALSE)</f>
        <v>PO Received</v>
      </c>
      <c r="D646" s="216">
        <f>IF($A646="","",VLOOKUP($A646&amp;"-"&amp;$B646,'Order Summary'!$D:$U,3,FALSE))</f>
        <v>46149</v>
      </c>
      <c r="E646" s="55" t="str">
        <f>VLOOKUP(A646&amp;"-"&amp;B646,'Order Summary'!$D:$G,4,FALSE)</f>
        <v>Yes</v>
      </c>
      <c r="F646" s="55" t="str">
        <f>VLOOKUP($A646,'Order Summary'!$B:$I,8,FALSE)</f>
        <v>Granger, IN</v>
      </c>
      <c r="G646" s="216" t="str">
        <f>IF($A646="","",VLOOKUP($A646&amp;"-"&amp;$B646,'Order Summary'!$D:$U,18,FALSE))</f>
        <v/>
      </c>
      <c r="H646" s="55">
        <v>1</v>
      </c>
      <c r="I646" s="55">
        <v>694436</v>
      </c>
      <c r="J646" s="55" t="str">
        <f>VLOOKUP($I646,'Pricing Table - eff 27-Jan-2026'!$A:$R,2,FALSE)</f>
        <v>G1S 694436</v>
      </c>
      <c r="K646" s="55" t="str">
        <f>VLOOKUP($I646,'Pricing Table - eff 27-Jan-2026'!$A:$R,6,FALSE)&amp;" "&amp;VLOOKUP($I646,'Pricing Table - eff 27-Jan-2026'!$A:$R,7,FALSE)&amp;""" x "&amp;VLOOKUP($I646,'Pricing Table - eff 27-Jan-2026'!$A:$R,9,FALSE)&amp;""" "&amp;VLOOKUP($I646,'Pricing Table - eff 27-Jan-2026'!$A:$R,5,FALSE)</f>
        <v>2MM 49" x 96" ACP</v>
      </c>
      <c r="L646" s="55">
        <f>VLOOKUP($I646,'Pricing Table - eff 27-Jan-2026'!$A:$K,8,FALSE)</f>
        <v>1245</v>
      </c>
      <c r="M646" s="55">
        <f>VLOOKUP($I646,'Pricing Table - eff 27-Jan-2026'!$A:$K,10,FALSE)</f>
        <v>2440</v>
      </c>
      <c r="N646" s="55" t="str">
        <f>VLOOKUP($I646,'Pricing Table - eff 27-Jan-2026'!$A:$R,13,FALSE)&amp;" "&amp;VLOOKUP($I646,'Pricing Table - eff 27-Jan-2026'!$A:$R,12,FALSE)</f>
        <v>ASC 0069 GLOSSY WHITE</v>
      </c>
      <c r="O646" s="56">
        <v>91.466999999999999</v>
      </c>
      <c r="P646" s="55">
        <f>(VLOOKUP($I646,'Pricing Table - eff 27-Jan-2026'!$A:$R,8,FALSE)/1000)*(VLOOKUP($I646,'Pricing Table - eff 27-Jan-2026'!$A:$R,10,FALSE)/1000)*Q646</f>
        <v>8505.84</v>
      </c>
      <c r="Q646" s="55">
        <f>ROUND(('Order Details'!$O646*1000)/((VLOOKUP($I646,'Pricing Table - eff 27-Jan-2026'!$A:$Q,7,FALSE)/12)*(VLOOKUP($I646,'Pricing Table - eff 27-Jan-2026'!$A:$Q,9,FALSE)/12))/5,0)*5</f>
        <v>2800</v>
      </c>
      <c r="R646" s="71">
        <f>$Q646/IFERROR(VLOOKUP($F646&amp;RIGHT($K646,8),'Master Data'!$O$5:$P$10,2,FALSE),'Master Data'!$P$4)</f>
        <v>14</v>
      </c>
      <c r="S646" s="57">
        <f>VLOOKUP($I646,'Pricing Table - eff 27-Jan-2026'!$A:$Q,16,FALSE)</f>
        <v>720</v>
      </c>
      <c r="T646" s="57">
        <f>VLOOKUP(I646,'Pricing Table - eff 27-Jan-2026'!$A:$O,15,FALSE)</f>
        <v>7.73</v>
      </c>
      <c r="U646" s="57">
        <f t="shared" si="29"/>
        <v>65856.240000000005</v>
      </c>
      <c r="V646" s="111">
        <f t="shared" si="30"/>
        <v>65750.143200000006</v>
      </c>
      <c r="W646" s="55">
        <f>VLOOKUP($I646,'Pricing Table - eff 27-Jan-2026'!$A:$R,18,FALSE)</f>
        <v>45</v>
      </c>
    </row>
    <row r="647" spans="1:23" hidden="1" x14ac:dyDescent="0.3">
      <c r="A647" s="55">
        <v>53036798</v>
      </c>
      <c r="B647" s="55">
        <v>0</v>
      </c>
      <c r="C647" s="55" t="str">
        <f>VLOOKUP(A647&amp;"-"&amp;B647,'Order Summary'!$D:$E,2,FALSE)</f>
        <v>PO Received</v>
      </c>
      <c r="D647" s="216">
        <f>IF($A647="","",VLOOKUP($A647&amp;"-"&amp;$B647,'Order Summary'!$D:$U,3,FALSE))</f>
        <v>46149</v>
      </c>
      <c r="E647" s="55" t="str">
        <f>VLOOKUP(A647&amp;"-"&amp;B647,'Order Summary'!$D:$G,4,FALSE)</f>
        <v>Yes</v>
      </c>
      <c r="F647" s="55" t="str">
        <f>VLOOKUP($A647,'Order Summary'!$B:$I,8,FALSE)</f>
        <v>Twin Falls, ID</v>
      </c>
      <c r="G647" s="216" t="str">
        <f>IF($A647="","",VLOOKUP($A647&amp;"-"&amp;$B647,'Order Summary'!$D:$U,18,FALSE))</f>
        <v/>
      </c>
      <c r="H647" s="55">
        <v>1</v>
      </c>
      <c r="I647" s="55">
        <v>694436</v>
      </c>
      <c r="J647" s="55" t="str">
        <f>VLOOKUP($I647,'Pricing Table - eff 27-Jan-2026'!$A:$R,2,FALSE)</f>
        <v>G1S 694436</v>
      </c>
      <c r="K647" s="55" t="str">
        <f>VLOOKUP($I647,'Pricing Table - eff 27-Jan-2026'!$A:$R,6,FALSE)&amp;" "&amp;VLOOKUP($I647,'Pricing Table - eff 27-Jan-2026'!$A:$R,7,FALSE)&amp;""" x "&amp;VLOOKUP($I647,'Pricing Table - eff 27-Jan-2026'!$A:$R,9,FALSE)&amp;""" "&amp;VLOOKUP($I647,'Pricing Table - eff 27-Jan-2026'!$A:$R,5,FALSE)</f>
        <v>2MM 49" x 96" ACP</v>
      </c>
      <c r="L647" s="55">
        <f>VLOOKUP($I647,'Pricing Table - eff 27-Jan-2026'!$A:$K,8,FALSE)</f>
        <v>1245</v>
      </c>
      <c r="M647" s="55">
        <f>VLOOKUP($I647,'Pricing Table - eff 27-Jan-2026'!$A:$K,10,FALSE)</f>
        <v>2440</v>
      </c>
      <c r="N647" s="55" t="str">
        <f>VLOOKUP($I647,'Pricing Table - eff 27-Jan-2026'!$A:$R,13,FALSE)&amp;" "&amp;VLOOKUP($I647,'Pricing Table - eff 27-Jan-2026'!$A:$R,12,FALSE)</f>
        <v>ASC 0069 GLOSSY WHITE</v>
      </c>
      <c r="O647" s="56">
        <v>71.867000000000004</v>
      </c>
      <c r="P647" s="55">
        <f>(VLOOKUP($I647,'Pricing Table - eff 27-Jan-2026'!$A:$R,8,FALSE)/1000)*(VLOOKUP($I647,'Pricing Table - eff 27-Jan-2026'!$A:$R,10,FALSE)/1000)*Q647</f>
        <v>6683.1600000000008</v>
      </c>
      <c r="Q647" s="55">
        <f>ROUND(('Order Details'!$O647*1000)/((VLOOKUP($I647,'Pricing Table - eff 27-Jan-2026'!$A:$Q,7,FALSE)/12)*(VLOOKUP($I647,'Pricing Table - eff 27-Jan-2026'!$A:$Q,9,FALSE)/12))/5,0)*5</f>
        <v>2200</v>
      </c>
      <c r="R647" s="71">
        <f>$Q647/IFERROR(VLOOKUP($F647&amp;RIGHT($K647,8),'Master Data'!$O$5:$P$10,2,FALSE),'Master Data'!$P$4)</f>
        <v>11</v>
      </c>
      <c r="S647" s="57">
        <f>VLOOKUP($I647,'Pricing Table - eff 27-Jan-2026'!$A:$Q,16,FALSE)</f>
        <v>720</v>
      </c>
      <c r="T647" s="57">
        <f>VLOOKUP(I647,'Pricing Table - eff 27-Jan-2026'!$A:$O,15,FALSE)</f>
        <v>7.73</v>
      </c>
      <c r="U647" s="57">
        <f t="shared" si="29"/>
        <v>51744.240000000005</v>
      </c>
      <c r="V647" s="111">
        <f t="shared" si="30"/>
        <v>51660.82680000001</v>
      </c>
      <c r="W647" s="55">
        <f>VLOOKUP($I647,'Pricing Table - eff 27-Jan-2026'!$A:$R,18,FALSE)</f>
        <v>45</v>
      </c>
    </row>
    <row r="648" spans="1:23" hidden="1" x14ac:dyDescent="0.3">
      <c r="A648" s="55">
        <v>53036798</v>
      </c>
      <c r="B648" s="55">
        <v>0</v>
      </c>
      <c r="C648" s="55" t="str">
        <f>VLOOKUP(A648&amp;"-"&amp;B648,'Order Summary'!$D:$E,2,FALSE)</f>
        <v>PO Received</v>
      </c>
      <c r="D648" s="216">
        <f>IF($A648="","",VLOOKUP($A648&amp;"-"&amp;$B648,'Order Summary'!$D:$U,3,FALSE))</f>
        <v>46149</v>
      </c>
      <c r="E648" s="55" t="str">
        <f>VLOOKUP(A648&amp;"-"&amp;B648,'Order Summary'!$D:$G,4,FALSE)</f>
        <v>Yes</v>
      </c>
      <c r="F648" s="55" t="str">
        <f>VLOOKUP($A648,'Order Summary'!$B:$I,8,FALSE)</f>
        <v>Twin Falls, ID</v>
      </c>
      <c r="G648" s="216" t="str">
        <f>IF($A648="","",VLOOKUP($A648&amp;"-"&amp;$B648,'Order Summary'!$D:$U,18,FALSE))</f>
        <v/>
      </c>
      <c r="H648" s="55">
        <v>2</v>
      </c>
      <c r="I648" s="55">
        <v>694437</v>
      </c>
      <c r="J648" s="55" t="str">
        <f>VLOOKUP($I648,'Pricing Table - eff 27-Jan-2026'!$A:$R,2,FALSE)</f>
        <v>G1S 694437</v>
      </c>
      <c r="K648" s="55" t="str">
        <f>VLOOKUP($I648,'Pricing Table - eff 27-Jan-2026'!$A:$R,6,FALSE)&amp;" "&amp;VLOOKUP($I648,'Pricing Table - eff 27-Jan-2026'!$A:$R,7,FALSE)&amp;""" x "&amp;VLOOKUP($I648,'Pricing Table - eff 27-Jan-2026'!$A:$R,9,FALSE)&amp;""" "&amp;VLOOKUP($I648,'Pricing Table - eff 27-Jan-2026'!$A:$R,5,FALSE)</f>
        <v>2MM 49" x 108" ACP</v>
      </c>
      <c r="L648" s="55">
        <f>VLOOKUP($I648,'Pricing Table - eff 27-Jan-2026'!$A:$K,8,FALSE)</f>
        <v>1245</v>
      </c>
      <c r="M648" s="55">
        <f>VLOOKUP($I648,'Pricing Table - eff 27-Jan-2026'!$A:$K,10,FALSE)</f>
        <v>2745</v>
      </c>
      <c r="N648" s="55" t="str">
        <f>VLOOKUP($I648,'Pricing Table - eff 27-Jan-2026'!$A:$R,13,FALSE)&amp;" "&amp;VLOOKUP($I648,'Pricing Table - eff 27-Jan-2026'!$A:$R,12,FALSE)</f>
        <v>ASC 0069 GLOSSY WHITE</v>
      </c>
      <c r="O648" s="56">
        <v>14.7</v>
      </c>
      <c r="P648" s="55">
        <f>(VLOOKUP($I648,'Pricing Table - eff 27-Jan-2026'!$A:$R,8,FALSE)/1000)*(VLOOKUP($I648,'Pricing Table - eff 27-Jan-2026'!$A:$R,10,FALSE)/1000)*Q648</f>
        <v>1367.0100000000002</v>
      </c>
      <c r="Q648" s="55">
        <f>ROUND(('Order Details'!$O648*1000)/((VLOOKUP($I648,'Pricing Table - eff 27-Jan-2026'!$A:$Q,7,FALSE)/12)*(VLOOKUP($I648,'Pricing Table - eff 27-Jan-2026'!$A:$Q,9,FALSE)/12))/5,0)*5</f>
        <v>400</v>
      </c>
      <c r="R648" s="71">
        <f>$Q648/IFERROR(VLOOKUP($F648&amp;RIGHT($K648,8),'Master Data'!$O$5:$P$10,2,FALSE),'Master Data'!$P$4)</f>
        <v>2</v>
      </c>
      <c r="S648" s="57">
        <f>VLOOKUP($I648,'Pricing Table - eff 27-Jan-2026'!$A:$Q,16,FALSE)</f>
        <v>720</v>
      </c>
      <c r="T648" s="57">
        <f>VLOOKUP(I648,'Pricing Table - eff 27-Jan-2026'!$A:$O,15,FALSE)</f>
        <v>7.73</v>
      </c>
      <c r="U648" s="57">
        <f t="shared" si="29"/>
        <v>10584</v>
      </c>
      <c r="V648" s="111">
        <f t="shared" si="30"/>
        <v>10566.987300000003</v>
      </c>
      <c r="W648" s="55">
        <f>VLOOKUP($I648,'Pricing Table - eff 27-Jan-2026'!$A:$R,18,FALSE)</f>
        <v>45</v>
      </c>
    </row>
    <row r="649" spans="1:23" hidden="1" x14ac:dyDescent="0.3">
      <c r="A649" s="55">
        <v>53036808</v>
      </c>
      <c r="B649" s="55">
        <v>0</v>
      </c>
      <c r="C649" s="55" t="str">
        <f>VLOOKUP(A649&amp;"-"&amp;B649,'Order Summary'!$D:$E,2,FALSE)</f>
        <v>PO Received</v>
      </c>
      <c r="D649" s="216">
        <f>IF($A649="","",VLOOKUP($A649&amp;"-"&amp;$B649,'Order Summary'!$D:$U,3,FALSE))</f>
        <v>46149</v>
      </c>
      <c r="E649" s="55" t="str">
        <f>VLOOKUP(A649&amp;"-"&amp;B649,'Order Summary'!$D:$G,4,FALSE)</f>
        <v>Yes</v>
      </c>
      <c r="F649" s="55" t="str">
        <f>VLOOKUP($A649,'Order Summary'!$B:$I,8,FALSE)</f>
        <v>Hillsboro, TX</v>
      </c>
      <c r="G649" s="216" t="str">
        <f>IF($A649="","",VLOOKUP($A649&amp;"-"&amp;$B649,'Order Summary'!$D:$U,18,FALSE))</f>
        <v/>
      </c>
      <c r="H649" s="55">
        <v>1</v>
      </c>
      <c r="I649" s="55">
        <v>694434</v>
      </c>
      <c r="J649" s="55" t="str">
        <f>VLOOKUP($I649,'Pricing Table - eff 27-Jan-2026'!$A:$R,2,FALSE)</f>
        <v>G1S 694434</v>
      </c>
      <c r="K649" s="55" t="str">
        <f>VLOOKUP($I649,'Pricing Table - eff 27-Jan-2026'!$A:$R,6,FALSE)&amp;" "&amp;VLOOKUP($I649,'Pricing Table - eff 27-Jan-2026'!$A:$R,7,FALSE)&amp;""" x "&amp;VLOOKUP($I649,'Pricing Table - eff 27-Jan-2026'!$A:$R,9,FALSE)&amp;""" "&amp;VLOOKUP($I649,'Pricing Table - eff 27-Jan-2026'!$A:$R,5,FALSE)</f>
        <v>2MM 49" x 144" ACP</v>
      </c>
      <c r="L649" s="55">
        <f>VLOOKUP($I649,'Pricing Table - eff 27-Jan-2026'!$A:$K,8,FALSE)</f>
        <v>1245</v>
      </c>
      <c r="M649" s="55">
        <f>VLOOKUP($I649,'Pricing Table - eff 27-Jan-2026'!$A:$K,10,FALSE)</f>
        <v>3658</v>
      </c>
      <c r="N649" s="55" t="str">
        <f>VLOOKUP($I649,'Pricing Table - eff 27-Jan-2026'!$A:$R,13,FALSE)&amp;" "&amp;VLOOKUP($I649,'Pricing Table - eff 27-Jan-2026'!$A:$R,12,FALSE)</f>
        <v>ASC 0096 GLOSSY BLACK</v>
      </c>
      <c r="O649" s="56">
        <v>19.600000000000001</v>
      </c>
      <c r="P649" s="55">
        <f>(VLOOKUP($I649,'Pricing Table - eff 27-Jan-2026'!$A:$R,8,FALSE)/1000)*(VLOOKUP($I649,'Pricing Table - eff 27-Jan-2026'!$A:$R,10,FALSE)/1000)*Q649</f>
        <v>1821.6840000000002</v>
      </c>
      <c r="Q649" s="55">
        <f>ROUND(('Order Details'!$O649*1000)/((VLOOKUP($I649,'Pricing Table - eff 27-Jan-2026'!$A:$Q,7,FALSE)/12)*(VLOOKUP($I649,'Pricing Table - eff 27-Jan-2026'!$A:$Q,9,FALSE)/12))/5,0)*5</f>
        <v>400</v>
      </c>
      <c r="R649" s="71">
        <f>$Q649/IFERROR(VLOOKUP($F649&amp;RIGHT($K649,8),'Master Data'!$O$5:$P$10,2,FALSE),'Master Data'!$P$4)</f>
        <v>2</v>
      </c>
      <c r="S649" s="57">
        <f>VLOOKUP($I649,'Pricing Table - eff 27-Jan-2026'!$A:$Q,16,FALSE)</f>
        <v>720</v>
      </c>
      <c r="T649" s="57">
        <f>VLOOKUP(I649,'Pricing Table - eff 27-Jan-2026'!$A:$O,15,FALSE)</f>
        <v>7.73</v>
      </c>
      <c r="U649" s="57">
        <f t="shared" si="29"/>
        <v>14112.000000000002</v>
      </c>
      <c r="V649" s="111">
        <f t="shared" si="30"/>
        <v>14081.617320000003</v>
      </c>
      <c r="W649" s="55">
        <f>VLOOKUP($I649,'Pricing Table - eff 27-Jan-2026'!$A:$R,18,FALSE)</f>
        <v>45</v>
      </c>
    </row>
    <row r="650" spans="1:23" hidden="1" x14ac:dyDescent="0.3">
      <c r="A650" s="55">
        <v>53036808</v>
      </c>
      <c r="B650" s="55">
        <v>0</v>
      </c>
      <c r="C650" s="55" t="str">
        <f>VLOOKUP(A650&amp;"-"&amp;B650,'Order Summary'!$D:$E,2,FALSE)</f>
        <v>PO Received</v>
      </c>
      <c r="D650" s="216">
        <f>IF($A650="","",VLOOKUP($A650&amp;"-"&amp;$B650,'Order Summary'!$D:$U,3,FALSE))</f>
        <v>46149</v>
      </c>
      <c r="E650" s="55" t="str">
        <f>VLOOKUP(A650&amp;"-"&amp;B650,'Order Summary'!$D:$G,4,FALSE)</f>
        <v>Yes</v>
      </c>
      <c r="F650" s="55" t="str">
        <f>VLOOKUP($A650,'Order Summary'!$B:$I,8,FALSE)</f>
        <v>Hillsboro, TX</v>
      </c>
      <c r="G650" s="216" t="str">
        <f>IF($A650="","",VLOOKUP($A650&amp;"-"&amp;$B650,'Order Summary'!$D:$U,18,FALSE))</f>
        <v/>
      </c>
      <c r="H650" s="55">
        <v>2</v>
      </c>
      <c r="I650" s="55">
        <v>709355</v>
      </c>
      <c r="J650" s="55" t="str">
        <f>VLOOKUP($I650,'Pricing Table - eff 27-Jan-2026'!$A:$R,2,FALSE)</f>
        <v>G1S 709355</v>
      </c>
      <c r="K650" s="55" t="str">
        <f>VLOOKUP($I650,'Pricing Table - eff 27-Jan-2026'!$A:$R,6,FALSE)&amp;" "&amp;VLOOKUP($I650,'Pricing Table - eff 27-Jan-2026'!$A:$R,7,FALSE)&amp;""" x "&amp;VLOOKUP($I650,'Pricing Table - eff 27-Jan-2026'!$A:$R,9,FALSE)&amp;""" "&amp;VLOOKUP($I650,'Pricing Table - eff 27-Jan-2026'!$A:$R,5,FALSE)</f>
        <v>2MM 49" x 90.5" ACP</v>
      </c>
      <c r="L650" s="55">
        <f>VLOOKUP($I650,'Pricing Table - eff 27-Jan-2026'!$A:$K,8,FALSE)</f>
        <v>1245</v>
      </c>
      <c r="M650" s="55">
        <f>VLOOKUP($I650,'Pricing Table - eff 27-Jan-2026'!$A:$K,10,FALSE)</f>
        <v>2300</v>
      </c>
      <c r="N650" s="55" t="str">
        <f>VLOOKUP($I650,'Pricing Table - eff 27-Jan-2026'!$A:$R,13,FALSE)&amp;" "&amp;VLOOKUP($I650,'Pricing Table - eff 27-Jan-2026'!$A:$R,12,FALSE)</f>
        <v>ASC 0069 GLOSSY WHITE</v>
      </c>
      <c r="O650">
        <v>12.318</v>
      </c>
      <c r="P650" s="55">
        <f>(VLOOKUP($I650,'Pricing Table - eff 27-Jan-2026'!$A:$R,8,FALSE)/1000)*(VLOOKUP($I650,'Pricing Table - eff 27-Jan-2026'!$A:$R,10,FALSE)/1000)*Q650</f>
        <v>1145.4000000000001</v>
      </c>
      <c r="Q650" s="55">
        <f>ROUND(('Order Details'!$O650*1000)/((VLOOKUP($I650,'Pricing Table - eff 27-Jan-2026'!$A:$Q,7,FALSE)/12)*(VLOOKUP($I650,'Pricing Table - eff 27-Jan-2026'!$A:$Q,9,FALSE)/12))/5,0)*5</f>
        <v>400</v>
      </c>
      <c r="R650" s="71">
        <f>$Q650/IFERROR(VLOOKUP($F650&amp;RIGHT($K650,8),'Master Data'!$O$5:$P$10,2,FALSE),'Master Data'!$P$4)</f>
        <v>2</v>
      </c>
      <c r="S650" s="57">
        <f>VLOOKUP($I650,'Pricing Table - eff 27-Jan-2026'!$A:$Q,16,FALSE)</f>
        <v>720</v>
      </c>
      <c r="T650" s="57">
        <f>VLOOKUP(I650,'Pricing Table - eff 27-Jan-2026'!$A:$O,15,FALSE)</f>
        <v>7.73</v>
      </c>
      <c r="U650" s="57">
        <f t="shared" si="29"/>
        <v>8868.9599999999991</v>
      </c>
      <c r="V650" s="111">
        <f t="shared" si="30"/>
        <v>8853.9420000000009</v>
      </c>
      <c r="W650" s="55">
        <f>VLOOKUP($I650,'Pricing Table - eff 27-Jan-2026'!$A:$R,18,FALSE)</f>
        <v>45</v>
      </c>
    </row>
    <row r="651" spans="1:23" hidden="1" x14ac:dyDescent="0.3">
      <c r="A651" s="55">
        <v>53036808</v>
      </c>
      <c r="B651" s="55">
        <v>0</v>
      </c>
      <c r="C651" s="55" t="str">
        <f>VLOOKUP(A651&amp;"-"&amp;B651,'Order Summary'!$D:$E,2,FALSE)</f>
        <v>PO Received</v>
      </c>
      <c r="D651" s="216">
        <f>IF($A651="","",VLOOKUP($A651&amp;"-"&amp;$B651,'Order Summary'!$D:$U,3,FALSE))</f>
        <v>46149</v>
      </c>
      <c r="E651" s="55" t="str">
        <f>VLOOKUP(A651&amp;"-"&amp;B651,'Order Summary'!$D:$G,4,FALSE)</f>
        <v>Yes</v>
      </c>
      <c r="F651" s="55" t="str">
        <f>VLOOKUP($A651,'Order Summary'!$B:$I,8,FALSE)</f>
        <v>Hillsboro, TX</v>
      </c>
      <c r="G651" s="216" t="str">
        <f>IF($A651="","",VLOOKUP($A651&amp;"-"&amp;$B651,'Order Summary'!$D:$U,18,FALSE))</f>
        <v/>
      </c>
      <c r="H651" s="55">
        <v>3</v>
      </c>
      <c r="I651" s="55">
        <v>694436</v>
      </c>
      <c r="J651" s="55" t="str">
        <f>VLOOKUP($I651,'Pricing Table - eff 27-Jan-2026'!$A:$R,2,FALSE)</f>
        <v>G1S 694436</v>
      </c>
      <c r="K651" s="55" t="str">
        <f>VLOOKUP($I651,'Pricing Table - eff 27-Jan-2026'!$A:$R,6,FALSE)&amp;" "&amp;VLOOKUP($I651,'Pricing Table - eff 27-Jan-2026'!$A:$R,7,FALSE)&amp;""" x "&amp;VLOOKUP($I651,'Pricing Table - eff 27-Jan-2026'!$A:$R,9,FALSE)&amp;""" "&amp;VLOOKUP($I651,'Pricing Table - eff 27-Jan-2026'!$A:$R,5,FALSE)</f>
        <v>2MM 49" x 96" ACP</v>
      </c>
      <c r="L651" s="55">
        <f>VLOOKUP($I651,'Pricing Table - eff 27-Jan-2026'!$A:$K,8,FALSE)</f>
        <v>1245</v>
      </c>
      <c r="M651" s="55">
        <f>VLOOKUP($I651,'Pricing Table - eff 27-Jan-2026'!$A:$K,10,FALSE)</f>
        <v>2440</v>
      </c>
      <c r="N651" s="55" t="str">
        <f>VLOOKUP($I651,'Pricing Table - eff 27-Jan-2026'!$A:$R,13,FALSE)&amp;" "&amp;VLOOKUP($I651,'Pricing Table - eff 27-Jan-2026'!$A:$R,12,FALSE)</f>
        <v>ASC 0069 GLOSSY WHITE</v>
      </c>
      <c r="O651" s="56">
        <v>32.667000000000002</v>
      </c>
      <c r="P651" s="55">
        <f>(VLOOKUP($I651,'Pricing Table - eff 27-Jan-2026'!$A:$R,8,FALSE)/1000)*(VLOOKUP($I651,'Pricing Table - eff 27-Jan-2026'!$A:$R,10,FALSE)/1000)*Q651</f>
        <v>3037.8</v>
      </c>
      <c r="Q651" s="55">
        <f>ROUND(('Order Details'!$O651*1000)/((VLOOKUP($I651,'Pricing Table - eff 27-Jan-2026'!$A:$Q,7,FALSE)/12)*(VLOOKUP($I651,'Pricing Table - eff 27-Jan-2026'!$A:$Q,9,FALSE)/12))/5,0)*5</f>
        <v>1000</v>
      </c>
      <c r="R651" s="71">
        <f>$Q651/IFERROR(VLOOKUP($F651&amp;RIGHT($K651,8),'Master Data'!$O$5:$P$10,2,FALSE),'Master Data'!$P$4)</f>
        <v>5</v>
      </c>
      <c r="S651" s="57">
        <f>VLOOKUP($I651,'Pricing Table - eff 27-Jan-2026'!$A:$Q,16,FALSE)</f>
        <v>720</v>
      </c>
      <c r="T651" s="57">
        <f>VLOOKUP(I651,'Pricing Table - eff 27-Jan-2026'!$A:$O,15,FALSE)</f>
        <v>7.73</v>
      </c>
      <c r="U651" s="57">
        <f t="shared" si="29"/>
        <v>23520.240000000002</v>
      </c>
      <c r="V651" s="111">
        <f t="shared" si="30"/>
        <v>23482.194000000003</v>
      </c>
      <c r="W651" s="55">
        <f>VLOOKUP($I651,'Pricing Table - eff 27-Jan-2026'!$A:$R,18,FALSE)</f>
        <v>45</v>
      </c>
    </row>
    <row r="652" spans="1:23" hidden="1" x14ac:dyDescent="0.3">
      <c r="A652" s="55">
        <v>53036808</v>
      </c>
      <c r="B652" s="55">
        <v>0</v>
      </c>
      <c r="C652" s="55" t="str">
        <f>VLOOKUP(A652&amp;"-"&amp;B652,'Order Summary'!$D:$E,2,FALSE)</f>
        <v>PO Received</v>
      </c>
      <c r="D652" s="216">
        <f>IF($A652="","",VLOOKUP($A652&amp;"-"&amp;$B652,'Order Summary'!$D:$U,3,FALSE))</f>
        <v>46149</v>
      </c>
      <c r="E652" s="55" t="str">
        <f>VLOOKUP(A652&amp;"-"&amp;B652,'Order Summary'!$D:$G,4,FALSE)</f>
        <v>Yes</v>
      </c>
      <c r="F652" s="55" t="str">
        <f>VLOOKUP($A652,'Order Summary'!$B:$I,8,FALSE)</f>
        <v>Hillsboro, TX</v>
      </c>
      <c r="G652" s="216" t="str">
        <f>IF($A652="","",VLOOKUP($A652&amp;"-"&amp;$B652,'Order Summary'!$D:$U,18,FALSE))</f>
        <v/>
      </c>
      <c r="H652" s="55">
        <v>4</v>
      </c>
      <c r="I652" s="55">
        <v>694438</v>
      </c>
      <c r="J652" s="55" t="str">
        <f>VLOOKUP($I652,'Pricing Table - eff 27-Jan-2026'!$A:$R,2,FALSE)</f>
        <v>G1S 694438</v>
      </c>
      <c r="K652" s="55" t="str">
        <f>VLOOKUP($I652,'Pricing Table - eff 27-Jan-2026'!$A:$R,6,FALSE)&amp;" "&amp;VLOOKUP($I652,'Pricing Table - eff 27-Jan-2026'!$A:$R,7,FALSE)&amp;""" x "&amp;VLOOKUP($I652,'Pricing Table - eff 27-Jan-2026'!$A:$R,9,FALSE)&amp;""" "&amp;VLOOKUP($I652,'Pricing Table - eff 27-Jan-2026'!$A:$R,5,FALSE)</f>
        <v>2MM 49" x 144" ACP</v>
      </c>
      <c r="L652" s="55">
        <f>VLOOKUP($I652,'Pricing Table - eff 27-Jan-2026'!$A:$K,8,FALSE)</f>
        <v>1245</v>
      </c>
      <c r="M652" s="55">
        <f>VLOOKUP($I652,'Pricing Table - eff 27-Jan-2026'!$A:$K,10,FALSE)</f>
        <v>3658</v>
      </c>
      <c r="N652" s="55" t="str">
        <f>VLOOKUP($I652,'Pricing Table - eff 27-Jan-2026'!$A:$R,13,FALSE)&amp;" "&amp;VLOOKUP($I652,'Pricing Table - eff 27-Jan-2026'!$A:$R,12,FALSE)</f>
        <v>ASC 0069 GLOSSY WHITE</v>
      </c>
      <c r="O652" s="56">
        <v>9.8000000000000007</v>
      </c>
      <c r="P652" s="55">
        <f>(VLOOKUP($I652,'Pricing Table - eff 27-Jan-2026'!$A:$R,8,FALSE)/1000)*(VLOOKUP($I652,'Pricing Table - eff 27-Jan-2026'!$A:$R,10,FALSE)/1000)*Q652</f>
        <v>910.8420000000001</v>
      </c>
      <c r="Q652" s="55">
        <f>ROUND(('Order Details'!$O652*1000)/((VLOOKUP($I652,'Pricing Table - eff 27-Jan-2026'!$A:$Q,7,FALSE)/12)*(VLOOKUP($I652,'Pricing Table - eff 27-Jan-2026'!$A:$Q,9,FALSE)/12))/5,0)*5</f>
        <v>200</v>
      </c>
      <c r="R652" s="71">
        <f>$Q652/IFERROR(VLOOKUP($F652&amp;RIGHT($K652,8),'Master Data'!$O$5:$P$10,2,FALSE),'Master Data'!$P$4)</f>
        <v>1</v>
      </c>
      <c r="S652" s="57">
        <f>VLOOKUP($I652,'Pricing Table - eff 27-Jan-2026'!$A:$Q,16,FALSE)</f>
        <v>720</v>
      </c>
      <c r="T652" s="57">
        <f>VLOOKUP(I652,'Pricing Table - eff 27-Jan-2026'!$A:$O,15,FALSE)</f>
        <v>7.73</v>
      </c>
      <c r="U652" s="57">
        <f t="shared" si="29"/>
        <v>7056.0000000000009</v>
      </c>
      <c r="V652" s="111">
        <f t="shared" si="30"/>
        <v>7040.8086600000015</v>
      </c>
      <c r="W652" s="55">
        <f>VLOOKUP($I652,'Pricing Table - eff 27-Jan-2026'!$A:$R,18,FALSE)</f>
        <v>45</v>
      </c>
    </row>
    <row r="653" spans="1:23" hidden="1" x14ac:dyDescent="0.3">
      <c r="A653" s="55">
        <v>53036808</v>
      </c>
      <c r="B653" s="55">
        <v>0</v>
      </c>
      <c r="C653" s="55" t="str">
        <f>VLOOKUP(A653&amp;"-"&amp;B653,'Order Summary'!$D:$E,2,FALSE)</f>
        <v>PO Received</v>
      </c>
      <c r="D653" s="216">
        <f>IF($A653="","",VLOOKUP($A653&amp;"-"&amp;$B653,'Order Summary'!$D:$U,3,FALSE))</f>
        <v>46149</v>
      </c>
      <c r="E653" s="55" t="str">
        <f>VLOOKUP(A653&amp;"-"&amp;B653,'Order Summary'!$D:$G,4,FALSE)</f>
        <v>Yes</v>
      </c>
      <c r="F653" s="55" t="str">
        <f>VLOOKUP($A653,'Order Summary'!$B:$I,8,FALSE)</f>
        <v>Hillsboro, TX</v>
      </c>
      <c r="G653" s="216" t="str">
        <f>IF($A653="","",VLOOKUP($A653&amp;"-"&amp;$B653,'Order Summary'!$D:$U,18,FALSE))</f>
        <v/>
      </c>
      <c r="H653" s="55">
        <v>5</v>
      </c>
      <c r="I653" s="55">
        <v>694440</v>
      </c>
      <c r="J653" s="55" t="str">
        <f>VLOOKUP($I653,'Pricing Table - eff 27-Jan-2026'!$A:$R,2,FALSE)</f>
        <v>G1S 694440</v>
      </c>
      <c r="K653" s="55" t="str">
        <f>VLOOKUP($I653,'Pricing Table - eff 27-Jan-2026'!$A:$R,6,FALSE)&amp;" "&amp;VLOOKUP($I653,'Pricing Table - eff 27-Jan-2026'!$A:$R,7,FALSE)&amp;""" x "&amp;VLOOKUP($I653,'Pricing Table - eff 27-Jan-2026'!$A:$R,9,FALSE)&amp;""" "&amp;VLOOKUP($I653,'Pricing Table - eff 27-Jan-2026'!$A:$R,5,FALSE)</f>
        <v>2MM 49" x 96" ACP</v>
      </c>
      <c r="L653" s="55">
        <f>VLOOKUP($I653,'Pricing Table - eff 27-Jan-2026'!$A:$K,8,FALSE)</f>
        <v>1245</v>
      </c>
      <c r="M653" s="55">
        <f>VLOOKUP($I653,'Pricing Table - eff 27-Jan-2026'!$A:$K,10,FALSE)</f>
        <v>2440</v>
      </c>
      <c r="N653" s="55" t="str">
        <f>VLOOKUP($I653,'Pricing Table - eff 27-Jan-2026'!$A:$R,13,FALSE)&amp;" "&amp;VLOOKUP($I653,'Pricing Table - eff 27-Jan-2026'!$A:$R,12,FALSE)</f>
        <v>AMC 0103 SILVER FROST</v>
      </c>
      <c r="O653" s="56">
        <v>13.067</v>
      </c>
      <c r="P653" s="55">
        <f>(VLOOKUP($I653,'Pricing Table - eff 27-Jan-2026'!$A:$R,8,FALSE)/1000)*(VLOOKUP($I653,'Pricing Table - eff 27-Jan-2026'!$A:$R,10,FALSE)/1000)*Q653</f>
        <v>1215.1200000000001</v>
      </c>
      <c r="Q653" s="55">
        <f>ROUND(('Order Details'!$O653*1000)/((VLOOKUP($I653,'Pricing Table - eff 27-Jan-2026'!$A:$Q,7,FALSE)/12)*(VLOOKUP($I653,'Pricing Table - eff 27-Jan-2026'!$A:$Q,9,FALSE)/12))/5,0)*5</f>
        <v>400</v>
      </c>
      <c r="R653" s="71">
        <f>$Q653/IFERROR(VLOOKUP($F653&amp;RIGHT($K653,8),'Master Data'!$O$5:$P$10,2,FALSE),'Master Data'!$P$4)</f>
        <v>2</v>
      </c>
      <c r="S653" s="57">
        <f>VLOOKUP($I653,'Pricing Table - eff 27-Jan-2026'!$A:$Q,16,FALSE)</f>
        <v>720</v>
      </c>
      <c r="T653" s="57">
        <f>VLOOKUP(I653,'Pricing Table - eff 27-Jan-2026'!$A:$O,15,FALSE)</f>
        <v>7.73</v>
      </c>
      <c r="U653" s="57">
        <f t="shared" si="29"/>
        <v>9408.24</v>
      </c>
      <c r="V653" s="111">
        <f t="shared" si="30"/>
        <v>9392.8776000000016</v>
      </c>
      <c r="W653" s="55">
        <f>VLOOKUP($I653,'Pricing Table - eff 27-Jan-2026'!$A:$R,18,FALSE)</f>
        <v>90</v>
      </c>
    </row>
    <row r="654" spans="1:23" hidden="1" x14ac:dyDescent="0.3">
      <c r="A654" s="55">
        <v>24272121</v>
      </c>
      <c r="B654" s="55">
        <v>0</v>
      </c>
      <c r="C654" s="55" t="str">
        <f>VLOOKUP(A654&amp;"-"&amp;B654,'Order Summary'!$D:$E,2,FALSE)</f>
        <v>PO Received</v>
      </c>
      <c r="D654" s="216">
        <f>IF($A654="","",VLOOKUP($A654&amp;"-"&amp;$B654,'Order Summary'!$D:$U,3,FALSE))</f>
        <v>46149</v>
      </c>
      <c r="E654" s="55" t="str">
        <f>VLOOKUP(A654&amp;"-"&amp;B654,'Order Summary'!$D:$G,4,FALSE)</f>
        <v>Yes</v>
      </c>
      <c r="F654" s="55" t="str">
        <f>VLOOKUP($A654,'Order Summary'!$B:$I,8,FALSE)</f>
        <v>Granger, IN</v>
      </c>
      <c r="G654" s="216" t="str">
        <f>IF($A654="","",VLOOKUP($A654&amp;"-"&amp;$B654,'Order Summary'!$D:$U,18,FALSE))</f>
        <v/>
      </c>
      <c r="H654" s="55">
        <v>1</v>
      </c>
      <c r="I654" s="55">
        <v>694437</v>
      </c>
      <c r="J654" s="55" t="str">
        <f>VLOOKUP($I654,'Pricing Table - eff 27-Jan-2026'!$A:$R,2,FALSE)</f>
        <v>G1S 694437</v>
      </c>
      <c r="K654" s="55" t="str">
        <f>VLOOKUP($I654,'Pricing Table - eff 27-Jan-2026'!$A:$R,6,FALSE)&amp;" "&amp;VLOOKUP($I654,'Pricing Table - eff 27-Jan-2026'!$A:$R,7,FALSE)&amp;""" x "&amp;VLOOKUP($I654,'Pricing Table - eff 27-Jan-2026'!$A:$R,9,FALSE)&amp;""" "&amp;VLOOKUP($I654,'Pricing Table - eff 27-Jan-2026'!$A:$R,5,FALSE)</f>
        <v>2MM 49" x 108" ACP</v>
      </c>
      <c r="L654" s="55">
        <f>VLOOKUP($I654,'Pricing Table - eff 27-Jan-2026'!$A:$K,8,FALSE)</f>
        <v>1245</v>
      </c>
      <c r="M654" s="55">
        <f>VLOOKUP($I654,'Pricing Table - eff 27-Jan-2026'!$A:$K,10,FALSE)</f>
        <v>2745</v>
      </c>
      <c r="N654" s="55" t="str">
        <f>VLOOKUP($I654,'Pricing Table - eff 27-Jan-2026'!$A:$R,13,FALSE)&amp;" "&amp;VLOOKUP($I654,'Pricing Table - eff 27-Jan-2026'!$A:$R,12,FALSE)</f>
        <v>ASC 0069 GLOSSY WHITE</v>
      </c>
      <c r="O654" s="56">
        <v>36.75</v>
      </c>
      <c r="P654" s="55">
        <f>(VLOOKUP($I654,'Pricing Table - eff 27-Jan-2026'!$A:$R,8,FALSE)/1000)*(VLOOKUP($I654,'Pricing Table - eff 27-Jan-2026'!$A:$R,10,FALSE)/1000)*Q654</f>
        <v>3417.5250000000005</v>
      </c>
      <c r="Q654" s="55">
        <f>ROUND(('Order Details'!$O654*1000)/((VLOOKUP($I654,'Pricing Table - eff 27-Jan-2026'!$A:$Q,7,FALSE)/12)*(VLOOKUP($I654,'Pricing Table - eff 27-Jan-2026'!$A:$Q,9,FALSE)/12))/5,0)*5</f>
        <v>1000</v>
      </c>
      <c r="R654" s="71">
        <f>$Q654/IFERROR(VLOOKUP($F654&amp;RIGHT($K654,8),'Master Data'!$O$5:$P$10,2,FALSE),'Master Data'!$P$4)</f>
        <v>5</v>
      </c>
      <c r="S654" s="57">
        <f>VLOOKUP($I654,'Pricing Table - eff 27-Jan-2026'!$A:$Q,16,FALSE)</f>
        <v>720</v>
      </c>
      <c r="T654" s="57">
        <f>VLOOKUP(I654,'Pricing Table - eff 27-Jan-2026'!$A:$O,15,FALSE)</f>
        <v>7.73</v>
      </c>
      <c r="U654" s="57">
        <f t="shared" si="29"/>
        <v>26460</v>
      </c>
      <c r="V654" s="111">
        <f t="shared" si="30"/>
        <v>26417.468250000005</v>
      </c>
      <c r="W654" s="55">
        <f>VLOOKUP($I654,'Pricing Table - eff 27-Jan-2026'!$A:$R,18,FALSE)</f>
        <v>45</v>
      </c>
    </row>
    <row r="655" spans="1:23" hidden="1" x14ac:dyDescent="0.3">
      <c r="A655" s="55">
        <v>24272121</v>
      </c>
      <c r="B655" s="55">
        <v>0</v>
      </c>
      <c r="C655" s="55" t="str">
        <f>VLOOKUP(A655&amp;"-"&amp;B655,'Order Summary'!$D:$E,2,FALSE)</f>
        <v>PO Received</v>
      </c>
      <c r="D655" s="216">
        <f>IF($A655="","",VLOOKUP($A655&amp;"-"&amp;$B655,'Order Summary'!$D:$U,3,FALSE))</f>
        <v>46149</v>
      </c>
      <c r="E655" s="55" t="str">
        <f>VLOOKUP(A655&amp;"-"&amp;B655,'Order Summary'!$D:$G,4,FALSE)</f>
        <v>Yes</v>
      </c>
      <c r="F655" s="55" t="str">
        <f>VLOOKUP($A655,'Order Summary'!$B:$I,8,FALSE)</f>
        <v>Granger, IN</v>
      </c>
      <c r="G655" s="216" t="str">
        <f>IF($A655="","",VLOOKUP($A655&amp;"-"&amp;$B655,'Order Summary'!$D:$U,18,FALSE))</f>
        <v/>
      </c>
      <c r="H655" s="55">
        <v>2</v>
      </c>
      <c r="I655" s="55">
        <v>694438</v>
      </c>
      <c r="J655" s="55" t="str">
        <f>VLOOKUP($I655,'Pricing Table - eff 27-Jan-2026'!$A:$R,2,FALSE)</f>
        <v>G1S 694438</v>
      </c>
      <c r="K655" s="55" t="str">
        <f>VLOOKUP($I655,'Pricing Table - eff 27-Jan-2026'!$A:$R,6,FALSE)&amp;" "&amp;VLOOKUP($I655,'Pricing Table - eff 27-Jan-2026'!$A:$R,7,FALSE)&amp;""" x "&amp;VLOOKUP($I655,'Pricing Table - eff 27-Jan-2026'!$A:$R,9,FALSE)&amp;""" "&amp;VLOOKUP($I655,'Pricing Table - eff 27-Jan-2026'!$A:$R,5,FALSE)</f>
        <v>2MM 49" x 144" ACP</v>
      </c>
      <c r="L655" s="55">
        <f>VLOOKUP($I655,'Pricing Table - eff 27-Jan-2026'!$A:$K,8,FALSE)</f>
        <v>1245</v>
      </c>
      <c r="M655" s="55">
        <f>VLOOKUP($I655,'Pricing Table - eff 27-Jan-2026'!$A:$K,10,FALSE)</f>
        <v>3658</v>
      </c>
      <c r="N655" s="55" t="str">
        <f>VLOOKUP($I655,'Pricing Table - eff 27-Jan-2026'!$A:$R,13,FALSE)&amp;" "&amp;VLOOKUP($I655,'Pricing Table - eff 27-Jan-2026'!$A:$R,12,FALSE)</f>
        <v>ASC 0069 GLOSSY WHITE</v>
      </c>
      <c r="O655" s="56">
        <v>49</v>
      </c>
      <c r="P655" s="55">
        <f>(VLOOKUP($I655,'Pricing Table - eff 27-Jan-2026'!$A:$R,8,FALSE)/1000)*(VLOOKUP($I655,'Pricing Table - eff 27-Jan-2026'!$A:$R,10,FALSE)/1000)*Q655</f>
        <v>4554.21</v>
      </c>
      <c r="Q655" s="55">
        <f>ROUND(('Order Details'!$O655*1000)/((VLOOKUP($I655,'Pricing Table - eff 27-Jan-2026'!$A:$Q,7,FALSE)/12)*(VLOOKUP($I655,'Pricing Table - eff 27-Jan-2026'!$A:$Q,9,FALSE)/12))/5,0)*5</f>
        <v>1000</v>
      </c>
      <c r="R655" s="71">
        <f>$Q655/IFERROR(VLOOKUP($F655&amp;RIGHT($K655,8),'Master Data'!$O$5:$P$10,2,FALSE),'Master Data'!$P$4)</f>
        <v>5</v>
      </c>
      <c r="S655" s="57">
        <f>VLOOKUP($I655,'Pricing Table - eff 27-Jan-2026'!$A:$Q,16,FALSE)</f>
        <v>720</v>
      </c>
      <c r="T655" s="57">
        <f>VLOOKUP(I655,'Pricing Table - eff 27-Jan-2026'!$A:$O,15,FALSE)</f>
        <v>7.73</v>
      </c>
      <c r="U655" s="57">
        <f t="shared" si="29"/>
        <v>35280</v>
      </c>
      <c r="V655" s="111">
        <f t="shared" si="30"/>
        <v>35204.043300000005</v>
      </c>
      <c r="W655" s="55">
        <f>VLOOKUP($I655,'Pricing Table - eff 27-Jan-2026'!$A:$R,18,FALSE)</f>
        <v>45</v>
      </c>
    </row>
    <row r="656" spans="1:23" hidden="1" x14ac:dyDescent="0.3">
      <c r="A656" s="55">
        <v>24272132</v>
      </c>
      <c r="B656" s="55">
        <v>0</v>
      </c>
      <c r="C656" s="55" t="str">
        <f>VLOOKUP(A656&amp;"-"&amp;B656,'Order Summary'!$D:$E,2,FALSE)</f>
        <v>PO Received</v>
      </c>
      <c r="D656" s="216">
        <f>IF($A656="","",VLOOKUP($A656&amp;"-"&amp;$B656,'Order Summary'!$D:$U,3,FALSE))</f>
        <v>46149</v>
      </c>
      <c r="E656" s="55" t="str">
        <f>VLOOKUP(A656&amp;"-"&amp;B656,'Order Summary'!$D:$G,4,FALSE)</f>
        <v>Yes</v>
      </c>
      <c r="F656" s="55" t="str">
        <f>VLOOKUP($A656,'Order Summary'!$B:$I,8,FALSE)</f>
        <v>South Paris, ME</v>
      </c>
      <c r="G656" s="216" t="str">
        <f>IF($A656="","",VLOOKUP($A656&amp;"-"&amp;$B656,'Order Summary'!$D:$U,18,FALSE))</f>
        <v/>
      </c>
      <c r="H656" s="55">
        <v>1</v>
      </c>
      <c r="I656" s="55">
        <v>694433</v>
      </c>
      <c r="J656" s="55" t="str">
        <f>VLOOKUP($I656,'Pricing Table - eff 27-Jan-2026'!$A:$R,2,FALSE)</f>
        <v>G1S 694433</v>
      </c>
      <c r="K656" s="55" t="str">
        <f>VLOOKUP($I656,'Pricing Table - eff 27-Jan-2026'!$A:$R,6,FALSE)&amp;" "&amp;VLOOKUP($I656,'Pricing Table - eff 27-Jan-2026'!$A:$R,7,FALSE)&amp;""" x "&amp;VLOOKUP($I656,'Pricing Table - eff 27-Jan-2026'!$A:$R,9,FALSE)&amp;""" "&amp;VLOOKUP($I656,'Pricing Table - eff 27-Jan-2026'!$A:$R,5,FALSE)</f>
        <v>2MM 49" x 108" ACP</v>
      </c>
      <c r="L656" s="55">
        <f>VLOOKUP($I656,'Pricing Table - eff 27-Jan-2026'!$A:$K,8,FALSE)</f>
        <v>1245</v>
      </c>
      <c r="M656" s="55">
        <f>VLOOKUP($I656,'Pricing Table - eff 27-Jan-2026'!$A:$K,10,FALSE)</f>
        <v>2745</v>
      </c>
      <c r="N656" s="55" t="str">
        <f>VLOOKUP($I656,'Pricing Table - eff 27-Jan-2026'!$A:$R,13,FALSE)&amp;" "&amp;VLOOKUP($I656,'Pricing Table - eff 27-Jan-2026'!$A:$R,12,FALSE)</f>
        <v>ASC 0096 GLOSSY BLACK</v>
      </c>
      <c r="O656" s="56">
        <v>14.7</v>
      </c>
      <c r="P656" s="55">
        <f>(VLOOKUP($I656,'Pricing Table - eff 27-Jan-2026'!$A:$R,8,FALSE)/1000)*(VLOOKUP($I656,'Pricing Table - eff 27-Jan-2026'!$A:$R,10,FALSE)/1000)*Q656</f>
        <v>1367.0100000000002</v>
      </c>
      <c r="Q656" s="55">
        <f>ROUND(('Order Details'!$O656*1000)/((VLOOKUP($I656,'Pricing Table - eff 27-Jan-2026'!$A:$Q,7,FALSE)/12)*(VLOOKUP($I656,'Pricing Table - eff 27-Jan-2026'!$A:$Q,9,FALSE)/12))/5,0)*5</f>
        <v>400</v>
      </c>
      <c r="R656" s="71">
        <f>$Q656/IFERROR(VLOOKUP($F656&amp;RIGHT($K656,8),'Master Data'!$O$5:$P$10,2,FALSE),'Master Data'!$P$4)</f>
        <v>2</v>
      </c>
      <c r="S656" s="57">
        <f>VLOOKUP($I656,'Pricing Table - eff 27-Jan-2026'!$A:$Q,16,FALSE)</f>
        <v>720</v>
      </c>
      <c r="T656" s="57">
        <f>VLOOKUP(I656,'Pricing Table - eff 27-Jan-2026'!$A:$O,15,FALSE)</f>
        <v>7.73</v>
      </c>
      <c r="U656" s="57">
        <f t="shared" si="29"/>
        <v>10584</v>
      </c>
      <c r="V656" s="111">
        <f t="shared" si="30"/>
        <v>10566.987300000003</v>
      </c>
      <c r="W656" s="55">
        <f>VLOOKUP($I656,'Pricing Table - eff 27-Jan-2026'!$A:$R,18,FALSE)</f>
        <v>45</v>
      </c>
    </row>
    <row r="657" spans="1:23" hidden="1" x14ac:dyDescent="0.3">
      <c r="A657" s="55">
        <v>24272132</v>
      </c>
      <c r="B657" s="55">
        <v>0</v>
      </c>
      <c r="C657" s="55" t="str">
        <f>VLOOKUP(A657&amp;"-"&amp;B657,'Order Summary'!$D:$E,2,FALSE)</f>
        <v>PO Received</v>
      </c>
      <c r="D657" s="216">
        <f>IF($A657="","",VLOOKUP($A657&amp;"-"&amp;$B657,'Order Summary'!$D:$U,3,FALSE))</f>
        <v>46149</v>
      </c>
      <c r="E657" s="55" t="str">
        <f>VLOOKUP(A657&amp;"-"&amp;B657,'Order Summary'!$D:$G,4,FALSE)</f>
        <v>Yes</v>
      </c>
      <c r="F657" s="55" t="str">
        <f>VLOOKUP($A657,'Order Summary'!$B:$I,8,FALSE)</f>
        <v>South Paris, ME</v>
      </c>
      <c r="G657" s="216" t="str">
        <f>IF($A657="","",VLOOKUP($A657&amp;"-"&amp;$B657,'Order Summary'!$D:$U,18,FALSE))</f>
        <v/>
      </c>
      <c r="H657" s="55">
        <v>2</v>
      </c>
      <c r="I657" s="55">
        <v>694437</v>
      </c>
      <c r="J657" s="55" t="str">
        <f>VLOOKUP($I657,'Pricing Table - eff 27-Jan-2026'!$A:$R,2,FALSE)</f>
        <v>G1S 694437</v>
      </c>
      <c r="K657" s="55" t="str">
        <f>VLOOKUP($I657,'Pricing Table - eff 27-Jan-2026'!$A:$R,6,FALSE)&amp;" "&amp;VLOOKUP($I657,'Pricing Table - eff 27-Jan-2026'!$A:$R,7,FALSE)&amp;""" x "&amp;VLOOKUP($I657,'Pricing Table - eff 27-Jan-2026'!$A:$R,9,FALSE)&amp;""" "&amp;VLOOKUP($I657,'Pricing Table - eff 27-Jan-2026'!$A:$R,5,FALSE)</f>
        <v>2MM 49" x 108" ACP</v>
      </c>
      <c r="L657" s="55">
        <f>VLOOKUP($I657,'Pricing Table - eff 27-Jan-2026'!$A:$K,8,FALSE)</f>
        <v>1245</v>
      </c>
      <c r="M657" s="55">
        <f>VLOOKUP($I657,'Pricing Table - eff 27-Jan-2026'!$A:$K,10,FALSE)</f>
        <v>2745</v>
      </c>
      <c r="N657" s="55" t="str">
        <f>VLOOKUP($I657,'Pricing Table - eff 27-Jan-2026'!$A:$R,13,FALSE)&amp;" "&amp;VLOOKUP($I657,'Pricing Table - eff 27-Jan-2026'!$A:$R,12,FALSE)</f>
        <v>ASC 0069 GLOSSY WHITE</v>
      </c>
      <c r="O657" s="56">
        <v>14.7</v>
      </c>
      <c r="P657" s="55">
        <f>(VLOOKUP($I657,'Pricing Table - eff 27-Jan-2026'!$A:$R,8,FALSE)/1000)*(VLOOKUP($I657,'Pricing Table - eff 27-Jan-2026'!$A:$R,10,FALSE)/1000)*Q657</f>
        <v>1367.0100000000002</v>
      </c>
      <c r="Q657" s="55">
        <f>ROUND(('Order Details'!$O657*1000)/((VLOOKUP($I657,'Pricing Table - eff 27-Jan-2026'!$A:$Q,7,FALSE)/12)*(VLOOKUP($I657,'Pricing Table - eff 27-Jan-2026'!$A:$Q,9,FALSE)/12))/5,0)*5</f>
        <v>400</v>
      </c>
      <c r="R657" s="71">
        <f>$Q657/IFERROR(VLOOKUP($F657&amp;RIGHT($K657,8),'Master Data'!$O$5:$P$10,2,FALSE),'Master Data'!$P$4)</f>
        <v>2</v>
      </c>
      <c r="S657" s="57">
        <f>VLOOKUP($I657,'Pricing Table - eff 27-Jan-2026'!$A:$Q,16,FALSE)</f>
        <v>720</v>
      </c>
      <c r="T657" s="57">
        <f>VLOOKUP(I657,'Pricing Table - eff 27-Jan-2026'!$A:$O,15,FALSE)</f>
        <v>7.73</v>
      </c>
      <c r="U657" s="57">
        <f t="shared" si="29"/>
        <v>10584</v>
      </c>
      <c r="V657" s="111">
        <f t="shared" si="30"/>
        <v>10566.987300000003</v>
      </c>
      <c r="W657" s="55">
        <f>VLOOKUP($I657,'Pricing Table - eff 27-Jan-2026'!$A:$R,18,FALSE)</f>
        <v>45</v>
      </c>
    </row>
    <row r="658" spans="1:23" hidden="1" x14ac:dyDescent="0.3">
      <c r="A658" s="55">
        <v>24272132</v>
      </c>
      <c r="B658" s="55">
        <v>0</v>
      </c>
      <c r="C658" s="55" t="str">
        <f>VLOOKUP(A658&amp;"-"&amp;B658,'Order Summary'!$D:$E,2,FALSE)</f>
        <v>PO Received</v>
      </c>
      <c r="D658" s="216">
        <f>IF($A658="","",VLOOKUP($A658&amp;"-"&amp;$B658,'Order Summary'!$D:$U,3,FALSE))</f>
        <v>46149</v>
      </c>
      <c r="E658" s="55" t="str">
        <f>VLOOKUP(A658&amp;"-"&amp;B658,'Order Summary'!$D:$G,4,FALSE)</f>
        <v>Yes</v>
      </c>
      <c r="F658" s="55" t="str">
        <f>VLOOKUP($A658,'Order Summary'!$B:$I,8,FALSE)</f>
        <v>South Paris, ME</v>
      </c>
      <c r="G658" s="216" t="str">
        <f>IF($A658="","",VLOOKUP($A658&amp;"-"&amp;$B658,'Order Summary'!$D:$U,18,FALSE))</f>
        <v/>
      </c>
      <c r="H658" s="55">
        <v>3</v>
      </c>
      <c r="I658" s="55">
        <v>694441</v>
      </c>
      <c r="J658" s="55" t="str">
        <f>VLOOKUP($I658,'Pricing Table - eff 27-Jan-2026'!$A:$R,2,FALSE)</f>
        <v>G1S 694441</v>
      </c>
      <c r="K658" s="55" t="str">
        <f>VLOOKUP($I658,'Pricing Table - eff 27-Jan-2026'!$A:$R,6,FALSE)&amp;" "&amp;VLOOKUP($I658,'Pricing Table - eff 27-Jan-2026'!$A:$R,7,FALSE)&amp;""" x "&amp;VLOOKUP($I658,'Pricing Table - eff 27-Jan-2026'!$A:$R,9,FALSE)&amp;""" "&amp;VLOOKUP($I658,'Pricing Table - eff 27-Jan-2026'!$A:$R,5,FALSE)</f>
        <v>2MM 49" x 108" ACP</v>
      </c>
      <c r="L658" s="55">
        <f>VLOOKUP($I658,'Pricing Table - eff 27-Jan-2026'!$A:$K,8,FALSE)</f>
        <v>1245</v>
      </c>
      <c r="M658" s="55">
        <f>VLOOKUP($I658,'Pricing Table - eff 27-Jan-2026'!$A:$K,10,FALSE)</f>
        <v>2745</v>
      </c>
      <c r="N658" s="55" t="str">
        <f>VLOOKUP($I658,'Pricing Table - eff 27-Jan-2026'!$A:$R,13,FALSE)&amp;" "&amp;VLOOKUP($I658,'Pricing Table - eff 27-Jan-2026'!$A:$R,12,FALSE)</f>
        <v>AMC 0103 SILVER FROST</v>
      </c>
      <c r="O658" s="56">
        <v>14.7</v>
      </c>
      <c r="P658" s="55">
        <f>(VLOOKUP($I658,'Pricing Table - eff 27-Jan-2026'!$A:$R,8,FALSE)/1000)*(VLOOKUP($I658,'Pricing Table - eff 27-Jan-2026'!$A:$R,10,FALSE)/1000)*Q658</f>
        <v>1367.0100000000002</v>
      </c>
      <c r="Q658" s="55">
        <f>ROUND(('Order Details'!$O658*1000)/((VLOOKUP($I658,'Pricing Table - eff 27-Jan-2026'!$A:$Q,7,FALSE)/12)*(VLOOKUP($I658,'Pricing Table - eff 27-Jan-2026'!$A:$Q,9,FALSE)/12))/5,0)*5</f>
        <v>400</v>
      </c>
      <c r="R658" s="71">
        <f>$Q658/IFERROR(VLOOKUP($F658&amp;RIGHT($K658,8),'Master Data'!$O$5:$P$10,2,FALSE),'Master Data'!$P$4)</f>
        <v>2</v>
      </c>
      <c r="S658" s="57">
        <f>VLOOKUP($I658,'Pricing Table - eff 27-Jan-2026'!$A:$Q,16,FALSE)</f>
        <v>720</v>
      </c>
      <c r="T658" s="57">
        <f>VLOOKUP(I658,'Pricing Table - eff 27-Jan-2026'!$A:$O,15,FALSE)</f>
        <v>7.73</v>
      </c>
      <c r="U658" s="57">
        <f t="shared" si="29"/>
        <v>10584</v>
      </c>
      <c r="V658" s="111">
        <f t="shared" si="30"/>
        <v>10566.987300000003</v>
      </c>
      <c r="W658" s="55">
        <f>VLOOKUP($I658,'Pricing Table - eff 27-Jan-2026'!$A:$R,18,FALSE)</f>
        <v>90</v>
      </c>
    </row>
    <row r="659" spans="1:23" hidden="1" x14ac:dyDescent="0.3">
      <c r="A659" s="55">
        <v>24272132</v>
      </c>
      <c r="B659" s="55">
        <v>0</v>
      </c>
      <c r="C659" s="55" t="str">
        <f>VLOOKUP(A659&amp;"-"&amp;B659,'Order Summary'!$D:$E,2,FALSE)</f>
        <v>PO Received</v>
      </c>
      <c r="D659" s="216">
        <f>IF($A659="","",VLOOKUP($A659&amp;"-"&amp;$B659,'Order Summary'!$D:$U,3,FALSE))</f>
        <v>46149</v>
      </c>
      <c r="E659" s="55" t="str">
        <f>VLOOKUP(A659&amp;"-"&amp;B659,'Order Summary'!$D:$G,4,FALSE)</f>
        <v>Yes</v>
      </c>
      <c r="F659" s="55" t="str">
        <f>VLOOKUP($A659,'Order Summary'!$B:$I,8,FALSE)</f>
        <v>South Paris, ME</v>
      </c>
      <c r="G659" s="216" t="str">
        <f>IF($A659="","",VLOOKUP($A659&amp;"-"&amp;$B659,'Order Summary'!$D:$U,18,FALSE))</f>
        <v/>
      </c>
      <c r="H659" s="55">
        <v>4</v>
      </c>
      <c r="I659" s="55">
        <v>694445</v>
      </c>
      <c r="J659" s="55" t="str">
        <f>VLOOKUP($I659,'Pricing Table - eff 27-Jan-2026'!$A:$R,2,FALSE)</f>
        <v>G1S 694445</v>
      </c>
      <c r="K659" s="55" t="str">
        <f>VLOOKUP($I659,'Pricing Table - eff 27-Jan-2026'!$A:$R,6,FALSE)&amp;" "&amp;VLOOKUP($I659,'Pricing Table - eff 27-Jan-2026'!$A:$R,7,FALSE)&amp;""" x "&amp;VLOOKUP($I659,'Pricing Table - eff 27-Jan-2026'!$A:$R,9,FALSE)&amp;""" "&amp;VLOOKUP($I659,'Pricing Table - eff 27-Jan-2026'!$A:$R,5,FALSE)</f>
        <v>2MM 49" x 108" ACP</v>
      </c>
      <c r="L659" s="55">
        <f>VLOOKUP($I659,'Pricing Table - eff 27-Jan-2026'!$A:$K,8,FALSE)</f>
        <v>1245</v>
      </c>
      <c r="M659" s="55">
        <f>VLOOKUP($I659,'Pricing Table - eff 27-Jan-2026'!$A:$K,10,FALSE)</f>
        <v>2745</v>
      </c>
      <c r="N659" s="55" t="str">
        <f>VLOOKUP($I659,'Pricing Table - eff 27-Jan-2026'!$A:$R,13,FALSE)&amp;" "&amp;VLOOKUP($I659,'Pricing Table - eff 27-Jan-2026'!$A:$R,12,FALSE)</f>
        <v>AMC 0086 CHARCOAL METALLIC</v>
      </c>
      <c r="O659" s="56">
        <v>14.7</v>
      </c>
      <c r="P659" s="55">
        <f>(VLOOKUP($I659,'Pricing Table - eff 27-Jan-2026'!$A:$R,8,FALSE)/1000)*(VLOOKUP($I659,'Pricing Table - eff 27-Jan-2026'!$A:$R,10,FALSE)/1000)*Q659</f>
        <v>1367.0100000000002</v>
      </c>
      <c r="Q659" s="55">
        <f>ROUND(('Order Details'!$O659*1000)/((VLOOKUP($I659,'Pricing Table - eff 27-Jan-2026'!$A:$Q,7,FALSE)/12)*(VLOOKUP($I659,'Pricing Table - eff 27-Jan-2026'!$A:$Q,9,FALSE)/12))/5,0)*5</f>
        <v>400</v>
      </c>
      <c r="R659" s="71">
        <f>$Q659/IFERROR(VLOOKUP($F659&amp;RIGHT($K659,8),'Master Data'!$O$5:$P$10,2,FALSE),'Master Data'!$P$4)</f>
        <v>2</v>
      </c>
      <c r="S659" s="57">
        <f>VLOOKUP($I659,'Pricing Table - eff 27-Jan-2026'!$A:$Q,16,FALSE)</f>
        <v>770</v>
      </c>
      <c r="T659" s="57">
        <f>VLOOKUP(I659,'Pricing Table - eff 27-Jan-2026'!$A:$O,15,FALSE)</f>
        <v>8.27</v>
      </c>
      <c r="U659" s="57">
        <f t="shared" si="29"/>
        <v>11319</v>
      </c>
      <c r="V659" s="111">
        <f t="shared" si="30"/>
        <v>11305.172700000001</v>
      </c>
      <c r="W659" s="55">
        <f>VLOOKUP($I659,'Pricing Table - eff 27-Jan-2026'!$A:$R,18,FALSE)</f>
        <v>45</v>
      </c>
    </row>
    <row r="660" spans="1:23" hidden="1" x14ac:dyDescent="0.3">
      <c r="A660" s="55">
        <v>24272132</v>
      </c>
      <c r="B660" s="55">
        <v>0</v>
      </c>
      <c r="C660" s="55" t="str">
        <f>VLOOKUP(A660&amp;"-"&amp;B660,'Order Summary'!$D:$E,2,FALSE)</f>
        <v>PO Received</v>
      </c>
      <c r="D660" s="216">
        <f>IF($A660="","",VLOOKUP($A660&amp;"-"&amp;$B660,'Order Summary'!$D:$U,3,FALSE))</f>
        <v>46149</v>
      </c>
      <c r="E660" s="55" t="str">
        <f>VLOOKUP(A660&amp;"-"&amp;B660,'Order Summary'!$D:$G,4,FALSE)</f>
        <v>Yes</v>
      </c>
      <c r="F660" s="55" t="str">
        <f>VLOOKUP($A660,'Order Summary'!$B:$I,8,FALSE)</f>
        <v>South Paris, ME</v>
      </c>
      <c r="G660" s="216" t="str">
        <f>IF($A660="","",VLOOKUP($A660&amp;"-"&amp;$B660,'Order Summary'!$D:$U,18,FALSE))</f>
        <v/>
      </c>
      <c r="H660" s="55">
        <v>5</v>
      </c>
      <c r="I660" s="55">
        <v>694436</v>
      </c>
      <c r="J660" s="55" t="str">
        <f>VLOOKUP($I660,'Pricing Table - eff 27-Jan-2026'!$A:$R,2,FALSE)</f>
        <v>G1S 694436</v>
      </c>
      <c r="K660" s="55" t="str">
        <f>VLOOKUP($I660,'Pricing Table - eff 27-Jan-2026'!$A:$R,6,FALSE)&amp;" "&amp;VLOOKUP($I660,'Pricing Table - eff 27-Jan-2026'!$A:$R,7,FALSE)&amp;""" x "&amp;VLOOKUP($I660,'Pricing Table - eff 27-Jan-2026'!$A:$R,9,FALSE)&amp;""" "&amp;VLOOKUP($I660,'Pricing Table - eff 27-Jan-2026'!$A:$R,5,FALSE)</f>
        <v>2MM 49" x 96" ACP</v>
      </c>
      <c r="L660" s="55">
        <f>VLOOKUP($I660,'Pricing Table - eff 27-Jan-2026'!$A:$K,8,FALSE)</f>
        <v>1245</v>
      </c>
      <c r="M660" s="55">
        <f>VLOOKUP($I660,'Pricing Table - eff 27-Jan-2026'!$A:$K,10,FALSE)</f>
        <v>2440</v>
      </c>
      <c r="N660" s="55" t="str">
        <f>VLOOKUP($I660,'Pricing Table - eff 27-Jan-2026'!$A:$R,13,FALSE)&amp;" "&amp;VLOOKUP($I660,'Pricing Table - eff 27-Jan-2026'!$A:$R,12,FALSE)</f>
        <v>ASC 0069 GLOSSY WHITE</v>
      </c>
      <c r="O660" s="56">
        <v>13.067</v>
      </c>
      <c r="P660" s="55">
        <f>(VLOOKUP($I660,'Pricing Table - eff 27-Jan-2026'!$A:$R,8,FALSE)/1000)*(VLOOKUP($I660,'Pricing Table - eff 27-Jan-2026'!$A:$R,10,FALSE)/1000)*Q660</f>
        <v>1215.1200000000001</v>
      </c>
      <c r="Q660" s="55">
        <f>ROUND(('Order Details'!$O660*1000)/((VLOOKUP($I660,'Pricing Table - eff 27-Jan-2026'!$A:$Q,7,FALSE)/12)*(VLOOKUP($I660,'Pricing Table - eff 27-Jan-2026'!$A:$Q,9,FALSE)/12))/5,0)*5</f>
        <v>400</v>
      </c>
      <c r="R660" s="71">
        <f>$Q660/IFERROR(VLOOKUP($F660&amp;RIGHT($K660,8),'Master Data'!$O$5:$P$10,2,FALSE),'Master Data'!$P$4)</f>
        <v>2</v>
      </c>
      <c r="S660" s="57">
        <f>VLOOKUP($I660,'Pricing Table - eff 27-Jan-2026'!$A:$Q,16,FALSE)</f>
        <v>720</v>
      </c>
      <c r="T660" s="57">
        <f>VLOOKUP(I660,'Pricing Table - eff 27-Jan-2026'!$A:$O,15,FALSE)</f>
        <v>7.73</v>
      </c>
      <c r="U660" s="57">
        <f t="shared" si="29"/>
        <v>9408.24</v>
      </c>
      <c r="V660" s="111">
        <f t="shared" si="30"/>
        <v>9392.8776000000016</v>
      </c>
      <c r="W660" s="55">
        <f>VLOOKUP($I660,'Pricing Table - eff 27-Jan-2026'!$A:$R,18,FALSE)</f>
        <v>45</v>
      </c>
    </row>
    <row r="661" spans="1:23" hidden="1" x14ac:dyDescent="0.3">
      <c r="A661" s="55">
        <v>24272132</v>
      </c>
      <c r="B661" s="55">
        <v>0</v>
      </c>
      <c r="C661" s="55" t="str">
        <f>VLOOKUP(A661&amp;"-"&amp;B661,'Order Summary'!$D:$E,2,FALSE)</f>
        <v>PO Received</v>
      </c>
      <c r="D661" s="216">
        <f>IF($A661="","",VLOOKUP($A661&amp;"-"&amp;$B661,'Order Summary'!$D:$U,3,FALSE))</f>
        <v>46149</v>
      </c>
      <c r="E661" s="55" t="str">
        <f>VLOOKUP(A661&amp;"-"&amp;B661,'Order Summary'!$D:$G,4,FALSE)</f>
        <v>Yes</v>
      </c>
      <c r="F661" s="55" t="str">
        <f>VLOOKUP($A661,'Order Summary'!$B:$I,8,FALSE)</f>
        <v>South Paris, ME</v>
      </c>
      <c r="G661" s="216" t="str">
        <f>IF($A661="","",VLOOKUP($A661&amp;"-"&amp;$B661,'Order Summary'!$D:$U,18,FALSE))</f>
        <v/>
      </c>
      <c r="H661" s="55">
        <v>6</v>
      </c>
      <c r="I661" s="55">
        <v>694440</v>
      </c>
      <c r="J661" s="55" t="str">
        <f>VLOOKUP($I661,'Pricing Table - eff 27-Jan-2026'!$A:$R,2,FALSE)</f>
        <v>G1S 694440</v>
      </c>
      <c r="K661" s="55" t="str">
        <f>VLOOKUP($I661,'Pricing Table - eff 27-Jan-2026'!$A:$R,6,FALSE)&amp;" "&amp;VLOOKUP($I661,'Pricing Table - eff 27-Jan-2026'!$A:$R,7,FALSE)&amp;""" x "&amp;VLOOKUP($I661,'Pricing Table - eff 27-Jan-2026'!$A:$R,9,FALSE)&amp;""" "&amp;VLOOKUP($I661,'Pricing Table - eff 27-Jan-2026'!$A:$R,5,FALSE)</f>
        <v>2MM 49" x 96" ACP</v>
      </c>
      <c r="L661" s="55">
        <f>VLOOKUP($I661,'Pricing Table - eff 27-Jan-2026'!$A:$K,8,FALSE)</f>
        <v>1245</v>
      </c>
      <c r="M661" s="55">
        <f>VLOOKUP($I661,'Pricing Table - eff 27-Jan-2026'!$A:$K,10,FALSE)</f>
        <v>2440</v>
      </c>
      <c r="N661" s="55" t="str">
        <f>VLOOKUP($I661,'Pricing Table - eff 27-Jan-2026'!$A:$R,13,FALSE)&amp;" "&amp;VLOOKUP($I661,'Pricing Table - eff 27-Jan-2026'!$A:$R,12,FALSE)</f>
        <v>AMC 0103 SILVER FROST</v>
      </c>
      <c r="O661" s="56">
        <v>6.5330000000000004</v>
      </c>
      <c r="P661" s="55">
        <f>(VLOOKUP($I661,'Pricing Table - eff 27-Jan-2026'!$A:$R,8,FALSE)/1000)*(VLOOKUP($I661,'Pricing Table - eff 27-Jan-2026'!$A:$R,10,FALSE)/1000)*Q661</f>
        <v>607.56000000000006</v>
      </c>
      <c r="Q661" s="55">
        <f>ROUND(('Order Details'!$O661*1000)/((VLOOKUP($I661,'Pricing Table - eff 27-Jan-2026'!$A:$Q,7,FALSE)/12)*(VLOOKUP($I661,'Pricing Table - eff 27-Jan-2026'!$A:$Q,9,FALSE)/12))/5,0)*5</f>
        <v>200</v>
      </c>
      <c r="R661" s="71">
        <f>$Q661/IFERROR(VLOOKUP($F661&amp;RIGHT($K661,8),'Master Data'!$O$5:$P$10,2,FALSE),'Master Data'!$P$4)</f>
        <v>1</v>
      </c>
      <c r="S661" s="57">
        <f>VLOOKUP($I661,'Pricing Table - eff 27-Jan-2026'!$A:$Q,16,FALSE)</f>
        <v>720</v>
      </c>
      <c r="T661" s="57">
        <f>VLOOKUP(I661,'Pricing Table - eff 27-Jan-2026'!$A:$O,15,FALSE)</f>
        <v>7.73</v>
      </c>
      <c r="U661" s="57">
        <f t="shared" si="29"/>
        <v>4703.76</v>
      </c>
      <c r="V661" s="111">
        <f t="shared" si="30"/>
        <v>4696.4388000000008</v>
      </c>
      <c r="W661" s="55">
        <f>VLOOKUP($I661,'Pricing Table - eff 27-Jan-2026'!$A:$R,18,FALSE)</f>
        <v>90</v>
      </c>
    </row>
    <row r="662" spans="1:23" hidden="1" x14ac:dyDescent="0.3">
      <c r="A662" s="55">
        <v>24272132</v>
      </c>
      <c r="B662" s="55">
        <v>0</v>
      </c>
      <c r="C662" s="55" t="str">
        <f>VLOOKUP(A662&amp;"-"&amp;B662,'Order Summary'!$D:$E,2,FALSE)</f>
        <v>PO Received</v>
      </c>
      <c r="D662" s="216">
        <f>IF($A662="","",VLOOKUP($A662&amp;"-"&amp;$B662,'Order Summary'!$D:$U,3,FALSE))</f>
        <v>46149</v>
      </c>
      <c r="E662" s="55" t="str">
        <f>VLOOKUP(A662&amp;"-"&amp;B662,'Order Summary'!$D:$G,4,FALSE)</f>
        <v>Yes</v>
      </c>
      <c r="F662" s="55" t="str">
        <f>VLOOKUP($A662,'Order Summary'!$B:$I,8,FALSE)</f>
        <v>South Paris, ME</v>
      </c>
      <c r="G662" s="216" t="str">
        <f>IF($A662="","",VLOOKUP($A662&amp;"-"&amp;$B662,'Order Summary'!$D:$U,18,FALSE))</f>
        <v/>
      </c>
      <c r="H662" s="55">
        <v>7</v>
      </c>
      <c r="I662" s="55">
        <v>694432</v>
      </c>
      <c r="J662" s="55" t="str">
        <f>VLOOKUP($I662,'Pricing Table - eff 27-Jan-2026'!$A:$R,2,FALSE)</f>
        <v>G1S 694432</v>
      </c>
      <c r="K662" s="55" t="str">
        <f>VLOOKUP($I662,'Pricing Table - eff 27-Jan-2026'!$A:$R,6,FALSE)&amp;" "&amp;VLOOKUP($I662,'Pricing Table - eff 27-Jan-2026'!$A:$R,7,FALSE)&amp;""" x "&amp;VLOOKUP($I662,'Pricing Table - eff 27-Jan-2026'!$A:$R,9,FALSE)&amp;""" "&amp;VLOOKUP($I662,'Pricing Table - eff 27-Jan-2026'!$A:$R,5,FALSE)</f>
        <v>2MM 49" x 96" ACP</v>
      </c>
      <c r="L662" s="55">
        <f>VLOOKUP($I662,'Pricing Table - eff 27-Jan-2026'!$A:$K,8,FALSE)</f>
        <v>1245</v>
      </c>
      <c r="M662" s="55">
        <f>VLOOKUP($I662,'Pricing Table - eff 27-Jan-2026'!$A:$K,10,FALSE)</f>
        <v>2440</v>
      </c>
      <c r="N662" s="55" t="str">
        <f>VLOOKUP($I662,'Pricing Table - eff 27-Jan-2026'!$A:$R,13,FALSE)&amp;" "&amp;VLOOKUP($I662,'Pricing Table - eff 27-Jan-2026'!$A:$R,12,FALSE)</f>
        <v>ASC 0096 GLOSSY BLACK</v>
      </c>
      <c r="O662" s="56">
        <v>13.067</v>
      </c>
      <c r="P662" s="55">
        <f>(VLOOKUP($I662,'Pricing Table - eff 27-Jan-2026'!$A:$R,8,FALSE)/1000)*(VLOOKUP($I662,'Pricing Table - eff 27-Jan-2026'!$A:$R,10,FALSE)/1000)*Q662</f>
        <v>1215.1200000000001</v>
      </c>
      <c r="Q662" s="55">
        <f>ROUND(('Order Details'!$O662*1000)/((VLOOKUP($I662,'Pricing Table - eff 27-Jan-2026'!$A:$Q,7,FALSE)/12)*(VLOOKUP($I662,'Pricing Table - eff 27-Jan-2026'!$A:$Q,9,FALSE)/12))/5,0)*5</f>
        <v>400</v>
      </c>
      <c r="R662" s="71">
        <f>$Q662/IFERROR(VLOOKUP($F662&amp;RIGHT($K662,8),'Master Data'!$O$5:$P$10,2,FALSE),'Master Data'!$P$4)</f>
        <v>2</v>
      </c>
      <c r="S662" s="57">
        <f>VLOOKUP($I662,'Pricing Table - eff 27-Jan-2026'!$A:$Q,16,FALSE)</f>
        <v>720</v>
      </c>
      <c r="T662" s="57">
        <f>VLOOKUP(I662,'Pricing Table - eff 27-Jan-2026'!$A:$O,15,FALSE)</f>
        <v>7.73</v>
      </c>
      <c r="U662" s="57">
        <f t="shared" si="29"/>
        <v>9408.24</v>
      </c>
      <c r="V662" s="111">
        <f t="shared" si="30"/>
        <v>9392.8776000000016</v>
      </c>
      <c r="W662" s="55">
        <f>VLOOKUP($I662,'Pricing Table - eff 27-Jan-2026'!$A:$R,18,FALSE)</f>
        <v>45</v>
      </c>
    </row>
    <row r="663" spans="1:23" hidden="1" x14ac:dyDescent="0.3">
      <c r="A663" s="55">
        <v>53036803</v>
      </c>
      <c r="B663" s="55">
        <v>0</v>
      </c>
      <c r="C663" s="55" t="str">
        <f>VLOOKUP(A663&amp;"-"&amp;B663,'Order Summary'!$D:$E,2,FALSE)</f>
        <v>PO Received</v>
      </c>
      <c r="D663" s="216">
        <f>IF($A663="","",VLOOKUP($A663&amp;"-"&amp;$B663,'Order Summary'!$D:$U,3,FALSE))</f>
        <v>46149</v>
      </c>
      <c r="E663" s="55" t="str">
        <f>VLOOKUP(A663&amp;"-"&amp;B663,'Order Summary'!$D:$G,4,FALSE)</f>
        <v>Yes</v>
      </c>
      <c r="F663" s="55" t="str">
        <f>VLOOKUP($A663,'Order Summary'!$B:$I,8,FALSE)</f>
        <v>Nampa, ID</v>
      </c>
      <c r="G663" s="216" t="str">
        <f>IF($A663="","",VLOOKUP($A663&amp;"-"&amp;$B663,'Order Summary'!$D:$U,18,FALSE))</f>
        <v/>
      </c>
      <c r="H663" s="55">
        <v>1</v>
      </c>
      <c r="I663" s="55">
        <v>709355</v>
      </c>
      <c r="J663" s="55" t="str">
        <f>VLOOKUP($I663,'Pricing Table - eff 27-Jan-2026'!$A:$R,2,FALSE)</f>
        <v>G1S 709355</v>
      </c>
      <c r="K663" s="55" t="str">
        <f>VLOOKUP($I663,'Pricing Table - eff 27-Jan-2026'!$A:$R,6,FALSE)&amp;" "&amp;VLOOKUP($I663,'Pricing Table - eff 27-Jan-2026'!$A:$R,7,FALSE)&amp;""" x "&amp;VLOOKUP($I663,'Pricing Table - eff 27-Jan-2026'!$A:$R,9,FALSE)&amp;""" "&amp;VLOOKUP($I663,'Pricing Table - eff 27-Jan-2026'!$A:$R,5,FALSE)</f>
        <v>2MM 49" x 90.5" ACP</v>
      </c>
      <c r="L663" s="55">
        <f>VLOOKUP($I663,'Pricing Table - eff 27-Jan-2026'!$A:$K,8,FALSE)</f>
        <v>1245</v>
      </c>
      <c r="M663" s="55">
        <f>VLOOKUP($I663,'Pricing Table - eff 27-Jan-2026'!$A:$K,10,FALSE)</f>
        <v>2300</v>
      </c>
      <c r="N663" s="55" t="str">
        <f>VLOOKUP($I663,'Pricing Table - eff 27-Jan-2026'!$A:$R,13,FALSE)&amp;" "&amp;VLOOKUP($I663,'Pricing Table - eff 27-Jan-2026'!$A:$R,12,FALSE)</f>
        <v>ASC 0069 GLOSSY WHITE</v>
      </c>
      <c r="O663" s="56">
        <v>24.635999999999999</v>
      </c>
      <c r="P663" s="55">
        <f>(VLOOKUP($I663,'Pricing Table - eff 27-Jan-2026'!$A:$R,8,FALSE)/1000)*(VLOOKUP($I663,'Pricing Table - eff 27-Jan-2026'!$A:$R,10,FALSE)/1000)*Q663</f>
        <v>2290.8000000000002</v>
      </c>
      <c r="Q663" s="55">
        <f>ROUND(('Order Details'!$O663*1000)/((VLOOKUP($I663,'Pricing Table - eff 27-Jan-2026'!$A:$Q,7,FALSE)/12)*(VLOOKUP($I663,'Pricing Table - eff 27-Jan-2026'!$A:$Q,9,FALSE)/12))/5,0)*5</f>
        <v>800</v>
      </c>
      <c r="R663" s="71">
        <f>$Q663/IFERROR(VLOOKUP($F663&amp;RIGHT($K663,8),'Master Data'!$O$5:$P$10,2,FALSE),'Master Data'!$P$4)</f>
        <v>4</v>
      </c>
      <c r="S663" s="57">
        <f>VLOOKUP($I663,'Pricing Table - eff 27-Jan-2026'!$A:$Q,16,FALSE)</f>
        <v>720</v>
      </c>
      <c r="T663" s="57">
        <f>VLOOKUP(I663,'Pricing Table - eff 27-Jan-2026'!$A:$O,15,FALSE)</f>
        <v>7.73</v>
      </c>
      <c r="U663" s="57">
        <f t="shared" si="29"/>
        <v>17737.919999999998</v>
      </c>
      <c r="V663" s="111">
        <f t="shared" si="30"/>
        <v>17707.884000000002</v>
      </c>
      <c r="W663" s="55">
        <f>VLOOKUP($I663,'Pricing Table - eff 27-Jan-2026'!$A:$R,18,FALSE)</f>
        <v>45</v>
      </c>
    </row>
    <row r="664" spans="1:23" hidden="1" x14ac:dyDescent="0.3">
      <c r="A664" s="55">
        <v>53036803</v>
      </c>
      <c r="B664" s="55">
        <v>0</v>
      </c>
      <c r="C664" s="55" t="str">
        <f>VLOOKUP(A664&amp;"-"&amp;B664,'Order Summary'!$D:$E,2,FALSE)</f>
        <v>PO Received</v>
      </c>
      <c r="D664" s="216">
        <f>IF($A664="","",VLOOKUP($A664&amp;"-"&amp;$B664,'Order Summary'!$D:$U,3,FALSE))</f>
        <v>46149</v>
      </c>
      <c r="E664" s="55" t="str">
        <f>VLOOKUP(A664&amp;"-"&amp;B664,'Order Summary'!$D:$G,4,FALSE)</f>
        <v>Yes</v>
      </c>
      <c r="F664" s="55" t="str">
        <f>VLOOKUP($A664,'Order Summary'!$B:$I,8,FALSE)</f>
        <v>Nampa, ID</v>
      </c>
      <c r="G664" s="216" t="str">
        <f>IF($A664="","",VLOOKUP($A664&amp;"-"&amp;$B664,'Order Summary'!$D:$U,18,FALSE))</f>
        <v/>
      </c>
      <c r="H664" s="55">
        <v>2</v>
      </c>
      <c r="I664" s="55">
        <v>694436</v>
      </c>
      <c r="J664" s="55" t="str">
        <f>VLOOKUP($I664,'Pricing Table - eff 27-Jan-2026'!$A:$R,2,FALSE)</f>
        <v>G1S 694436</v>
      </c>
      <c r="K664" s="55" t="str">
        <f>VLOOKUP($I664,'Pricing Table - eff 27-Jan-2026'!$A:$R,6,FALSE)&amp;" "&amp;VLOOKUP($I664,'Pricing Table - eff 27-Jan-2026'!$A:$R,7,FALSE)&amp;""" x "&amp;VLOOKUP($I664,'Pricing Table - eff 27-Jan-2026'!$A:$R,9,FALSE)&amp;""" "&amp;VLOOKUP($I664,'Pricing Table - eff 27-Jan-2026'!$A:$R,5,FALSE)</f>
        <v>2MM 49" x 96" ACP</v>
      </c>
      <c r="L664" s="55">
        <f>VLOOKUP($I664,'Pricing Table - eff 27-Jan-2026'!$A:$K,8,FALSE)</f>
        <v>1245</v>
      </c>
      <c r="M664" s="55">
        <f>VLOOKUP($I664,'Pricing Table - eff 27-Jan-2026'!$A:$K,10,FALSE)</f>
        <v>2440</v>
      </c>
      <c r="N664" s="55" t="str">
        <f>VLOOKUP($I664,'Pricing Table - eff 27-Jan-2026'!$A:$R,13,FALSE)&amp;" "&amp;VLOOKUP($I664,'Pricing Table - eff 27-Jan-2026'!$A:$R,12,FALSE)</f>
        <v>ASC 0069 GLOSSY WHITE</v>
      </c>
      <c r="O664" s="56">
        <v>65.332999999999998</v>
      </c>
      <c r="P664" s="55">
        <f>(VLOOKUP($I664,'Pricing Table - eff 27-Jan-2026'!$A:$R,8,FALSE)/1000)*(VLOOKUP($I664,'Pricing Table - eff 27-Jan-2026'!$A:$R,10,FALSE)/1000)*Q664</f>
        <v>6075.6</v>
      </c>
      <c r="Q664" s="55">
        <f>ROUND(('Order Details'!$O664*1000)/((VLOOKUP($I664,'Pricing Table - eff 27-Jan-2026'!$A:$Q,7,FALSE)/12)*(VLOOKUP($I664,'Pricing Table - eff 27-Jan-2026'!$A:$Q,9,FALSE)/12))/5,0)*5</f>
        <v>2000</v>
      </c>
      <c r="R664" s="71">
        <f>$Q664/IFERROR(VLOOKUP($F664&amp;RIGHT($K664,8),'Master Data'!$O$5:$P$10,2,FALSE),'Master Data'!$P$4)</f>
        <v>10</v>
      </c>
      <c r="S664" s="57">
        <f>VLOOKUP($I664,'Pricing Table - eff 27-Jan-2026'!$A:$Q,16,FALSE)</f>
        <v>720</v>
      </c>
      <c r="T664" s="57">
        <f>VLOOKUP(I664,'Pricing Table - eff 27-Jan-2026'!$A:$O,15,FALSE)</f>
        <v>7.73</v>
      </c>
      <c r="U664" s="57">
        <f t="shared" si="29"/>
        <v>47039.76</v>
      </c>
      <c r="V664" s="111">
        <f t="shared" si="30"/>
        <v>46964.388000000006</v>
      </c>
      <c r="W664" s="55">
        <f>VLOOKUP($I664,'Pricing Table - eff 27-Jan-2026'!$A:$R,18,FALSE)</f>
        <v>45</v>
      </c>
    </row>
    <row r="665" spans="1:23" hidden="1" x14ac:dyDescent="0.3">
      <c r="A665" s="55">
        <v>53036815</v>
      </c>
      <c r="B665" s="55">
        <v>0</v>
      </c>
      <c r="C665" s="55" t="str">
        <f>VLOOKUP(A665&amp;"-"&amp;B665,'Order Summary'!$D:$E,2,FALSE)</f>
        <v>PO Received</v>
      </c>
      <c r="D665" s="216">
        <f>IF($A665="","",VLOOKUP($A665&amp;"-"&amp;$B665,'Order Summary'!$D:$U,3,FALSE))</f>
        <v>46149</v>
      </c>
      <c r="E665" s="55" t="str">
        <f>VLOOKUP(A665&amp;"-"&amp;B665,'Order Summary'!$D:$G,4,FALSE)</f>
        <v>Yes</v>
      </c>
      <c r="F665" s="55" t="str">
        <f>VLOOKUP($A665,'Order Summary'!$B:$I,8,FALSE)</f>
        <v>Minneota, MN</v>
      </c>
      <c r="G665" s="216" t="str">
        <f>IF($A665="","",VLOOKUP($A665&amp;"-"&amp;$B665,'Order Summary'!$D:$U,18,FALSE))</f>
        <v/>
      </c>
      <c r="H665" s="55">
        <v>1</v>
      </c>
      <c r="I665" s="55">
        <v>694433</v>
      </c>
      <c r="J665" s="55" t="str">
        <f>VLOOKUP($I665,'Pricing Table - eff 27-Jan-2026'!$A:$R,2,FALSE)</f>
        <v>G1S 694433</v>
      </c>
      <c r="K665" s="55" t="str">
        <f>VLOOKUP($I665,'Pricing Table - eff 27-Jan-2026'!$A:$R,6,FALSE)&amp;" "&amp;VLOOKUP($I665,'Pricing Table - eff 27-Jan-2026'!$A:$R,7,FALSE)&amp;""" x "&amp;VLOOKUP($I665,'Pricing Table - eff 27-Jan-2026'!$A:$R,9,FALSE)&amp;""" "&amp;VLOOKUP($I665,'Pricing Table - eff 27-Jan-2026'!$A:$R,5,FALSE)</f>
        <v>2MM 49" x 108" ACP</v>
      </c>
      <c r="L665" s="55">
        <f>VLOOKUP($I665,'Pricing Table - eff 27-Jan-2026'!$A:$K,8,FALSE)</f>
        <v>1245</v>
      </c>
      <c r="M665" s="55">
        <f>VLOOKUP($I665,'Pricing Table - eff 27-Jan-2026'!$A:$K,10,FALSE)</f>
        <v>2745</v>
      </c>
      <c r="N665" s="55" t="str">
        <f>VLOOKUP($I665,'Pricing Table - eff 27-Jan-2026'!$A:$R,13,FALSE)&amp;" "&amp;VLOOKUP($I665,'Pricing Table - eff 27-Jan-2026'!$A:$R,12,FALSE)</f>
        <v>ASC 0096 GLOSSY BLACK</v>
      </c>
      <c r="O665" s="56">
        <v>14.7</v>
      </c>
      <c r="P665" s="55">
        <f>(VLOOKUP($I665,'Pricing Table - eff 27-Jan-2026'!$A:$R,8,FALSE)/1000)*(VLOOKUP($I665,'Pricing Table - eff 27-Jan-2026'!$A:$R,10,FALSE)/1000)*Q665</f>
        <v>1367.0100000000002</v>
      </c>
      <c r="Q665" s="55">
        <f>ROUND(('Order Details'!$O665*1000)/((VLOOKUP($I665,'Pricing Table - eff 27-Jan-2026'!$A:$Q,7,FALSE)/12)*(VLOOKUP($I665,'Pricing Table - eff 27-Jan-2026'!$A:$Q,9,FALSE)/12))/5,0)*5</f>
        <v>400</v>
      </c>
      <c r="R665" s="71">
        <f>$Q665/IFERROR(VLOOKUP($F665&amp;RIGHT($K665,8),'Master Data'!$O$5:$P$10,2,FALSE),'Master Data'!$P$4)</f>
        <v>2</v>
      </c>
      <c r="S665" s="57">
        <f>VLOOKUP($I665,'Pricing Table - eff 27-Jan-2026'!$A:$Q,16,FALSE)</f>
        <v>720</v>
      </c>
      <c r="T665" s="57">
        <f>VLOOKUP(I665,'Pricing Table - eff 27-Jan-2026'!$A:$O,15,FALSE)</f>
        <v>7.73</v>
      </c>
      <c r="U665" s="57">
        <f t="shared" si="29"/>
        <v>10584</v>
      </c>
      <c r="V665" s="111">
        <f t="shared" si="30"/>
        <v>10566.987300000003</v>
      </c>
      <c r="W665" s="55">
        <f>VLOOKUP($I665,'Pricing Table - eff 27-Jan-2026'!$A:$R,18,FALSE)</f>
        <v>45</v>
      </c>
    </row>
    <row r="666" spans="1:23" hidden="1" x14ac:dyDescent="0.3">
      <c r="A666" s="55">
        <v>53036815</v>
      </c>
      <c r="B666" s="55">
        <v>0</v>
      </c>
      <c r="C666" s="55" t="str">
        <f>VLOOKUP(A666&amp;"-"&amp;B666,'Order Summary'!$D:$E,2,FALSE)</f>
        <v>PO Received</v>
      </c>
      <c r="D666" s="216">
        <f>IF($A666="","",VLOOKUP($A666&amp;"-"&amp;$B666,'Order Summary'!$D:$U,3,FALSE))</f>
        <v>46149</v>
      </c>
      <c r="E666" s="55" t="str">
        <f>VLOOKUP(A666&amp;"-"&amp;B666,'Order Summary'!$D:$G,4,FALSE)</f>
        <v>Yes</v>
      </c>
      <c r="F666" s="55" t="str">
        <f>VLOOKUP($A666,'Order Summary'!$B:$I,8,FALSE)</f>
        <v>Minneota, MN</v>
      </c>
      <c r="G666" s="216" t="str">
        <f>IF($A666="","",VLOOKUP($A666&amp;"-"&amp;$B666,'Order Summary'!$D:$U,18,FALSE))</f>
        <v/>
      </c>
      <c r="H666" s="55">
        <v>2</v>
      </c>
      <c r="I666" s="55">
        <v>694437</v>
      </c>
      <c r="J666" s="55" t="str">
        <f>VLOOKUP($I666,'Pricing Table - eff 27-Jan-2026'!$A:$R,2,FALSE)</f>
        <v>G1S 694437</v>
      </c>
      <c r="K666" s="55" t="str">
        <f>VLOOKUP($I666,'Pricing Table - eff 27-Jan-2026'!$A:$R,6,FALSE)&amp;" "&amp;VLOOKUP($I666,'Pricing Table - eff 27-Jan-2026'!$A:$R,7,FALSE)&amp;""" x "&amp;VLOOKUP($I666,'Pricing Table - eff 27-Jan-2026'!$A:$R,9,FALSE)&amp;""" "&amp;VLOOKUP($I666,'Pricing Table - eff 27-Jan-2026'!$A:$R,5,FALSE)</f>
        <v>2MM 49" x 108" ACP</v>
      </c>
      <c r="L666" s="55">
        <f>VLOOKUP($I666,'Pricing Table - eff 27-Jan-2026'!$A:$K,8,FALSE)</f>
        <v>1245</v>
      </c>
      <c r="M666" s="55">
        <f>VLOOKUP($I666,'Pricing Table - eff 27-Jan-2026'!$A:$K,10,FALSE)</f>
        <v>2745</v>
      </c>
      <c r="N666" s="55" t="str">
        <f>VLOOKUP($I666,'Pricing Table - eff 27-Jan-2026'!$A:$R,13,FALSE)&amp;" "&amp;VLOOKUP($I666,'Pricing Table - eff 27-Jan-2026'!$A:$R,12,FALSE)</f>
        <v>ASC 0069 GLOSSY WHITE</v>
      </c>
      <c r="O666" s="56">
        <v>14.7</v>
      </c>
      <c r="P666" s="55">
        <f>(VLOOKUP($I666,'Pricing Table - eff 27-Jan-2026'!$A:$R,8,FALSE)/1000)*(VLOOKUP($I666,'Pricing Table - eff 27-Jan-2026'!$A:$R,10,FALSE)/1000)*Q666</f>
        <v>1367.0100000000002</v>
      </c>
      <c r="Q666" s="55">
        <f>ROUND(('Order Details'!$O666*1000)/((VLOOKUP($I666,'Pricing Table - eff 27-Jan-2026'!$A:$Q,7,FALSE)/12)*(VLOOKUP($I666,'Pricing Table - eff 27-Jan-2026'!$A:$Q,9,FALSE)/12))/5,0)*5</f>
        <v>400</v>
      </c>
      <c r="R666" s="71">
        <f>$Q666/IFERROR(VLOOKUP($F666&amp;RIGHT($K666,8),'Master Data'!$O$5:$P$10,2,FALSE),'Master Data'!$P$4)</f>
        <v>2</v>
      </c>
      <c r="S666" s="57">
        <f>VLOOKUP($I666,'Pricing Table - eff 27-Jan-2026'!$A:$Q,16,FALSE)</f>
        <v>720</v>
      </c>
      <c r="T666" s="57">
        <f>VLOOKUP(I666,'Pricing Table - eff 27-Jan-2026'!$A:$O,15,FALSE)</f>
        <v>7.73</v>
      </c>
      <c r="U666" s="57">
        <f t="shared" si="29"/>
        <v>10584</v>
      </c>
      <c r="V666" s="111">
        <f t="shared" si="30"/>
        <v>10566.987300000003</v>
      </c>
      <c r="W666" s="55">
        <f>VLOOKUP($I666,'Pricing Table - eff 27-Jan-2026'!$A:$R,18,FALSE)</f>
        <v>45</v>
      </c>
    </row>
    <row r="667" spans="1:23" hidden="1" x14ac:dyDescent="0.3">
      <c r="A667" s="55">
        <v>53036815</v>
      </c>
      <c r="B667" s="55">
        <v>0</v>
      </c>
      <c r="C667" s="55" t="str">
        <f>VLOOKUP(A667&amp;"-"&amp;B667,'Order Summary'!$D:$E,2,FALSE)</f>
        <v>PO Received</v>
      </c>
      <c r="D667" s="216">
        <f>IF($A667="","",VLOOKUP($A667&amp;"-"&amp;$B667,'Order Summary'!$D:$U,3,FALSE))</f>
        <v>46149</v>
      </c>
      <c r="E667" s="55" t="str">
        <f>VLOOKUP(A667&amp;"-"&amp;B667,'Order Summary'!$D:$G,4,FALSE)</f>
        <v>Yes</v>
      </c>
      <c r="F667" s="55" t="str">
        <f>VLOOKUP($A667,'Order Summary'!$B:$I,8,FALSE)</f>
        <v>Minneota, MN</v>
      </c>
      <c r="G667" s="216" t="str">
        <f>IF($A667="","",VLOOKUP($A667&amp;"-"&amp;$B667,'Order Summary'!$D:$U,18,FALSE))</f>
        <v/>
      </c>
      <c r="H667" s="55">
        <v>3</v>
      </c>
      <c r="I667" s="55">
        <v>694441</v>
      </c>
      <c r="J667" s="55" t="str">
        <f>VLOOKUP($I667,'Pricing Table - eff 27-Jan-2026'!$A:$R,2,FALSE)</f>
        <v>G1S 694441</v>
      </c>
      <c r="K667" s="55" t="str">
        <f>VLOOKUP($I667,'Pricing Table - eff 27-Jan-2026'!$A:$R,6,FALSE)&amp;" "&amp;VLOOKUP($I667,'Pricing Table - eff 27-Jan-2026'!$A:$R,7,FALSE)&amp;""" x "&amp;VLOOKUP($I667,'Pricing Table - eff 27-Jan-2026'!$A:$R,9,FALSE)&amp;""" "&amp;VLOOKUP($I667,'Pricing Table - eff 27-Jan-2026'!$A:$R,5,FALSE)</f>
        <v>2MM 49" x 108" ACP</v>
      </c>
      <c r="L667" s="55">
        <f>VLOOKUP($I667,'Pricing Table - eff 27-Jan-2026'!$A:$K,8,FALSE)</f>
        <v>1245</v>
      </c>
      <c r="M667" s="55">
        <f>VLOOKUP($I667,'Pricing Table - eff 27-Jan-2026'!$A:$K,10,FALSE)</f>
        <v>2745</v>
      </c>
      <c r="N667" s="55" t="str">
        <f>VLOOKUP($I667,'Pricing Table - eff 27-Jan-2026'!$A:$R,13,FALSE)&amp;" "&amp;VLOOKUP($I667,'Pricing Table - eff 27-Jan-2026'!$A:$R,12,FALSE)</f>
        <v>AMC 0103 SILVER FROST</v>
      </c>
      <c r="O667" s="56">
        <v>7.35</v>
      </c>
      <c r="P667" s="55">
        <f>(VLOOKUP($I667,'Pricing Table - eff 27-Jan-2026'!$A:$R,8,FALSE)/1000)*(VLOOKUP($I667,'Pricing Table - eff 27-Jan-2026'!$A:$R,10,FALSE)/1000)*Q667</f>
        <v>683.50500000000011</v>
      </c>
      <c r="Q667" s="55">
        <f>ROUND(('Order Details'!$O667*1000)/((VLOOKUP($I667,'Pricing Table - eff 27-Jan-2026'!$A:$Q,7,FALSE)/12)*(VLOOKUP($I667,'Pricing Table - eff 27-Jan-2026'!$A:$Q,9,FALSE)/12))/5,0)*5</f>
        <v>200</v>
      </c>
      <c r="R667" s="71">
        <f>$Q667/IFERROR(VLOOKUP($F667&amp;RIGHT($K667,8),'Master Data'!$O$5:$P$10,2,FALSE),'Master Data'!$P$4)</f>
        <v>1</v>
      </c>
      <c r="S667" s="57">
        <f>VLOOKUP($I667,'Pricing Table - eff 27-Jan-2026'!$A:$Q,16,FALSE)</f>
        <v>720</v>
      </c>
      <c r="T667" s="57">
        <f>VLOOKUP(I667,'Pricing Table - eff 27-Jan-2026'!$A:$O,15,FALSE)</f>
        <v>7.73</v>
      </c>
      <c r="U667" s="57">
        <f t="shared" si="29"/>
        <v>5292</v>
      </c>
      <c r="V667" s="111">
        <f t="shared" si="30"/>
        <v>5283.4936500000013</v>
      </c>
      <c r="W667" s="55">
        <f>VLOOKUP($I667,'Pricing Table - eff 27-Jan-2026'!$A:$R,18,FALSE)</f>
        <v>90</v>
      </c>
    </row>
    <row r="668" spans="1:23" hidden="1" x14ac:dyDescent="0.3">
      <c r="A668" s="55">
        <v>53036815</v>
      </c>
      <c r="B668" s="55">
        <v>0</v>
      </c>
      <c r="C668" s="55" t="str">
        <f>VLOOKUP(A668&amp;"-"&amp;B668,'Order Summary'!$D:$E,2,FALSE)</f>
        <v>PO Received</v>
      </c>
      <c r="D668" s="216">
        <f>IF($A668="","",VLOOKUP($A668&amp;"-"&amp;$B668,'Order Summary'!$D:$U,3,FALSE))</f>
        <v>46149</v>
      </c>
      <c r="E668" s="55" t="str">
        <f>VLOOKUP(A668&amp;"-"&amp;B668,'Order Summary'!$D:$G,4,FALSE)</f>
        <v>Yes</v>
      </c>
      <c r="F668" s="55" t="str">
        <f>VLOOKUP($A668,'Order Summary'!$B:$I,8,FALSE)</f>
        <v>Minneota, MN</v>
      </c>
      <c r="G668" s="216" t="str">
        <f>IF($A668="","",VLOOKUP($A668&amp;"-"&amp;$B668,'Order Summary'!$D:$U,18,FALSE))</f>
        <v/>
      </c>
      <c r="H668" s="55">
        <v>4</v>
      </c>
      <c r="I668" s="55">
        <v>694436</v>
      </c>
      <c r="J668" s="55" t="str">
        <f>VLOOKUP($I668,'Pricing Table - eff 27-Jan-2026'!$A:$R,2,FALSE)</f>
        <v>G1S 694436</v>
      </c>
      <c r="K668" s="55" t="str">
        <f>VLOOKUP($I668,'Pricing Table - eff 27-Jan-2026'!$A:$R,6,FALSE)&amp;" "&amp;VLOOKUP($I668,'Pricing Table - eff 27-Jan-2026'!$A:$R,7,FALSE)&amp;""" x "&amp;VLOOKUP($I668,'Pricing Table - eff 27-Jan-2026'!$A:$R,9,FALSE)&amp;""" "&amp;VLOOKUP($I668,'Pricing Table - eff 27-Jan-2026'!$A:$R,5,FALSE)</f>
        <v>2MM 49" x 96" ACP</v>
      </c>
      <c r="L668" s="55">
        <f>VLOOKUP($I668,'Pricing Table - eff 27-Jan-2026'!$A:$K,8,FALSE)</f>
        <v>1245</v>
      </c>
      <c r="M668" s="55">
        <f>VLOOKUP($I668,'Pricing Table - eff 27-Jan-2026'!$A:$K,10,FALSE)</f>
        <v>2440</v>
      </c>
      <c r="N668" s="55" t="str">
        <f>VLOOKUP($I668,'Pricing Table - eff 27-Jan-2026'!$A:$R,13,FALSE)&amp;" "&amp;VLOOKUP($I668,'Pricing Table - eff 27-Jan-2026'!$A:$R,12,FALSE)</f>
        <v>ASC 0069 GLOSSY WHITE</v>
      </c>
      <c r="O668" s="56">
        <v>39.200000000000003</v>
      </c>
      <c r="P668" s="55">
        <f>(VLOOKUP($I668,'Pricing Table - eff 27-Jan-2026'!$A:$R,8,FALSE)/1000)*(VLOOKUP($I668,'Pricing Table - eff 27-Jan-2026'!$A:$R,10,FALSE)/1000)*Q668</f>
        <v>3645.36</v>
      </c>
      <c r="Q668" s="55">
        <f>ROUND(('Order Details'!$O668*1000)/((VLOOKUP($I668,'Pricing Table - eff 27-Jan-2026'!$A:$Q,7,FALSE)/12)*(VLOOKUP($I668,'Pricing Table - eff 27-Jan-2026'!$A:$Q,9,FALSE)/12))/5,0)*5</f>
        <v>1200</v>
      </c>
      <c r="R668" s="71">
        <f>$Q668/IFERROR(VLOOKUP($F668&amp;RIGHT($K668,8),'Master Data'!$O$5:$P$10,2,FALSE),'Master Data'!$P$4)</f>
        <v>6</v>
      </c>
      <c r="S668" s="57">
        <f>VLOOKUP($I668,'Pricing Table - eff 27-Jan-2026'!$A:$Q,16,FALSE)</f>
        <v>720</v>
      </c>
      <c r="T668" s="57">
        <f>VLOOKUP(I668,'Pricing Table - eff 27-Jan-2026'!$A:$O,15,FALSE)</f>
        <v>7.73</v>
      </c>
      <c r="U668" s="57">
        <f t="shared" si="29"/>
        <v>28224.000000000004</v>
      </c>
      <c r="V668" s="111">
        <f t="shared" si="30"/>
        <v>28178.632800000003</v>
      </c>
      <c r="W668" s="55">
        <f>VLOOKUP($I668,'Pricing Table - eff 27-Jan-2026'!$A:$R,18,FALSE)</f>
        <v>45</v>
      </c>
    </row>
    <row r="669" spans="1:23" hidden="1" x14ac:dyDescent="0.3">
      <c r="A669" s="55">
        <v>53036815</v>
      </c>
      <c r="B669" s="55">
        <v>0</v>
      </c>
      <c r="C669" s="55" t="str">
        <f>VLOOKUP(A669&amp;"-"&amp;B669,'Order Summary'!$D:$E,2,FALSE)</f>
        <v>PO Received</v>
      </c>
      <c r="D669" s="216">
        <f>IF($A669="","",VLOOKUP($A669&amp;"-"&amp;$B669,'Order Summary'!$D:$U,3,FALSE))</f>
        <v>46149</v>
      </c>
      <c r="E669" s="55" t="str">
        <f>VLOOKUP(A669&amp;"-"&amp;B669,'Order Summary'!$D:$G,4,FALSE)</f>
        <v>Yes</v>
      </c>
      <c r="F669" s="55" t="str">
        <f>VLOOKUP($A669,'Order Summary'!$B:$I,8,FALSE)</f>
        <v>Minneota, MN</v>
      </c>
      <c r="G669" s="216" t="str">
        <f>IF($A669="","",VLOOKUP($A669&amp;"-"&amp;$B669,'Order Summary'!$D:$U,18,FALSE))</f>
        <v/>
      </c>
      <c r="H669" s="55">
        <v>5</v>
      </c>
      <c r="I669" s="55">
        <v>694432</v>
      </c>
      <c r="J669" s="55" t="str">
        <f>VLOOKUP($I669,'Pricing Table - eff 27-Jan-2026'!$A:$R,2,FALSE)</f>
        <v>G1S 694432</v>
      </c>
      <c r="K669" s="55" t="str">
        <f>VLOOKUP($I669,'Pricing Table - eff 27-Jan-2026'!$A:$R,6,FALSE)&amp;" "&amp;VLOOKUP($I669,'Pricing Table - eff 27-Jan-2026'!$A:$R,7,FALSE)&amp;""" x "&amp;VLOOKUP($I669,'Pricing Table - eff 27-Jan-2026'!$A:$R,9,FALSE)&amp;""" "&amp;VLOOKUP($I669,'Pricing Table - eff 27-Jan-2026'!$A:$R,5,FALSE)</f>
        <v>2MM 49" x 96" ACP</v>
      </c>
      <c r="L669" s="55">
        <f>VLOOKUP($I669,'Pricing Table - eff 27-Jan-2026'!$A:$K,8,FALSE)</f>
        <v>1245</v>
      </c>
      <c r="M669" s="55">
        <f>VLOOKUP($I669,'Pricing Table - eff 27-Jan-2026'!$A:$K,10,FALSE)</f>
        <v>2440</v>
      </c>
      <c r="N669" s="55" t="str">
        <f>VLOOKUP($I669,'Pricing Table - eff 27-Jan-2026'!$A:$R,13,FALSE)&amp;" "&amp;VLOOKUP($I669,'Pricing Table - eff 27-Jan-2026'!$A:$R,12,FALSE)</f>
        <v>ASC 0096 GLOSSY BLACK</v>
      </c>
      <c r="O669" s="56">
        <v>6.5330000000000004</v>
      </c>
      <c r="P669" s="55">
        <f>(VLOOKUP($I669,'Pricing Table - eff 27-Jan-2026'!$A:$R,8,FALSE)/1000)*(VLOOKUP($I669,'Pricing Table - eff 27-Jan-2026'!$A:$R,10,FALSE)/1000)*Q669</f>
        <v>607.56000000000006</v>
      </c>
      <c r="Q669" s="55">
        <f>ROUND(('Order Details'!$O669*1000)/((VLOOKUP($I669,'Pricing Table - eff 27-Jan-2026'!$A:$Q,7,FALSE)/12)*(VLOOKUP($I669,'Pricing Table - eff 27-Jan-2026'!$A:$Q,9,FALSE)/12))/5,0)*5</f>
        <v>200</v>
      </c>
      <c r="R669" s="71">
        <f>$Q669/IFERROR(VLOOKUP($F669&amp;RIGHT($K669,8),'Master Data'!$O$5:$P$10,2,FALSE),'Master Data'!$P$4)</f>
        <v>1</v>
      </c>
      <c r="S669" s="57">
        <f>VLOOKUP($I669,'Pricing Table - eff 27-Jan-2026'!$A:$Q,16,FALSE)</f>
        <v>720</v>
      </c>
      <c r="T669" s="57">
        <f>VLOOKUP(I669,'Pricing Table - eff 27-Jan-2026'!$A:$O,15,FALSE)</f>
        <v>7.73</v>
      </c>
      <c r="U669" s="57">
        <f t="shared" si="29"/>
        <v>4703.76</v>
      </c>
      <c r="V669" s="111">
        <f t="shared" si="30"/>
        <v>4696.4388000000008</v>
      </c>
      <c r="W669" s="55">
        <f>VLOOKUP($I669,'Pricing Table - eff 27-Jan-2026'!$A:$R,18,FALSE)</f>
        <v>45</v>
      </c>
    </row>
    <row r="670" spans="1:23" hidden="1" x14ac:dyDescent="0.3">
      <c r="A670" s="55">
        <v>53036815</v>
      </c>
      <c r="B670" s="55">
        <v>0</v>
      </c>
      <c r="C670" s="55" t="str">
        <f>VLOOKUP(A670&amp;"-"&amp;B670,'Order Summary'!$D:$E,2,FALSE)</f>
        <v>PO Received</v>
      </c>
      <c r="D670" s="216">
        <f>IF($A670="","",VLOOKUP($A670&amp;"-"&amp;$B670,'Order Summary'!$D:$U,3,FALSE))</f>
        <v>46149</v>
      </c>
      <c r="E670" s="55" t="str">
        <f>VLOOKUP(A670&amp;"-"&amp;B670,'Order Summary'!$D:$G,4,FALSE)</f>
        <v>Yes</v>
      </c>
      <c r="F670" s="55" t="str">
        <f>VLOOKUP($A670,'Order Summary'!$B:$I,8,FALSE)</f>
        <v>Minneota, MN</v>
      </c>
      <c r="G670" s="216" t="str">
        <f>IF($A670="","",VLOOKUP($A670&amp;"-"&amp;$B670,'Order Summary'!$D:$U,18,FALSE))</f>
        <v/>
      </c>
      <c r="H670" s="55">
        <v>6</v>
      </c>
      <c r="I670" s="55">
        <v>694440</v>
      </c>
      <c r="J670" s="55" t="str">
        <f>VLOOKUP($I670,'Pricing Table - eff 27-Jan-2026'!$A:$R,2,FALSE)</f>
        <v>G1S 694440</v>
      </c>
      <c r="K670" s="55" t="str">
        <f>VLOOKUP($I670,'Pricing Table - eff 27-Jan-2026'!$A:$R,6,FALSE)&amp;" "&amp;VLOOKUP($I670,'Pricing Table - eff 27-Jan-2026'!$A:$R,7,FALSE)&amp;""" x "&amp;VLOOKUP($I670,'Pricing Table - eff 27-Jan-2026'!$A:$R,9,FALSE)&amp;""" "&amp;VLOOKUP($I670,'Pricing Table - eff 27-Jan-2026'!$A:$R,5,FALSE)</f>
        <v>2MM 49" x 96" ACP</v>
      </c>
      <c r="L670" s="55">
        <f>VLOOKUP($I670,'Pricing Table - eff 27-Jan-2026'!$A:$K,8,FALSE)</f>
        <v>1245</v>
      </c>
      <c r="M670" s="55">
        <f>VLOOKUP($I670,'Pricing Table - eff 27-Jan-2026'!$A:$K,10,FALSE)</f>
        <v>2440</v>
      </c>
      <c r="N670" s="55" t="str">
        <f>VLOOKUP($I670,'Pricing Table - eff 27-Jan-2026'!$A:$R,13,FALSE)&amp;" "&amp;VLOOKUP($I670,'Pricing Table - eff 27-Jan-2026'!$A:$R,12,FALSE)</f>
        <v>AMC 0103 SILVER FROST</v>
      </c>
      <c r="O670" s="56">
        <v>6.5330000000000004</v>
      </c>
      <c r="P670" s="55">
        <f>(VLOOKUP($I670,'Pricing Table - eff 27-Jan-2026'!$A:$R,8,FALSE)/1000)*(VLOOKUP($I670,'Pricing Table - eff 27-Jan-2026'!$A:$R,10,FALSE)/1000)*Q670</f>
        <v>607.56000000000006</v>
      </c>
      <c r="Q670" s="55">
        <f>ROUND(('Order Details'!$O670*1000)/((VLOOKUP($I670,'Pricing Table - eff 27-Jan-2026'!$A:$Q,7,FALSE)/12)*(VLOOKUP($I670,'Pricing Table - eff 27-Jan-2026'!$A:$Q,9,FALSE)/12))/5,0)*5</f>
        <v>200</v>
      </c>
      <c r="R670" s="71">
        <f>$Q670/IFERROR(VLOOKUP($F670&amp;RIGHT($K670,8),'Master Data'!$O$5:$P$10,2,FALSE),'Master Data'!$P$4)</f>
        <v>1</v>
      </c>
      <c r="S670" s="57">
        <f>VLOOKUP($I670,'Pricing Table - eff 27-Jan-2026'!$A:$Q,16,FALSE)</f>
        <v>720</v>
      </c>
      <c r="T670" s="57">
        <f>VLOOKUP(I670,'Pricing Table - eff 27-Jan-2026'!$A:$O,15,FALSE)</f>
        <v>7.73</v>
      </c>
      <c r="U670" s="57">
        <f t="shared" si="29"/>
        <v>4703.76</v>
      </c>
      <c r="V670" s="111">
        <f t="shared" si="30"/>
        <v>4696.4388000000008</v>
      </c>
      <c r="W670" s="55">
        <f>VLOOKUP($I670,'Pricing Table - eff 27-Jan-2026'!$A:$R,18,FALSE)</f>
        <v>90</v>
      </c>
    </row>
    <row r="671" spans="1:23" hidden="1" x14ac:dyDescent="0.3">
      <c r="A671" s="55">
        <v>24272103</v>
      </c>
      <c r="B671" s="55">
        <v>0</v>
      </c>
      <c r="C671" s="55" t="str">
        <f>VLOOKUP(A671&amp;"-"&amp;B671,'Order Summary'!$D:$E,2,FALSE)</f>
        <v>PO Received</v>
      </c>
      <c r="D671" s="216">
        <f>IF($A671="","",VLOOKUP($A671&amp;"-"&amp;$B671,'Order Summary'!$D:$U,3,FALSE))</f>
        <v>46149</v>
      </c>
      <c r="E671" s="55" t="str">
        <f>VLOOKUP(A671&amp;"-"&amp;B671,'Order Summary'!$D:$G,4,FALSE)</f>
        <v>Yes</v>
      </c>
      <c r="F671" s="55" t="str">
        <f>VLOOKUP($A671,'Order Summary'!$B:$I,8,FALSE)</f>
        <v>Granger, IN</v>
      </c>
      <c r="G671" s="216" t="str">
        <f>IF($A671="","",VLOOKUP($A671&amp;"-"&amp;$B671,'Order Summary'!$D:$U,18,FALSE))</f>
        <v/>
      </c>
      <c r="H671" s="55">
        <v>1</v>
      </c>
      <c r="I671" s="55">
        <v>709355</v>
      </c>
      <c r="J671" s="55" t="str">
        <f>VLOOKUP($I671,'Pricing Table - eff 27-Jan-2026'!$A:$R,2,FALSE)</f>
        <v>G1S 709355</v>
      </c>
      <c r="K671" s="55" t="str">
        <f>VLOOKUP($I671,'Pricing Table - eff 27-Jan-2026'!$A:$R,6,FALSE)&amp;" "&amp;VLOOKUP($I671,'Pricing Table - eff 27-Jan-2026'!$A:$R,7,FALSE)&amp;""" x "&amp;VLOOKUP($I671,'Pricing Table - eff 27-Jan-2026'!$A:$R,9,FALSE)&amp;""" "&amp;VLOOKUP($I671,'Pricing Table - eff 27-Jan-2026'!$A:$R,5,FALSE)</f>
        <v>2MM 49" x 90.5" ACP</v>
      </c>
      <c r="L671" s="55">
        <f>VLOOKUP($I671,'Pricing Table - eff 27-Jan-2026'!$A:$K,8,FALSE)</f>
        <v>1245</v>
      </c>
      <c r="M671" s="55">
        <f>VLOOKUP($I671,'Pricing Table - eff 27-Jan-2026'!$A:$K,10,FALSE)</f>
        <v>2300</v>
      </c>
      <c r="N671" s="55" t="str">
        <f>VLOOKUP($I671,'Pricing Table - eff 27-Jan-2026'!$A:$R,13,FALSE)&amp;" "&amp;VLOOKUP($I671,'Pricing Table - eff 27-Jan-2026'!$A:$R,12,FALSE)</f>
        <v>ASC 0069 GLOSSY WHITE</v>
      </c>
      <c r="O671" s="56">
        <v>30.795000000000002</v>
      </c>
      <c r="P671" s="55">
        <f>(VLOOKUP($I671,'Pricing Table - eff 27-Jan-2026'!$A:$R,8,FALSE)/1000)*(VLOOKUP($I671,'Pricing Table - eff 27-Jan-2026'!$A:$R,10,FALSE)/1000)*Q671</f>
        <v>2863.5</v>
      </c>
      <c r="Q671" s="55">
        <f>ROUND(('Order Details'!$O671*1000)/((VLOOKUP($I671,'Pricing Table - eff 27-Jan-2026'!$A:$Q,7,FALSE)/12)*(VLOOKUP($I671,'Pricing Table - eff 27-Jan-2026'!$A:$Q,9,FALSE)/12))/5,0)*5</f>
        <v>1000</v>
      </c>
      <c r="R671" s="71">
        <f>$Q671/IFERROR(VLOOKUP($F671&amp;RIGHT($K671,8),'Master Data'!$O$5:$P$10,2,FALSE),'Master Data'!$P$4)</f>
        <v>5</v>
      </c>
      <c r="S671" s="57">
        <f>VLOOKUP($I671,'Pricing Table - eff 27-Jan-2026'!$A:$Q,16,FALSE)</f>
        <v>720</v>
      </c>
      <c r="T671" s="57">
        <f>VLOOKUP(I671,'Pricing Table - eff 27-Jan-2026'!$A:$O,15,FALSE)</f>
        <v>7.73</v>
      </c>
      <c r="U671" s="57">
        <f t="shared" si="29"/>
        <v>22172.400000000001</v>
      </c>
      <c r="V671" s="111">
        <f t="shared" si="30"/>
        <v>22134.855</v>
      </c>
      <c r="W671" s="55">
        <f>VLOOKUP($I671,'Pricing Table - eff 27-Jan-2026'!$A:$R,18,FALSE)</f>
        <v>45</v>
      </c>
    </row>
    <row r="672" spans="1:23" hidden="1" x14ac:dyDescent="0.3">
      <c r="A672" s="55">
        <v>24272103</v>
      </c>
      <c r="B672" s="55">
        <v>0</v>
      </c>
      <c r="C672" s="55" t="str">
        <f>VLOOKUP(A672&amp;"-"&amp;B672,'Order Summary'!$D:$E,2,FALSE)</f>
        <v>PO Received</v>
      </c>
      <c r="D672" s="216">
        <f>IF($A672="","",VLOOKUP($A672&amp;"-"&amp;$B672,'Order Summary'!$D:$U,3,FALSE))</f>
        <v>46149</v>
      </c>
      <c r="E672" s="55" t="str">
        <f>VLOOKUP(A672&amp;"-"&amp;B672,'Order Summary'!$D:$G,4,FALSE)</f>
        <v>Yes</v>
      </c>
      <c r="F672" s="55" t="str">
        <f>VLOOKUP($A672,'Order Summary'!$B:$I,8,FALSE)</f>
        <v>Granger, IN</v>
      </c>
      <c r="G672" s="216" t="str">
        <f>IF($A672="","",VLOOKUP($A672&amp;"-"&amp;$B672,'Order Summary'!$D:$U,18,FALSE))</f>
        <v/>
      </c>
      <c r="H672" s="55">
        <v>2</v>
      </c>
      <c r="I672" s="55">
        <v>694436</v>
      </c>
      <c r="J672" s="55" t="str">
        <f>VLOOKUP($I672,'Pricing Table - eff 27-Jan-2026'!$A:$R,2,FALSE)</f>
        <v>G1S 694436</v>
      </c>
      <c r="K672" s="55" t="str">
        <f>VLOOKUP($I672,'Pricing Table - eff 27-Jan-2026'!$A:$R,6,FALSE)&amp;" "&amp;VLOOKUP($I672,'Pricing Table - eff 27-Jan-2026'!$A:$R,7,FALSE)&amp;""" x "&amp;VLOOKUP($I672,'Pricing Table - eff 27-Jan-2026'!$A:$R,9,FALSE)&amp;""" "&amp;VLOOKUP($I672,'Pricing Table - eff 27-Jan-2026'!$A:$R,5,FALSE)</f>
        <v>2MM 49" x 96" ACP</v>
      </c>
      <c r="L672" s="55">
        <f>VLOOKUP($I672,'Pricing Table - eff 27-Jan-2026'!$A:$K,8,FALSE)</f>
        <v>1245</v>
      </c>
      <c r="M672" s="55">
        <f>VLOOKUP($I672,'Pricing Table - eff 27-Jan-2026'!$A:$K,10,FALSE)</f>
        <v>2440</v>
      </c>
      <c r="N672" s="55" t="str">
        <f>VLOOKUP($I672,'Pricing Table - eff 27-Jan-2026'!$A:$R,13,FALSE)&amp;" "&amp;VLOOKUP($I672,'Pricing Table - eff 27-Jan-2026'!$A:$R,12,FALSE)</f>
        <v>ASC 0069 GLOSSY WHITE</v>
      </c>
      <c r="O672" s="56">
        <v>26.132999999999999</v>
      </c>
      <c r="P672" s="55">
        <f>(VLOOKUP($I672,'Pricing Table - eff 27-Jan-2026'!$A:$R,8,FALSE)/1000)*(VLOOKUP($I672,'Pricing Table - eff 27-Jan-2026'!$A:$R,10,FALSE)/1000)*Q672</f>
        <v>2430.2400000000002</v>
      </c>
      <c r="Q672" s="55">
        <f>ROUND(('Order Details'!$O672*1000)/((VLOOKUP($I672,'Pricing Table - eff 27-Jan-2026'!$A:$Q,7,FALSE)/12)*(VLOOKUP($I672,'Pricing Table - eff 27-Jan-2026'!$A:$Q,9,FALSE)/12))/5,0)*5</f>
        <v>800</v>
      </c>
      <c r="R672" s="71">
        <f>$Q672/IFERROR(VLOOKUP($F672&amp;RIGHT($K672,8),'Master Data'!$O$5:$P$10,2,FALSE),'Master Data'!$P$4)</f>
        <v>4</v>
      </c>
      <c r="S672" s="57">
        <f>VLOOKUP($I672,'Pricing Table - eff 27-Jan-2026'!$A:$Q,16,FALSE)</f>
        <v>720</v>
      </c>
      <c r="T672" s="57">
        <f>VLOOKUP(I672,'Pricing Table - eff 27-Jan-2026'!$A:$O,15,FALSE)</f>
        <v>7.73</v>
      </c>
      <c r="U672" s="57">
        <f t="shared" si="29"/>
        <v>18815.759999999998</v>
      </c>
      <c r="V672" s="111">
        <f t="shared" si="30"/>
        <v>18785.755200000003</v>
      </c>
      <c r="W672" s="55">
        <f>VLOOKUP($I672,'Pricing Table - eff 27-Jan-2026'!$A:$R,18,FALSE)</f>
        <v>45</v>
      </c>
    </row>
    <row r="673" spans="1:23" hidden="1" x14ac:dyDescent="0.3">
      <c r="A673" s="55">
        <v>24272103</v>
      </c>
      <c r="B673" s="55">
        <v>0</v>
      </c>
      <c r="C673" s="55" t="str">
        <f>VLOOKUP(A673&amp;"-"&amp;B673,'Order Summary'!$D:$E,2,FALSE)</f>
        <v>PO Received</v>
      </c>
      <c r="D673" s="216">
        <f>IF($A673="","",VLOOKUP($A673&amp;"-"&amp;$B673,'Order Summary'!$D:$U,3,FALSE))</f>
        <v>46149</v>
      </c>
      <c r="E673" s="55" t="str">
        <f>VLOOKUP(A673&amp;"-"&amp;B673,'Order Summary'!$D:$G,4,FALSE)</f>
        <v>Yes</v>
      </c>
      <c r="F673" s="55" t="str">
        <f>VLOOKUP($A673,'Order Summary'!$B:$I,8,FALSE)</f>
        <v>Granger, IN</v>
      </c>
      <c r="G673" s="216" t="str">
        <f>IF($A673="","",VLOOKUP($A673&amp;"-"&amp;$B673,'Order Summary'!$D:$U,18,FALSE))</f>
        <v/>
      </c>
      <c r="H673" s="55">
        <v>3</v>
      </c>
      <c r="I673" s="55">
        <v>694437</v>
      </c>
      <c r="J673" s="55" t="str">
        <f>VLOOKUP($I673,'Pricing Table - eff 27-Jan-2026'!$A:$R,2,FALSE)</f>
        <v>G1S 694437</v>
      </c>
      <c r="K673" s="55" t="str">
        <f>VLOOKUP($I673,'Pricing Table - eff 27-Jan-2026'!$A:$R,6,FALSE)&amp;" "&amp;VLOOKUP($I673,'Pricing Table - eff 27-Jan-2026'!$A:$R,7,FALSE)&amp;""" x "&amp;VLOOKUP($I673,'Pricing Table - eff 27-Jan-2026'!$A:$R,9,FALSE)&amp;""" "&amp;VLOOKUP($I673,'Pricing Table - eff 27-Jan-2026'!$A:$R,5,FALSE)</f>
        <v>2MM 49" x 108" ACP</v>
      </c>
      <c r="L673" s="55">
        <f>VLOOKUP($I673,'Pricing Table - eff 27-Jan-2026'!$A:$K,8,FALSE)</f>
        <v>1245</v>
      </c>
      <c r="M673" s="55">
        <f>VLOOKUP($I673,'Pricing Table - eff 27-Jan-2026'!$A:$K,10,FALSE)</f>
        <v>2745</v>
      </c>
      <c r="N673" s="55" t="str">
        <f>VLOOKUP($I673,'Pricing Table - eff 27-Jan-2026'!$A:$R,13,FALSE)&amp;" "&amp;VLOOKUP($I673,'Pricing Table - eff 27-Jan-2026'!$A:$R,12,FALSE)</f>
        <v>ASC 0069 GLOSSY WHITE</v>
      </c>
      <c r="O673" s="56">
        <v>29.4</v>
      </c>
      <c r="P673" s="55">
        <f>(VLOOKUP($I673,'Pricing Table - eff 27-Jan-2026'!$A:$R,8,FALSE)/1000)*(VLOOKUP($I673,'Pricing Table - eff 27-Jan-2026'!$A:$R,10,FALSE)/1000)*Q673</f>
        <v>2734.0200000000004</v>
      </c>
      <c r="Q673" s="55">
        <f>ROUND(('Order Details'!$O673*1000)/((VLOOKUP($I673,'Pricing Table - eff 27-Jan-2026'!$A:$Q,7,FALSE)/12)*(VLOOKUP($I673,'Pricing Table - eff 27-Jan-2026'!$A:$Q,9,FALSE)/12))/5,0)*5</f>
        <v>800</v>
      </c>
      <c r="R673" s="71">
        <f>$Q673/IFERROR(VLOOKUP($F673&amp;RIGHT($K673,8),'Master Data'!$O$5:$P$10,2,FALSE),'Master Data'!$P$4)</f>
        <v>4</v>
      </c>
      <c r="S673" s="57">
        <f>VLOOKUP($I673,'Pricing Table - eff 27-Jan-2026'!$A:$Q,16,FALSE)</f>
        <v>720</v>
      </c>
      <c r="T673" s="57">
        <f>VLOOKUP(I673,'Pricing Table - eff 27-Jan-2026'!$A:$O,15,FALSE)</f>
        <v>7.73</v>
      </c>
      <c r="U673" s="57">
        <f t="shared" si="29"/>
        <v>21168</v>
      </c>
      <c r="V673" s="111">
        <f t="shared" si="30"/>
        <v>21133.974600000005</v>
      </c>
      <c r="W673" s="55">
        <f>VLOOKUP($I673,'Pricing Table - eff 27-Jan-2026'!$A:$R,18,FALSE)</f>
        <v>45</v>
      </c>
    </row>
    <row r="674" spans="1:23" hidden="1" x14ac:dyDescent="0.3">
      <c r="A674" s="55">
        <v>24272114</v>
      </c>
      <c r="B674" s="55">
        <v>0</v>
      </c>
      <c r="C674" s="55" t="str">
        <f>VLOOKUP(A674&amp;"-"&amp;B674,'Order Summary'!$D:$E,2,FALSE)</f>
        <v>PO Received</v>
      </c>
      <c r="D674" s="216">
        <f>IF($A674="","",VLOOKUP($A674&amp;"-"&amp;$B674,'Order Summary'!$D:$U,3,FALSE))</f>
        <v>46149</v>
      </c>
      <c r="E674" s="55" t="str">
        <f>VLOOKUP(A674&amp;"-"&amp;B674,'Order Summary'!$D:$G,4,FALSE)</f>
        <v>Yes</v>
      </c>
      <c r="F674" s="55" t="str">
        <f>VLOOKUP($A674,'Order Summary'!$B:$I,8,FALSE)</f>
        <v>Granger, IN</v>
      </c>
      <c r="G674" s="216" t="str">
        <f>IF($A674="","",VLOOKUP($A674&amp;"-"&amp;$B674,'Order Summary'!$D:$U,18,FALSE))</f>
        <v/>
      </c>
      <c r="H674" s="55">
        <v>1</v>
      </c>
      <c r="I674" s="55">
        <v>709355</v>
      </c>
      <c r="J674" s="55" t="str">
        <f>VLOOKUP($I674,'Pricing Table - eff 27-Jan-2026'!$A:$R,2,FALSE)</f>
        <v>G1S 709355</v>
      </c>
      <c r="K674" s="55" t="str">
        <f>VLOOKUP($I674,'Pricing Table - eff 27-Jan-2026'!$A:$R,6,FALSE)&amp;" "&amp;VLOOKUP($I674,'Pricing Table - eff 27-Jan-2026'!$A:$R,7,FALSE)&amp;""" x "&amp;VLOOKUP($I674,'Pricing Table - eff 27-Jan-2026'!$A:$R,9,FALSE)&amp;""" "&amp;VLOOKUP($I674,'Pricing Table - eff 27-Jan-2026'!$A:$R,5,FALSE)</f>
        <v>2MM 49" x 90.5" ACP</v>
      </c>
      <c r="L674" s="55">
        <f>VLOOKUP($I674,'Pricing Table - eff 27-Jan-2026'!$A:$K,8,FALSE)</f>
        <v>1245</v>
      </c>
      <c r="M674" s="55">
        <f>VLOOKUP($I674,'Pricing Table - eff 27-Jan-2026'!$A:$K,10,FALSE)</f>
        <v>2300</v>
      </c>
      <c r="N674" s="55" t="str">
        <f>VLOOKUP($I674,'Pricing Table - eff 27-Jan-2026'!$A:$R,13,FALSE)&amp;" "&amp;VLOOKUP($I674,'Pricing Table - eff 27-Jan-2026'!$A:$R,12,FALSE)</f>
        <v>ASC 0069 GLOSSY WHITE</v>
      </c>
      <c r="O674" s="56">
        <v>24.635999999999999</v>
      </c>
      <c r="P674" s="55">
        <f>(VLOOKUP($I674,'Pricing Table - eff 27-Jan-2026'!$A:$R,8,FALSE)/1000)*(VLOOKUP($I674,'Pricing Table - eff 27-Jan-2026'!$A:$R,10,FALSE)/1000)*Q674</f>
        <v>2290.8000000000002</v>
      </c>
      <c r="Q674" s="55">
        <f>ROUND(('Order Details'!$O674*1000)/((VLOOKUP($I674,'Pricing Table - eff 27-Jan-2026'!$A:$Q,7,FALSE)/12)*(VLOOKUP($I674,'Pricing Table - eff 27-Jan-2026'!$A:$Q,9,FALSE)/12))/5,0)*5</f>
        <v>800</v>
      </c>
      <c r="R674" s="71">
        <f>$Q674/IFERROR(VLOOKUP($F674&amp;RIGHT($K674,8),'Master Data'!$O$5:$P$10,2,FALSE),'Master Data'!$P$4)</f>
        <v>4</v>
      </c>
      <c r="S674" s="57">
        <f>VLOOKUP($I674,'Pricing Table - eff 27-Jan-2026'!$A:$Q,16,FALSE)</f>
        <v>720</v>
      </c>
      <c r="T674" s="57">
        <f>VLOOKUP(I674,'Pricing Table - eff 27-Jan-2026'!$A:$O,15,FALSE)</f>
        <v>7.73</v>
      </c>
      <c r="U674" s="57">
        <f t="shared" si="29"/>
        <v>17737.919999999998</v>
      </c>
      <c r="V674" s="111">
        <f t="shared" si="30"/>
        <v>17707.884000000002</v>
      </c>
      <c r="W674" s="55">
        <f>VLOOKUP($I674,'Pricing Table - eff 27-Jan-2026'!$A:$R,18,FALSE)</f>
        <v>45</v>
      </c>
    </row>
    <row r="675" spans="1:23" hidden="1" x14ac:dyDescent="0.3">
      <c r="A675" s="55">
        <v>24272114</v>
      </c>
      <c r="B675" s="55">
        <v>0</v>
      </c>
      <c r="C675" s="55" t="str">
        <f>VLOOKUP(A675&amp;"-"&amp;B675,'Order Summary'!$D:$E,2,FALSE)</f>
        <v>PO Received</v>
      </c>
      <c r="D675" s="216">
        <f>IF($A675="","",VLOOKUP($A675&amp;"-"&amp;$B675,'Order Summary'!$D:$U,3,FALSE))</f>
        <v>46149</v>
      </c>
      <c r="E675" s="55" t="str">
        <f>VLOOKUP(A675&amp;"-"&amp;B675,'Order Summary'!$D:$G,4,FALSE)</f>
        <v>Yes</v>
      </c>
      <c r="F675" s="55" t="str">
        <f>VLOOKUP($A675,'Order Summary'!$B:$I,8,FALSE)</f>
        <v>Granger, IN</v>
      </c>
      <c r="G675" s="216" t="str">
        <f>IF($A675="","",VLOOKUP($A675&amp;"-"&amp;$B675,'Order Summary'!$D:$U,18,FALSE))</f>
        <v/>
      </c>
      <c r="H675" s="55">
        <v>2</v>
      </c>
      <c r="I675" s="55">
        <v>694436</v>
      </c>
      <c r="J675" s="55" t="str">
        <f>VLOOKUP($I675,'Pricing Table - eff 27-Jan-2026'!$A:$R,2,FALSE)</f>
        <v>G1S 694436</v>
      </c>
      <c r="K675" s="55" t="str">
        <f>VLOOKUP($I675,'Pricing Table - eff 27-Jan-2026'!$A:$R,6,FALSE)&amp;" "&amp;VLOOKUP($I675,'Pricing Table - eff 27-Jan-2026'!$A:$R,7,FALSE)&amp;""" x "&amp;VLOOKUP($I675,'Pricing Table - eff 27-Jan-2026'!$A:$R,9,FALSE)&amp;""" "&amp;VLOOKUP($I675,'Pricing Table - eff 27-Jan-2026'!$A:$R,5,FALSE)</f>
        <v>2MM 49" x 96" ACP</v>
      </c>
      <c r="L675" s="55">
        <f>VLOOKUP($I675,'Pricing Table - eff 27-Jan-2026'!$A:$K,8,FALSE)</f>
        <v>1245</v>
      </c>
      <c r="M675" s="55">
        <f>VLOOKUP($I675,'Pricing Table - eff 27-Jan-2026'!$A:$K,10,FALSE)</f>
        <v>2440</v>
      </c>
      <c r="N675" s="55" t="str">
        <f>VLOOKUP($I675,'Pricing Table - eff 27-Jan-2026'!$A:$R,13,FALSE)&amp;" "&amp;VLOOKUP($I675,'Pricing Table - eff 27-Jan-2026'!$A:$R,12,FALSE)</f>
        <v>ASC 0069 GLOSSY WHITE</v>
      </c>
      <c r="O675" s="56">
        <v>26.132999999999999</v>
      </c>
      <c r="P675" s="55">
        <f>(VLOOKUP($I675,'Pricing Table - eff 27-Jan-2026'!$A:$R,8,FALSE)/1000)*(VLOOKUP($I675,'Pricing Table - eff 27-Jan-2026'!$A:$R,10,FALSE)/1000)*Q675</f>
        <v>2430.2400000000002</v>
      </c>
      <c r="Q675" s="55">
        <f>ROUND(('Order Details'!$O675*1000)/((VLOOKUP($I675,'Pricing Table - eff 27-Jan-2026'!$A:$Q,7,FALSE)/12)*(VLOOKUP($I675,'Pricing Table - eff 27-Jan-2026'!$A:$Q,9,FALSE)/12))/5,0)*5</f>
        <v>800</v>
      </c>
      <c r="R675" s="71">
        <f>$Q675/IFERROR(VLOOKUP($F675&amp;RIGHT($K675,8),'Master Data'!$O$5:$P$10,2,FALSE),'Master Data'!$P$4)</f>
        <v>4</v>
      </c>
      <c r="S675" s="57">
        <f>VLOOKUP($I675,'Pricing Table - eff 27-Jan-2026'!$A:$Q,16,FALSE)</f>
        <v>720</v>
      </c>
      <c r="T675" s="57">
        <f>VLOOKUP(I675,'Pricing Table - eff 27-Jan-2026'!$A:$O,15,FALSE)</f>
        <v>7.73</v>
      </c>
      <c r="U675" s="57">
        <f t="shared" si="29"/>
        <v>18815.759999999998</v>
      </c>
      <c r="V675" s="111">
        <f t="shared" si="30"/>
        <v>18785.755200000003</v>
      </c>
      <c r="W675" s="55">
        <f>VLOOKUP($I675,'Pricing Table - eff 27-Jan-2026'!$A:$R,18,FALSE)</f>
        <v>45</v>
      </c>
    </row>
    <row r="676" spans="1:23" hidden="1" x14ac:dyDescent="0.3">
      <c r="A676" s="55">
        <v>24272114</v>
      </c>
      <c r="B676" s="55">
        <v>0</v>
      </c>
      <c r="C676" s="55" t="str">
        <f>VLOOKUP(A676&amp;"-"&amp;B676,'Order Summary'!$D:$E,2,FALSE)</f>
        <v>PO Received</v>
      </c>
      <c r="D676" s="216">
        <f>IF($A676="","",VLOOKUP($A676&amp;"-"&amp;$B676,'Order Summary'!$D:$U,3,FALSE))</f>
        <v>46149</v>
      </c>
      <c r="E676" s="55" t="str">
        <f>VLOOKUP(A676&amp;"-"&amp;B676,'Order Summary'!$D:$G,4,FALSE)</f>
        <v>Yes</v>
      </c>
      <c r="F676" s="55" t="str">
        <f>VLOOKUP($A676,'Order Summary'!$B:$I,8,FALSE)</f>
        <v>Granger, IN</v>
      </c>
      <c r="G676" s="216" t="str">
        <f>IF($A676="","",VLOOKUP($A676&amp;"-"&amp;$B676,'Order Summary'!$D:$U,18,FALSE))</f>
        <v/>
      </c>
      <c r="H676" s="55">
        <v>3</v>
      </c>
      <c r="I676" s="55">
        <v>694437</v>
      </c>
      <c r="J676" s="55" t="str">
        <f>VLOOKUP($I676,'Pricing Table - eff 27-Jan-2026'!$A:$R,2,FALSE)</f>
        <v>G1S 694437</v>
      </c>
      <c r="K676" s="55" t="str">
        <f>VLOOKUP($I676,'Pricing Table - eff 27-Jan-2026'!$A:$R,6,FALSE)&amp;" "&amp;VLOOKUP($I676,'Pricing Table - eff 27-Jan-2026'!$A:$R,7,FALSE)&amp;""" x "&amp;VLOOKUP($I676,'Pricing Table - eff 27-Jan-2026'!$A:$R,9,FALSE)&amp;""" "&amp;VLOOKUP($I676,'Pricing Table - eff 27-Jan-2026'!$A:$R,5,FALSE)</f>
        <v>2MM 49" x 108" ACP</v>
      </c>
      <c r="L676" s="55">
        <f>VLOOKUP($I676,'Pricing Table - eff 27-Jan-2026'!$A:$K,8,FALSE)</f>
        <v>1245</v>
      </c>
      <c r="M676" s="55">
        <f>VLOOKUP($I676,'Pricing Table - eff 27-Jan-2026'!$A:$K,10,FALSE)</f>
        <v>2745</v>
      </c>
      <c r="N676" s="55" t="str">
        <f>VLOOKUP($I676,'Pricing Table - eff 27-Jan-2026'!$A:$R,13,FALSE)&amp;" "&amp;VLOOKUP($I676,'Pricing Table - eff 27-Jan-2026'!$A:$R,12,FALSE)</f>
        <v>ASC 0069 GLOSSY WHITE</v>
      </c>
      <c r="O676" s="56">
        <v>14.7</v>
      </c>
      <c r="P676" s="55">
        <f>(VLOOKUP($I676,'Pricing Table - eff 27-Jan-2026'!$A:$R,8,FALSE)/1000)*(VLOOKUP($I676,'Pricing Table - eff 27-Jan-2026'!$A:$R,10,FALSE)/1000)*Q676</f>
        <v>1367.0100000000002</v>
      </c>
      <c r="Q676" s="55">
        <f>ROUND(('Order Details'!$O676*1000)/((VLOOKUP($I676,'Pricing Table - eff 27-Jan-2026'!$A:$Q,7,FALSE)/12)*(VLOOKUP($I676,'Pricing Table - eff 27-Jan-2026'!$A:$Q,9,FALSE)/12))/5,0)*5</f>
        <v>400</v>
      </c>
      <c r="R676" s="71">
        <f>$Q676/IFERROR(VLOOKUP($F676&amp;RIGHT($K676,8),'Master Data'!$O$5:$P$10,2,FALSE),'Master Data'!$P$4)</f>
        <v>2</v>
      </c>
      <c r="S676" s="57">
        <f>VLOOKUP($I676,'Pricing Table - eff 27-Jan-2026'!$A:$Q,16,FALSE)</f>
        <v>720</v>
      </c>
      <c r="T676" s="57">
        <f>VLOOKUP(I676,'Pricing Table - eff 27-Jan-2026'!$A:$O,15,FALSE)</f>
        <v>7.73</v>
      </c>
      <c r="U676" s="57">
        <f t="shared" si="29"/>
        <v>10584</v>
      </c>
      <c r="V676" s="111">
        <f t="shared" si="30"/>
        <v>10566.987300000003</v>
      </c>
      <c r="W676" s="55">
        <f>VLOOKUP($I676,'Pricing Table - eff 27-Jan-2026'!$A:$R,18,FALSE)</f>
        <v>45</v>
      </c>
    </row>
    <row r="677" spans="1:23" hidden="1" x14ac:dyDescent="0.3">
      <c r="A677" s="55">
        <v>24272114</v>
      </c>
      <c r="B677" s="55">
        <v>0</v>
      </c>
      <c r="C677" s="55" t="str">
        <f>VLOOKUP(A677&amp;"-"&amp;B677,'Order Summary'!$D:$E,2,FALSE)</f>
        <v>PO Received</v>
      </c>
      <c r="D677" s="216">
        <f>IF($A677="","",VLOOKUP($A677&amp;"-"&amp;$B677,'Order Summary'!$D:$U,3,FALSE))</f>
        <v>46149</v>
      </c>
      <c r="E677" s="55" t="str">
        <f>VLOOKUP(A677&amp;"-"&amp;B677,'Order Summary'!$D:$G,4,FALSE)</f>
        <v>Yes</v>
      </c>
      <c r="F677" s="55" t="str">
        <f>VLOOKUP($A677,'Order Summary'!$B:$I,8,FALSE)</f>
        <v>Granger, IN</v>
      </c>
      <c r="G677" s="216" t="str">
        <f>IF($A677="","",VLOOKUP($A677&amp;"-"&amp;$B677,'Order Summary'!$D:$U,18,FALSE))</f>
        <v/>
      </c>
      <c r="H677" s="55">
        <v>4</v>
      </c>
      <c r="I677" s="55">
        <v>694438</v>
      </c>
      <c r="J677" s="55" t="str">
        <f>VLOOKUP($I677,'Pricing Table - eff 27-Jan-2026'!$A:$R,2,FALSE)</f>
        <v>G1S 694438</v>
      </c>
      <c r="K677" s="55" t="str">
        <f>VLOOKUP($I677,'Pricing Table - eff 27-Jan-2026'!$A:$R,6,FALSE)&amp;" "&amp;VLOOKUP($I677,'Pricing Table - eff 27-Jan-2026'!$A:$R,7,FALSE)&amp;""" x "&amp;VLOOKUP($I677,'Pricing Table - eff 27-Jan-2026'!$A:$R,9,FALSE)&amp;""" "&amp;VLOOKUP($I677,'Pricing Table - eff 27-Jan-2026'!$A:$R,5,FALSE)</f>
        <v>2MM 49" x 144" ACP</v>
      </c>
      <c r="L677" s="55">
        <f>VLOOKUP($I677,'Pricing Table - eff 27-Jan-2026'!$A:$K,8,FALSE)</f>
        <v>1245</v>
      </c>
      <c r="M677" s="55">
        <f>VLOOKUP($I677,'Pricing Table - eff 27-Jan-2026'!$A:$K,10,FALSE)</f>
        <v>3658</v>
      </c>
      <c r="N677" s="55" t="str">
        <f>VLOOKUP($I677,'Pricing Table - eff 27-Jan-2026'!$A:$R,13,FALSE)&amp;" "&amp;VLOOKUP($I677,'Pricing Table - eff 27-Jan-2026'!$A:$R,12,FALSE)</f>
        <v>ASC 0069 GLOSSY WHITE</v>
      </c>
      <c r="O677" s="56">
        <v>19.600000000000001</v>
      </c>
      <c r="P677" s="55">
        <f>(VLOOKUP($I677,'Pricing Table - eff 27-Jan-2026'!$A:$R,8,FALSE)/1000)*(VLOOKUP($I677,'Pricing Table - eff 27-Jan-2026'!$A:$R,10,FALSE)/1000)*Q677</f>
        <v>1821.6840000000002</v>
      </c>
      <c r="Q677" s="55">
        <f>ROUND(('Order Details'!$O677*1000)/((VLOOKUP($I677,'Pricing Table - eff 27-Jan-2026'!$A:$Q,7,FALSE)/12)*(VLOOKUP($I677,'Pricing Table - eff 27-Jan-2026'!$A:$Q,9,FALSE)/12))/5,0)*5</f>
        <v>400</v>
      </c>
      <c r="R677" s="71">
        <f>$Q677/IFERROR(VLOOKUP($F677&amp;RIGHT($K677,8),'Master Data'!$O$5:$P$10,2,FALSE),'Master Data'!$P$4)</f>
        <v>2</v>
      </c>
      <c r="S677" s="57">
        <f>VLOOKUP($I677,'Pricing Table - eff 27-Jan-2026'!$A:$Q,16,FALSE)</f>
        <v>720</v>
      </c>
      <c r="T677" s="57">
        <f>VLOOKUP(I677,'Pricing Table - eff 27-Jan-2026'!$A:$O,15,FALSE)</f>
        <v>7.73</v>
      </c>
      <c r="U677" s="57">
        <f t="shared" si="29"/>
        <v>14112.000000000002</v>
      </c>
      <c r="V677" s="111">
        <f t="shared" si="30"/>
        <v>14081.617320000003</v>
      </c>
      <c r="W677" s="55">
        <f>VLOOKUP($I677,'Pricing Table - eff 27-Jan-2026'!$A:$R,18,FALSE)</f>
        <v>45</v>
      </c>
    </row>
    <row r="678" spans="1:23" hidden="1" x14ac:dyDescent="0.3">
      <c r="A678" s="55"/>
      <c r="B678" s="55"/>
      <c r="C678" s="55">
        <f>VLOOKUP(A678&amp;"-"&amp;B678,'Order Summary'!$D:$E,2,FALSE)</f>
        <v>0</v>
      </c>
      <c r="D678" s="216" t="str">
        <f>IF($A678="","",VLOOKUP($A678&amp;"-"&amp;$B678,'Order Summary'!$D:$U,3,FALSE))</f>
        <v/>
      </c>
      <c r="E678" s="55" t="str">
        <f>VLOOKUP(A678&amp;"-"&amp;B678,'Order Summary'!$D:$G,4,FALSE)</f>
        <v>Yes</v>
      </c>
      <c r="F678" s="55" t="e">
        <f>VLOOKUP($A678,'Order Summary'!$B:$I,8,FALSE)</f>
        <v>#N/A</v>
      </c>
      <c r="G678" s="216" t="str">
        <f>IF($A678="","",VLOOKUP($A678&amp;"-"&amp;$B678,'Order Summary'!$D:$U,18,FALSE))</f>
        <v/>
      </c>
      <c r="H678" s="55"/>
      <c r="I678" s="55"/>
      <c r="J678" s="55" t="e">
        <f>VLOOKUP($I678,'Pricing Table - eff 27-Jan-2026'!$A:$R,2,FALSE)</f>
        <v>#N/A</v>
      </c>
      <c r="K678" s="55" t="e">
        <f>VLOOKUP($I678,'Pricing Table - eff 27-Jan-2026'!$A:$R,6,FALSE)&amp;" "&amp;VLOOKUP($I678,'Pricing Table - eff 27-Jan-2026'!$A:$R,7,FALSE)&amp;""" x "&amp;VLOOKUP($I678,'Pricing Table - eff 27-Jan-2026'!$A:$R,9,FALSE)&amp;""" "&amp;VLOOKUP($I678,'Pricing Table - eff 27-Jan-2026'!$A:$R,5,FALSE)</f>
        <v>#N/A</v>
      </c>
      <c r="L678" s="55" t="e">
        <f>VLOOKUP($I678,'Pricing Table - eff 27-Jan-2026'!$A:$K,8,FALSE)</f>
        <v>#N/A</v>
      </c>
      <c r="M678" s="55" t="e">
        <f>VLOOKUP($I678,'Pricing Table - eff 27-Jan-2026'!$A:$K,10,FALSE)</f>
        <v>#N/A</v>
      </c>
      <c r="N678" s="55" t="e">
        <f>VLOOKUP($I678,'Pricing Table - eff 27-Jan-2026'!$A:$R,13,FALSE)&amp;" "&amp;VLOOKUP($I678,'Pricing Table - eff 27-Jan-2026'!$A:$R,12,FALSE)</f>
        <v>#N/A</v>
      </c>
      <c r="O678" s="56"/>
      <c r="P678" s="55" t="e">
        <f>(VLOOKUP($I678,'Pricing Table - eff 27-Jan-2026'!$A:$R,8,FALSE)/1000)*(VLOOKUP($I678,'Pricing Table - eff 27-Jan-2026'!$A:$R,10,FALSE)/1000)*Q678</f>
        <v>#N/A</v>
      </c>
      <c r="Q678" s="55" t="e">
        <f>ROUND(('Order Details'!$O678*1000)/((VLOOKUP($I678,'Pricing Table - eff 27-Jan-2026'!$A:$Q,7,FALSE)/12)*(VLOOKUP($I678,'Pricing Table - eff 27-Jan-2026'!$A:$Q,9,FALSE)/12))/5,0)*5</f>
        <v>#N/A</v>
      </c>
      <c r="R678" s="71" t="e">
        <f>$Q678/IFERROR(VLOOKUP($F678&amp;RIGHT($K678,8),'Master Data'!$O$5:$P$10,2,FALSE),'Master Data'!$P$4)</f>
        <v>#N/A</v>
      </c>
      <c r="S678" s="57" t="e">
        <f>VLOOKUP($I678,'Pricing Table - eff 27-Jan-2026'!$A:$Q,16,FALSE)</f>
        <v>#N/A</v>
      </c>
      <c r="T678" s="57" t="e">
        <f>VLOOKUP(I678,'Pricing Table - eff 27-Jan-2026'!$A:$O,15,FALSE)</f>
        <v>#N/A</v>
      </c>
      <c r="U678" s="57" t="e">
        <f t="shared" si="29"/>
        <v>#N/A</v>
      </c>
      <c r="V678" s="111" t="e">
        <f t="shared" si="30"/>
        <v>#N/A</v>
      </c>
      <c r="W678" s="55" t="e">
        <f>VLOOKUP($I678,'Pricing Table - eff 27-Jan-2026'!$A:$R,18,FALSE)</f>
        <v>#N/A</v>
      </c>
    </row>
    <row r="679" spans="1:23" hidden="1" x14ac:dyDescent="0.3">
      <c r="A679" s="55"/>
      <c r="B679" s="55"/>
      <c r="C679" s="55">
        <f>VLOOKUP(A679&amp;"-"&amp;B679,'Order Summary'!$D:$E,2,FALSE)</f>
        <v>0</v>
      </c>
      <c r="D679" s="216" t="str">
        <f>IF($A679="","",VLOOKUP($A679&amp;"-"&amp;$B679,'Order Summary'!$D:$U,3,FALSE))</f>
        <v/>
      </c>
      <c r="E679" s="55" t="str">
        <f>VLOOKUP(A679&amp;"-"&amp;B679,'Order Summary'!$D:$G,4,FALSE)</f>
        <v>Yes</v>
      </c>
      <c r="F679" s="55" t="e">
        <f>VLOOKUP($A679,'Order Summary'!$B:$I,8,FALSE)</f>
        <v>#N/A</v>
      </c>
      <c r="G679" s="216" t="str">
        <f>IF($A679="","",VLOOKUP($A679&amp;"-"&amp;$B679,'Order Summary'!$D:$U,18,FALSE))</f>
        <v/>
      </c>
      <c r="H679" s="55"/>
      <c r="I679" s="55"/>
      <c r="J679" s="55" t="e">
        <f>VLOOKUP($I679,'Pricing Table - eff 27-Jan-2026'!$A:$R,2,FALSE)</f>
        <v>#N/A</v>
      </c>
      <c r="K679" s="55" t="e">
        <f>VLOOKUP($I679,'Pricing Table - eff 27-Jan-2026'!$A:$R,6,FALSE)&amp;" "&amp;VLOOKUP($I679,'Pricing Table - eff 27-Jan-2026'!$A:$R,7,FALSE)&amp;""" x "&amp;VLOOKUP($I679,'Pricing Table - eff 27-Jan-2026'!$A:$R,9,FALSE)&amp;""" "&amp;VLOOKUP($I679,'Pricing Table - eff 27-Jan-2026'!$A:$R,5,FALSE)</f>
        <v>#N/A</v>
      </c>
      <c r="L679" s="55" t="e">
        <f>VLOOKUP($I679,'Pricing Table - eff 27-Jan-2026'!$A:$K,8,FALSE)</f>
        <v>#N/A</v>
      </c>
      <c r="M679" s="55" t="e">
        <f>VLOOKUP($I679,'Pricing Table - eff 27-Jan-2026'!$A:$K,10,FALSE)</f>
        <v>#N/A</v>
      </c>
      <c r="N679" s="55" t="e">
        <f>VLOOKUP($I679,'Pricing Table - eff 27-Jan-2026'!$A:$R,13,FALSE)&amp;" "&amp;VLOOKUP($I679,'Pricing Table - eff 27-Jan-2026'!$A:$R,12,FALSE)</f>
        <v>#N/A</v>
      </c>
      <c r="O679" s="56"/>
      <c r="P679" s="55" t="e">
        <f>(VLOOKUP($I679,'Pricing Table - eff 27-Jan-2026'!$A:$R,8,FALSE)/1000)*(VLOOKUP($I679,'Pricing Table - eff 27-Jan-2026'!$A:$R,10,FALSE)/1000)*Q679</f>
        <v>#N/A</v>
      </c>
      <c r="Q679" s="55" t="e">
        <f>ROUND(('Order Details'!$O679*1000)/((VLOOKUP($I679,'Pricing Table - eff 27-Jan-2026'!$A:$Q,7,FALSE)/12)*(VLOOKUP($I679,'Pricing Table - eff 27-Jan-2026'!$A:$Q,9,FALSE)/12))/5,0)*5</f>
        <v>#N/A</v>
      </c>
      <c r="R679" s="71" t="e">
        <f>$Q679/IFERROR(VLOOKUP($F679&amp;RIGHT($K679,8),'Master Data'!$O$5:$P$10,2,FALSE),'Master Data'!$P$4)</f>
        <v>#N/A</v>
      </c>
      <c r="S679" s="57" t="e">
        <f>VLOOKUP($I679,'Pricing Table - eff 27-Jan-2026'!$A:$Q,16,FALSE)</f>
        <v>#N/A</v>
      </c>
      <c r="T679" s="57" t="e">
        <f>VLOOKUP(I679,'Pricing Table - eff 27-Jan-2026'!$A:$O,15,FALSE)</f>
        <v>#N/A</v>
      </c>
      <c r="U679" s="57" t="e">
        <f t="shared" ref="U679:U742" si="31">O679*S679</f>
        <v>#N/A</v>
      </c>
      <c r="V679" s="111" t="e">
        <f t="shared" si="30"/>
        <v>#N/A</v>
      </c>
      <c r="W679" s="55" t="e">
        <f>VLOOKUP($I679,'Pricing Table - eff 27-Jan-2026'!$A:$R,18,FALSE)</f>
        <v>#N/A</v>
      </c>
    </row>
    <row r="680" spans="1:23" hidden="1" x14ac:dyDescent="0.3">
      <c r="A680" s="55">
        <v>24190757</v>
      </c>
      <c r="B680" s="55">
        <v>1</v>
      </c>
      <c r="C680" s="55" t="str">
        <f>VLOOKUP(A680&amp;"-"&amp;B680,'Order Summary'!$D:$E,2,FALSE)</f>
        <v>Downpayment Received</v>
      </c>
      <c r="D680" s="216">
        <f>IF($A680="","",VLOOKUP($A680&amp;"-"&amp;$B680,'Order Summary'!$D:$U,3,FALSE))</f>
        <v>46063</v>
      </c>
      <c r="E680" s="55" t="str">
        <f>VLOOKUP(A680&amp;"-"&amp;B680,'Order Summary'!$D:$G,4,FALSE)</f>
        <v>Yes</v>
      </c>
      <c r="F680" s="55" t="str">
        <f>VLOOKUP($A680,'Order Summary'!$B:$I,8,FALSE)</f>
        <v>Ashburn, GA</v>
      </c>
      <c r="G680" s="216">
        <f>IF($A680="","",VLOOKUP($A680&amp;"-"&amp;$B680,'Order Summary'!$D:$U,18,FALSE))</f>
        <v>46271</v>
      </c>
      <c r="H680" s="55">
        <v>1</v>
      </c>
      <c r="I680" s="55">
        <v>709354</v>
      </c>
      <c r="J680" s="55" t="str">
        <f>VLOOKUP($I680,'Pricing Table - eff 27-Jan-2026'!$A:$R,2,FALSE)</f>
        <v>G1S 709354</v>
      </c>
      <c r="K680" s="55" t="str">
        <f>VLOOKUP($I680,'Pricing Table - eff 27-Jan-2026'!$A:$R,6,FALSE)&amp;" "&amp;VLOOKUP($I680,'Pricing Table - eff 27-Jan-2026'!$A:$R,7,FALSE)&amp;""" x "&amp;VLOOKUP($I680,'Pricing Table - eff 27-Jan-2026'!$A:$R,9,FALSE)&amp;""" "&amp;VLOOKUP($I680,'Pricing Table - eff 27-Jan-2026'!$A:$R,5,FALSE)</f>
        <v>2MM 49" x 90.5" ACP</v>
      </c>
      <c r="L680" s="55">
        <f>VLOOKUP($I680,'Pricing Table - eff 27-Jan-2026'!$A:$K,8,FALSE)</f>
        <v>1245</v>
      </c>
      <c r="M680" s="55">
        <f>VLOOKUP($I680,'Pricing Table - eff 27-Jan-2026'!$A:$K,10,FALSE)</f>
        <v>2300</v>
      </c>
      <c r="N680" s="55" t="str">
        <f>VLOOKUP($I680,'Pricing Table - eff 27-Jan-2026'!$A:$R,13,FALSE)&amp;" "&amp;VLOOKUP($I680,'Pricing Table - eff 27-Jan-2026'!$A:$R,12,FALSE)</f>
        <v>ASC 0096 GLOSSY BLACK</v>
      </c>
      <c r="O680">
        <v>30.795000000000002</v>
      </c>
      <c r="P680" s="55">
        <f>(VLOOKUP($I680,'Pricing Table - eff 27-Jan-2026'!$A:$R,8,FALSE)/1000)*(VLOOKUP($I680,'Pricing Table - eff 27-Jan-2026'!$A:$R,10,FALSE)/1000)*Q680</f>
        <v>2863.5</v>
      </c>
      <c r="Q680" s="55">
        <f>ROUND(('Order Details'!$O680*1000)/((VLOOKUP($I680,'Pricing Table - eff 27-Jan-2026'!$A:$Q,7,FALSE)/12)*(VLOOKUP($I680,'Pricing Table - eff 27-Jan-2026'!$A:$Q,9,FALSE)/12))/5,0)*5</f>
        <v>1000</v>
      </c>
      <c r="R680" s="71">
        <f>$Q680/IFERROR(VLOOKUP($F680&amp;RIGHT($K680,8),'Master Data'!$O$5:$P$10,2,FALSE),'Master Data'!$P$4)</f>
        <v>5</v>
      </c>
      <c r="S680" s="57">
        <f>VLOOKUP($I680,'Pricing Table - eff 27-Jan-2026'!$A:$Q,16,FALSE)</f>
        <v>720</v>
      </c>
      <c r="T680" s="57">
        <f>VLOOKUP(I680,'Pricing Table - eff 27-Jan-2026'!$A:$O,15,FALSE)</f>
        <v>7.73</v>
      </c>
      <c r="U680" s="57">
        <f t="shared" si="31"/>
        <v>22172.400000000001</v>
      </c>
      <c r="V680" s="111">
        <f t="shared" si="30"/>
        <v>22134.855</v>
      </c>
      <c r="W680" s="55">
        <f>VLOOKUP($I680,'Pricing Table - eff 27-Jan-2026'!$A:$R,18,FALSE)</f>
        <v>45</v>
      </c>
    </row>
    <row r="681" spans="1:23" hidden="1" x14ac:dyDescent="0.3">
      <c r="A681" s="55">
        <v>24190757</v>
      </c>
      <c r="B681" s="55">
        <v>1</v>
      </c>
      <c r="C681" s="55" t="str">
        <f>VLOOKUP(A681&amp;"-"&amp;B681,'Order Summary'!$D:$E,2,FALSE)</f>
        <v>Downpayment Received</v>
      </c>
      <c r="D681" s="216">
        <f>IF($A681="","",VLOOKUP($A681&amp;"-"&amp;$B681,'Order Summary'!$D:$U,3,FALSE))</f>
        <v>46063</v>
      </c>
      <c r="E681" s="55" t="str">
        <f>VLOOKUP(A681&amp;"-"&amp;B681,'Order Summary'!$D:$G,4,FALSE)</f>
        <v>Yes</v>
      </c>
      <c r="F681" s="55" t="str">
        <f>VLOOKUP($A681,'Order Summary'!$B:$I,8,FALSE)</f>
        <v>Ashburn, GA</v>
      </c>
      <c r="G681" s="216">
        <f>IF($A681="","",VLOOKUP($A681&amp;"-"&amp;$B681,'Order Summary'!$D:$U,18,FALSE))</f>
        <v>46271</v>
      </c>
      <c r="H681" s="55">
        <v>2</v>
      </c>
      <c r="I681" s="55">
        <v>694432</v>
      </c>
      <c r="J681" s="55" t="str">
        <f>VLOOKUP($I681,'Pricing Table - eff 27-Jan-2026'!$A:$R,2,FALSE)</f>
        <v>G1S 694432</v>
      </c>
      <c r="K681" s="55" t="str">
        <f>VLOOKUP($I681,'Pricing Table - eff 27-Jan-2026'!$A:$R,6,FALSE)&amp;" "&amp;VLOOKUP($I681,'Pricing Table - eff 27-Jan-2026'!$A:$R,7,FALSE)&amp;""" x "&amp;VLOOKUP($I681,'Pricing Table - eff 27-Jan-2026'!$A:$R,9,FALSE)&amp;""" "&amp;VLOOKUP($I681,'Pricing Table - eff 27-Jan-2026'!$A:$R,5,FALSE)</f>
        <v>2MM 49" x 96" ACP</v>
      </c>
      <c r="L681" s="55">
        <f>VLOOKUP($I681,'Pricing Table - eff 27-Jan-2026'!$A:$K,8,FALSE)</f>
        <v>1245</v>
      </c>
      <c r="M681" s="55">
        <f>VLOOKUP($I681,'Pricing Table - eff 27-Jan-2026'!$A:$K,10,FALSE)</f>
        <v>2440</v>
      </c>
      <c r="N681" s="55" t="str">
        <f>VLOOKUP($I681,'Pricing Table - eff 27-Jan-2026'!$A:$R,13,FALSE)&amp;" "&amp;VLOOKUP($I681,'Pricing Table - eff 27-Jan-2026'!$A:$R,12,FALSE)</f>
        <v>ASC 0096 GLOSSY BLACK</v>
      </c>
      <c r="O681" s="56">
        <v>32.667000000000002</v>
      </c>
      <c r="P681" s="55">
        <f>(VLOOKUP($I681,'Pricing Table - eff 27-Jan-2026'!$A:$R,8,FALSE)/1000)*(VLOOKUP($I681,'Pricing Table - eff 27-Jan-2026'!$A:$R,10,FALSE)/1000)*Q681</f>
        <v>3037.8</v>
      </c>
      <c r="Q681" s="55">
        <f>ROUND(('Order Details'!$O681*1000)/((VLOOKUP($I681,'Pricing Table - eff 27-Jan-2026'!$A:$Q,7,FALSE)/12)*(VLOOKUP($I681,'Pricing Table - eff 27-Jan-2026'!$A:$Q,9,FALSE)/12))/5,0)*5</f>
        <v>1000</v>
      </c>
      <c r="R681" s="71">
        <f>$Q681/IFERROR(VLOOKUP($F681&amp;RIGHT($K681,8),'Master Data'!$O$5:$P$10,2,FALSE),'Master Data'!$P$4)</f>
        <v>5</v>
      </c>
      <c r="S681" s="57">
        <f>VLOOKUP($I681,'Pricing Table - eff 27-Jan-2026'!$A:$Q,16,FALSE)</f>
        <v>720</v>
      </c>
      <c r="T681" s="57">
        <f>VLOOKUP(I681,'Pricing Table - eff 27-Jan-2026'!$A:$O,15,FALSE)</f>
        <v>7.73</v>
      </c>
      <c r="U681" s="57">
        <f t="shared" si="31"/>
        <v>23520.240000000002</v>
      </c>
      <c r="V681" s="111">
        <f t="shared" si="30"/>
        <v>23482.194000000003</v>
      </c>
      <c r="W681" s="55">
        <f>VLOOKUP($I681,'Pricing Table - eff 27-Jan-2026'!$A:$R,18,FALSE)</f>
        <v>45</v>
      </c>
    </row>
    <row r="682" spans="1:23" hidden="1" x14ac:dyDescent="0.3">
      <c r="A682" s="55">
        <v>24190757</v>
      </c>
      <c r="B682" s="55">
        <v>1</v>
      </c>
      <c r="C682" s="55" t="str">
        <f>VLOOKUP(A682&amp;"-"&amp;B682,'Order Summary'!$D:$E,2,FALSE)</f>
        <v>Downpayment Received</v>
      </c>
      <c r="D682" s="216">
        <f>IF($A682="","",VLOOKUP($A682&amp;"-"&amp;$B682,'Order Summary'!$D:$U,3,FALSE))</f>
        <v>46063</v>
      </c>
      <c r="E682" s="55" t="str">
        <f>VLOOKUP(A682&amp;"-"&amp;B682,'Order Summary'!$D:$G,4,FALSE)</f>
        <v>Yes</v>
      </c>
      <c r="F682" s="55" t="str">
        <f>VLOOKUP($A682,'Order Summary'!$B:$I,8,FALSE)</f>
        <v>Ashburn, GA</v>
      </c>
      <c r="G682" s="216">
        <f>IF($A682="","",VLOOKUP($A682&amp;"-"&amp;$B682,'Order Summary'!$D:$U,18,FALSE))</f>
        <v>46271</v>
      </c>
      <c r="H682" s="55">
        <v>3</v>
      </c>
      <c r="I682" s="55">
        <v>694440</v>
      </c>
      <c r="J682" s="55" t="str">
        <f>VLOOKUP($I682,'Pricing Table - eff 27-Jan-2026'!$A:$R,2,FALSE)</f>
        <v>G1S 694440</v>
      </c>
      <c r="K682" s="55" t="str">
        <f>VLOOKUP($I682,'Pricing Table - eff 27-Jan-2026'!$A:$R,6,FALSE)&amp;" "&amp;VLOOKUP($I682,'Pricing Table - eff 27-Jan-2026'!$A:$R,7,FALSE)&amp;""" x "&amp;VLOOKUP($I682,'Pricing Table - eff 27-Jan-2026'!$A:$R,9,FALSE)&amp;""" "&amp;VLOOKUP($I682,'Pricing Table - eff 27-Jan-2026'!$A:$R,5,FALSE)</f>
        <v>2MM 49" x 96" ACP</v>
      </c>
      <c r="L682" s="55">
        <f>VLOOKUP($I682,'Pricing Table - eff 27-Jan-2026'!$A:$K,8,FALSE)</f>
        <v>1245</v>
      </c>
      <c r="M682" s="55">
        <f>VLOOKUP($I682,'Pricing Table - eff 27-Jan-2026'!$A:$K,10,FALSE)</f>
        <v>2440</v>
      </c>
      <c r="N682" s="55" t="str">
        <f>VLOOKUP($I682,'Pricing Table - eff 27-Jan-2026'!$A:$R,13,FALSE)&amp;" "&amp;VLOOKUP($I682,'Pricing Table - eff 27-Jan-2026'!$A:$R,12,FALSE)</f>
        <v>AMC 0103 SILVER FROST</v>
      </c>
      <c r="O682" s="56">
        <v>26.132999999999999</v>
      </c>
      <c r="P682" s="55">
        <f>(VLOOKUP($I682,'Pricing Table - eff 27-Jan-2026'!$A:$R,8,FALSE)/1000)*(VLOOKUP($I682,'Pricing Table - eff 27-Jan-2026'!$A:$R,10,FALSE)/1000)*Q682</f>
        <v>2430.2400000000002</v>
      </c>
      <c r="Q682" s="55">
        <f>ROUND(('Order Details'!$O682*1000)/((VLOOKUP($I682,'Pricing Table - eff 27-Jan-2026'!$A:$Q,7,FALSE)/12)*(VLOOKUP($I682,'Pricing Table - eff 27-Jan-2026'!$A:$Q,9,FALSE)/12))/5,0)*5</f>
        <v>800</v>
      </c>
      <c r="R682" s="71">
        <f>$Q682/IFERROR(VLOOKUP($F682&amp;RIGHT($K682,8),'Master Data'!$O$5:$P$10,2,FALSE),'Master Data'!$P$4)</f>
        <v>4</v>
      </c>
      <c r="S682" s="57">
        <f>VLOOKUP($I682,'Pricing Table - eff 27-Jan-2026'!$A:$Q,16,FALSE)</f>
        <v>720</v>
      </c>
      <c r="T682" s="57">
        <f>VLOOKUP(I682,'Pricing Table - eff 27-Jan-2026'!$A:$O,15,FALSE)</f>
        <v>7.73</v>
      </c>
      <c r="U682" s="57">
        <f t="shared" si="31"/>
        <v>18815.759999999998</v>
      </c>
      <c r="V682" s="111">
        <f t="shared" si="30"/>
        <v>18785.755200000003</v>
      </c>
      <c r="W682" s="55">
        <f>VLOOKUP($I682,'Pricing Table - eff 27-Jan-2026'!$A:$R,18,FALSE)</f>
        <v>90</v>
      </c>
    </row>
    <row r="683" spans="1:23" hidden="1" x14ac:dyDescent="0.3">
      <c r="A683" s="55"/>
      <c r="B683" s="55"/>
      <c r="C683" s="55">
        <f>VLOOKUP(A683&amp;"-"&amp;B683,'Order Summary'!$D:$E,2,FALSE)</f>
        <v>0</v>
      </c>
      <c r="D683" s="216" t="str">
        <f>IF($A683="","",VLOOKUP($A683&amp;"-"&amp;$B683,'Order Summary'!$D:$U,3,FALSE))</f>
        <v/>
      </c>
      <c r="E683" s="55" t="str">
        <f>VLOOKUP(A683&amp;"-"&amp;B683,'Order Summary'!$D:$G,4,FALSE)</f>
        <v>Yes</v>
      </c>
      <c r="F683" s="55" t="e">
        <f>VLOOKUP($A683,'Order Summary'!$B:$I,8,FALSE)</f>
        <v>#N/A</v>
      </c>
      <c r="G683" s="216" t="str">
        <f>IF($A683="","",VLOOKUP($A683&amp;"-"&amp;$B683,'Order Summary'!$D:$U,18,FALSE))</f>
        <v/>
      </c>
      <c r="H683" s="55"/>
      <c r="I683" s="55"/>
      <c r="J683" s="55" t="e">
        <f>VLOOKUP($I683,'Pricing Table - eff 27-Jan-2026'!$A:$R,2,FALSE)</f>
        <v>#N/A</v>
      </c>
      <c r="K683" s="55" t="e">
        <f>VLOOKUP($I683,'Pricing Table - eff 27-Jan-2026'!$A:$R,6,FALSE)&amp;" "&amp;VLOOKUP($I683,'Pricing Table - eff 27-Jan-2026'!$A:$R,7,FALSE)&amp;""" x "&amp;VLOOKUP($I683,'Pricing Table - eff 27-Jan-2026'!$A:$R,9,FALSE)&amp;""" "&amp;VLOOKUP($I683,'Pricing Table - eff 27-Jan-2026'!$A:$R,5,FALSE)</f>
        <v>#N/A</v>
      </c>
      <c r="L683" s="55" t="e">
        <f>VLOOKUP($I683,'Pricing Table - eff 27-Jan-2026'!$A:$K,8,FALSE)</f>
        <v>#N/A</v>
      </c>
      <c r="M683" s="55" t="e">
        <f>VLOOKUP($I683,'Pricing Table - eff 27-Jan-2026'!$A:$K,10,FALSE)</f>
        <v>#N/A</v>
      </c>
      <c r="N683" s="55" t="e">
        <f>VLOOKUP($I683,'Pricing Table - eff 27-Jan-2026'!$A:$R,13,FALSE)&amp;" "&amp;VLOOKUP($I683,'Pricing Table - eff 27-Jan-2026'!$A:$R,12,FALSE)</f>
        <v>#N/A</v>
      </c>
      <c r="O683" s="56"/>
      <c r="P683" s="55" t="e">
        <f>(VLOOKUP($I683,'Pricing Table - eff 27-Jan-2026'!$A:$R,8,FALSE)/1000)*(VLOOKUP($I683,'Pricing Table - eff 27-Jan-2026'!$A:$R,10,FALSE)/1000)*Q683</f>
        <v>#N/A</v>
      </c>
      <c r="Q683" s="55" t="e">
        <f>ROUND(('Order Details'!$O683*1000)/((VLOOKUP($I683,'Pricing Table - eff 27-Jan-2026'!$A:$Q,7,FALSE)/12)*(VLOOKUP($I683,'Pricing Table - eff 27-Jan-2026'!$A:$Q,9,FALSE)/12))/5,0)*5</f>
        <v>#N/A</v>
      </c>
      <c r="R683" s="71" t="e">
        <f>$Q683/IFERROR(VLOOKUP($F683&amp;RIGHT($K683,8),'Master Data'!$O$5:$P$10,2,FALSE),'Master Data'!$P$4)</f>
        <v>#N/A</v>
      </c>
      <c r="S683" s="57" t="e">
        <f>VLOOKUP($I683,'Pricing Table - eff 27-Jan-2026'!$A:$Q,16,FALSE)</f>
        <v>#N/A</v>
      </c>
      <c r="T683" s="57" t="e">
        <f>VLOOKUP(I683,'Pricing Table - eff 27-Jan-2026'!$A:$O,15,FALSE)</f>
        <v>#N/A</v>
      </c>
      <c r="U683" s="57" t="e">
        <f t="shared" si="31"/>
        <v>#N/A</v>
      </c>
      <c r="V683" s="111" t="e">
        <f t="shared" si="30"/>
        <v>#N/A</v>
      </c>
      <c r="W683" s="55" t="e">
        <f>VLOOKUP($I683,'Pricing Table - eff 27-Jan-2026'!$A:$R,18,FALSE)</f>
        <v>#N/A</v>
      </c>
    </row>
    <row r="684" spans="1:23" hidden="1" x14ac:dyDescent="0.3">
      <c r="A684" s="55"/>
      <c r="B684" s="55"/>
      <c r="C684" s="55">
        <f>VLOOKUP(A684&amp;"-"&amp;B684,'Order Summary'!$D:$E,2,FALSE)</f>
        <v>0</v>
      </c>
      <c r="D684" s="216" t="str">
        <f>IF($A684="","",VLOOKUP($A684&amp;"-"&amp;$B684,'Order Summary'!$D:$U,3,FALSE))</f>
        <v/>
      </c>
      <c r="E684" s="55" t="str">
        <f>VLOOKUP(A684&amp;"-"&amp;B684,'Order Summary'!$D:$G,4,FALSE)</f>
        <v>Yes</v>
      </c>
      <c r="F684" s="55" t="e">
        <f>VLOOKUP($A684,'Order Summary'!$B:$I,8,FALSE)</f>
        <v>#N/A</v>
      </c>
      <c r="G684" s="216" t="str">
        <f>IF($A684="","",VLOOKUP($A684&amp;"-"&amp;$B684,'Order Summary'!$D:$U,18,FALSE))</f>
        <v/>
      </c>
      <c r="H684" s="55"/>
      <c r="I684" s="55"/>
      <c r="J684" s="55" t="e">
        <f>VLOOKUP($I684,'Pricing Table - eff 27-Jan-2026'!$A:$R,2,FALSE)</f>
        <v>#N/A</v>
      </c>
      <c r="K684" s="55" t="e">
        <f>VLOOKUP($I684,'Pricing Table - eff 27-Jan-2026'!$A:$R,6,FALSE)&amp;" "&amp;VLOOKUP($I684,'Pricing Table - eff 27-Jan-2026'!$A:$R,7,FALSE)&amp;""" x "&amp;VLOOKUP($I684,'Pricing Table - eff 27-Jan-2026'!$A:$R,9,FALSE)&amp;""" "&amp;VLOOKUP($I684,'Pricing Table - eff 27-Jan-2026'!$A:$R,5,FALSE)</f>
        <v>#N/A</v>
      </c>
      <c r="L684" s="55" t="e">
        <f>VLOOKUP($I684,'Pricing Table - eff 27-Jan-2026'!$A:$K,8,FALSE)</f>
        <v>#N/A</v>
      </c>
      <c r="M684" s="55" t="e">
        <f>VLOOKUP($I684,'Pricing Table - eff 27-Jan-2026'!$A:$K,10,FALSE)</f>
        <v>#N/A</v>
      </c>
      <c r="N684" s="55" t="e">
        <f>VLOOKUP($I684,'Pricing Table - eff 27-Jan-2026'!$A:$R,13,FALSE)&amp;" "&amp;VLOOKUP($I684,'Pricing Table - eff 27-Jan-2026'!$A:$R,12,FALSE)</f>
        <v>#N/A</v>
      </c>
      <c r="O684" s="56"/>
      <c r="P684" s="55" t="e">
        <f>(VLOOKUP($I684,'Pricing Table - eff 27-Jan-2026'!$A:$R,8,FALSE)/1000)*(VLOOKUP($I684,'Pricing Table - eff 27-Jan-2026'!$A:$R,10,FALSE)/1000)*Q684</f>
        <v>#N/A</v>
      </c>
      <c r="Q684" s="55" t="e">
        <f>ROUND(('Order Details'!$O684*1000)/((VLOOKUP($I684,'Pricing Table - eff 27-Jan-2026'!$A:$Q,7,FALSE)/12)*(VLOOKUP($I684,'Pricing Table - eff 27-Jan-2026'!$A:$Q,9,FALSE)/12))/5,0)*5</f>
        <v>#N/A</v>
      </c>
      <c r="R684" s="71" t="e">
        <f>$Q684/IFERROR(VLOOKUP($F684&amp;RIGHT($K684,8),'Master Data'!$O$5:$P$10,2,FALSE),'Master Data'!$P$4)</f>
        <v>#N/A</v>
      </c>
      <c r="S684" s="57" t="e">
        <f>VLOOKUP($I684,'Pricing Table - eff 27-Jan-2026'!$A:$Q,16,FALSE)</f>
        <v>#N/A</v>
      </c>
      <c r="T684" s="57" t="e">
        <f>VLOOKUP(I684,'Pricing Table - eff 27-Jan-2026'!$A:$O,15,FALSE)</f>
        <v>#N/A</v>
      </c>
      <c r="U684" s="57" t="e">
        <f t="shared" si="31"/>
        <v>#N/A</v>
      </c>
      <c r="V684" s="111" t="e">
        <f t="shared" si="30"/>
        <v>#N/A</v>
      </c>
      <c r="W684" s="55" t="e">
        <f>VLOOKUP($I684,'Pricing Table - eff 27-Jan-2026'!$A:$R,18,FALSE)</f>
        <v>#N/A</v>
      </c>
    </row>
    <row r="685" spans="1:23" hidden="1" x14ac:dyDescent="0.3">
      <c r="A685" s="55"/>
      <c r="B685" s="55"/>
      <c r="C685" s="55">
        <f>VLOOKUP(A685&amp;"-"&amp;B685,'Order Summary'!$D:$E,2,FALSE)</f>
        <v>0</v>
      </c>
      <c r="D685" s="216" t="str">
        <f>IF($A685="","",VLOOKUP($A685&amp;"-"&amp;$B685,'Order Summary'!$D:$U,3,FALSE))</f>
        <v/>
      </c>
      <c r="E685" s="55" t="str">
        <f>VLOOKUP(A685&amp;"-"&amp;B685,'Order Summary'!$D:$G,4,FALSE)</f>
        <v>Yes</v>
      </c>
      <c r="F685" s="55" t="e">
        <f>VLOOKUP($A685,'Order Summary'!$B:$I,8,FALSE)</f>
        <v>#N/A</v>
      </c>
      <c r="G685" s="216" t="str">
        <f>IF($A685="","",VLOOKUP($A685&amp;"-"&amp;$B685,'Order Summary'!$D:$U,18,FALSE))</f>
        <v/>
      </c>
      <c r="H685" s="55"/>
      <c r="I685" s="55"/>
      <c r="J685" s="55" t="e">
        <f>VLOOKUP($I685,'Pricing Table - eff 27-Jan-2026'!$A:$R,2,FALSE)</f>
        <v>#N/A</v>
      </c>
      <c r="K685" s="55" t="e">
        <f>VLOOKUP($I685,'Pricing Table - eff 27-Jan-2026'!$A:$R,6,FALSE)&amp;" "&amp;VLOOKUP($I685,'Pricing Table - eff 27-Jan-2026'!$A:$R,7,FALSE)&amp;""" x "&amp;VLOOKUP($I685,'Pricing Table - eff 27-Jan-2026'!$A:$R,9,FALSE)&amp;""" "&amp;VLOOKUP($I685,'Pricing Table - eff 27-Jan-2026'!$A:$R,5,FALSE)</f>
        <v>#N/A</v>
      </c>
      <c r="L685" s="55" t="e">
        <f>VLOOKUP($I685,'Pricing Table - eff 27-Jan-2026'!$A:$K,8,FALSE)</f>
        <v>#N/A</v>
      </c>
      <c r="M685" s="55" t="e">
        <f>VLOOKUP($I685,'Pricing Table - eff 27-Jan-2026'!$A:$K,10,FALSE)</f>
        <v>#N/A</v>
      </c>
      <c r="N685" s="55" t="e">
        <f>VLOOKUP($I685,'Pricing Table - eff 27-Jan-2026'!$A:$R,13,FALSE)&amp;" "&amp;VLOOKUP($I685,'Pricing Table - eff 27-Jan-2026'!$A:$R,12,FALSE)</f>
        <v>#N/A</v>
      </c>
      <c r="O685" s="56"/>
      <c r="P685" s="55" t="e">
        <f>(VLOOKUP($I685,'Pricing Table - eff 27-Jan-2026'!$A:$R,8,FALSE)/1000)*(VLOOKUP($I685,'Pricing Table - eff 27-Jan-2026'!$A:$R,10,FALSE)/1000)*Q685</f>
        <v>#N/A</v>
      </c>
      <c r="Q685" s="55" t="e">
        <f>ROUND(('Order Details'!$O685*1000)/((VLOOKUP($I685,'Pricing Table - eff 27-Jan-2026'!$A:$Q,7,FALSE)/12)*(VLOOKUP($I685,'Pricing Table - eff 27-Jan-2026'!$A:$Q,9,FALSE)/12))/5,0)*5</f>
        <v>#N/A</v>
      </c>
      <c r="R685" s="71" t="e">
        <f>$Q685/IFERROR(VLOOKUP($F685&amp;RIGHT($K685,8),'Master Data'!$O$5:$P$10,2,FALSE),'Master Data'!$P$4)</f>
        <v>#N/A</v>
      </c>
      <c r="S685" s="57" t="e">
        <f>VLOOKUP($I685,'Pricing Table - eff 27-Jan-2026'!$A:$Q,16,FALSE)</f>
        <v>#N/A</v>
      </c>
      <c r="T685" s="57" t="e">
        <f>VLOOKUP(I685,'Pricing Table - eff 27-Jan-2026'!$A:$O,15,FALSE)</f>
        <v>#N/A</v>
      </c>
      <c r="U685" s="57" t="e">
        <f t="shared" si="31"/>
        <v>#N/A</v>
      </c>
      <c r="V685" s="111" t="e">
        <f t="shared" si="30"/>
        <v>#N/A</v>
      </c>
      <c r="W685" s="55" t="e">
        <f>VLOOKUP($I685,'Pricing Table - eff 27-Jan-2026'!$A:$R,18,FALSE)</f>
        <v>#N/A</v>
      </c>
    </row>
    <row r="686" spans="1:23" hidden="1" x14ac:dyDescent="0.3">
      <c r="A686" s="55"/>
      <c r="B686" s="55"/>
      <c r="C686" s="55">
        <f>VLOOKUP(A686&amp;"-"&amp;B686,'Order Summary'!$D:$E,2,FALSE)</f>
        <v>0</v>
      </c>
      <c r="D686" s="216" t="str">
        <f>IF($A686="","",VLOOKUP($A686&amp;"-"&amp;$B686,'Order Summary'!$D:$U,3,FALSE))</f>
        <v/>
      </c>
      <c r="E686" s="55" t="str">
        <f>VLOOKUP(A686&amp;"-"&amp;B686,'Order Summary'!$D:$G,4,FALSE)</f>
        <v>Yes</v>
      </c>
      <c r="F686" s="55" t="e">
        <f>VLOOKUP($A686,'Order Summary'!$B:$I,8,FALSE)</f>
        <v>#N/A</v>
      </c>
      <c r="G686" s="216" t="str">
        <f>IF($A686="","",VLOOKUP($A686&amp;"-"&amp;$B686,'Order Summary'!$D:$U,18,FALSE))</f>
        <v/>
      </c>
      <c r="H686" s="55"/>
      <c r="I686" s="55"/>
      <c r="J686" s="55" t="e">
        <f>VLOOKUP($I686,'Pricing Table - eff 27-Jan-2026'!$A:$R,2,FALSE)</f>
        <v>#N/A</v>
      </c>
      <c r="K686" s="55" t="e">
        <f>VLOOKUP($I686,'Pricing Table - eff 27-Jan-2026'!$A:$R,6,FALSE)&amp;" "&amp;VLOOKUP($I686,'Pricing Table - eff 27-Jan-2026'!$A:$R,7,FALSE)&amp;""" x "&amp;VLOOKUP($I686,'Pricing Table - eff 27-Jan-2026'!$A:$R,9,FALSE)&amp;""" "&amp;VLOOKUP($I686,'Pricing Table - eff 27-Jan-2026'!$A:$R,5,FALSE)</f>
        <v>#N/A</v>
      </c>
      <c r="L686" s="55" t="e">
        <f>VLOOKUP($I686,'Pricing Table - eff 27-Jan-2026'!$A:$K,8,FALSE)</f>
        <v>#N/A</v>
      </c>
      <c r="M686" s="55" t="e">
        <f>VLOOKUP($I686,'Pricing Table - eff 27-Jan-2026'!$A:$K,10,FALSE)</f>
        <v>#N/A</v>
      </c>
      <c r="N686" s="55" t="e">
        <f>VLOOKUP($I686,'Pricing Table - eff 27-Jan-2026'!$A:$R,13,FALSE)&amp;" "&amp;VLOOKUP($I686,'Pricing Table - eff 27-Jan-2026'!$A:$R,12,FALSE)</f>
        <v>#N/A</v>
      </c>
      <c r="O686" s="56"/>
      <c r="P686" s="55" t="e">
        <f>(VLOOKUP($I686,'Pricing Table - eff 27-Jan-2026'!$A:$R,8,FALSE)/1000)*(VLOOKUP($I686,'Pricing Table - eff 27-Jan-2026'!$A:$R,10,FALSE)/1000)*Q686</f>
        <v>#N/A</v>
      </c>
      <c r="Q686" s="55" t="e">
        <f>ROUND(('Order Details'!$O686*1000)/((VLOOKUP($I686,'Pricing Table - eff 27-Jan-2026'!$A:$Q,7,FALSE)/12)*(VLOOKUP($I686,'Pricing Table - eff 27-Jan-2026'!$A:$Q,9,FALSE)/12))/5,0)*5</f>
        <v>#N/A</v>
      </c>
      <c r="R686" s="71" t="e">
        <f>$Q686/IFERROR(VLOOKUP($F686&amp;RIGHT($K686,8),'Master Data'!$O$5:$P$10,2,FALSE),'Master Data'!$P$4)</f>
        <v>#N/A</v>
      </c>
      <c r="S686" s="57" t="e">
        <f>VLOOKUP($I686,'Pricing Table - eff 27-Jan-2026'!$A:$Q,16,FALSE)</f>
        <v>#N/A</v>
      </c>
      <c r="T686" s="57" t="e">
        <f>VLOOKUP(I686,'Pricing Table - eff 27-Jan-2026'!$A:$O,15,FALSE)</f>
        <v>#N/A</v>
      </c>
      <c r="U686" s="57" t="e">
        <f t="shared" si="31"/>
        <v>#N/A</v>
      </c>
      <c r="V686" s="111" t="e">
        <f t="shared" si="30"/>
        <v>#N/A</v>
      </c>
      <c r="W686" s="55" t="e">
        <f>VLOOKUP($I686,'Pricing Table - eff 27-Jan-2026'!$A:$R,18,FALSE)</f>
        <v>#N/A</v>
      </c>
    </row>
    <row r="687" spans="1:23" hidden="1" x14ac:dyDescent="0.3">
      <c r="A687" s="55"/>
      <c r="B687" s="55"/>
      <c r="C687" s="55">
        <f>VLOOKUP(A687&amp;"-"&amp;B687,'Order Summary'!$D:$E,2,FALSE)</f>
        <v>0</v>
      </c>
      <c r="D687" s="216" t="str">
        <f>IF($A687="","",VLOOKUP($A687&amp;"-"&amp;$B687,'Order Summary'!$D:$U,3,FALSE))</f>
        <v/>
      </c>
      <c r="E687" s="55" t="str">
        <f>VLOOKUP(A687&amp;"-"&amp;B687,'Order Summary'!$D:$G,4,FALSE)</f>
        <v>Yes</v>
      </c>
      <c r="F687" s="55" t="e">
        <f>VLOOKUP($A687,'Order Summary'!$B:$I,8,FALSE)</f>
        <v>#N/A</v>
      </c>
      <c r="G687" s="216" t="str">
        <f>IF($A687="","",VLOOKUP($A687&amp;"-"&amp;$B687,'Order Summary'!$D:$U,18,FALSE))</f>
        <v/>
      </c>
      <c r="H687" s="55"/>
      <c r="I687" s="55"/>
      <c r="J687" s="55" t="e">
        <f>VLOOKUP($I687,'Pricing Table - eff 27-Jan-2026'!$A:$R,2,FALSE)</f>
        <v>#N/A</v>
      </c>
      <c r="K687" s="55" t="e">
        <f>VLOOKUP($I687,'Pricing Table - eff 27-Jan-2026'!$A:$R,6,FALSE)&amp;" "&amp;VLOOKUP($I687,'Pricing Table - eff 27-Jan-2026'!$A:$R,7,FALSE)&amp;""" x "&amp;VLOOKUP($I687,'Pricing Table - eff 27-Jan-2026'!$A:$R,9,FALSE)&amp;""" "&amp;VLOOKUP($I687,'Pricing Table - eff 27-Jan-2026'!$A:$R,5,FALSE)</f>
        <v>#N/A</v>
      </c>
      <c r="L687" s="55" t="e">
        <f>VLOOKUP($I687,'Pricing Table - eff 27-Jan-2026'!$A:$K,8,FALSE)</f>
        <v>#N/A</v>
      </c>
      <c r="M687" s="55" t="e">
        <f>VLOOKUP($I687,'Pricing Table - eff 27-Jan-2026'!$A:$K,10,FALSE)</f>
        <v>#N/A</v>
      </c>
      <c r="N687" s="55" t="e">
        <f>VLOOKUP($I687,'Pricing Table - eff 27-Jan-2026'!$A:$R,13,FALSE)&amp;" "&amp;VLOOKUP($I687,'Pricing Table - eff 27-Jan-2026'!$A:$R,12,FALSE)</f>
        <v>#N/A</v>
      </c>
      <c r="O687" s="56"/>
      <c r="P687" s="55" t="e">
        <f>(VLOOKUP($I687,'Pricing Table - eff 27-Jan-2026'!$A:$R,8,FALSE)/1000)*(VLOOKUP($I687,'Pricing Table - eff 27-Jan-2026'!$A:$R,10,FALSE)/1000)*Q687</f>
        <v>#N/A</v>
      </c>
      <c r="Q687" s="55" t="e">
        <f>ROUND(('Order Details'!$O687*1000)/((VLOOKUP($I687,'Pricing Table - eff 27-Jan-2026'!$A:$Q,7,FALSE)/12)*(VLOOKUP($I687,'Pricing Table - eff 27-Jan-2026'!$A:$Q,9,FALSE)/12))/5,0)*5</f>
        <v>#N/A</v>
      </c>
      <c r="R687" s="71" t="e">
        <f>$Q687/IFERROR(VLOOKUP($F687&amp;RIGHT($K687,8),'Master Data'!$O$5:$P$10,2,FALSE),'Master Data'!$P$4)</f>
        <v>#N/A</v>
      </c>
      <c r="S687" s="57" t="e">
        <f>VLOOKUP($I687,'Pricing Table - eff 27-Jan-2026'!$A:$Q,16,FALSE)</f>
        <v>#N/A</v>
      </c>
      <c r="T687" s="57" t="e">
        <f>VLOOKUP(I687,'Pricing Table - eff 27-Jan-2026'!$A:$O,15,FALSE)</f>
        <v>#N/A</v>
      </c>
      <c r="U687" s="57" t="e">
        <f t="shared" si="31"/>
        <v>#N/A</v>
      </c>
      <c r="V687" s="111" t="e">
        <f t="shared" si="30"/>
        <v>#N/A</v>
      </c>
      <c r="W687" s="55" t="e">
        <f>VLOOKUP($I687,'Pricing Table - eff 27-Jan-2026'!$A:$R,18,FALSE)</f>
        <v>#N/A</v>
      </c>
    </row>
    <row r="688" spans="1:23" hidden="1" x14ac:dyDescent="0.3">
      <c r="A688" s="55"/>
      <c r="B688" s="55"/>
      <c r="C688" s="55">
        <f>VLOOKUP(A688&amp;"-"&amp;B688,'Order Summary'!$D:$E,2,FALSE)</f>
        <v>0</v>
      </c>
      <c r="D688" s="216" t="str">
        <f>IF($A688="","",VLOOKUP($A688&amp;"-"&amp;$B688,'Order Summary'!$D:$U,3,FALSE))</f>
        <v/>
      </c>
      <c r="E688" s="55" t="str">
        <f>VLOOKUP(A688&amp;"-"&amp;B688,'Order Summary'!$D:$G,4,FALSE)</f>
        <v>Yes</v>
      </c>
      <c r="F688" s="55" t="e">
        <f>VLOOKUP($A688,'Order Summary'!$B:$I,8,FALSE)</f>
        <v>#N/A</v>
      </c>
      <c r="G688" s="216" t="str">
        <f>IF($A688="","",VLOOKUP($A688&amp;"-"&amp;$B688,'Order Summary'!$D:$U,18,FALSE))</f>
        <v/>
      </c>
      <c r="H688" s="55"/>
      <c r="I688" s="55"/>
      <c r="J688" s="55" t="e">
        <f>VLOOKUP($I688,'Pricing Table - eff 27-Jan-2026'!$A:$R,2,FALSE)</f>
        <v>#N/A</v>
      </c>
      <c r="K688" s="55" t="e">
        <f>VLOOKUP($I688,'Pricing Table - eff 27-Jan-2026'!$A:$R,6,FALSE)&amp;" "&amp;VLOOKUP($I688,'Pricing Table - eff 27-Jan-2026'!$A:$R,7,FALSE)&amp;""" x "&amp;VLOOKUP($I688,'Pricing Table - eff 27-Jan-2026'!$A:$R,9,FALSE)&amp;""" "&amp;VLOOKUP($I688,'Pricing Table - eff 27-Jan-2026'!$A:$R,5,FALSE)</f>
        <v>#N/A</v>
      </c>
      <c r="L688" s="55" t="e">
        <f>VLOOKUP($I688,'Pricing Table - eff 27-Jan-2026'!$A:$K,8,FALSE)</f>
        <v>#N/A</v>
      </c>
      <c r="M688" s="55" t="e">
        <f>VLOOKUP($I688,'Pricing Table - eff 27-Jan-2026'!$A:$K,10,FALSE)</f>
        <v>#N/A</v>
      </c>
      <c r="N688" s="55" t="e">
        <f>VLOOKUP($I688,'Pricing Table - eff 27-Jan-2026'!$A:$R,13,FALSE)&amp;" "&amp;VLOOKUP($I688,'Pricing Table - eff 27-Jan-2026'!$A:$R,12,FALSE)</f>
        <v>#N/A</v>
      </c>
      <c r="O688" s="56"/>
      <c r="P688" s="55" t="e">
        <f>(VLOOKUP($I688,'Pricing Table - eff 27-Jan-2026'!$A:$R,8,FALSE)/1000)*(VLOOKUP($I688,'Pricing Table - eff 27-Jan-2026'!$A:$R,10,FALSE)/1000)*Q688</f>
        <v>#N/A</v>
      </c>
      <c r="Q688" s="55" t="e">
        <f>ROUND(('Order Details'!$O688*1000)/((VLOOKUP($I688,'Pricing Table - eff 27-Jan-2026'!$A:$Q,7,FALSE)/12)*(VLOOKUP($I688,'Pricing Table - eff 27-Jan-2026'!$A:$Q,9,FALSE)/12))/5,0)*5</f>
        <v>#N/A</v>
      </c>
      <c r="R688" s="71" t="e">
        <f>$Q688/IFERROR(VLOOKUP($F688&amp;RIGHT($K688,8),'Master Data'!$O$5:$P$10,2,FALSE),'Master Data'!$P$4)</f>
        <v>#N/A</v>
      </c>
      <c r="S688" s="57" t="e">
        <f>VLOOKUP($I688,'Pricing Table - eff 27-Jan-2026'!$A:$Q,16,FALSE)</f>
        <v>#N/A</v>
      </c>
      <c r="T688" s="57" t="e">
        <f>VLOOKUP(I688,'Pricing Table - eff 27-Jan-2026'!$A:$O,15,FALSE)</f>
        <v>#N/A</v>
      </c>
      <c r="U688" s="57" t="e">
        <f t="shared" si="31"/>
        <v>#N/A</v>
      </c>
      <c r="V688" s="111" t="e">
        <f t="shared" si="30"/>
        <v>#N/A</v>
      </c>
      <c r="W688" s="55" t="e">
        <f>VLOOKUP($I688,'Pricing Table - eff 27-Jan-2026'!$A:$R,18,FALSE)</f>
        <v>#N/A</v>
      </c>
    </row>
    <row r="689" spans="1:23" hidden="1" x14ac:dyDescent="0.3">
      <c r="A689" s="55"/>
      <c r="B689" s="55"/>
      <c r="C689" s="55">
        <f>VLOOKUP(A689&amp;"-"&amp;B689,'Order Summary'!$D:$E,2,FALSE)</f>
        <v>0</v>
      </c>
      <c r="D689" s="216" t="str">
        <f>IF($A689="","",VLOOKUP($A689&amp;"-"&amp;$B689,'Order Summary'!$D:$U,3,FALSE))</f>
        <v/>
      </c>
      <c r="E689" s="55" t="str">
        <f>VLOOKUP(A689&amp;"-"&amp;B689,'Order Summary'!$D:$G,4,FALSE)</f>
        <v>Yes</v>
      </c>
      <c r="F689" s="55" t="e">
        <f>VLOOKUP($A689,'Order Summary'!$B:$I,8,FALSE)</f>
        <v>#N/A</v>
      </c>
      <c r="G689" s="216" t="str">
        <f>IF($A689="","",VLOOKUP($A689&amp;"-"&amp;$B689,'Order Summary'!$D:$U,18,FALSE))</f>
        <v/>
      </c>
      <c r="H689" s="55"/>
      <c r="I689" s="55"/>
      <c r="J689" s="55" t="e">
        <f>VLOOKUP($I689,'Pricing Table - eff 27-Jan-2026'!$A:$R,2,FALSE)</f>
        <v>#N/A</v>
      </c>
      <c r="K689" s="55" t="e">
        <f>VLOOKUP($I689,'Pricing Table - eff 27-Jan-2026'!$A:$R,6,FALSE)&amp;" "&amp;VLOOKUP($I689,'Pricing Table - eff 27-Jan-2026'!$A:$R,7,FALSE)&amp;""" x "&amp;VLOOKUP($I689,'Pricing Table - eff 27-Jan-2026'!$A:$R,9,FALSE)&amp;""" "&amp;VLOOKUP($I689,'Pricing Table - eff 27-Jan-2026'!$A:$R,5,FALSE)</f>
        <v>#N/A</v>
      </c>
      <c r="L689" s="55" t="e">
        <f>VLOOKUP($I689,'Pricing Table - eff 27-Jan-2026'!$A:$K,8,FALSE)</f>
        <v>#N/A</v>
      </c>
      <c r="M689" s="55" t="e">
        <f>VLOOKUP($I689,'Pricing Table - eff 27-Jan-2026'!$A:$K,10,FALSE)</f>
        <v>#N/A</v>
      </c>
      <c r="N689" s="55" t="e">
        <f>VLOOKUP($I689,'Pricing Table - eff 27-Jan-2026'!$A:$R,13,FALSE)&amp;" "&amp;VLOOKUP($I689,'Pricing Table - eff 27-Jan-2026'!$A:$R,12,FALSE)</f>
        <v>#N/A</v>
      </c>
      <c r="O689" s="56"/>
      <c r="P689" s="55" t="e">
        <f>(VLOOKUP($I689,'Pricing Table - eff 27-Jan-2026'!$A:$R,8,FALSE)/1000)*(VLOOKUP($I689,'Pricing Table - eff 27-Jan-2026'!$A:$R,10,FALSE)/1000)*Q689</f>
        <v>#N/A</v>
      </c>
      <c r="Q689" s="55" t="e">
        <f>ROUND(('Order Details'!$O689*1000)/((VLOOKUP($I689,'Pricing Table - eff 27-Jan-2026'!$A:$Q,7,FALSE)/12)*(VLOOKUP($I689,'Pricing Table - eff 27-Jan-2026'!$A:$Q,9,FALSE)/12))/5,0)*5</f>
        <v>#N/A</v>
      </c>
      <c r="R689" s="71" t="e">
        <f>$Q689/IFERROR(VLOOKUP($F689&amp;RIGHT($K689,8),'Master Data'!$O$5:$P$10,2,FALSE),'Master Data'!$P$4)</f>
        <v>#N/A</v>
      </c>
      <c r="S689" s="57" t="e">
        <f>VLOOKUP($I689,'Pricing Table - eff 27-Jan-2026'!$A:$Q,16,FALSE)</f>
        <v>#N/A</v>
      </c>
      <c r="T689" s="57" t="e">
        <f>VLOOKUP(I689,'Pricing Table - eff 27-Jan-2026'!$A:$O,15,FALSE)</f>
        <v>#N/A</v>
      </c>
      <c r="U689" s="57" t="e">
        <f t="shared" si="31"/>
        <v>#N/A</v>
      </c>
      <c r="V689" s="111" t="e">
        <f t="shared" si="30"/>
        <v>#N/A</v>
      </c>
      <c r="W689" s="55" t="e">
        <f>VLOOKUP($I689,'Pricing Table - eff 27-Jan-2026'!$A:$R,18,FALSE)</f>
        <v>#N/A</v>
      </c>
    </row>
    <row r="690" spans="1:23" hidden="1" x14ac:dyDescent="0.3">
      <c r="A690" s="55"/>
      <c r="B690" s="55"/>
      <c r="C690" s="55">
        <f>VLOOKUP(A690&amp;"-"&amp;B690,'Order Summary'!$D:$E,2,FALSE)</f>
        <v>0</v>
      </c>
      <c r="D690" s="216" t="str">
        <f>IF($A690="","",VLOOKUP($A690&amp;"-"&amp;$B690,'Order Summary'!$D:$U,3,FALSE))</f>
        <v/>
      </c>
      <c r="E690" s="55" t="str">
        <f>VLOOKUP(A690&amp;"-"&amp;B690,'Order Summary'!$D:$G,4,FALSE)</f>
        <v>Yes</v>
      </c>
      <c r="F690" s="55" t="e">
        <f>VLOOKUP($A690,'Order Summary'!$B:$I,8,FALSE)</f>
        <v>#N/A</v>
      </c>
      <c r="G690" s="216" t="str">
        <f>IF($A690="","",VLOOKUP($A690&amp;"-"&amp;$B690,'Order Summary'!$D:$U,18,FALSE))</f>
        <v/>
      </c>
      <c r="H690" s="55"/>
      <c r="I690" s="55"/>
      <c r="J690" s="55" t="e">
        <f>VLOOKUP($I690,'Pricing Table - eff 27-Jan-2026'!$A:$R,2,FALSE)</f>
        <v>#N/A</v>
      </c>
      <c r="K690" s="55" t="e">
        <f>VLOOKUP($I690,'Pricing Table - eff 27-Jan-2026'!$A:$R,6,FALSE)&amp;" "&amp;VLOOKUP($I690,'Pricing Table - eff 27-Jan-2026'!$A:$R,7,FALSE)&amp;""" x "&amp;VLOOKUP($I690,'Pricing Table - eff 27-Jan-2026'!$A:$R,9,FALSE)&amp;""" "&amp;VLOOKUP($I690,'Pricing Table - eff 27-Jan-2026'!$A:$R,5,FALSE)</f>
        <v>#N/A</v>
      </c>
      <c r="L690" s="55" t="e">
        <f>VLOOKUP($I690,'Pricing Table - eff 27-Jan-2026'!$A:$K,8,FALSE)</f>
        <v>#N/A</v>
      </c>
      <c r="M690" s="55" t="e">
        <f>VLOOKUP($I690,'Pricing Table - eff 27-Jan-2026'!$A:$K,10,FALSE)</f>
        <v>#N/A</v>
      </c>
      <c r="N690" s="55" t="e">
        <f>VLOOKUP($I690,'Pricing Table - eff 27-Jan-2026'!$A:$R,13,FALSE)&amp;" "&amp;VLOOKUP($I690,'Pricing Table - eff 27-Jan-2026'!$A:$R,12,FALSE)</f>
        <v>#N/A</v>
      </c>
      <c r="O690" s="56"/>
      <c r="P690" s="55" t="e">
        <f>(VLOOKUP($I690,'Pricing Table - eff 27-Jan-2026'!$A:$R,8,FALSE)/1000)*(VLOOKUP($I690,'Pricing Table - eff 27-Jan-2026'!$A:$R,10,FALSE)/1000)*Q690</f>
        <v>#N/A</v>
      </c>
      <c r="Q690" s="55" t="e">
        <f>ROUND(('Order Details'!$O690*1000)/((VLOOKUP($I690,'Pricing Table - eff 27-Jan-2026'!$A:$Q,7,FALSE)/12)*(VLOOKUP($I690,'Pricing Table - eff 27-Jan-2026'!$A:$Q,9,FALSE)/12))/5,0)*5</f>
        <v>#N/A</v>
      </c>
      <c r="R690" s="71" t="e">
        <f>$Q690/IFERROR(VLOOKUP($F690&amp;RIGHT($K690,8),'Master Data'!$O$5:$P$10,2,FALSE),'Master Data'!$P$4)</f>
        <v>#N/A</v>
      </c>
      <c r="S690" s="57" t="e">
        <f>VLOOKUP($I690,'Pricing Table - eff 27-Jan-2026'!$A:$Q,16,FALSE)</f>
        <v>#N/A</v>
      </c>
      <c r="T690" s="57" t="e">
        <f>VLOOKUP(I690,'Pricing Table - eff 27-Jan-2026'!$A:$O,15,FALSE)</f>
        <v>#N/A</v>
      </c>
      <c r="U690" s="57" t="e">
        <f t="shared" si="31"/>
        <v>#N/A</v>
      </c>
      <c r="V690" s="111" t="e">
        <f t="shared" si="30"/>
        <v>#N/A</v>
      </c>
      <c r="W690" s="55" t="e">
        <f>VLOOKUP($I690,'Pricing Table - eff 27-Jan-2026'!$A:$R,18,FALSE)</f>
        <v>#N/A</v>
      </c>
    </row>
    <row r="691" spans="1:23" hidden="1" x14ac:dyDescent="0.3">
      <c r="A691" s="55"/>
      <c r="B691" s="55"/>
      <c r="C691" s="55">
        <f>VLOOKUP(A691&amp;"-"&amp;B691,'Order Summary'!$D:$E,2,FALSE)</f>
        <v>0</v>
      </c>
      <c r="D691" s="216" t="str">
        <f>IF($A691="","",VLOOKUP($A691&amp;"-"&amp;$B691,'Order Summary'!$D:$U,3,FALSE))</f>
        <v/>
      </c>
      <c r="E691" s="55" t="str">
        <f>VLOOKUP(A691&amp;"-"&amp;B691,'Order Summary'!$D:$G,4,FALSE)</f>
        <v>Yes</v>
      </c>
      <c r="F691" s="55" t="e">
        <f>VLOOKUP($A691,'Order Summary'!$B:$I,8,FALSE)</f>
        <v>#N/A</v>
      </c>
      <c r="G691" s="216" t="str">
        <f>IF($A691="","",VLOOKUP($A691&amp;"-"&amp;$B691,'Order Summary'!$D:$U,18,FALSE))</f>
        <v/>
      </c>
      <c r="H691" s="55"/>
      <c r="I691" s="55"/>
      <c r="J691" s="55" t="e">
        <f>VLOOKUP($I691,'Pricing Table - eff 27-Jan-2026'!$A:$R,2,FALSE)</f>
        <v>#N/A</v>
      </c>
      <c r="K691" s="55" t="e">
        <f>VLOOKUP($I691,'Pricing Table - eff 27-Jan-2026'!$A:$R,6,FALSE)&amp;" "&amp;VLOOKUP($I691,'Pricing Table - eff 27-Jan-2026'!$A:$R,7,FALSE)&amp;""" x "&amp;VLOOKUP($I691,'Pricing Table - eff 27-Jan-2026'!$A:$R,9,FALSE)&amp;""" "&amp;VLOOKUP($I691,'Pricing Table - eff 27-Jan-2026'!$A:$R,5,FALSE)</f>
        <v>#N/A</v>
      </c>
      <c r="L691" s="55" t="e">
        <f>VLOOKUP($I691,'Pricing Table - eff 27-Jan-2026'!$A:$K,8,FALSE)</f>
        <v>#N/A</v>
      </c>
      <c r="M691" s="55" t="e">
        <f>VLOOKUP($I691,'Pricing Table - eff 27-Jan-2026'!$A:$K,10,FALSE)</f>
        <v>#N/A</v>
      </c>
      <c r="N691" s="55" t="e">
        <f>VLOOKUP($I691,'Pricing Table - eff 27-Jan-2026'!$A:$R,13,FALSE)&amp;" "&amp;VLOOKUP($I691,'Pricing Table - eff 27-Jan-2026'!$A:$R,12,FALSE)</f>
        <v>#N/A</v>
      </c>
      <c r="O691" s="56"/>
      <c r="P691" s="55" t="e">
        <f>(VLOOKUP($I691,'Pricing Table - eff 27-Jan-2026'!$A:$R,8,FALSE)/1000)*(VLOOKUP($I691,'Pricing Table - eff 27-Jan-2026'!$A:$R,10,FALSE)/1000)*Q691</f>
        <v>#N/A</v>
      </c>
      <c r="Q691" s="55" t="e">
        <f>ROUND(('Order Details'!$O691*1000)/((VLOOKUP($I691,'Pricing Table - eff 27-Jan-2026'!$A:$Q,7,FALSE)/12)*(VLOOKUP($I691,'Pricing Table - eff 27-Jan-2026'!$A:$Q,9,FALSE)/12))/5,0)*5</f>
        <v>#N/A</v>
      </c>
      <c r="R691" s="71" t="e">
        <f>$Q691/IFERROR(VLOOKUP($F691&amp;RIGHT($K691,8),'Master Data'!$O$5:$P$10,2,FALSE),'Master Data'!$P$4)</f>
        <v>#N/A</v>
      </c>
      <c r="S691" s="57" t="e">
        <f>VLOOKUP($I691,'Pricing Table - eff 27-Jan-2026'!$A:$Q,16,FALSE)</f>
        <v>#N/A</v>
      </c>
      <c r="T691" s="57" t="e">
        <f>VLOOKUP(I691,'Pricing Table - eff 27-Jan-2026'!$A:$O,15,FALSE)</f>
        <v>#N/A</v>
      </c>
      <c r="U691" s="57" t="e">
        <f t="shared" si="31"/>
        <v>#N/A</v>
      </c>
      <c r="V691" s="111" t="e">
        <f t="shared" si="30"/>
        <v>#N/A</v>
      </c>
      <c r="W691" s="55" t="e">
        <f>VLOOKUP($I691,'Pricing Table - eff 27-Jan-2026'!$A:$R,18,FALSE)</f>
        <v>#N/A</v>
      </c>
    </row>
    <row r="692" spans="1:23" hidden="1" x14ac:dyDescent="0.3">
      <c r="A692" s="55"/>
      <c r="B692" s="55"/>
      <c r="C692" s="55">
        <f>VLOOKUP(A692&amp;"-"&amp;B692,'Order Summary'!$D:$E,2,FALSE)</f>
        <v>0</v>
      </c>
      <c r="D692" s="216" t="str">
        <f>IF($A692="","",VLOOKUP($A692&amp;"-"&amp;$B692,'Order Summary'!$D:$U,3,FALSE))</f>
        <v/>
      </c>
      <c r="E692" s="55" t="str">
        <f>VLOOKUP(A692&amp;"-"&amp;B692,'Order Summary'!$D:$G,4,FALSE)</f>
        <v>Yes</v>
      </c>
      <c r="F692" s="55" t="e">
        <f>VLOOKUP($A692,'Order Summary'!$B:$I,8,FALSE)</f>
        <v>#N/A</v>
      </c>
      <c r="G692" s="216" t="str">
        <f>IF($A692="","",VLOOKUP($A692&amp;"-"&amp;$B692,'Order Summary'!$D:$U,18,FALSE))</f>
        <v/>
      </c>
      <c r="H692" s="55"/>
      <c r="I692" s="55"/>
      <c r="J692" s="55" t="e">
        <f>VLOOKUP($I692,'Pricing Table - eff 27-Jan-2026'!$A:$R,2,FALSE)</f>
        <v>#N/A</v>
      </c>
      <c r="K692" s="55" t="e">
        <f>VLOOKUP($I692,'Pricing Table - eff 27-Jan-2026'!$A:$R,6,FALSE)&amp;" "&amp;VLOOKUP($I692,'Pricing Table - eff 27-Jan-2026'!$A:$R,7,FALSE)&amp;""" x "&amp;VLOOKUP($I692,'Pricing Table - eff 27-Jan-2026'!$A:$R,9,FALSE)&amp;""" "&amp;VLOOKUP($I692,'Pricing Table - eff 27-Jan-2026'!$A:$R,5,FALSE)</f>
        <v>#N/A</v>
      </c>
      <c r="L692" s="55" t="e">
        <f>VLOOKUP($I692,'Pricing Table - eff 27-Jan-2026'!$A:$K,8,FALSE)</f>
        <v>#N/A</v>
      </c>
      <c r="M692" s="55" t="e">
        <f>VLOOKUP($I692,'Pricing Table - eff 27-Jan-2026'!$A:$K,10,FALSE)</f>
        <v>#N/A</v>
      </c>
      <c r="N692" s="55" t="e">
        <f>VLOOKUP($I692,'Pricing Table - eff 27-Jan-2026'!$A:$R,13,FALSE)&amp;" "&amp;VLOOKUP($I692,'Pricing Table - eff 27-Jan-2026'!$A:$R,12,FALSE)</f>
        <v>#N/A</v>
      </c>
      <c r="O692" s="56"/>
      <c r="P692" s="55" t="e">
        <f>(VLOOKUP($I692,'Pricing Table - eff 27-Jan-2026'!$A:$R,8,FALSE)/1000)*(VLOOKUP($I692,'Pricing Table - eff 27-Jan-2026'!$A:$R,10,FALSE)/1000)*Q692</f>
        <v>#N/A</v>
      </c>
      <c r="Q692" s="55" t="e">
        <f>ROUND(('Order Details'!$O692*1000)/((VLOOKUP($I692,'Pricing Table - eff 27-Jan-2026'!$A:$Q,7,FALSE)/12)*(VLOOKUP($I692,'Pricing Table - eff 27-Jan-2026'!$A:$Q,9,FALSE)/12))/5,0)*5</f>
        <v>#N/A</v>
      </c>
      <c r="R692" s="71" t="e">
        <f>$Q692/IFERROR(VLOOKUP($F692&amp;RIGHT($K692,8),'Master Data'!$O$5:$P$10,2,FALSE),'Master Data'!$P$4)</f>
        <v>#N/A</v>
      </c>
      <c r="S692" s="57" t="e">
        <f>VLOOKUP($I692,'Pricing Table - eff 27-Jan-2026'!$A:$Q,16,FALSE)</f>
        <v>#N/A</v>
      </c>
      <c r="T692" s="57" t="e">
        <f>VLOOKUP(I692,'Pricing Table - eff 27-Jan-2026'!$A:$O,15,FALSE)</f>
        <v>#N/A</v>
      </c>
      <c r="U692" s="57" t="e">
        <f t="shared" si="31"/>
        <v>#N/A</v>
      </c>
      <c r="V692" s="111" t="e">
        <f t="shared" si="30"/>
        <v>#N/A</v>
      </c>
      <c r="W692" s="55" t="e">
        <f>VLOOKUP($I692,'Pricing Table - eff 27-Jan-2026'!$A:$R,18,FALSE)</f>
        <v>#N/A</v>
      </c>
    </row>
    <row r="693" spans="1:23" hidden="1" x14ac:dyDescent="0.3">
      <c r="A693" s="55"/>
      <c r="B693" s="55"/>
      <c r="C693" s="55">
        <f>VLOOKUP(A693&amp;"-"&amp;B693,'Order Summary'!$D:$E,2,FALSE)</f>
        <v>0</v>
      </c>
      <c r="D693" s="216" t="str">
        <f>IF($A693="","",VLOOKUP($A693&amp;"-"&amp;$B693,'Order Summary'!$D:$U,3,FALSE))</f>
        <v/>
      </c>
      <c r="E693" s="55" t="str">
        <f>VLOOKUP(A693&amp;"-"&amp;B693,'Order Summary'!$D:$G,4,FALSE)</f>
        <v>Yes</v>
      </c>
      <c r="F693" s="55" t="e">
        <f>VLOOKUP($A693,'Order Summary'!$B:$I,8,FALSE)</f>
        <v>#N/A</v>
      </c>
      <c r="G693" s="216" t="str">
        <f>IF($A693="","",VLOOKUP($A693&amp;"-"&amp;$B693,'Order Summary'!$D:$U,18,FALSE))</f>
        <v/>
      </c>
      <c r="H693" s="55"/>
      <c r="I693" s="55"/>
      <c r="J693" s="55" t="e">
        <f>VLOOKUP($I693,'Pricing Table - eff 27-Jan-2026'!$A:$R,2,FALSE)</f>
        <v>#N/A</v>
      </c>
      <c r="K693" s="55" t="e">
        <f>VLOOKUP($I693,'Pricing Table - eff 27-Jan-2026'!$A:$R,6,FALSE)&amp;" "&amp;VLOOKUP($I693,'Pricing Table - eff 27-Jan-2026'!$A:$R,7,FALSE)&amp;""" x "&amp;VLOOKUP($I693,'Pricing Table - eff 27-Jan-2026'!$A:$R,9,FALSE)&amp;""" "&amp;VLOOKUP($I693,'Pricing Table - eff 27-Jan-2026'!$A:$R,5,FALSE)</f>
        <v>#N/A</v>
      </c>
      <c r="L693" s="55" t="e">
        <f>VLOOKUP($I693,'Pricing Table - eff 27-Jan-2026'!$A:$K,8,FALSE)</f>
        <v>#N/A</v>
      </c>
      <c r="M693" s="55" t="e">
        <f>VLOOKUP($I693,'Pricing Table - eff 27-Jan-2026'!$A:$K,10,FALSE)</f>
        <v>#N/A</v>
      </c>
      <c r="N693" s="55" t="e">
        <f>VLOOKUP($I693,'Pricing Table - eff 27-Jan-2026'!$A:$R,13,FALSE)&amp;" "&amp;VLOOKUP($I693,'Pricing Table - eff 27-Jan-2026'!$A:$R,12,FALSE)</f>
        <v>#N/A</v>
      </c>
      <c r="O693" s="56"/>
      <c r="P693" s="55" t="e">
        <f>(VLOOKUP($I693,'Pricing Table - eff 27-Jan-2026'!$A:$R,8,FALSE)/1000)*(VLOOKUP($I693,'Pricing Table - eff 27-Jan-2026'!$A:$R,10,FALSE)/1000)*Q693</f>
        <v>#N/A</v>
      </c>
      <c r="Q693" s="55" t="e">
        <f>ROUND(('Order Details'!$O693*1000)/((VLOOKUP($I693,'Pricing Table - eff 27-Jan-2026'!$A:$Q,7,FALSE)/12)*(VLOOKUP($I693,'Pricing Table - eff 27-Jan-2026'!$A:$Q,9,FALSE)/12))/5,0)*5</f>
        <v>#N/A</v>
      </c>
      <c r="R693" s="71" t="e">
        <f>$Q693/IFERROR(VLOOKUP($F693&amp;RIGHT($K693,8),'Master Data'!$O$5:$P$10,2,FALSE),'Master Data'!$P$4)</f>
        <v>#N/A</v>
      </c>
      <c r="S693" s="57" t="e">
        <f>VLOOKUP($I693,'Pricing Table - eff 27-Jan-2026'!$A:$Q,16,FALSE)</f>
        <v>#N/A</v>
      </c>
      <c r="T693" s="57" t="e">
        <f>VLOOKUP(I693,'Pricing Table - eff 27-Jan-2026'!$A:$O,15,FALSE)</f>
        <v>#N/A</v>
      </c>
      <c r="U693" s="57" t="e">
        <f t="shared" si="31"/>
        <v>#N/A</v>
      </c>
      <c r="V693" s="111" t="e">
        <f t="shared" si="30"/>
        <v>#N/A</v>
      </c>
      <c r="W693" s="55" t="e">
        <f>VLOOKUP($I693,'Pricing Table - eff 27-Jan-2026'!$A:$R,18,FALSE)</f>
        <v>#N/A</v>
      </c>
    </row>
    <row r="694" spans="1:23" hidden="1" x14ac:dyDescent="0.3">
      <c r="A694" s="55"/>
      <c r="B694" s="55"/>
      <c r="C694" s="55">
        <f>VLOOKUP(A694&amp;"-"&amp;B694,'Order Summary'!$D:$E,2,FALSE)</f>
        <v>0</v>
      </c>
      <c r="D694" s="216" t="str">
        <f>IF($A694="","",VLOOKUP($A694&amp;"-"&amp;$B694,'Order Summary'!$D:$U,3,FALSE))</f>
        <v/>
      </c>
      <c r="E694" s="55" t="str">
        <f>VLOOKUP(A694&amp;"-"&amp;B694,'Order Summary'!$D:$G,4,FALSE)</f>
        <v>Yes</v>
      </c>
      <c r="F694" s="55" t="e">
        <f>VLOOKUP($A694,'Order Summary'!$B:$I,8,FALSE)</f>
        <v>#N/A</v>
      </c>
      <c r="G694" s="216" t="str">
        <f>IF($A694="","",VLOOKUP($A694&amp;"-"&amp;$B694,'Order Summary'!$D:$U,18,FALSE))</f>
        <v/>
      </c>
      <c r="H694" s="55"/>
      <c r="I694" s="55"/>
      <c r="J694" s="55" t="e">
        <f>VLOOKUP($I694,'Pricing Table - eff 27-Jan-2026'!$A:$R,2,FALSE)</f>
        <v>#N/A</v>
      </c>
      <c r="K694" s="55" t="e">
        <f>VLOOKUP($I694,'Pricing Table - eff 27-Jan-2026'!$A:$R,6,FALSE)&amp;" "&amp;VLOOKUP($I694,'Pricing Table - eff 27-Jan-2026'!$A:$R,7,FALSE)&amp;""" x "&amp;VLOOKUP($I694,'Pricing Table - eff 27-Jan-2026'!$A:$R,9,FALSE)&amp;""" "&amp;VLOOKUP($I694,'Pricing Table - eff 27-Jan-2026'!$A:$R,5,FALSE)</f>
        <v>#N/A</v>
      </c>
      <c r="L694" s="55" t="e">
        <f>VLOOKUP($I694,'Pricing Table - eff 27-Jan-2026'!$A:$K,8,FALSE)</f>
        <v>#N/A</v>
      </c>
      <c r="M694" s="55" t="e">
        <f>VLOOKUP($I694,'Pricing Table - eff 27-Jan-2026'!$A:$K,10,FALSE)</f>
        <v>#N/A</v>
      </c>
      <c r="N694" s="55" t="e">
        <f>VLOOKUP($I694,'Pricing Table - eff 27-Jan-2026'!$A:$R,13,FALSE)&amp;" "&amp;VLOOKUP($I694,'Pricing Table - eff 27-Jan-2026'!$A:$R,12,FALSE)</f>
        <v>#N/A</v>
      </c>
      <c r="O694" s="56"/>
      <c r="P694" s="55" t="e">
        <f>(VLOOKUP($I694,'Pricing Table - eff 27-Jan-2026'!$A:$R,8,FALSE)/1000)*(VLOOKUP($I694,'Pricing Table - eff 27-Jan-2026'!$A:$R,10,FALSE)/1000)*Q694</f>
        <v>#N/A</v>
      </c>
      <c r="Q694" s="55" t="e">
        <f>ROUND(('Order Details'!$O694*1000)/((VLOOKUP($I694,'Pricing Table - eff 27-Jan-2026'!$A:$Q,7,FALSE)/12)*(VLOOKUP($I694,'Pricing Table - eff 27-Jan-2026'!$A:$Q,9,FALSE)/12))/5,0)*5</f>
        <v>#N/A</v>
      </c>
      <c r="R694" s="71" t="e">
        <f>$Q694/IFERROR(VLOOKUP($F694&amp;RIGHT($K694,8),'Master Data'!$O$5:$P$10,2,FALSE),'Master Data'!$P$4)</f>
        <v>#N/A</v>
      </c>
      <c r="S694" s="57" t="e">
        <f>VLOOKUP($I694,'Pricing Table - eff 27-Jan-2026'!$A:$Q,16,FALSE)</f>
        <v>#N/A</v>
      </c>
      <c r="T694" s="57" t="e">
        <f>VLOOKUP(I694,'Pricing Table - eff 27-Jan-2026'!$A:$O,15,FALSE)</f>
        <v>#N/A</v>
      </c>
      <c r="U694" s="57" t="e">
        <f t="shared" si="31"/>
        <v>#N/A</v>
      </c>
      <c r="V694" s="111" t="e">
        <f t="shared" si="30"/>
        <v>#N/A</v>
      </c>
      <c r="W694" s="55" t="e">
        <f>VLOOKUP($I694,'Pricing Table - eff 27-Jan-2026'!$A:$R,18,FALSE)</f>
        <v>#N/A</v>
      </c>
    </row>
    <row r="695" spans="1:23" hidden="1" x14ac:dyDescent="0.3">
      <c r="A695" s="55"/>
      <c r="B695" s="55"/>
      <c r="C695" s="55">
        <f>VLOOKUP(A695&amp;"-"&amp;B695,'Order Summary'!$D:$E,2,FALSE)</f>
        <v>0</v>
      </c>
      <c r="D695" s="216" t="str">
        <f>IF($A695="","",VLOOKUP($A695&amp;"-"&amp;$B695,'Order Summary'!$D:$U,3,FALSE))</f>
        <v/>
      </c>
      <c r="E695" s="55" t="str">
        <f>VLOOKUP(A695&amp;"-"&amp;B695,'Order Summary'!$D:$G,4,FALSE)</f>
        <v>Yes</v>
      </c>
      <c r="F695" s="55" t="e">
        <f>VLOOKUP($A695,'Order Summary'!$B:$I,8,FALSE)</f>
        <v>#N/A</v>
      </c>
      <c r="G695" s="216" t="str">
        <f>IF($A695="","",VLOOKUP($A695&amp;"-"&amp;$B695,'Order Summary'!$D:$U,18,FALSE))</f>
        <v/>
      </c>
      <c r="H695" s="55"/>
      <c r="I695" s="55"/>
      <c r="J695" s="55" t="e">
        <f>VLOOKUP($I695,'Pricing Table - eff 27-Jan-2026'!$A:$R,2,FALSE)</f>
        <v>#N/A</v>
      </c>
      <c r="K695" s="55" t="e">
        <f>VLOOKUP($I695,'Pricing Table - eff 27-Jan-2026'!$A:$R,6,FALSE)&amp;" "&amp;VLOOKUP($I695,'Pricing Table - eff 27-Jan-2026'!$A:$R,7,FALSE)&amp;""" x "&amp;VLOOKUP($I695,'Pricing Table - eff 27-Jan-2026'!$A:$R,9,FALSE)&amp;""" "&amp;VLOOKUP($I695,'Pricing Table - eff 27-Jan-2026'!$A:$R,5,FALSE)</f>
        <v>#N/A</v>
      </c>
      <c r="L695" s="55" t="e">
        <f>VLOOKUP($I695,'Pricing Table - eff 27-Jan-2026'!$A:$K,8,FALSE)</f>
        <v>#N/A</v>
      </c>
      <c r="M695" s="55" t="e">
        <f>VLOOKUP($I695,'Pricing Table - eff 27-Jan-2026'!$A:$K,10,FALSE)</f>
        <v>#N/A</v>
      </c>
      <c r="N695" s="55" t="e">
        <f>VLOOKUP($I695,'Pricing Table - eff 27-Jan-2026'!$A:$R,13,FALSE)&amp;" "&amp;VLOOKUP($I695,'Pricing Table - eff 27-Jan-2026'!$A:$R,12,FALSE)</f>
        <v>#N/A</v>
      </c>
      <c r="O695" s="56"/>
      <c r="P695" s="55" t="e">
        <f>(VLOOKUP($I695,'Pricing Table - eff 27-Jan-2026'!$A:$R,8,FALSE)/1000)*(VLOOKUP($I695,'Pricing Table - eff 27-Jan-2026'!$A:$R,10,FALSE)/1000)*Q695</f>
        <v>#N/A</v>
      </c>
      <c r="Q695" s="55" t="e">
        <f>ROUND(('Order Details'!$O695*1000)/((VLOOKUP($I695,'Pricing Table - eff 27-Jan-2026'!$A:$Q,7,FALSE)/12)*(VLOOKUP($I695,'Pricing Table - eff 27-Jan-2026'!$A:$Q,9,FALSE)/12))/5,0)*5</f>
        <v>#N/A</v>
      </c>
      <c r="R695" s="71" t="e">
        <f>$Q695/IFERROR(VLOOKUP($F695&amp;RIGHT($K695,8),'Master Data'!$O$5:$P$10,2,FALSE),'Master Data'!$P$4)</f>
        <v>#N/A</v>
      </c>
      <c r="S695" s="57" t="e">
        <f>VLOOKUP($I695,'Pricing Table - eff 27-Jan-2026'!$A:$Q,16,FALSE)</f>
        <v>#N/A</v>
      </c>
      <c r="T695" s="57" t="e">
        <f>VLOOKUP(I695,'Pricing Table - eff 27-Jan-2026'!$A:$O,15,FALSE)</f>
        <v>#N/A</v>
      </c>
      <c r="U695" s="57" t="e">
        <f t="shared" si="31"/>
        <v>#N/A</v>
      </c>
      <c r="V695" s="111" t="e">
        <f t="shared" si="30"/>
        <v>#N/A</v>
      </c>
      <c r="W695" s="55" t="e">
        <f>VLOOKUP($I695,'Pricing Table - eff 27-Jan-2026'!$A:$R,18,FALSE)</f>
        <v>#N/A</v>
      </c>
    </row>
    <row r="696" spans="1:23" hidden="1" x14ac:dyDescent="0.3">
      <c r="A696" s="55"/>
      <c r="B696" s="55"/>
      <c r="C696" s="55">
        <f>VLOOKUP(A696&amp;"-"&amp;B696,'Order Summary'!$D:$E,2,FALSE)</f>
        <v>0</v>
      </c>
      <c r="D696" s="216" t="str">
        <f>IF($A696="","",VLOOKUP($A696&amp;"-"&amp;$B696,'Order Summary'!$D:$U,3,FALSE))</f>
        <v/>
      </c>
      <c r="E696" s="55" t="str">
        <f>VLOOKUP(A696&amp;"-"&amp;B696,'Order Summary'!$D:$G,4,FALSE)</f>
        <v>Yes</v>
      </c>
      <c r="F696" s="55" t="e">
        <f>VLOOKUP($A696,'Order Summary'!$B:$I,8,FALSE)</f>
        <v>#N/A</v>
      </c>
      <c r="G696" s="216" t="str">
        <f>IF($A696="","",VLOOKUP($A696&amp;"-"&amp;$B696,'Order Summary'!$D:$U,18,FALSE))</f>
        <v/>
      </c>
      <c r="H696" s="55"/>
      <c r="I696" s="55"/>
      <c r="J696" s="55" t="e">
        <f>VLOOKUP($I696,'Pricing Table - eff 27-Jan-2026'!$A:$R,2,FALSE)</f>
        <v>#N/A</v>
      </c>
      <c r="K696" s="55" t="e">
        <f>VLOOKUP($I696,'Pricing Table - eff 27-Jan-2026'!$A:$R,6,FALSE)&amp;" "&amp;VLOOKUP($I696,'Pricing Table - eff 27-Jan-2026'!$A:$R,7,FALSE)&amp;""" x "&amp;VLOOKUP($I696,'Pricing Table - eff 27-Jan-2026'!$A:$R,9,FALSE)&amp;""" "&amp;VLOOKUP($I696,'Pricing Table - eff 27-Jan-2026'!$A:$R,5,FALSE)</f>
        <v>#N/A</v>
      </c>
      <c r="L696" s="55" t="e">
        <f>VLOOKUP($I696,'Pricing Table - eff 27-Jan-2026'!$A:$K,8,FALSE)</f>
        <v>#N/A</v>
      </c>
      <c r="M696" s="55" t="e">
        <f>VLOOKUP($I696,'Pricing Table - eff 27-Jan-2026'!$A:$K,10,FALSE)</f>
        <v>#N/A</v>
      </c>
      <c r="N696" s="55" t="e">
        <f>VLOOKUP($I696,'Pricing Table - eff 27-Jan-2026'!$A:$R,13,FALSE)&amp;" "&amp;VLOOKUP($I696,'Pricing Table - eff 27-Jan-2026'!$A:$R,12,FALSE)</f>
        <v>#N/A</v>
      </c>
      <c r="O696" s="56"/>
      <c r="P696" s="55" t="e">
        <f>(VLOOKUP($I696,'Pricing Table - eff 27-Jan-2026'!$A:$R,8,FALSE)/1000)*(VLOOKUP($I696,'Pricing Table - eff 27-Jan-2026'!$A:$R,10,FALSE)/1000)*Q696</f>
        <v>#N/A</v>
      </c>
      <c r="Q696" s="55" t="e">
        <f>ROUND(('Order Details'!$O696*1000)/((VLOOKUP($I696,'Pricing Table - eff 27-Jan-2026'!$A:$Q,7,FALSE)/12)*(VLOOKUP($I696,'Pricing Table - eff 27-Jan-2026'!$A:$Q,9,FALSE)/12))/5,0)*5</f>
        <v>#N/A</v>
      </c>
      <c r="R696" s="71" t="e">
        <f>$Q696/IFERROR(VLOOKUP($F696&amp;RIGHT($K696,8),'Master Data'!$O$5:$P$10,2,FALSE),'Master Data'!$P$4)</f>
        <v>#N/A</v>
      </c>
      <c r="S696" s="57" t="e">
        <f>VLOOKUP($I696,'Pricing Table - eff 27-Jan-2026'!$A:$Q,16,FALSE)</f>
        <v>#N/A</v>
      </c>
      <c r="T696" s="57" t="e">
        <f>VLOOKUP(I696,'Pricing Table - eff 27-Jan-2026'!$A:$O,15,FALSE)</f>
        <v>#N/A</v>
      </c>
      <c r="U696" s="57" t="e">
        <f t="shared" si="31"/>
        <v>#N/A</v>
      </c>
      <c r="V696" s="111" t="e">
        <f t="shared" si="30"/>
        <v>#N/A</v>
      </c>
      <c r="W696" s="55" t="e">
        <f>VLOOKUP($I696,'Pricing Table - eff 27-Jan-2026'!$A:$R,18,FALSE)</f>
        <v>#N/A</v>
      </c>
    </row>
    <row r="697" spans="1:23" hidden="1" x14ac:dyDescent="0.3">
      <c r="A697" s="55"/>
      <c r="B697" s="55"/>
      <c r="C697" s="55">
        <f>VLOOKUP(A697&amp;"-"&amp;B697,'Order Summary'!$D:$E,2,FALSE)</f>
        <v>0</v>
      </c>
      <c r="D697" s="216" t="str">
        <f>IF($A697="","",VLOOKUP($A697&amp;"-"&amp;$B697,'Order Summary'!$D:$U,3,FALSE))</f>
        <v/>
      </c>
      <c r="E697" s="55" t="str">
        <f>VLOOKUP(A697&amp;"-"&amp;B697,'Order Summary'!$D:$G,4,FALSE)</f>
        <v>Yes</v>
      </c>
      <c r="F697" s="55" t="e">
        <f>VLOOKUP($A697,'Order Summary'!$B:$I,8,FALSE)</f>
        <v>#N/A</v>
      </c>
      <c r="G697" s="216" t="str">
        <f>IF($A697="","",VLOOKUP($A697&amp;"-"&amp;$B697,'Order Summary'!$D:$U,18,FALSE))</f>
        <v/>
      </c>
      <c r="H697" s="55"/>
      <c r="I697" s="55"/>
      <c r="J697" s="55" t="e">
        <f>VLOOKUP($I697,'Pricing Table - eff 27-Jan-2026'!$A:$R,2,FALSE)</f>
        <v>#N/A</v>
      </c>
      <c r="K697" s="55" t="e">
        <f>VLOOKUP($I697,'Pricing Table - eff 27-Jan-2026'!$A:$R,6,FALSE)&amp;" "&amp;VLOOKUP($I697,'Pricing Table - eff 27-Jan-2026'!$A:$R,7,FALSE)&amp;""" x "&amp;VLOOKUP($I697,'Pricing Table - eff 27-Jan-2026'!$A:$R,9,FALSE)&amp;""" "&amp;VLOOKUP($I697,'Pricing Table - eff 27-Jan-2026'!$A:$R,5,FALSE)</f>
        <v>#N/A</v>
      </c>
      <c r="L697" s="55" t="e">
        <f>VLOOKUP($I697,'Pricing Table - eff 27-Jan-2026'!$A:$K,8,FALSE)</f>
        <v>#N/A</v>
      </c>
      <c r="M697" s="55" t="e">
        <f>VLOOKUP($I697,'Pricing Table - eff 27-Jan-2026'!$A:$K,10,FALSE)</f>
        <v>#N/A</v>
      </c>
      <c r="N697" s="55" t="e">
        <f>VLOOKUP($I697,'Pricing Table - eff 27-Jan-2026'!$A:$R,13,FALSE)&amp;" "&amp;VLOOKUP($I697,'Pricing Table - eff 27-Jan-2026'!$A:$R,12,FALSE)</f>
        <v>#N/A</v>
      </c>
      <c r="O697" s="56"/>
      <c r="P697" s="55" t="e">
        <f>(VLOOKUP($I697,'Pricing Table - eff 27-Jan-2026'!$A:$R,8,FALSE)/1000)*(VLOOKUP($I697,'Pricing Table - eff 27-Jan-2026'!$A:$R,10,FALSE)/1000)*Q697</f>
        <v>#N/A</v>
      </c>
      <c r="Q697" s="55" t="e">
        <f>ROUND(('Order Details'!$O697*1000)/((VLOOKUP($I697,'Pricing Table - eff 27-Jan-2026'!$A:$Q,7,FALSE)/12)*(VLOOKUP($I697,'Pricing Table - eff 27-Jan-2026'!$A:$Q,9,FALSE)/12))/5,0)*5</f>
        <v>#N/A</v>
      </c>
      <c r="R697" s="71" t="e">
        <f>$Q697/IFERROR(VLOOKUP($F697&amp;RIGHT($K697,8),'Master Data'!$O$5:$P$10,2,FALSE),'Master Data'!$P$4)</f>
        <v>#N/A</v>
      </c>
      <c r="S697" s="57" t="e">
        <f>VLOOKUP($I697,'Pricing Table - eff 27-Jan-2026'!$A:$Q,16,FALSE)</f>
        <v>#N/A</v>
      </c>
      <c r="T697" s="57" t="e">
        <f>VLOOKUP(I697,'Pricing Table - eff 27-Jan-2026'!$A:$O,15,FALSE)</f>
        <v>#N/A</v>
      </c>
      <c r="U697" s="57" t="e">
        <f t="shared" si="31"/>
        <v>#N/A</v>
      </c>
      <c r="V697" s="111" t="e">
        <f t="shared" si="30"/>
        <v>#N/A</v>
      </c>
      <c r="W697" s="55" t="e">
        <f>VLOOKUP($I697,'Pricing Table - eff 27-Jan-2026'!$A:$R,18,FALSE)</f>
        <v>#N/A</v>
      </c>
    </row>
    <row r="698" spans="1:23" hidden="1" x14ac:dyDescent="0.3">
      <c r="A698" s="55"/>
      <c r="B698" s="55"/>
      <c r="C698" s="55">
        <f>VLOOKUP(A698&amp;"-"&amp;B698,'Order Summary'!$D:$E,2,FALSE)</f>
        <v>0</v>
      </c>
      <c r="D698" s="216" t="str">
        <f>IF($A698="","",VLOOKUP($A698&amp;"-"&amp;$B698,'Order Summary'!$D:$U,3,FALSE))</f>
        <v/>
      </c>
      <c r="E698" s="55" t="str">
        <f>VLOOKUP(A698&amp;"-"&amp;B698,'Order Summary'!$D:$G,4,FALSE)</f>
        <v>Yes</v>
      </c>
      <c r="F698" s="55" t="e">
        <f>VLOOKUP($A698,'Order Summary'!$B:$I,8,FALSE)</f>
        <v>#N/A</v>
      </c>
      <c r="G698" s="216" t="str">
        <f>IF($A698="","",VLOOKUP($A698&amp;"-"&amp;$B698,'Order Summary'!$D:$U,18,FALSE))</f>
        <v/>
      </c>
      <c r="H698" s="55"/>
      <c r="I698" s="55"/>
      <c r="J698" s="55" t="e">
        <f>VLOOKUP($I698,'Pricing Table - eff 27-Jan-2026'!$A:$R,2,FALSE)</f>
        <v>#N/A</v>
      </c>
      <c r="K698" s="55" t="e">
        <f>VLOOKUP($I698,'Pricing Table - eff 27-Jan-2026'!$A:$R,6,FALSE)&amp;" "&amp;VLOOKUP($I698,'Pricing Table - eff 27-Jan-2026'!$A:$R,7,FALSE)&amp;""" x "&amp;VLOOKUP($I698,'Pricing Table - eff 27-Jan-2026'!$A:$R,9,FALSE)&amp;""" "&amp;VLOOKUP($I698,'Pricing Table - eff 27-Jan-2026'!$A:$R,5,FALSE)</f>
        <v>#N/A</v>
      </c>
      <c r="L698" s="55" t="e">
        <f>VLOOKUP($I698,'Pricing Table - eff 27-Jan-2026'!$A:$K,8,FALSE)</f>
        <v>#N/A</v>
      </c>
      <c r="M698" s="55" t="e">
        <f>VLOOKUP($I698,'Pricing Table - eff 27-Jan-2026'!$A:$K,10,FALSE)</f>
        <v>#N/A</v>
      </c>
      <c r="N698" s="55" t="e">
        <f>VLOOKUP($I698,'Pricing Table - eff 27-Jan-2026'!$A:$R,13,FALSE)&amp;" "&amp;VLOOKUP($I698,'Pricing Table - eff 27-Jan-2026'!$A:$R,12,FALSE)</f>
        <v>#N/A</v>
      </c>
      <c r="O698" s="56"/>
      <c r="P698" s="55" t="e">
        <f>(VLOOKUP($I698,'Pricing Table - eff 27-Jan-2026'!$A:$R,8,FALSE)/1000)*(VLOOKUP($I698,'Pricing Table - eff 27-Jan-2026'!$A:$R,10,FALSE)/1000)*Q698</f>
        <v>#N/A</v>
      </c>
      <c r="Q698" s="55" t="e">
        <f>ROUND(('Order Details'!$O698*1000)/((VLOOKUP($I698,'Pricing Table - eff 27-Jan-2026'!$A:$Q,7,FALSE)/12)*(VLOOKUP($I698,'Pricing Table - eff 27-Jan-2026'!$A:$Q,9,FALSE)/12))/5,0)*5</f>
        <v>#N/A</v>
      </c>
      <c r="R698" s="71" t="e">
        <f>$Q698/IFERROR(VLOOKUP($F698&amp;RIGHT($K698,8),'Master Data'!$O$5:$P$10,2,FALSE),'Master Data'!$P$4)</f>
        <v>#N/A</v>
      </c>
      <c r="S698" s="57" t="e">
        <f>VLOOKUP($I698,'Pricing Table - eff 27-Jan-2026'!$A:$Q,16,FALSE)</f>
        <v>#N/A</v>
      </c>
      <c r="T698" s="57" t="e">
        <f>VLOOKUP(I698,'Pricing Table - eff 27-Jan-2026'!$A:$O,15,FALSE)</f>
        <v>#N/A</v>
      </c>
      <c r="U698" s="57" t="e">
        <f t="shared" si="31"/>
        <v>#N/A</v>
      </c>
      <c r="V698" s="111" t="e">
        <f t="shared" si="30"/>
        <v>#N/A</v>
      </c>
      <c r="W698" s="55" t="e">
        <f>VLOOKUP($I698,'Pricing Table - eff 27-Jan-2026'!$A:$R,18,FALSE)</f>
        <v>#N/A</v>
      </c>
    </row>
    <row r="699" spans="1:23" hidden="1" x14ac:dyDescent="0.3">
      <c r="A699" s="55"/>
      <c r="B699" s="55"/>
      <c r="C699" s="55">
        <f>VLOOKUP(A699&amp;"-"&amp;B699,'Order Summary'!$D:$E,2,FALSE)</f>
        <v>0</v>
      </c>
      <c r="D699" s="216" t="str">
        <f>IF($A699="","",VLOOKUP($A699&amp;"-"&amp;$B699,'Order Summary'!$D:$U,3,FALSE))</f>
        <v/>
      </c>
      <c r="E699" s="55" t="str">
        <f>VLOOKUP(A699&amp;"-"&amp;B699,'Order Summary'!$D:$G,4,FALSE)</f>
        <v>Yes</v>
      </c>
      <c r="F699" s="55" t="e">
        <f>VLOOKUP($A699,'Order Summary'!$B:$I,8,FALSE)</f>
        <v>#N/A</v>
      </c>
      <c r="G699" s="216" t="str">
        <f>IF($A699="","",VLOOKUP($A699&amp;"-"&amp;$B699,'Order Summary'!$D:$U,18,FALSE))</f>
        <v/>
      </c>
      <c r="H699" s="55"/>
      <c r="I699" s="55"/>
      <c r="J699" s="55" t="e">
        <f>VLOOKUP($I699,'Pricing Table - eff 27-Jan-2026'!$A:$R,2,FALSE)</f>
        <v>#N/A</v>
      </c>
      <c r="K699" s="55" t="e">
        <f>VLOOKUP($I699,'Pricing Table - eff 27-Jan-2026'!$A:$R,6,FALSE)&amp;" "&amp;VLOOKUP($I699,'Pricing Table - eff 27-Jan-2026'!$A:$R,7,FALSE)&amp;""" x "&amp;VLOOKUP($I699,'Pricing Table - eff 27-Jan-2026'!$A:$R,9,FALSE)&amp;""" "&amp;VLOOKUP($I699,'Pricing Table - eff 27-Jan-2026'!$A:$R,5,FALSE)</f>
        <v>#N/A</v>
      </c>
      <c r="L699" s="55" t="e">
        <f>VLOOKUP($I699,'Pricing Table - eff 27-Jan-2026'!$A:$K,8,FALSE)</f>
        <v>#N/A</v>
      </c>
      <c r="M699" s="55" t="e">
        <f>VLOOKUP($I699,'Pricing Table - eff 27-Jan-2026'!$A:$K,10,FALSE)</f>
        <v>#N/A</v>
      </c>
      <c r="N699" s="55" t="e">
        <f>VLOOKUP($I699,'Pricing Table - eff 27-Jan-2026'!$A:$R,13,FALSE)&amp;" "&amp;VLOOKUP($I699,'Pricing Table - eff 27-Jan-2026'!$A:$R,12,FALSE)</f>
        <v>#N/A</v>
      </c>
      <c r="O699" s="56"/>
      <c r="P699" s="55" t="e">
        <f>(VLOOKUP($I699,'Pricing Table - eff 27-Jan-2026'!$A:$R,8,FALSE)/1000)*(VLOOKUP($I699,'Pricing Table - eff 27-Jan-2026'!$A:$R,10,FALSE)/1000)*Q699</f>
        <v>#N/A</v>
      </c>
      <c r="Q699" s="55" t="e">
        <f>ROUND(('Order Details'!$O699*1000)/((VLOOKUP($I699,'Pricing Table - eff 27-Jan-2026'!$A:$Q,7,FALSE)/12)*(VLOOKUP($I699,'Pricing Table - eff 27-Jan-2026'!$A:$Q,9,FALSE)/12))/5,0)*5</f>
        <v>#N/A</v>
      </c>
      <c r="R699" s="71" t="e">
        <f>$Q699/IFERROR(VLOOKUP($F699&amp;RIGHT($K699,8),'Master Data'!$O$5:$P$10,2,FALSE),'Master Data'!$P$4)</f>
        <v>#N/A</v>
      </c>
      <c r="S699" s="57" t="e">
        <f>VLOOKUP($I699,'Pricing Table - eff 27-Jan-2026'!$A:$Q,16,FALSE)</f>
        <v>#N/A</v>
      </c>
      <c r="T699" s="57" t="e">
        <f>VLOOKUP(I699,'Pricing Table - eff 27-Jan-2026'!$A:$O,15,FALSE)</f>
        <v>#N/A</v>
      </c>
      <c r="U699" s="57" t="e">
        <f t="shared" si="31"/>
        <v>#N/A</v>
      </c>
      <c r="V699" s="111" t="e">
        <f t="shared" si="30"/>
        <v>#N/A</v>
      </c>
      <c r="W699" s="55" t="e">
        <f>VLOOKUP($I699,'Pricing Table - eff 27-Jan-2026'!$A:$R,18,FALSE)</f>
        <v>#N/A</v>
      </c>
    </row>
    <row r="700" spans="1:23" hidden="1" x14ac:dyDescent="0.3">
      <c r="A700" s="55"/>
      <c r="B700" s="55"/>
      <c r="C700" s="55">
        <f>VLOOKUP(A700&amp;"-"&amp;B700,'Order Summary'!$D:$E,2,FALSE)</f>
        <v>0</v>
      </c>
      <c r="D700" s="216" t="str">
        <f>IF($A700="","",VLOOKUP($A700&amp;"-"&amp;$B700,'Order Summary'!$D:$U,3,FALSE))</f>
        <v/>
      </c>
      <c r="E700" s="55" t="str">
        <f>VLOOKUP(A700&amp;"-"&amp;B700,'Order Summary'!$D:$G,4,FALSE)</f>
        <v>Yes</v>
      </c>
      <c r="F700" s="55" t="e">
        <f>VLOOKUP($A700,'Order Summary'!$B:$I,8,FALSE)</f>
        <v>#N/A</v>
      </c>
      <c r="G700" s="216" t="str">
        <f>IF($A700="","",VLOOKUP($A700&amp;"-"&amp;$B700,'Order Summary'!$D:$U,18,FALSE))</f>
        <v/>
      </c>
      <c r="H700" s="55"/>
      <c r="I700" s="55"/>
      <c r="J700" s="55" t="e">
        <f>VLOOKUP($I700,'Pricing Table - eff 27-Jan-2026'!$A:$R,2,FALSE)</f>
        <v>#N/A</v>
      </c>
      <c r="K700" s="55" t="e">
        <f>VLOOKUP($I700,'Pricing Table - eff 27-Jan-2026'!$A:$R,6,FALSE)&amp;" "&amp;VLOOKUP($I700,'Pricing Table - eff 27-Jan-2026'!$A:$R,7,FALSE)&amp;""" x "&amp;VLOOKUP($I700,'Pricing Table - eff 27-Jan-2026'!$A:$R,9,FALSE)&amp;""" "&amp;VLOOKUP($I700,'Pricing Table - eff 27-Jan-2026'!$A:$R,5,FALSE)</f>
        <v>#N/A</v>
      </c>
      <c r="L700" s="55" t="e">
        <f>VLOOKUP($I700,'Pricing Table - eff 27-Jan-2026'!$A:$K,8,FALSE)</f>
        <v>#N/A</v>
      </c>
      <c r="M700" s="55" t="e">
        <f>VLOOKUP($I700,'Pricing Table - eff 27-Jan-2026'!$A:$K,10,FALSE)</f>
        <v>#N/A</v>
      </c>
      <c r="N700" s="55" t="e">
        <f>VLOOKUP($I700,'Pricing Table - eff 27-Jan-2026'!$A:$R,13,FALSE)&amp;" "&amp;VLOOKUP($I700,'Pricing Table - eff 27-Jan-2026'!$A:$R,12,FALSE)</f>
        <v>#N/A</v>
      </c>
      <c r="O700" s="56"/>
      <c r="P700" s="55" t="e">
        <f>(VLOOKUP($I700,'Pricing Table - eff 27-Jan-2026'!$A:$R,8,FALSE)/1000)*(VLOOKUP($I700,'Pricing Table - eff 27-Jan-2026'!$A:$R,10,FALSE)/1000)*Q700</f>
        <v>#N/A</v>
      </c>
      <c r="Q700" s="55" t="e">
        <f>ROUND(('Order Details'!$O700*1000)/((VLOOKUP($I700,'Pricing Table - eff 27-Jan-2026'!$A:$Q,7,FALSE)/12)*(VLOOKUP($I700,'Pricing Table - eff 27-Jan-2026'!$A:$Q,9,FALSE)/12))/5,0)*5</f>
        <v>#N/A</v>
      </c>
      <c r="R700" s="71" t="e">
        <f>$Q700/IFERROR(VLOOKUP($F700&amp;RIGHT($K700,8),'Master Data'!$O$5:$P$10,2,FALSE),'Master Data'!$P$4)</f>
        <v>#N/A</v>
      </c>
      <c r="S700" s="57" t="e">
        <f>VLOOKUP($I700,'Pricing Table - eff 27-Jan-2026'!$A:$Q,16,FALSE)</f>
        <v>#N/A</v>
      </c>
      <c r="T700" s="57" t="e">
        <f>VLOOKUP(I700,'Pricing Table - eff 27-Jan-2026'!$A:$O,15,FALSE)</f>
        <v>#N/A</v>
      </c>
      <c r="U700" s="57" t="e">
        <f t="shared" si="31"/>
        <v>#N/A</v>
      </c>
      <c r="V700" s="111" t="e">
        <f t="shared" si="30"/>
        <v>#N/A</v>
      </c>
      <c r="W700" s="55" t="e">
        <f>VLOOKUP($I700,'Pricing Table - eff 27-Jan-2026'!$A:$R,18,FALSE)</f>
        <v>#N/A</v>
      </c>
    </row>
    <row r="701" spans="1:23" hidden="1" x14ac:dyDescent="0.3">
      <c r="A701" s="55"/>
      <c r="B701" s="55"/>
      <c r="C701" s="55">
        <f>VLOOKUP(A701&amp;"-"&amp;B701,'Order Summary'!$D:$E,2,FALSE)</f>
        <v>0</v>
      </c>
      <c r="D701" s="216" t="str">
        <f>IF($A701="","",VLOOKUP($A701&amp;"-"&amp;$B701,'Order Summary'!$D:$U,3,FALSE))</f>
        <v/>
      </c>
      <c r="E701" s="55" t="str">
        <f>VLOOKUP(A701&amp;"-"&amp;B701,'Order Summary'!$D:$G,4,FALSE)</f>
        <v>Yes</v>
      </c>
      <c r="F701" s="55" t="e">
        <f>VLOOKUP($A701,'Order Summary'!$B:$I,8,FALSE)</f>
        <v>#N/A</v>
      </c>
      <c r="G701" s="216" t="str">
        <f>IF($A701="","",VLOOKUP($A701&amp;"-"&amp;$B701,'Order Summary'!$D:$U,18,FALSE))</f>
        <v/>
      </c>
      <c r="H701" s="55"/>
      <c r="I701" s="55"/>
      <c r="J701" s="55" t="e">
        <f>VLOOKUP($I701,'Pricing Table - eff 27-Jan-2026'!$A:$R,2,FALSE)</f>
        <v>#N/A</v>
      </c>
      <c r="K701" s="55" t="e">
        <f>VLOOKUP($I701,'Pricing Table - eff 27-Jan-2026'!$A:$R,6,FALSE)&amp;" "&amp;VLOOKUP($I701,'Pricing Table - eff 27-Jan-2026'!$A:$R,7,FALSE)&amp;""" x "&amp;VLOOKUP($I701,'Pricing Table - eff 27-Jan-2026'!$A:$R,9,FALSE)&amp;""" "&amp;VLOOKUP($I701,'Pricing Table - eff 27-Jan-2026'!$A:$R,5,FALSE)</f>
        <v>#N/A</v>
      </c>
      <c r="L701" s="55" t="e">
        <f>VLOOKUP($I701,'Pricing Table - eff 27-Jan-2026'!$A:$K,8,FALSE)</f>
        <v>#N/A</v>
      </c>
      <c r="M701" s="55" t="e">
        <f>VLOOKUP($I701,'Pricing Table - eff 27-Jan-2026'!$A:$K,10,FALSE)</f>
        <v>#N/A</v>
      </c>
      <c r="N701" s="55" t="e">
        <f>VLOOKUP($I701,'Pricing Table - eff 27-Jan-2026'!$A:$R,13,FALSE)&amp;" "&amp;VLOOKUP($I701,'Pricing Table - eff 27-Jan-2026'!$A:$R,12,FALSE)</f>
        <v>#N/A</v>
      </c>
      <c r="O701" s="56"/>
      <c r="P701" s="55" t="e">
        <f>(VLOOKUP($I701,'Pricing Table - eff 27-Jan-2026'!$A:$R,8,FALSE)/1000)*(VLOOKUP($I701,'Pricing Table - eff 27-Jan-2026'!$A:$R,10,FALSE)/1000)*Q701</f>
        <v>#N/A</v>
      </c>
      <c r="Q701" s="55" t="e">
        <f>ROUND(('Order Details'!$O701*1000)/((VLOOKUP($I701,'Pricing Table - eff 27-Jan-2026'!$A:$Q,7,FALSE)/12)*(VLOOKUP($I701,'Pricing Table - eff 27-Jan-2026'!$A:$Q,9,FALSE)/12))/5,0)*5</f>
        <v>#N/A</v>
      </c>
      <c r="R701" s="71" t="e">
        <f>$Q701/IFERROR(VLOOKUP($F701&amp;RIGHT($K701,8),'Master Data'!$O$5:$P$10,2,FALSE),'Master Data'!$P$4)</f>
        <v>#N/A</v>
      </c>
      <c r="S701" s="57" t="e">
        <f>VLOOKUP($I701,'Pricing Table - eff 27-Jan-2026'!$A:$Q,16,FALSE)</f>
        <v>#N/A</v>
      </c>
      <c r="T701" s="57" t="e">
        <f>VLOOKUP(I701,'Pricing Table - eff 27-Jan-2026'!$A:$O,15,FALSE)</f>
        <v>#N/A</v>
      </c>
      <c r="U701" s="57" t="e">
        <f t="shared" si="31"/>
        <v>#N/A</v>
      </c>
      <c r="V701" s="111" t="e">
        <f t="shared" si="30"/>
        <v>#N/A</v>
      </c>
      <c r="W701" s="55" t="e">
        <f>VLOOKUP($I701,'Pricing Table - eff 27-Jan-2026'!$A:$R,18,FALSE)</f>
        <v>#N/A</v>
      </c>
    </row>
    <row r="702" spans="1:23" hidden="1" x14ac:dyDescent="0.3">
      <c r="A702" s="55"/>
      <c r="B702" s="55"/>
      <c r="C702" s="55">
        <f>VLOOKUP(A702&amp;"-"&amp;B702,'Order Summary'!$D:$E,2,FALSE)</f>
        <v>0</v>
      </c>
      <c r="D702" s="216" t="str">
        <f>IF($A702="","",VLOOKUP($A702&amp;"-"&amp;$B702,'Order Summary'!$D:$U,3,FALSE))</f>
        <v/>
      </c>
      <c r="E702" s="55" t="str">
        <f>VLOOKUP(A702&amp;"-"&amp;B702,'Order Summary'!$D:$G,4,FALSE)</f>
        <v>Yes</v>
      </c>
      <c r="F702" s="55" t="e">
        <f>VLOOKUP($A702,'Order Summary'!$B:$I,8,FALSE)</f>
        <v>#N/A</v>
      </c>
      <c r="G702" s="216" t="str">
        <f>IF($A702="","",VLOOKUP($A702&amp;"-"&amp;$B702,'Order Summary'!$D:$U,18,FALSE))</f>
        <v/>
      </c>
      <c r="H702" s="55"/>
      <c r="I702" s="55"/>
      <c r="J702" s="55" t="e">
        <f>VLOOKUP($I702,'Pricing Table - eff 27-Jan-2026'!$A:$R,2,FALSE)</f>
        <v>#N/A</v>
      </c>
      <c r="K702" s="55" t="e">
        <f>VLOOKUP($I702,'Pricing Table - eff 27-Jan-2026'!$A:$R,6,FALSE)&amp;" "&amp;VLOOKUP($I702,'Pricing Table - eff 27-Jan-2026'!$A:$R,7,FALSE)&amp;""" x "&amp;VLOOKUP($I702,'Pricing Table - eff 27-Jan-2026'!$A:$R,9,FALSE)&amp;""" "&amp;VLOOKUP($I702,'Pricing Table - eff 27-Jan-2026'!$A:$R,5,FALSE)</f>
        <v>#N/A</v>
      </c>
      <c r="L702" s="55" t="e">
        <f>VLOOKUP($I702,'Pricing Table - eff 27-Jan-2026'!$A:$K,8,FALSE)</f>
        <v>#N/A</v>
      </c>
      <c r="M702" s="55" t="e">
        <f>VLOOKUP($I702,'Pricing Table - eff 27-Jan-2026'!$A:$K,10,FALSE)</f>
        <v>#N/A</v>
      </c>
      <c r="N702" s="55" t="e">
        <f>VLOOKUP($I702,'Pricing Table - eff 27-Jan-2026'!$A:$R,13,FALSE)&amp;" "&amp;VLOOKUP($I702,'Pricing Table - eff 27-Jan-2026'!$A:$R,12,FALSE)</f>
        <v>#N/A</v>
      </c>
      <c r="O702" s="56"/>
      <c r="P702" s="55" t="e">
        <f>(VLOOKUP($I702,'Pricing Table - eff 27-Jan-2026'!$A:$R,8,FALSE)/1000)*(VLOOKUP($I702,'Pricing Table - eff 27-Jan-2026'!$A:$R,10,FALSE)/1000)*Q702</f>
        <v>#N/A</v>
      </c>
      <c r="Q702" s="55" t="e">
        <f>ROUND(('Order Details'!$O702*1000)/((VLOOKUP($I702,'Pricing Table - eff 27-Jan-2026'!$A:$Q,7,FALSE)/12)*(VLOOKUP($I702,'Pricing Table - eff 27-Jan-2026'!$A:$Q,9,FALSE)/12))/5,0)*5</f>
        <v>#N/A</v>
      </c>
      <c r="R702" s="71" t="e">
        <f>$Q702/IFERROR(VLOOKUP($F702&amp;RIGHT($K702,8),'Master Data'!$O$5:$P$10,2,FALSE),'Master Data'!$P$4)</f>
        <v>#N/A</v>
      </c>
      <c r="S702" s="57" t="e">
        <f>VLOOKUP($I702,'Pricing Table - eff 27-Jan-2026'!$A:$Q,16,FALSE)</f>
        <v>#N/A</v>
      </c>
      <c r="T702" s="57" t="e">
        <f>VLOOKUP(I702,'Pricing Table - eff 27-Jan-2026'!$A:$O,15,FALSE)</f>
        <v>#N/A</v>
      </c>
      <c r="U702" s="57" t="e">
        <f t="shared" si="31"/>
        <v>#N/A</v>
      </c>
      <c r="V702" s="111" t="e">
        <f t="shared" ref="V702:V765" si="32">P702*T702</f>
        <v>#N/A</v>
      </c>
      <c r="W702" s="55" t="e">
        <f>VLOOKUP($I702,'Pricing Table - eff 27-Jan-2026'!$A:$R,18,FALSE)</f>
        <v>#N/A</v>
      </c>
    </row>
    <row r="703" spans="1:23" hidden="1" x14ac:dyDescent="0.3">
      <c r="A703" s="55"/>
      <c r="B703" s="55"/>
      <c r="C703" s="55">
        <f>VLOOKUP(A703&amp;"-"&amp;B703,'Order Summary'!$D:$E,2,FALSE)</f>
        <v>0</v>
      </c>
      <c r="D703" s="216" t="str">
        <f>IF($A703="","",VLOOKUP($A703&amp;"-"&amp;$B703,'Order Summary'!$D:$U,3,FALSE))</f>
        <v/>
      </c>
      <c r="E703" s="55" t="str">
        <f>VLOOKUP(A703&amp;"-"&amp;B703,'Order Summary'!$D:$G,4,FALSE)</f>
        <v>Yes</v>
      </c>
      <c r="F703" s="55" t="e">
        <f>VLOOKUP($A703,'Order Summary'!$B:$I,8,FALSE)</f>
        <v>#N/A</v>
      </c>
      <c r="G703" s="216" t="str">
        <f>IF($A703="","",VLOOKUP($A703&amp;"-"&amp;$B703,'Order Summary'!$D:$U,18,FALSE))</f>
        <v/>
      </c>
      <c r="H703" s="55"/>
      <c r="I703" s="55"/>
      <c r="J703" s="55" t="e">
        <f>VLOOKUP($I703,'Pricing Table - eff 27-Jan-2026'!$A:$R,2,FALSE)</f>
        <v>#N/A</v>
      </c>
      <c r="K703" s="55" t="e">
        <f>VLOOKUP($I703,'Pricing Table - eff 27-Jan-2026'!$A:$R,6,FALSE)&amp;" "&amp;VLOOKUP($I703,'Pricing Table - eff 27-Jan-2026'!$A:$R,7,FALSE)&amp;""" x "&amp;VLOOKUP($I703,'Pricing Table - eff 27-Jan-2026'!$A:$R,9,FALSE)&amp;""" "&amp;VLOOKUP($I703,'Pricing Table - eff 27-Jan-2026'!$A:$R,5,FALSE)</f>
        <v>#N/A</v>
      </c>
      <c r="L703" s="55" t="e">
        <f>VLOOKUP($I703,'Pricing Table - eff 27-Jan-2026'!$A:$K,8,FALSE)</f>
        <v>#N/A</v>
      </c>
      <c r="M703" s="55" t="e">
        <f>VLOOKUP($I703,'Pricing Table - eff 27-Jan-2026'!$A:$K,10,FALSE)</f>
        <v>#N/A</v>
      </c>
      <c r="N703" s="55" t="e">
        <f>VLOOKUP($I703,'Pricing Table - eff 27-Jan-2026'!$A:$R,13,FALSE)&amp;" "&amp;VLOOKUP($I703,'Pricing Table - eff 27-Jan-2026'!$A:$R,12,FALSE)</f>
        <v>#N/A</v>
      </c>
      <c r="O703" s="56"/>
      <c r="P703" s="55" t="e">
        <f>(VLOOKUP($I703,'Pricing Table - eff 27-Jan-2026'!$A:$R,8,FALSE)/1000)*(VLOOKUP($I703,'Pricing Table - eff 27-Jan-2026'!$A:$R,10,FALSE)/1000)*Q703</f>
        <v>#N/A</v>
      </c>
      <c r="Q703" s="55" t="e">
        <f>ROUND(('Order Details'!$O703*1000)/((VLOOKUP($I703,'Pricing Table - eff 27-Jan-2026'!$A:$Q,7,FALSE)/12)*(VLOOKUP($I703,'Pricing Table - eff 27-Jan-2026'!$A:$Q,9,FALSE)/12))/5,0)*5</f>
        <v>#N/A</v>
      </c>
      <c r="R703" s="71" t="e">
        <f>$Q703/IFERROR(VLOOKUP($F703&amp;RIGHT($K703,8),'Master Data'!$O$5:$P$10,2,FALSE),'Master Data'!$P$4)</f>
        <v>#N/A</v>
      </c>
      <c r="S703" s="57" t="e">
        <f>VLOOKUP($I703,'Pricing Table - eff 27-Jan-2026'!$A:$Q,16,FALSE)</f>
        <v>#N/A</v>
      </c>
      <c r="T703" s="57" t="e">
        <f>VLOOKUP(I703,'Pricing Table - eff 27-Jan-2026'!$A:$O,15,FALSE)</f>
        <v>#N/A</v>
      </c>
      <c r="U703" s="57" t="e">
        <f t="shared" si="31"/>
        <v>#N/A</v>
      </c>
      <c r="V703" s="111" t="e">
        <f t="shared" si="32"/>
        <v>#N/A</v>
      </c>
      <c r="W703" s="55" t="e">
        <f>VLOOKUP($I703,'Pricing Table - eff 27-Jan-2026'!$A:$R,18,FALSE)</f>
        <v>#N/A</v>
      </c>
    </row>
    <row r="704" spans="1:23" hidden="1" x14ac:dyDescent="0.3">
      <c r="A704" s="55"/>
      <c r="B704" s="55"/>
      <c r="C704" s="55">
        <f>VLOOKUP(A704&amp;"-"&amp;B704,'Order Summary'!$D:$E,2,FALSE)</f>
        <v>0</v>
      </c>
      <c r="D704" s="216" t="str">
        <f>IF($A704="","",VLOOKUP($A704&amp;"-"&amp;$B704,'Order Summary'!$D:$U,3,FALSE))</f>
        <v/>
      </c>
      <c r="E704" s="55" t="str">
        <f>VLOOKUP(A704&amp;"-"&amp;B704,'Order Summary'!$D:$G,4,FALSE)</f>
        <v>Yes</v>
      </c>
      <c r="F704" s="55" t="e">
        <f>VLOOKUP($A704,'Order Summary'!$B:$I,8,FALSE)</f>
        <v>#N/A</v>
      </c>
      <c r="G704" s="216" t="str">
        <f>IF($A704="","",VLOOKUP($A704&amp;"-"&amp;$B704,'Order Summary'!$D:$U,18,FALSE))</f>
        <v/>
      </c>
      <c r="H704" s="55"/>
      <c r="I704" s="55"/>
      <c r="J704" s="55" t="e">
        <f>VLOOKUP($I704,'Pricing Table - eff 27-Jan-2026'!$A:$R,2,FALSE)</f>
        <v>#N/A</v>
      </c>
      <c r="K704" s="55" t="e">
        <f>VLOOKUP($I704,'Pricing Table - eff 27-Jan-2026'!$A:$R,6,FALSE)&amp;" "&amp;VLOOKUP($I704,'Pricing Table - eff 27-Jan-2026'!$A:$R,7,FALSE)&amp;""" x "&amp;VLOOKUP($I704,'Pricing Table - eff 27-Jan-2026'!$A:$R,9,FALSE)&amp;""" "&amp;VLOOKUP($I704,'Pricing Table - eff 27-Jan-2026'!$A:$R,5,FALSE)</f>
        <v>#N/A</v>
      </c>
      <c r="L704" s="55" t="e">
        <f>VLOOKUP($I704,'Pricing Table - eff 27-Jan-2026'!$A:$K,8,FALSE)</f>
        <v>#N/A</v>
      </c>
      <c r="M704" s="55" t="e">
        <f>VLOOKUP($I704,'Pricing Table - eff 27-Jan-2026'!$A:$K,10,FALSE)</f>
        <v>#N/A</v>
      </c>
      <c r="N704" s="55" t="e">
        <f>VLOOKUP($I704,'Pricing Table - eff 27-Jan-2026'!$A:$R,13,FALSE)&amp;" "&amp;VLOOKUP($I704,'Pricing Table - eff 27-Jan-2026'!$A:$R,12,FALSE)</f>
        <v>#N/A</v>
      </c>
      <c r="O704" s="56"/>
      <c r="P704" s="55" t="e">
        <f>(VLOOKUP($I704,'Pricing Table - eff 27-Jan-2026'!$A:$R,8,FALSE)/1000)*(VLOOKUP($I704,'Pricing Table - eff 27-Jan-2026'!$A:$R,10,FALSE)/1000)*Q704</f>
        <v>#N/A</v>
      </c>
      <c r="Q704" s="55" t="e">
        <f>ROUND(('Order Details'!$O704*1000)/((VLOOKUP($I704,'Pricing Table - eff 27-Jan-2026'!$A:$Q,7,FALSE)/12)*(VLOOKUP($I704,'Pricing Table - eff 27-Jan-2026'!$A:$Q,9,FALSE)/12))/5,0)*5</f>
        <v>#N/A</v>
      </c>
      <c r="R704" s="71" t="e">
        <f>$Q704/IFERROR(VLOOKUP($F704&amp;RIGHT($K704,8),'Master Data'!$O$5:$P$10,2,FALSE),'Master Data'!$P$4)</f>
        <v>#N/A</v>
      </c>
      <c r="S704" s="57" t="e">
        <f>VLOOKUP($I704,'Pricing Table - eff 27-Jan-2026'!$A:$Q,16,FALSE)</f>
        <v>#N/A</v>
      </c>
      <c r="T704" s="57" t="e">
        <f>VLOOKUP(I704,'Pricing Table - eff 27-Jan-2026'!$A:$O,15,FALSE)</f>
        <v>#N/A</v>
      </c>
      <c r="U704" s="57" t="e">
        <f t="shared" si="31"/>
        <v>#N/A</v>
      </c>
      <c r="V704" s="111" t="e">
        <f t="shared" si="32"/>
        <v>#N/A</v>
      </c>
      <c r="W704" s="55" t="e">
        <f>VLOOKUP($I704,'Pricing Table - eff 27-Jan-2026'!$A:$R,18,FALSE)</f>
        <v>#N/A</v>
      </c>
    </row>
    <row r="705" spans="1:23" hidden="1" x14ac:dyDescent="0.3">
      <c r="A705" s="55"/>
      <c r="B705" s="55"/>
      <c r="C705" s="55">
        <f>VLOOKUP(A705&amp;"-"&amp;B705,'Order Summary'!$D:$E,2,FALSE)</f>
        <v>0</v>
      </c>
      <c r="D705" s="216" t="str">
        <f>IF($A705="","",VLOOKUP($A705&amp;"-"&amp;$B705,'Order Summary'!$D:$U,3,FALSE))</f>
        <v/>
      </c>
      <c r="E705" s="55" t="str">
        <f>VLOOKUP(A705&amp;"-"&amp;B705,'Order Summary'!$D:$G,4,FALSE)</f>
        <v>Yes</v>
      </c>
      <c r="F705" s="55" t="e">
        <f>VLOOKUP($A705,'Order Summary'!$B:$I,8,FALSE)</f>
        <v>#N/A</v>
      </c>
      <c r="G705" s="216" t="str">
        <f>IF($A705="","",VLOOKUP($A705&amp;"-"&amp;$B705,'Order Summary'!$D:$U,18,FALSE))</f>
        <v/>
      </c>
      <c r="H705" s="55"/>
      <c r="I705" s="55"/>
      <c r="J705" s="55" t="e">
        <f>VLOOKUP($I705,'Pricing Table - eff 27-Jan-2026'!$A:$R,2,FALSE)</f>
        <v>#N/A</v>
      </c>
      <c r="K705" s="55" t="e">
        <f>VLOOKUP($I705,'Pricing Table - eff 27-Jan-2026'!$A:$R,6,FALSE)&amp;" "&amp;VLOOKUP($I705,'Pricing Table - eff 27-Jan-2026'!$A:$R,7,FALSE)&amp;""" x "&amp;VLOOKUP($I705,'Pricing Table - eff 27-Jan-2026'!$A:$R,9,FALSE)&amp;""" "&amp;VLOOKUP($I705,'Pricing Table - eff 27-Jan-2026'!$A:$R,5,FALSE)</f>
        <v>#N/A</v>
      </c>
      <c r="L705" s="55" t="e">
        <f>VLOOKUP($I705,'Pricing Table - eff 27-Jan-2026'!$A:$K,8,FALSE)</f>
        <v>#N/A</v>
      </c>
      <c r="M705" s="55" t="e">
        <f>VLOOKUP($I705,'Pricing Table - eff 27-Jan-2026'!$A:$K,10,FALSE)</f>
        <v>#N/A</v>
      </c>
      <c r="N705" s="55" t="e">
        <f>VLOOKUP($I705,'Pricing Table - eff 27-Jan-2026'!$A:$R,13,FALSE)&amp;" "&amp;VLOOKUP($I705,'Pricing Table - eff 27-Jan-2026'!$A:$R,12,FALSE)</f>
        <v>#N/A</v>
      </c>
      <c r="O705" s="56"/>
      <c r="P705" s="55" t="e">
        <f>(VLOOKUP($I705,'Pricing Table - eff 27-Jan-2026'!$A:$R,8,FALSE)/1000)*(VLOOKUP($I705,'Pricing Table - eff 27-Jan-2026'!$A:$R,10,FALSE)/1000)*Q705</f>
        <v>#N/A</v>
      </c>
      <c r="Q705" s="55" t="e">
        <f>ROUND(('Order Details'!$O705*1000)/((VLOOKUP($I705,'Pricing Table - eff 27-Jan-2026'!$A:$Q,7,FALSE)/12)*(VLOOKUP($I705,'Pricing Table - eff 27-Jan-2026'!$A:$Q,9,FALSE)/12))/5,0)*5</f>
        <v>#N/A</v>
      </c>
      <c r="R705" s="71" t="e">
        <f>$Q705/IFERROR(VLOOKUP($F705&amp;RIGHT($K705,8),'Master Data'!$O$5:$P$10,2,FALSE),'Master Data'!$P$4)</f>
        <v>#N/A</v>
      </c>
      <c r="S705" s="57" t="e">
        <f>VLOOKUP($I705,'Pricing Table - eff 27-Jan-2026'!$A:$Q,16,FALSE)</f>
        <v>#N/A</v>
      </c>
      <c r="T705" s="57" t="e">
        <f>VLOOKUP(I705,'Pricing Table - eff 27-Jan-2026'!$A:$O,15,FALSE)</f>
        <v>#N/A</v>
      </c>
      <c r="U705" s="57" t="e">
        <f t="shared" si="31"/>
        <v>#N/A</v>
      </c>
      <c r="V705" s="111" t="e">
        <f t="shared" si="32"/>
        <v>#N/A</v>
      </c>
      <c r="W705" s="55" t="e">
        <f>VLOOKUP($I705,'Pricing Table - eff 27-Jan-2026'!$A:$R,18,FALSE)</f>
        <v>#N/A</v>
      </c>
    </row>
    <row r="706" spans="1:23" hidden="1" x14ac:dyDescent="0.3">
      <c r="A706" s="55"/>
      <c r="B706" s="55"/>
      <c r="C706" s="55">
        <f>VLOOKUP(A706&amp;"-"&amp;B706,'Order Summary'!$D:$E,2,FALSE)</f>
        <v>0</v>
      </c>
      <c r="D706" s="216" t="str">
        <f>IF($A706="","",VLOOKUP($A706&amp;"-"&amp;$B706,'Order Summary'!$D:$U,3,FALSE))</f>
        <v/>
      </c>
      <c r="E706" s="55" t="str">
        <f>VLOOKUP(A706&amp;"-"&amp;B706,'Order Summary'!$D:$G,4,FALSE)</f>
        <v>Yes</v>
      </c>
      <c r="F706" s="55" t="e">
        <f>VLOOKUP($A706,'Order Summary'!$B:$I,8,FALSE)</f>
        <v>#N/A</v>
      </c>
      <c r="G706" s="216" t="str">
        <f>IF($A706="","",VLOOKUP($A706&amp;"-"&amp;$B706,'Order Summary'!$D:$U,18,FALSE))</f>
        <v/>
      </c>
      <c r="H706" s="55"/>
      <c r="I706" s="55"/>
      <c r="J706" s="55" t="e">
        <f>VLOOKUP($I706,'Pricing Table - eff 27-Jan-2026'!$A:$R,2,FALSE)</f>
        <v>#N/A</v>
      </c>
      <c r="K706" s="55" t="e">
        <f>VLOOKUP($I706,'Pricing Table - eff 27-Jan-2026'!$A:$R,6,FALSE)&amp;" "&amp;VLOOKUP($I706,'Pricing Table - eff 27-Jan-2026'!$A:$R,7,FALSE)&amp;""" x "&amp;VLOOKUP($I706,'Pricing Table - eff 27-Jan-2026'!$A:$R,9,FALSE)&amp;""" "&amp;VLOOKUP($I706,'Pricing Table - eff 27-Jan-2026'!$A:$R,5,FALSE)</f>
        <v>#N/A</v>
      </c>
      <c r="L706" s="55" t="e">
        <f>VLOOKUP($I706,'Pricing Table - eff 27-Jan-2026'!$A:$K,8,FALSE)</f>
        <v>#N/A</v>
      </c>
      <c r="M706" s="55" t="e">
        <f>VLOOKUP($I706,'Pricing Table - eff 27-Jan-2026'!$A:$K,10,FALSE)</f>
        <v>#N/A</v>
      </c>
      <c r="N706" s="55" t="e">
        <f>VLOOKUP($I706,'Pricing Table - eff 27-Jan-2026'!$A:$R,13,FALSE)&amp;" "&amp;VLOOKUP($I706,'Pricing Table - eff 27-Jan-2026'!$A:$R,12,FALSE)</f>
        <v>#N/A</v>
      </c>
      <c r="O706" s="56"/>
      <c r="P706" s="55" t="e">
        <f>(VLOOKUP($I706,'Pricing Table - eff 27-Jan-2026'!$A:$R,8,FALSE)/1000)*(VLOOKUP($I706,'Pricing Table - eff 27-Jan-2026'!$A:$R,10,FALSE)/1000)*Q706</f>
        <v>#N/A</v>
      </c>
      <c r="Q706" s="55" t="e">
        <f>ROUND(('Order Details'!$O706*1000)/((VLOOKUP($I706,'Pricing Table - eff 27-Jan-2026'!$A:$Q,7,FALSE)/12)*(VLOOKUP($I706,'Pricing Table - eff 27-Jan-2026'!$A:$Q,9,FALSE)/12))/5,0)*5</f>
        <v>#N/A</v>
      </c>
      <c r="R706" s="71" t="e">
        <f>$Q706/IFERROR(VLOOKUP($F706&amp;RIGHT($K706,8),'Master Data'!$O$5:$P$10,2,FALSE),'Master Data'!$P$4)</f>
        <v>#N/A</v>
      </c>
      <c r="S706" s="57" t="e">
        <f>VLOOKUP($I706,'Pricing Table - eff 27-Jan-2026'!$A:$Q,16,FALSE)</f>
        <v>#N/A</v>
      </c>
      <c r="T706" s="57" t="e">
        <f>VLOOKUP(I706,'Pricing Table - eff 27-Jan-2026'!$A:$O,15,FALSE)</f>
        <v>#N/A</v>
      </c>
      <c r="U706" s="57" t="e">
        <f t="shared" si="31"/>
        <v>#N/A</v>
      </c>
      <c r="V706" s="111" t="e">
        <f t="shared" si="32"/>
        <v>#N/A</v>
      </c>
      <c r="W706" s="55" t="e">
        <f>VLOOKUP($I706,'Pricing Table - eff 27-Jan-2026'!$A:$R,18,FALSE)</f>
        <v>#N/A</v>
      </c>
    </row>
    <row r="707" spans="1:23" hidden="1" x14ac:dyDescent="0.3">
      <c r="A707" s="55"/>
      <c r="B707" s="55"/>
      <c r="C707" s="55">
        <f>VLOOKUP(A707&amp;"-"&amp;B707,'Order Summary'!$D:$E,2,FALSE)</f>
        <v>0</v>
      </c>
      <c r="D707" s="216" t="str">
        <f>IF($A707="","",VLOOKUP($A707&amp;"-"&amp;$B707,'Order Summary'!$D:$U,3,FALSE))</f>
        <v/>
      </c>
      <c r="E707" s="55" t="str">
        <f>VLOOKUP(A707&amp;"-"&amp;B707,'Order Summary'!$D:$G,4,FALSE)</f>
        <v>Yes</v>
      </c>
      <c r="F707" s="55" t="e">
        <f>VLOOKUP($A707,'Order Summary'!$B:$I,8,FALSE)</f>
        <v>#N/A</v>
      </c>
      <c r="G707" s="216" t="str">
        <f>IF($A707="","",VLOOKUP($A707&amp;"-"&amp;$B707,'Order Summary'!$D:$U,18,FALSE))</f>
        <v/>
      </c>
      <c r="H707" s="55"/>
      <c r="I707" s="55"/>
      <c r="J707" s="55" t="e">
        <f>VLOOKUP($I707,'Pricing Table - eff 27-Jan-2026'!$A:$R,2,FALSE)</f>
        <v>#N/A</v>
      </c>
      <c r="K707" s="55" t="e">
        <f>VLOOKUP($I707,'Pricing Table - eff 27-Jan-2026'!$A:$R,6,FALSE)&amp;" "&amp;VLOOKUP($I707,'Pricing Table - eff 27-Jan-2026'!$A:$R,7,FALSE)&amp;""" x "&amp;VLOOKUP($I707,'Pricing Table - eff 27-Jan-2026'!$A:$R,9,FALSE)&amp;""" "&amp;VLOOKUP($I707,'Pricing Table - eff 27-Jan-2026'!$A:$R,5,FALSE)</f>
        <v>#N/A</v>
      </c>
      <c r="L707" s="55" t="e">
        <f>VLOOKUP($I707,'Pricing Table - eff 27-Jan-2026'!$A:$K,8,FALSE)</f>
        <v>#N/A</v>
      </c>
      <c r="M707" s="55" t="e">
        <f>VLOOKUP($I707,'Pricing Table - eff 27-Jan-2026'!$A:$K,10,FALSE)</f>
        <v>#N/A</v>
      </c>
      <c r="N707" s="55" t="e">
        <f>VLOOKUP($I707,'Pricing Table - eff 27-Jan-2026'!$A:$R,13,FALSE)&amp;" "&amp;VLOOKUP($I707,'Pricing Table - eff 27-Jan-2026'!$A:$R,12,FALSE)</f>
        <v>#N/A</v>
      </c>
      <c r="O707" s="56"/>
      <c r="P707" s="55" t="e">
        <f>(VLOOKUP($I707,'Pricing Table - eff 27-Jan-2026'!$A:$R,8,FALSE)/1000)*(VLOOKUP($I707,'Pricing Table - eff 27-Jan-2026'!$A:$R,10,FALSE)/1000)*Q707</f>
        <v>#N/A</v>
      </c>
      <c r="Q707" s="55" t="e">
        <f>ROUND(('Order Details'!$O707*1000)/((VLOOKUP($I707,'Pricing Table - eff 27-Jan-2026'!$A:$Q,7,FALSE)/12)*(VLOOKUP($I707,'Pricing Table - eff 27-Jan-2026'!$A:$Q,9,FALSE)/12))/5,0)*5</f>
        <v>#N/A</v>
      </c>
      <c r="R707" s="71" t="e">
        <f>$Q707/IFERROR(VLOOKUP($F707&amp;RIGHT($K707,8),'Master Data'!$O$5:$P$10,2,FALSE),'Master Data'!$P$4)</f>
        <v>#N/A</v>
      </c>
      <c r="S707" s="57" t="e">
        <f>VLOOKUP($I707,'Pricing Table - eff 27-Jan-2026'!$A:$Q,16,FALSE)</f>
        <v>#N/A</v>
      </c>
      <c r="T707" s="57" t="e">
        <f>VLOOKUP(I707,'Pricing Table - eff 27-Jan-2026'!$A:$O,15,FALSE)</f>
        <v>#N/A</v>
      </c>
      <c r="U707" s="57" t="e">
        <f t="shared" si="31"/>
        <v>#N/A</v>
      </c>
      <c r="V707" s="111" t="e">
        <f t="shared" si="32"/>
        <v>#N/A</v>
      </c>
      <c r="W707" s="55" t="e">
        <f>VLOOKUP($I707,'Pricing Table - eff 27-Jan-2026'!$A:$R,18,FALSE)</f>
        <v>#N/A</v>
      </c>
    </row>
    <row r="708" spans="1:23" hidden="1" x14ac:dyDescent="0.3">
      <c r="A708" s="55"/>
      <c r="B708" s="55"/>
      <c r="C708" s="55">
        <f>VLOOKUP(A708&amp;"-"&amp;B708,'Order Summary'!$D:$E,2,FALSE)</f>
        <v>0</v>
      </c>
      <c r="D708" s="216" t="str">
        <f>IF($A708="","",VLOOKUP($A708&amp;"-"&amp;$B708,'Order Summary'!$D:$U,3,FALSE))</f>
        <v/>
      </c>
      <c r="E708" s="55" t="str">
        <f>VLOOKUP(A708&amp;"-"&amp;B708,'Order Summary'!$D:$G,4,FALSE)</f>
        <v>Yes</v>
      </c>
      <c r="F708" s="55" t="e">
        <f>VLOOKUP($A708,'Order Summary'!$B:$I,8,FALSE)</f>
        <v>#N/A</v>
      </c>
      <c r="G708" s="216" t="str">
        <f>IF($A708="","",VLOOKUP($A708&amp;"-"&amp;$B708,'Order Summary'!$D:$U,18,FALSE))</f>
        <v/>
      </c>
      <c r="H708" s="55"/>
      <c r="I708" s="55"/>
      <c r="J708" s="55" t="e">
        <f>VLOOKUP($I708,'Pricing Table - eff 27-Jan-2026'!$A:$R,2,FALSE)</f>
        <v>#N/A</v>
      </c>
      <c r="K708" s="55" t="e">
        <f>VLOOKUP($I708,'Pricing Table - eff 27-Jan-2026'!$A:$R,6,FALSE)&amp;" "&amp;VLOOKUP($I708,'Pricing Table - eff 27-Jan-2026'!$A:$R,7,FALSE)&amp;""" x "&amp;VLOOKUP($I708,'Pricing Table - eff 27-Jan-2026'!$A:$R,9,FALSE)&amp;""" "&amp;VLOOKUP($I708,'Pricing Table - eff 27-Jan-2026'!$A:$R,5,FALSE)</f>
        <v>#N/A</v>
      </c>
      <c r="L708" s="55" t="e">
        <f>VLOOKUP($I708,'Pricing Table - eff 27-Jan-2026'!$A:$K,8,FALSE)</f>
        <v>#N/A</v>
      </c>
      <c r="M708" s="55" t="e">
        <f>VLOOKUP($I708,'Pricing Table - eff 27-Jan-2026'!$A:$K,10,FALSE)</f>
        <v>#N/A</v>
      </c>
      <c r="N708" s="55" t="e">
        <f>VLOOKUP($I708,'Pricing Table - eff 27-Jan-2026'!$A:$R,13,FALSE)&amp;" "&amp;VLOOKUP($I708,'Pricing Table - eff 27-Jan-2026'!$A:$R,12,FALSE)</f>
        <v>#N/A</v>
      </c>
      <c r="O708" s="56"/>
      <c r="P708" s="55" t="e">
        <f>(VLOOKUP($I708,'Pricing Table - eff 27-Jan-2026'!$A:$R,8,FALSE)/1000)*(VLOOKUP($I708,'Pricing Table - eff 27-Jan-2026'!$A:$R,10,FALSE)/1000)*Q708</f>
        <v>#N/A</v>
      </c>
      <c r="Q708" s="55" t="e">
        <f>ROUND(('Order Details'!$O708*1000)/((VLOOKUP($I708,'Pricing Table - eff 27-Jan-2026'!$A:$Q,7,FALSE)/12)*(VLOOKUP($I708,'Pricing Table - eff 27-Jan-2026'!$A:$Q,9,FALSE)/12))/5,0)*5</f>
        <v>#N/A</v>
      </c>
      <c r="R708" s="71" t="e">
        <f>$Q708/IFERROR(VLOOKUP($F708&amp;RIGHT($K708,8),'Master Data'!$O$5:$P$10,2,FALSE),'Master Data'!$P$4)</f>
        <v>#N/A</v>
      </c>
      <c r="S708" s="57" t="e">
        <f>VLOOKUP($I708,'Pricing Table - eff 27-Jan-2026'!$A:$Q,16,FALSE)</f>
        <v>#N/A</v>
      </c>
      <c r="T708" s="57" t="e">
        <f>VLOOKUP(I708,'Pricing Table - eff 27-Jan-2026'!$A:$O,15,FALSE)</f>
        <v>#N/A</v>
      </c>
      <c r="U708" s="57" t="e">
        <f t="shared" si="31"/>
        <v>#N/A</v>
      </c>
      <c r="V708" s="111" t="e">
        <f t="shared" si="32"/>
        <v>#N/A</v>
      </c>
      <c r="W708" s="55" t="e">
        <f>VLOOKUP($I708,'Pricing Table - eff 27-Jan-2026'!$A:$R,18,FALSE)</f>
        <v>#N/A</v>
      </c>
    </row>
    <row r="709" spans="1:23" hidden="1" x14ac:dyDescent="0.3">
      <c r="A709" s="55"/>
      <c r="B709" s="55"/>
      <c r="C709" s="55">
        <f>VLOOKUP(A709&amp;"-"&amp;B709,'Order Summary'!$D:$E,2,FALSE)</f>
        <v>0</v>
      </c>
      <c r="D709" s="216" t="str">
        <f>IF($A709="","",VLOOKUP($A709&amp;"-"&amp;$B709,'Order Summary'!$D:$U,3,FALSE))</f>
        <v/>
      </c>
      <c r="E709" s="55" t="str">
        <f>VLOOKUP(A709&amp;"-"&amp;B709,'Order Summary'!$D:$G,4,FALSE)</f>
        <v>Yes</v>
      </c>
      <c r="F709" s="55" t="e">
        <f>VLOOKUP($A709,'Order Summary'!$B:$I,8,FALSE)</f>
        <v>#N/A</v>
      </c>
      <c r="G709" s="216" t="str">
        <f>IF($A709="","",VLOOKUP($A709&amp;"-"&amp;$B709,'Order Summary'!$D:$U,18,FALSE))</f>
        <v/>
      </c>
      <c r="H709" s="55"/>
      <c r="I709" s="55"/>
      <c r="J709" s="55" t="e">
        <f>VLOOKUP($I709,'Pricing Table - eff 27-Jan-2026'!$A:$R,2,FALSE)</f>
        <v>#N/A</v>
      </c>
      <c r="K709" s="55" t="e">
        <f>VLOOKUP($I709,'Pricing Table - eff 27-Jan-2026'!$A:$R,6,FALSE)&amp;" "&amp;VLOOKUP($I709,'Pricing Table - eff 27-Jan-2026'!$A:$R,7,FALSE)&amp;""" x "&amp;VLOOKUP($I709,'Pricing Table - eff 27-Jan-2026'!$A:$R,9,FALSE)&amp;""" "&amp;VLOOKUP($I709,'Pricing Table - eff 27-Jan-2026'!$A:$R,5,FALSE)</f>
        <v>#N/A</v>
      </c>
      <c r="L709" s="55" t="e">
        <f>VLOOKUP($I709,'Pricing Table - eff 27-Jan-2026'!$A:$K,8,FALSE)</f>
        <v>#N/A</v>
      </c>
      <c r="M709" s="55" t="e">
        <f>VLOOKUP($I709,'Pricing Table - eff 27-Jan-2026'!$A:$K,10,FALSE)</f>
        <v>#N/A</v>
      </c>
      <c r="N709" s="55" t="e">
        <f>VLOOKUP($I709,'Pricing Table - eff 27-Jan-2026'!$A:$R,13,FALSE)&amp;" "&amp;VLOOKUP($I709,'Pricing Table - eff 27-Jan-2026'!$A:$R,12,FALSE)</f>
        <v>#N/A</v>
      </c>
      <c r="O709" s="56"/>
      <c r="P709" s="55" t="e">
        <f>(VLOOKUP($I709,'Pricing Table - eff 27-Jan-2026'!$A:$R,8,FALSE)/1000)*(VLOOKUP($I709,'Pricing Table - eff 27-Jan-2026'!$A:$R,10,FALSE)/1000)*Q709</f>
        <v>#N/A</v>
      </c>
      <c r="Q709" s="55" t="e">
        <f>ROUND(('Order Details'!$O709*1000)/((VLOOKUP($I709,'Pricing Table - eff 27-Jan-2026'!$A:$Q,7,FALSE)/12)*(VLOOKUP($I709,'Pricing Table - eff 27-Jan-2026'!$A:$Q,9,FALSE)/12))/5,0)*5</f>
        <v>#N/A</v>
      </c>
      <c r="R709" s="71" t="e">
        <f>$Q709/IFERROR(VLOOKUP($F709&amp;RIGHT($K709,8),'Master Data'!$O$5:$P$10,2,FALSE),'Master Data'!$P$4)</f>
        <v>#N/A</v>
      </c>
      <c r="S709" s="57" t="e">
        <f>VLOOKUP($I709,'Pricing Table - eff 27-Jan-2026'!$A:$Q,16,FALSE)</f>
        <v>#N/A</v>
      </c>
      <c r="T709" s="57" t="e">
        <f>VLOOKUP(I709,'Pricing Table - eff 27-Jan-2026'!$A:$O,15,FALSE)</f>
        <v>#N/A</v>
      </c>
      <c r="U709" s="57" t="e">
        <f t="shared" si="31"/>
        <v>#N/A</v>
      </c>
      <c r="V709" s="111" t="e">
        <f t="shared" si="32"/>
        <v>#N/A</v>
      </c>
      <c r="W709" s="55" t="e">
        <f>VLOOKUP($I709,'Pricing Table - eff 27-Jan-2026'!$A:$R,18,FALSE)</f>
        <v>#N/A</v>
      </c>
    </row>
    <row r="710" spans="1:23" hidden="1" x14ac:dyDescent="0.3">
      <c r="A710" s="55"/>
      <c r="B710" s="55"/>
      <c r="C710" s="55">
        <f>VLOOKUP(A710&amp;"-"&amp;B710,'Order Summary'!$D:$E,2,FALSE)</f>
        <v>0</v>
      </c>
      <c r="D710" s="216" t="str">
        <f>IF($A710="","",VLOOKUP($A710&amp;"-"&amp;$B710,'Order Summary'!$D:$U,3,FALSE))</f>
        <v/>
      </c>
      <c r="E710" s="55" t="str">
        <f>VLOOKUP(A710&amp;"-"&amp;B710,'Order Summary'!$D:$G,4,FALSE)</f>
        <v>Yes</v>
      </c>
      <c r="F710" s="55" t="e">
        <f>VLOOKUP($A710,'Order Summary'!$B:$I,8,FALSE)</f>
        <v>#N/A</v>
      </c>
      <c r="G710" s="216" t="str">
        <f>IF($A710="","",VLOOKUP($A710&amp;"-"&amp;$B710,'Order Summary'!$D:$U,18,FALSE))</f>
        <v/>
      </c>
      <c r="H710" s="55"/>
      <c r="I710" s="55"/>
      <c r="J710" s="55" t="e">
        <f>VLOOKUP($I710,'Pricing Table - eff 27-Jan-2026'!$A:$R,2,FALSE)</f>
        <v>#N/A</v>
      </c>
      <c r="K710" s="55" t="e">
        <f>VLOOKUP($I710,'Pricing Table - eff 27-Jan-2026'!$A:$R,6,FALSE)&amp;" "&amp;VLOOKUP($I710,'Pricing Table - eff 27-Jan-2026'!$A:$R,7,FALSE)&amp;""" x "&amp;VLOOKUP($I710,'Pricing Table - eff 27-Jan-2026'!$A:$R,9,FALSE)&amp;""" "&amp;VLOOKUP($I710,'Pricing Table - eff 27-Jan-2026'!$A:$R,5,FALSE)</f>
        <v>#N/A</v>
      </c>
      <c r="L710" s="55" t="e">
        <f>VLOOKUP($I710,'Pricing Table - eff 27-Jan-2026'!$A:$K,8,FALSE)</f>
        <v>#N/A</v>
      </c>
      <c r="M710" s="55" t="e">
        <f>VLOOKUP($I710,'Pricing Table - eff 27-Jan-2026'!$A:$K,10,FALSE)</f>
        <v>#N/A</v>
      </c>
      <c r="N710" s="55" t="e">
        <f>VLOOKUP($I710,'Pricing Table - eff 27-Jan-2026'!$A:$R,13,FALSE)&amp;" "&amp;VLOOKUP($I710,'Pricing Table - eff 27-Jan-2026'!$A:$R,12,FALSE)</f>
        <v>#N/A</v>
      </c>
      <c r="O710" s="56"/>
      <c r="P710" s="55" t="e">
        <f>(VLOOKUP($I710,'Pricing Table - eff 27-Jan-2026'!$A:$R,8,FALSE)/1000)*(VLOOKUP($I710,'Pricing Table - eff 27-Jan-2026'!$A:$R,10,FALSE)/1000)*Q710</f>
        <v>#N/A</v>
      </c>
      <c r="Q710" s="55" t="e">
        <f>ROUND(('Order Details'!$O710*1000)/((VLOOKUP($I710,'Pricing Table - eff 27-Jan-2026'!$A:$Q,7,FALSE)/12)*(VLOOKUP($I710,'Pricing Table - eff 27-Jan-2026'!$A:$Q,9,FALSE)/12))/5,0)*5</f>
        <v>#N/A</v>
      </c>
      <c r="R710" s="71" t="e">
        <f>$Q710/IFERROR(VLOOKUP($F710&amp;RIGHT($K710,8),'Master Data'!$O$5:$P$10,2,FALSE),'Master Data'!$P$4)</f>
        <v>#N/A</v>
      </c>
      <c r="S710" s="57" t="e">
        <f>VLOOKUP($I710,'Pricing Table - eff 27-Jan-2026'!$A:$Q,16,FALSE)</f>
        <v>#N/A</v>
      </c>
      <c r="T710" s="57" t="e">
        <f>VLOOKUP(I710,'Pricing Table - eff 27-Jan-2026'!$A:$O,15,FALSE)</f>
        <v>#N/A</v>
      </c>
      <c r="U710" s="57" t="e">
        <f t="shared" si="31"/>
        <v>#N/A</v>
      </c>
      <c r="V710" s="111" t="e">
        <f t="shared" si="32"/>
        <v>#N/A</v>
      </c>
      <c r="W710" s="55" t="e">
        <f>VLOOKUP($I710,'Pricing Table - eff 27-Jan-2026'!$A:$R,18,FALSE)</f>
        <v>#N/A</v>
      </c>
    </row>
    <row r="711" spans="1:23" hidden="1" x14ac:dyDescent="0.3">
      <c r="A711" s="55"/>
      <c r="B711" s="55"/>
      <c r="C711" s="55">
        <f>VLOOKUP(A711&amp;"-"&amp;B711,'Order Summary'!$D:$E,2,FALSE)</f>
        <v>0</v>
      </c>
      <c r="D711" s="216" t="str">
        <f>IF($A711="","",VLOOKUP($A711&amp;"-"&amp;$B711,'Order Summary'!$D:$U,3,FALSE))</f>
        <v/>
      </c>
      <c r="E711" s="55" t="str">
        <f>VLOOKUP(A711&amp;"-"&amp;B711,'Order Summary'!$D:$G,4,FALSE)</f>
        <v>Yes</v>
      </c>
      <c r="F711" s="55" t="e">
        <f>VLOOKUP($A711,'Order Summary'!$B:$I,8,FALSE)</f>
        <v>#N/A</v>
      </c>
      <c r="G711" s="216" t="str">
        <f>IF($A711="","",VLOOKUP($A711&amp;"-"&amp;$B711,'Order Summary'!$D:$U,18,FALSE))</f>
        <v/>
      </c>
      <c r="H711" s="55"/>
      <c r="I711" s="55"/>
      <c r="J711" s="55" t="e">
        <f>VLOOKUP($I711,'Pricing Table - eff 27-Jan-2026'!$A:$R,2,FALSE)</f>
        <v>#N/A</v>
      </c>
      <c r="K711" s="55" t="e">
        <f>VLOOKUP($I711,'Pricing Table - eff 27-Jan-2026'!$A:$R,6,FALSE)&amp;" "&amp;VLOOKUP($I711,'Pricing Table - eff 27-Jan-2026'!$A:$R,7,FALSE)&amp;""" x "&amp;VLOOKUP($I711,'Pricing Table - eff 27-Jan-2026'!$A:$R,9,FALSE)&amp;""" "&amp;VLOOKUP($I711,'Pricing Table - eff 27-Jan-2026'!$A:$R,5,FALSE)</f>
        <v>#N/A</v>
      </c>
      <c r="L711" s="55" t="e">
        <f>VLOOKUP($I711,'Pricing Table - eff 27-Jan-2026'!$A:$K,8,FALSE)</f>
        <v>#N/A</v>
      </c>
      <c r="M711" s="55" t="e">
        <f>VLOOKUP($I711,'Pricing Table - eff 27-Jan-2026'!$A:$K,10,FALSE)</f>
        <v>#N/A</v>
      </c>
      <c r="N711" s="55" t="e">
        <f>VLOOKUP($I711,'Pricing Table - eff 27-Jan-2026'!$A:$R,13,FALSE)&amp;" "&amp;VLOOKUP($I711,'Pricing Table - eff 27-Jan-2026'!$A:$R,12,FALSE)</f>
        <v>#N/A</v>
      </c>
      <c r="O711" s="56"/>
      <c r="P711" s="55" t="e">
        <f>(VLOOKUP($I711,'Pricing Table - eff 27-Jan-2026'!$A:$R,8,FALSE)/1000)*(VLOOKUP($I711,'Pricing Table - eff 27-Jan-2026'!$A:$R,10,FALSE)/1000)*Q711</f>
        <v>#N/A</v>
      </c>
      <c r="Q711" s="55" t="e">
        <f>ROUND(('Order Details'!$O711*1000)/((VLOOKUP($I711,'Pricing Table - eff 27-Jan-2026'!$A:$Q,7,FALSE)/12)*(VLOOKUP($I711,'Pricing Table - eff 27-Jan-2026'!$A:$Q,9,FALSE)/12))/5,0)*5</f>
        <v>#N/A</v>
      </c>
      <c r="R711" s="71" t="e">
        <f>$Q711/IFERROR(VLOOKUP($F711&amp;RIGHT($K711,8),'Master Data'!$O$5:$P$10,2,FALSE),'Master Data'!$P$4)</f>
        <v>#N/A</v>
      </c>
      <c r="S711" s="57" t="e">
        <f>VLOOKUP($I711,'Pricing Table - eff 27-Jan-2026'!$A:$Q,16,FALSE)</f>
        <v>#N/A</v>
      </c>
      <c r="T711" s="57" t="e">
        <f>VLOOKUP(I711,'Pricing Table - eff 27-Jan-2026'!$A:$O,15,FALSE)</f>
        <v>#N/A</v>
      </c>
      <c r="U711" s="57" t="e">
        <f t="shared" si="31"/>
        <v>#N/A</v>
      </c>
      <c r="V711" s="111" t="e">
        <f t="shared" si="32"/>
        <v>#N/A</v>
      </c>
      <c r="W711" s="55" t="e">
        <f>VLOOKUP($I711,'Pricing Table - eff 27-Jan-2026'!$A:$R,18,FALSE)</f>
        <v>#N/A</v>
      </c>
    </row>
    <row r="712" spans="1:23" hidden="1" x14ac:dyDescent="0.3">
      <c r="A712" s="55"/>
      <c r="B712" s="55"/>
      <c r="C712" s="55">
        <f>VLOOKUP(A712&amp;"-"&amp;B712,'Order Summary'!$D:$E,2,FALSE)</f>
        <v>0</v>
      </c>
      <c r="D712" s="216" t="str">
        <f>IF($A712="","",VLOOKUP($A712&amp;"-"&amp;$B712,'Order Summary'!$D:$U,3,FALSE))</f>
        <v/>
      </c>
      <c r="E712" s="55" t="str">
        <f>VLOOKUP(A712&amp;"-"&amp;B712,'Order Summary'!$D:$G,4,FALSE)</f>
        <v>Yes</v>
      </c>
      <c r="F712" s="55" t="e">
        <f>VLOOKUP($A712,'Order Summary'!$B:$I,8,FALSE)</f>
        <v>#N/A</v>
      </c>
      <c r="G712" s="216" t="str">
        <f>IF($A712="","",VLOOKUP($A712&amp;"-"&amp;$B712,'Order Summary'!$D:$U,18,FALSE))</f>
        <v/>
      </c>
      <c r="H712" s="55"/>
      <c r="I712" s="55"/>
      <c r="J712" s="55" t="e">
        <f>VLOOKUP($I712,'Pricing Table - eff 27-Jan-2026'!$A:$R,2,FALSE)</f>
        <v>#N/A</v>
      </c>
      <c r="K712" s="55" t="e">
        <f>VLOOKUP($I712,'Pricing Table - eff 27-Jan-2026'!$A:$R,6,FALSE)&amp;" "&amp;VLOOKUP($I712,'Pricing Table - eff 27-Jan-2026'!$A:$R,7,FALSE)&amp;""" x "&amp;VLOOKUP($I712,'Pricing Table - eff 27-Jan-2026'!$A:$R,9,FALSE)&amp;""" "&amp;VLOOKUP($I712,'Pricing Table - eff 27-Jan-2026'!$A:$R,5,FALSE)</f>
        <v>#N/A</v>
      </c>
      <c r="L712" s="55" t="e">
        <f>VLOOKUP($I712,'Pricing Table - eff 27-Jan-2026'!$A:$K,8,FALSE)</f>
        <v>#N/A</v>
      </c>
      <c r="M712" s="55" t="e">
        <f>VLOOKUP($I712,'Pricing Table - eff 27-Jan-2026'!$A:$K,10,FALSE)</f>
        <v>#N/A</v>
      </c>
      <c r="N712" s="55" t="e">
        <f>VLOOKUP($I712,'Pricing Table - eff 27-Jan-2026'!$A:$R,13,FALSE)&amp;" "&amp;VLOOKUP($I712,'Pricing Table - eff 27-Jan-2026'!$A:$R,12,FALSE)</f>
        <v>#N/A</v>
      </c>
      <c r="O712" s="56"/>
      <c r="P712" s="55" t="e">
        <f>(VLOOKUP($I712,'Pricing Table - eff 27-Jan-2026'!$A:$R,8,FALSE)/1000)*(VLOOKUP($I712,'Pricing Table - eff 27-Jan-2026'!$A:$R,10,FALSE)/1000)*Q712</f>
        <v>#N/A</v>
      </c>
      <c r="Q712" s="55" t="e">
        <f>ROUND(('Order Details'!$O712*1000)/((VLOOKUP($I712,'Pricing Table - eff 27-Jan-2026'!$A:$Q,7,FALSE)/12)*(VLOOKUP($I712,'Pricing Table - eff 27-Jan-2026'!$A:$Q,9,FALSE)/12))/5,0)*5</f>
        <v>#N/A</v>
      </c>
      <c r="R712" s="71" t="e">
        <f>$Q712/IFERROR(VLOOKUP($F712&amp;RIGHT($K712,8),'Master Data'!$O$5:$P$10,2,FALSE),'Master Data'!$P$4)</f>
        <v>#N/A</v>
      </c>
      <c r="S712" s="57" t="e">
        <f>VLOOKUP($I712,'Pricing Table - eff 27-Jan-2026'!$A:$Q,16,FALSE)</f>
        <v>#N/A</v>
      </c>
      <c r="T712" s="57" t="e">
        <f>VLOOKUP(I712,'Pricing Table - eff 27-Jan-2026'!$A:$O,15,FALSE)</f>
        <v>#N/A</v>
      </c>
      <c r="U712" s="57" t="e">
        <f t="shared" si="31"/>
        <v>#N/A</v>
      </c>
      <c r="V712" s="111" t="e">
        <f t="shared" si="32"/>
        <v>#N/A</v>
      </c>
      <c r="W712" s="55" t="e">
        <f>VLOOKUP($I712,'Pricing Table - eff 27-Jan-2026'!$A:$R,18,FALSE)</f>
        <v>#N/A</v>
      </c>
    </row>
    <row r="713" spans="1:23" hidden="1" x14ac:dyDescent="0.3">
      <c r="A713" s="55"/>
      <c r="B713" s="55"/>
      <c r="C713" s="55">
        <f>VLOOKUP(A713&amp;"-"&amp;B713,'Order Summary'!$D:$E,2,FALSE)</f>
        <v>0</v>
      </c>
      <c r="D713" s="216" t="str">
        <f>IF($A713="","",VLOOKUP($A713&amp;"-"&amp;$B713,'Order Summary'!$D:$U,3,FALSE))</f>
        <v/>
      </c>
      <c r="E713" s="55" t="str">
        <f>VLOOKUP(A713&amp;"-"&amp;B713,'Order Summary'!$D:$G,4,FALSE)</f>
        <v>Yes</v>
      </c>
      <c r="F713" s="55" t="e">
        <f>VLOOKUP($A713,'Order Summary'!$B:$I,8,FALSE)</f>
        <v>#N/A</v>
      </c>
      <c r="G713" s="216" t="str">
        <f>IF($A713="","",VLOOKUP($A713&amp;"-"&amp;$B713,'Order Summary'!$D:$U,18,FALSE))</f>
        <v/>
      </c>
      <c r="H713" s="55"/>
      <c r="I713" s="55"/>
      <c r="J713" s="55" t="e">
        <f>VLOOKUP($I713,'Pricing Table - eff 27-Jan-2026'!$A:$R,2,FALSE)</f>
        <v>#N/A</v>
      </c>
      <c r="K713" s="55" t="e">
        <f>VLOOKUP($I713,'Pricing Table - eff 27-Jan-2026'!$A:$R,6,FALSE)&amp;" "&amp;VLOOKUP($I713,'Pricing Table - eff 27-Jan-2026'!$A:$R,7,FALSE)&amp;""" x "&amp;VLOOKUP($I713,'Pricing Table - eff 27-Jan-2026'!$A:$R,9,FALSE)&amp;""" "&amp;VLOOKUP($I713,'Pricing Table - eff 27-Jan-2026'!$A:$R,5,FALSE)</f>
        <v>#N/A</v>
      </c>
      <c r="L713" s="55" t="e">
        <f>VLOOKUP($I713,'Pricing Table - eff 27-Jan-2026'!$A:$K,8,FALSE)</f>
        <v>#N/A</v>
      </c>
      <c r="M713" s="55" t="e">
        <f>VLOOKUP($I713,'Pricing Table - eff 27-Jan-2026'!$A:$K,10,FALSE)</f>
        <v>#N/A</v>
      </c>
      <c r="N713" s="55" t="e">
        <f>VLOOKUP($I713,'Pricing Table - eff 27-Jan-2026'!$A:$R,13,FALSE)&amp;" "&amp;VLOOKUP($I713,'Pricing Table - eff 27-Jan-2026'!$A:$R,12,FALSE)</f>
        <v>#N/A</v>
      </c>
      <c r="O713" s="56"/>
      <c r="P713" s="55" t="e">
        <f>(VLOOKUP($I713,'Pricing Table - eff 27-Jan-2026'!$A:$R,8,FALSE)/1000)*(VLOOKUP($I713,'Pricing Table - eff 27-Jan-2026'!$A:$R,10,FALSE)/1000)*Q713</f>
        <v>#N/A</v>
      </c>
      <c r="Q713" s="55" t="e">
        <f>ROUND(('Order Details'!$O713*1000)/((VLOOKUP($I713,'Pricing Table - eff 27-Jan-2026'!$A:$Q,7,FALSE)/12)*(VLOOKUP($I713,'Pricing Table - eff 27-Jan-2026'!$A:$Q,9,FALSE)/12))/5,0)*5</f>
        <v>#N/A</v>
      </c>
      <c r="R713" s="71" t="e">
        <f>$Q713/IFERROR(VLOOKUP($F713&amp;RIGHT($K713,8),'Master Data'!$O$5:$P$10,2,FALSE),'Master Data'!$P$4)</f>
        <v>#N/A</v>
      </c>
      <c r="S713" s="57" t="e">
        <f>VLOOKUP($I713,'Pricing Table - eff 27-Jan-2026'!$A:$Q,16,FALSE)</f>
        <v>#N/A</v>
      </c>
      <c r="T713" s="57" t="e">
        <f>VLOOKUP(I713,'Pricing Table - eff 27-Jan-2026'!$A:$O,15,FALSE)</f>
        <v>#N/A</v>
      </c>
      <c r="U713" s="57" t="e">
        <f t="shared" si="31"/>
        <v>#N/A</v>
      </c>
      <c r="V713" s="111" t="e">
        <f t="shared" si="32"/>
        <v>#N/A</v>
      </c>
      <c r="W713" s="55" t="e">
        <f>VLOOKUP($I713,'Pricing Table - eff 27-Jan-2026'!$A:$R,18,FALSE)</f>
        <v>#N/A</v>
      </c>
    </row>
    <row r="714" spans="1:23" hidden="1" x14ac:dyDescent="0.3">
      <c r="A714" s="55"/>
      <c r="B714" s="55"/>
      <c r="C714" s="55">
        <f>VLOOKUP(A714&amp;"-"&amp;B714,'Order Summary'!$D:$E,2,FALSE)</f>
        <v>0</v>
      </c>
      <c r="D714" s="216" t="str">
        <f>IF($A714="","",VLOOKUP($A714&amp;"-"&amp;$B714,'Order Summary'!$D:$U,3,FALSE))</f>
        <v/>
      </c>
      <c r="E714" s="55" t="str">
        <f>VLOOKUP(A714&amp;"-"&amp;B714,'Order Summary'!$D:$G,4,FALSE)</f>
        <v>Yes</v>
      </c>
      <c r="F714" s="55" t="e">
        <f>VLOOKUP($A714,'Order Summary'!$B:$I,8,FALSE)</f>
        <v>#N/A</v>
      </c>
      <c r="G714" s="216" t="str">
        <f>IF($A714="","",VLOOKUP($A714&amp;"-"&amp;$B714,'Order Summary'!$D:$U,18,FALSE))</f>
        <v/>
      </c>
      <c r="H714" s="55"/>
      <c r="I714" s="55"/>
      <c r="J714" s="55" t="e">
        <f>VLOOKUP($I714,'Pricing Table - eff 27-Jan-2026'!$A:$R,2,FALSE)</f>
        <v>#N/A</v>
      </c>
      <c r="K714" s="55" t="e">
        <f>VLOOKUP($I714,'Pricing Table - eff 27-Jan-2026'!$A:$R,6,FALSE)&amp;" "&amp;VLOOKUP($I714,'Pricing Table - eff 27-Jan-2026'!$A:$R,7,FALSE)&amp;""" x "&amp;VLOOKUP($I714,'Pricing Table - eff 27-Jan-2026'!$A:$R,9,FALSE)&amp;""" "&amp;VLOOKUP($I714,'Pricing Table - eff 27-Jan-2026'!$A:$R,5,FALSE)</f>
        <v>#N/A</v>
      </c>
      <c r="L714" s="55" t="e">
        <f>VLOOKUP($I714,'Pricing Table - eff 27-Jan-2026'!$A:$K,8,FALSE)</f>
        <v>#N/A</v>
      </c>
      <c r="M714" s="55" t="e">
        <f>VLOOKUP($I714,'Pricing Table - eff 27-Jan-2026'!$A:$K,10,FALSE)</f>
        <v>#N/A</v>
      </c>
      <c r="N714" s="55" t="e">
        <f>VLOOKUP($I714,'Pricing Table - eff 27-Jan-2026'!$A:$R,13,FALSE)&amp;" "&amp;VLOOKUP($I714,'Pricing Table - eff 27-Jan-2026'!$A:$R,12,FALSE)</f>
        <v>#N/A</v>
      </c>
      <c r="O714" s="56"/>
      <c r="P714" s="55" t="e">
        <f>(VLOOKUP($I714,'Pricing Table - eff 27-Jan-2026'!$A:$R,8,FALSE)/1000)*(VLOOKUP($I714,'Pricing Table - eff 27-Jan-2026'!$A:$R,10,FALSE)/1000)*Q714</f>
        <v>#N/A</v>
      </c>
      <c r="Q714" s="55" t="e">
        <f>ROUND(('Order Details'!$O714*1000)/((VLOOKUP($I714,'Pricing Table - eff 27-Jan-2026'!$A:$Q,7,FALSE)/12)*(VLOOKUP($I714,'Pricing Table - eff 27-Jan-2026'!$A:$Q,9,FALSE)/12))/5,0)*5</f>
        <v>#N/A</v>
      </c>
      <c r="R714" s="71" t="e">
        <f>$Q714/IFERROR(VLOOKUP($F714&amp;RIGHT($K714,8),'Master Data'!$O$5:$P$10,2,FALSE),'Master Data'!$P$4)</f>
        <v>#N/A</v>
      </c>
      <c r="S714" s="57" t="e">
        <f>VLOOKUP($I714,'Pricing Table - eff 27-Jan-2026'!$A:$Q,16,FALSE)</f>
        <v>#N/A</v>
      </c>
      <c r="T714" s="57" t="e">
        <f>VLOOKUP(I714,'Pricing Table - eff 27-Jan-2026'!$A:$O,15,FALSE)</f>
        <v>#N/A</v>
      </c>
      <c r="U714" s="57" t="e">
        <f t="shared" si="31"/>
        <v>#N/A</v>
      </c>
      <c r="V714" s="111" t="e">
        <f t="shared" si="32"/>
        <v>#N/A</v>
      </c>
      <c r="W714" s="55" t="e">
        <f>VLOOKUP($I714,'Pricing Table - eff 27-Jan-2026'!$A:$R,18,FALSE)</f>
        <v>#N/A</v>
      </c>
    </row>
    <row r="715" spans="1:23" hidden="1" x14ac:dyDescent="0.3">
      <c r="A715" s="55"/>
      <c r="B715" s="55"/>
      <c r="C715" s="55">
        <f>VLOOKUP(A715&amp;"-"&amp;B715,'Order Summary'!$D:$E,2,FALSE)</f>
        <v>0</v>
      </c>
      <c r="D715" s="216" t="str">
        <f>IF($A715="","",VLOOKUP($A715&amp;"-"&amp;$B715,'Order Summary'!$D:$U,3,FALSE))</f>
        <v/>
      </c>
      <c r="E715" s="55" t="str">
        <f>VLOOKUP(A715&amp;"-"&amp;B715,'Order Summary'!$D:$G,4,FALSE)</f>
        <v>Yes</v>
      </c>
      <c r="F715" s="55" t="e">
        <f>VLOOKUP($A715,'Order Summary'!$B:$I,8,FALSE)</f>
        <v>#N/A</v>
      </c>
      <c r="G715" s="216" t="str">
        <f>IF($A715="","",VLOOKUP($A715&amp;"-"&amp;$B715,'Order Summary'!$D:$U,18,FALSE))</f>
        <v/>
      </c>
      <c r="H715" s="55"/>
      <c r="I715" s="55"/>
      <c r="J715" s="55" t="e">
        <f>VLOOKUP($I715,'Pricing Table - eff 27-Jan-2026'!$A:$R,2,FALSE)</f>
        <v>#N/A</v>
      </c>
      <c r="K715" s="55" t="e">
        <f>VLOOKUP($I715,'Pricing Table - eff 27-Jan-2026'!$A:$R,6,FALSE)&amp;" "&amp;VLOOKUP($I715,'Pricing Table - eff 27-Jan-2026'!$A:$R,7,FALSE)&amp;""" x "&amp;VLOOKUP($I715,'Pricing Table - eff 27-Jan-2026'!$A:$R,9,FALSE)&amp;""" "&amp;VLOOKUP($I715,'Pricing Table - eff 27-Jan-2026'!$A:$R,5,FALSE)</f>
        <v>#N/A</v>
      </c>
      <c r="L715" s="55" t="e">
        <f>VLOOKUP($I715,'Pricing Table - eff 27-Jan-2026'!$A:$K,8,FALSE)</f>
        <v>#N/A</v>
      </c>
      <c r="M715" s="55" t="e">
        <f>VLOOKUP($I715,'Pricing Table - eff 27-Jan-2026'!$A:$K,10,FALSE)</f>
        <v>#N/A</v>
      </c>
      <c r="N715" s="55" t="e">
        <f>VLOOKUP($I715,'Pricing Table - eff 27-Jan-2026'!$A:$R,13,FALSE)&amp;" "&amp;VLOOKUP($I715,'Pricing Table - eff 27-Jan-2026'!$A:$R,12,FALSE)</f>
        <v>#N/A</v>
      </c>
      <c r="O715" s="56"/>
      <c r="P715" s="55" t="e">
        <f>(VLOOKUP($I715,'Pricing Table - eff 27-Jan-2026'!$A:$R,8,FALSE)/1000)*(VLOOKUP($I715,'Pricing Table - eff 27-Jan-2026'!$A:$R,10,FALSE)/1000)*Q715</f>
        <v>#N/A</v>
      </c>
      <c r="Q715" s="55" t="e">
        <f>ROUND(('Order Details'!$O715*1000)/((VLOOKUP($I715,'Pricing Table - eff 27-Jan-2026'!$A:$Q,7,FALSE)/12)*(VLOOKUP($I715,'Pricing Table - eff 27-Jan-2026'!$A:$Q,9,FALSE)/12))/5,0)*5</f>
        <v>#N/A</v>
      </c>
      <c r="R715" s="71" t="e">
        <f>$Q715/IFERROR(VLOOKUP($F715&amp;RIGHT($K715,8),'Master Data'!$O$5:$P$10,2,FALSE),'Master Data'!$P$4)</f>
        <v>#N/A</v>
      </c>
      <c r="S715" s="57" t="e">
        <f>VLOOKUP($I715,'Pricing Table - eff 27-Jan-2026'!$A:$Q,16,FALSE)</f>
        <v>#N/A</v>
      </c>
      <c r="T715" s="57" t="e">
        <f>VLOOKUP(I715,'Pricing Table - eff 27-Jan-2026'!$A:$O,15,FALSE)</f>
        <v>#N/A</v>
      </c>
      <c r="U715" s="57" t="e">
        <f t="shared" si="31"/>
        <v>#N/A</v>
      </c>
      <c r="V715" s="111" t="e">
        <f t="shared" si="32"/>
        <v>#N/A</v>
      </c>
      <c r="W715" s="55" t="e">
        <f>VLOOKUP($I715,'Pricing Table - eff 27-Jan-2026'!$A:$R,18,FALSE)</f>
        <v>#N/A</v>
      </c>
    </row>
    <row r="716" spans="1:23" hidden="1" x14ac:dyDescent="0.3">
      <c r="A716" s="55"/>
      <c r="B716" s="55"/>
      <c r="C716" s="55">
        <f>VLOOKUP(A716&amp;"-"&amp;B716,'Order Summary'!$D:$E,2,FALSE)</f>
        <v>0</v>
      </c>
      <c r="D716" s="216" t="str">
        <f>IF($A716="","",VLOOKUP($A716&amp;"-"&amp;$B716,'Order Summary'!$D:$U,3,FALSE))</f>
        <v/>
      </c>
      <c r="E716" s="55" t="str">
        <f>VLOOKUP(A716&amp;"-"&amp;B716,'Order Summary'!$D:$G,4,FALSE)</f>
        <v>Yes</v>
      </c>
      <c r="F716" s="55" t="e">
        <f>VLOOKUP($A716,'Order Summary'!$B:$I,8,FALSE)</f>
        <v>#N/A</v>
      </c>
      <c r="G716" s="216" t="str">
        <f>IF($A716="","",VLOOKUP($A716&amp;"-"&amp;$B716,'Order Summary'!$D:$U,18,FALSE))</f>
        <v/>
      </c>
      <c r="H716" s="55"/>
      <c r="I716" s="55"/>
      <c r="J716" s="55" t="e">
        <f>VLOOKUP($I716,'Pricing Table - eff 27-Jan-2026'!$A:$R,2,FALSE)</f>
        <v>#N/A</v>
      </c>
      <c r="K716" s="55" t="e">
        <f>VLOOKUP($I716,'Pricing Table - eff 27-Jan-2026'!$A:$R,6,FALSE)&amp;" "&amp;VLOOKUP($I716,'Pricing Table - eff 27-Jan-2026'!$A:$R,7,FALSE)&amp;""" x "&amp;VLOOKUP($I716,'Pricing Table - eff 27-Jan-2026'!$A:$R,9,FALSE)&amp;""" "&amp;VLOOKUP($I716,'Pricing Table - eff 27-Jan-2026'!$A:$R,5,FALSE)</f>
        <v>#N/A</v>
      </c>
      <c r="L716" s="55" t="e">
        <f>VLOOKUP($I716,'Pricing Table - eff 27-Jan-2026'!$A:$K,8,FALSE)</f>
        <v>#N/A</v>
      </c>
      <c r="M716" s="55" t="e">
        <f>VLOOKUP($I716,'Pricing Table - eff 27-Jan-2026'!$A:$K,10,FALSE)</f>
        <v>#N/A</v>
      </c>
      <c r="N716" s="55" t="e">
        <f>VLOOKUP($I716,'Pricing Table - eff 27-Jan-2026'!$A:$R,13,FALSE)&amp;" "&amp;VLOOKUP($I716,'Pricing Table - eff 27-Jan-2026'!$A:$R,12,FALSE)</f>
        <v>#N/A</v>
      </c>
      <c r="O716" s="56"/>
      <c r="P716" s="55" t="e">
        <f>(VLOOKUP($I716,'Pricing Table - eff 27-Jan-2026'!$A:$R,8,FALSE)/1000)*(VLOOKUP($I716,'Pricing Table - eff 27-Jan-2026'!$A:$R,10,FALSE)/1000)*Q716</f>
        <v>#N/A</v>
      </c>
      <c r="Q716" s="55" t="e">
        <f>ROUND(('Order Details'!$O716*1000)/((VLOOKUP($I716,'Pricing Table - eff 27-Jan-2026'!$A:$Q,7,FALSE)/12)*(VLOOKUP($I716,'Pricing Table - eff 27-Jan-2026'!$A:$Q,9,FALSE)/12))/5,0)*5</f>
        <v>#N/A</v>
      </c>
      <c r="R716" s="71" t="e">
        <f>$Q716/IFERROR(VLOOKUP($F716&amp;RIGHT($K716,8),'Master Data'!$O$5:$P$10,2,FALSE),'Master Data'!$P$4)</f>
        <v>#N/A</v>
      </c>
      <c r="S716" s="57" t="e">
        <f>VLOOKUP($I716,'Pricing Table - eff 27-Jan-2026'!$A:$Q,16,FALSE)</f>
        <v>#N/A</v>
      </c>
      <c r="T716" s="57" t="e">
        <f>VLOOKUP(I716,'Pricing Table - eff 27-Jan-2026'!$A:$O,15,FALSE)</f>
        <v>#N/A</v>
      </c>
      <c r="U716" s="57" t="e">
        <f t="shared" si="31"/>
        <v>#N/A</v>
      </c>
      <c r="V716" s="111" t="e">
        <f t="shared" si="32"/>
        <v>#N/A</v>
      </c>
      <c r="W716" s="55" t="e">
        <f>VLOOKUP($I716,'Pricing Table - eff 27-Jan-2026'!$A:$R,18,FALSE)</f>
        <v>#N/A</v>
      </c>
    </row>
    <row r="717" spans="1:23" hidden="1" x14ac:dyDescent="0.3">
      <c r="A717" s="55"/>
      <c r="B717" s="55"/>
      <c r="C717" s="55">
        <f>VLOOKUP(A717&amp;"-"&amp;B717,'Order Summary'!$D:$E,2,FALSE)</f>
        <v>0</v>
      </c>
      <c r="D717" s="216" t="str">
        <f>IF($A717="","",VLOOKUP($A717&amp;"-"&amp;$B717,'Order Summary'!$D:$U,3,FALSE))</f>
        <v/>
      </c>
      <c r="E717" s="55" t="str">
        <f>VLOOKUP(A717&amp;"-"&amp;B717,'Order Summary'!$D:$G,4,FALSE)</f>
        <v>Yes</v>
      </c>
      <c r="F717" s="55" t="e">
        <f>VLOOKUP($A717,'Order Summary'!$B:$I,8,FALSE)</f>
        <v>#N/A</v>
      </c>
      <c r="G717" s="216" t="str">
        <f>IF($A717="","",VLOOKUP($A717&amp;"-"&amp;$B717,'Order Summary'!$D:$U,18,FALSE))</f>
        <v/>
      </c>
      <c r="H717" s="55"/>
      <c r="I717" s="55"/>
      <c r="J717" s="55" t="e">
        <f>VLOOKUP($I717,'Pricing Table - eff 27-Jan-2026'!$A:$R,2,FALSE)</f>
        <v>#N/A</v>
      </c>
      <c r="K717" s="55" t="e">
        <f>VLOOKUP($I717,'Pricing Table - eff 27-Jan-2026'!$A:$R,6,FALSE)&amp;" "&amp;VLOOKUP($I717,'Pricing Table - eff 27-Jan-2026'!$A:$R,7,FALSE)&amp;""" x "&amp;VLOOKUP($I717,'Pricing Table - eff 27-Jan-2026'!$A:$R,9,FALSE)&amp;""" "&amp;VLOOKUP($I717,'Pricing Table - eff 27-Jan-2026'!$A:$R,5,FALSE)</f>
        <v>#N/A</v>
      </c>
      <c r="L717" s="55" t="e">
        <f>VLOOKUP($I717,'Pricing Table - eff 27-Jan-2026'!$A:$K,8,FALSE)</f>
        <v>#N/A</v>
      </c>
      <c r="M717" s="55" t="e">
        <f>VLOOKUP($I717,'Pricing Table - eff 27-Jan-2026'!$A:$K,10,FALSE)</f>
        <v>#N/A</v>
      </c>
      <c r="N717" s="55" t="e">
        <f>VLOOKUP($I717,'Pricing Table - eff 27-Jan-2026'!$A:$R,13,FALSE)&amp;" "&amp;VLOOKUP($I717,'Pricing Table - eff 27-Jan-2026'!$A:$R,12,FALSE)</f>
        <v>#N/A</v>
      </c>
      <c r="O717" s="56"/>
      <c r="P717" s="55" t="e">
        <f>(VLOOKUP($I717,'Pricing Table - eff 27-Jan-2026'!$A:$R,8,FALSE)/1000)*(VLOOKUP($I717,'Pricing Table - eff 27-Jan-2026'!$A:$R,10,FALSE)/1000)*Q717</f>
        <v>#N/A</v>
      </c>
      <c r="Q717" s="55" t="e">
        <f>ROUND(('Order Details'!$O717*1000)/((VLOOKUP($I717,'Pricing Table - eff 27-Jan-2026'!$A:$Q,7,FALSE)/12)*(VLOOKUP($I717,'Pricing Table - eff 27-Jan-2026'!$A:$Q,9,FALSE)/12))/5,0)*5</f>
        <v>#N/A</v>
      </c>
      <c r="R717" s="71" t="e">
        <f>$Q717/IFERROR(VLOOKUP($F717&amp;RIGHT($K717,8),'Master Data'!$O$5:$P$10,2,FALSE),'Master Data'!$P$4)</f>
        <v>#N/A</v>
      </c>
      <c r="S717" s="57" t="e">
        <f>VLOOKUP($I717,'Pricing Table - eff 27-Jan-2026'!$A:$Q,16,FALSE)</f>
        <v>#N/A</v>
      </c>
      <c r="T717" s="57" t="e">
        <f>VLOOKUP(I717,'Pricing Table - eff 27-Jan-2026'!$A:$O,15,FALSE)</f>
        <v>#N/A</v>
      </c>
      <c r="U717" s="57" t="e">
        <f t="shared" si="31"/>
        <v>#N/A</v>
      </c>
      <c r="V717" s="111" t="e">
        <f t="shared" si="32"/>
        <v>#N/A</v>
      </c>
      <c r="W717" s="55" t="e">
        <f>VLOOKUP($I717,'Pricing Table - eff 27-Jan-2026'!$A:$R,18,FALSE)</f>
        <v>#N/A</v>
      </c>
    </row>
    <row r="718" spans="1:23" hidden="1" x14ac:dyDescent="0.3">
      <c r="A718" s="55"/>
      <c r="B718" s="55"/>
      <c r="C718" s="55">
        <f>VLOOKUP(A718&amp;"-"&amp;B718,'Order Summary'!$D:$E,2,FALSE)</f>
        <v>0</v>
      </c>
      <c r="D718" s="216" t="str">
        <f>IF($A718="","",VLOOKUP($A718&amp;"-"&amp;$B718,'Order Summary'!$D:$U,3,FALSE))</f>
        <v/>
      </c>
      <c r="E718" s="55" t="str">
        <f>VLOOKUP(A718&amp;"-"&amp;B718,'Order Summary'!$D:$G,4,FALSE)</f>
        <v>Yes</v>
      </c>
      <c r="F718" s="55" t="e">
        <f>VLOOKUP($A718,'Order Summary'!$B:$I,8,FALSE)</f>
        <v>#N/A</v>
      </c>
      <c r="G718" s="216" t="str">
        <f>IF($A718="","",VLOOKUP($A718&amp;"-"&amp;$B718,'Order Summary'!$D:$U,18,FALSE))</f>
        <v/>
      </c>
      <c r="H718" s="55"/>
      <c r="I718" s="55"/>
      <c r="J718" s="55" t="e">
        <f>VLOOKUP($I718,'Pricing Table - eff 27-Jan-2026'!$A:$R,2,FALSE)</f>
        <v>#N/A</v>
      </c>
      <c r="K718" s="55" t="e">
        <f>VLOOKUP($I718,'Pricing Table - eff 27-Jan-2026'!$A:$R,6,FALSE)&amp;" "&amp;VLOOKUP($I718,'Pricing Table - eff 27-Jan-2026'!$A:$R,7,FALSE)&amp;""" x "&amp;VLOOKUP($I718,'Pricing Table - eff 27-Jan-2026'!$A:$R,9,FALSE)&amp;""" "&amp;VLOOKUP($I718,'Pricing Table - eff 27-Jan-2026'!$A:$R,5,FALSE)</f>
        <v>#N/A</v>
      </c>
      <c r="L718" s="55" t="e">
        <f>VLOOKUP($I718,'Pricing Table - eff 27-Jan-2026'!$A:$K,8,FALSE)</f>
        <v>#N/A</v>
      </c>
      <c r="M718" s="55" t="e">
        <f>VLOOKUP($I718,'Pricing Table - eff 27-Jan-2026'!$A:$K,10,FALSE)</f>
        <v>#N/A</v>
      </c>
      <c r="N718" s="55" t="e">
        <f>VLOOKUP($I718,'Pricing Table - eff 27-Jan-2026'!$A:$R,13,FALSE)&amp;" "&amp;VLOOKUP($I718,'Pricing Table - eff 27-Jan-2026'!$A:$R,12,FALSE)</f>
        <v>#N/A</v>
      </c>
      <c r="O718" s="56"/>
      <c r="P718" s="55" t="e">
        <f>(VLOOKUP($I718,'Pricing Table - eff 27-Jan-2026'!$A:$R,8,FALSE)/1000)*(VLOOKUP($I718,'Pricing Table - eff 27-Jan-2026'!$A:$R,10,FALSE)/1000)*Q718</f>
        <v>#N/A</v>
      </c>
      <c r="Q718" s="55" t="e">
        <f>ROUND(('Order Details'!$O718*1000)/((VLOOKUP($I718,'Pricing Table - eff 27-Jan-2026'!$A:$Q,7,FALSE)/12)*(VLOOKUP($I718,'Pricing Table - eff 27-Jan-2026'!$A:$Q,9,FALSE)/12))/5,0)*5</f>
        <v>#N/A</v>
      </c>
      <c r="R718" s="71" t="e">
        <f>$Q718/IFERROR(VLOOKUP($F718&amp;RIGHT($K718,8),'Master Data'!$O$5:$P$10,2,FALSE),'Master Data'!$P$4)</f>
        <v>#N/A</v>
      </c>
      <c r="S718" s="57" t="e">
        <f>VLOOKUP($I718,'Pricing Table - eff 27-Jan-2026'!$A:$Q,16,FALSE)</f>
        <v>#N/A</v>
      </c>
      <c r="T718" s="57" t="e">
        <f>VLOOKUP(I718,'Pricing Table - eff 27-Jan-2026'!$A:$O,15,FALSE)</f>
        <v>#N/A</v>
      </c>
      <c r="U718" s="57" t="e">
        <f t="shared" si="31"/>
        <v>#N/A</v>
      </c>
      <c r="V718" s="111" t="e">
        <f t="shared" si="32"/>
        <v>#N/A</v>
      </c>
      <c r="W718" s="55" t="e">
        <f>VLOOKUP($I718,'Pricing Table - eff 27-Jan-2026'!$A:$R,18,FALSE)</f>
        <v>#N/A</v>
      </c>
    </row>
    <row r="719" spans="1:23" hidden="1" x14ac:dyDescent="0.3">
      <c r="A719" s="55"/>
      <c r="B719" s="55"/>
      <c r="C719" s="55">
        <f>VLOOKUP(A719&amp;"-"&amp;B719,'Order Summary'!$D:$E,2,FALSE)</f>
        <v>0</v>
      </c>
      <c r="D719" s="216" t="str">
        <f>IF($A719="","",VLOOKUP($A719&amp;"-"&amp;$B719,'Order Summary'!$D:$U,3,FALSE))</f>
        <v/>
      </c>
      <c r="E719" s="55" t="str">
        <f>VLOOKUP(A719&amp;"-"&amp;B719,'Order Summary'!$D:$G,4,FALSE)</f>
        <v>Yes</v>
      </c>
      <c r="F719" s="55" t="e">
        <f>VLOOKUP($A719,'Order Summary'!$B:$I,8,FALSE)</f>
        <v>#N/A</v>
      </c>
      <c r="G719" s="216" t="str">
        <f>IF($A719="","",VLOOKUP($A719&amp;"-"&amp;$B719,'Order Summary'!$D:$U,18,FALSE))</f>
        <v/>
      </c>
      <c r="H719" s="55"/>
      <c r="I719" s="55"/>
      <c r="J719" s="55" t="e">
        <f>VLOOKUP($I719,'Pricing Table - eff 27-Jan-2026'!$A:$R,2,FALSE)</f>
        <v>#N/A</v>
      </c>
      <c r="K719" s="55" t="e">
        <f>VLOOKUP($I719,'Pricing Table - eff 27-Jan-2026'!$A:$R,6,FALSE)&amp;" "&amp;VLOOKUP($I719,'Pricing Table - eff 27-Jan-2026'!$A:$R,7,FALSE)&amp;""" x "&amp;VLOOKUP($I719,'Pricing Table - eff 27-Jan-2026'!$A:$R,9,FALSE)&amp;""" "&amp;VLOOKUP($I719,'Pricing Table - eff 27-Jan-2026'!$A:$R,5,FALSE)</f>
        <v>#N/A</v>
      </c>
      <c r="L719" s="55" t="e">
        <f>VLOOKUP($I719,'Pricing Table - eff 27-Jan-2026'!$A:$K,8,FALSE)</f>
        <v>#N/A</v>
      </c>
      <c r="M719" s="55" t="e">
        <f>VLOOKUP($I719,'Pricing Table - eff 27-Jan-2026'!$A:$K,10,FALSE)</f>
        <v>#N/A</v>
      </c>
      <c r="N719" s="55" t="e">
        <f>VLOOKUP($I719,'Pricing Table - eff 27-Jan-2026'!$A:$R,13,FALSE)&amp;" "&amp;VLOOKUP($I719,'Pricing Table - eff 27-Jan-2026'!$A:$R,12,FALSE)</f>
        <v>#N/A</v>
      </c>
      <c r="O719" s="56"/>
      <c r="P719" s="55" t="e">
        <f>(VLOOKUP($I719,'Pricing Table - eff 27-Jan-2026'!$A:$R,8,FALSE)/1000)*(VLOOKUP($I719,'Pricing Table - eff 27-Jan-2026'!$A:$R,10,FALSE)/1000)*Q719</f>
        <v>#N/A</v>
      </c>
      <c r="Q719" s="55" t="e">
        <f>ROUND(('Order Details'!$O719*1000)/((VLOOKUP($I719,'Pricing Table - eff 27-Jan-2026'!$A:$Q,7,FALSE)/12)*(VLOOKUP($I719,'Pricing Table - eff 27-Jan-2026'!$A:$Q,9,FALSE)/12))/5,0)*5</f>
        <v>#N/A</v>
      </c>
      <c r="R719" s="71" t="e">
        <f>$Q719/IFERROR(VLOOKUP($F719&amp;RIGHT($K719,8),'Master Data'!$O$5:$P$10,2,FALSE),'Master Data'!$P$4)</f>
        <v>#N/A</v>
      </c>
      <c r="S719" s="57" t="e">
        <f>VLOOKUP($I719,'Pricing Table - eff 27-Jan-2026'!$A:$Q,16,FALSE)</f>
        <v>#N/A</v>
      </c>
      <c r="T719" s="57" t="e">
        <f>VLOOKUP(I719,'Pricing Table - eff 27-Jan-2026'!$A:$O,15,FALSE)</f>
        <v>#N/A</v>
      </c>
      <c r="U719" s="57" t="e">
        <f t="shared" si="31"/>
        <v>#N/A</v>
      </c>
      <c r="V719" s="111" t="e">
        <f t="shared" si="32"/>
        <v>#N/A</v>
      </c>
      <c r="W719" s="55" t="e">
        <f>VLOOKUP($I719,'Pricing Table - eff 27-Jan-2026'!$A:$R,18,FALSE)</f>
        <v>#N/A</v>
      </c>
    </row>
    <row r="720" spans="1:23" hidden="1" x14ac:dyDescent="0.3">
      <c r="A720" s="55"/>
      <c r="B720" s="55"/>
      <c r="C720" s="55">
        <f>VLOOKUP(A720&amp;"-"&amp;B720,'Order Summary'!$D:$E,2,FALSE)</f>
        <v>0</v>
      </c>
      <c r="D720" s="216" t="str">
        <f>IF($A720="","",VLOOKUP($A720&amp;"-"&amp;$B720,'Order Summary'!$D:$U,3,FALSE))</f>
        <v/>
      </c>
      <c r="E720" s="55" t="str">
        <f>VLOOKUP(A720&amp;"-"&amp;B720,'Order Summary'!$D:$G,4,FALSE)</f>
        <v>Yes</v>
      </c>
      <c r="F720" s="55" t="e">
        <f>VLOOKUP($A720,'Order Summary'!$B:$I,8,FALSE)</f>
        <v>#N/A</v>
      </c>
      <c r="G720" s="216" t="str">
        <f>IF($A720="","",VLOOKUP($A720&amp;"-"&amp;$B720,'Order Summary'!$D:$U,18,FALSE))</f>
        <v/>
      </c>
      <c r="H720" s="55"/>
      <c r="I720" s="55"/>
      <c r="J720" s="55" t="e">
        <f>VLOOKUP($I720,'Pricing Table - eff 27-Jan-2026'!$A:$R,2,FALSE)</f>
        <v>#N/A</v>
      </c>
      <c r="K720" s="55" t="e">
        <f>VLOOKUP($I720,'Pricing Table - eff 27-Jan-2026'!$A:$R,6,FALSE)&amp;" "&amp;VLOOKUP($I720,'Pricing Table - eff 27-Jan-2026'!$A:$R,7,FALSE)&amp;""" x "&amp;VLOOKUP($I720,'Pricing Table - eff 27-Jan-2026'!$A:$R,9,FALSE)&amp;""" "&amp;VLOOKUP($I720,'Pricing Table - eff 27-Jan-2026'!$A:$R,5,FALSE)</f>
        <v>#N/A</v>
      </c>
      <c r="L720" s="55" t="e">
        <f>VLOOKUP($I720,'Pricing Table - eff 27-Jan-2026'!$A:$K,8,FALSE)</f>
        <v>#N/A</v>
      </c>
      <c r="M720" s="55" t="e">
        <f>VLOOKUP($I720,'Pricing Table - eff 27-Jan-2026'!$A:$K,10,FALSE)</f>
        <v>#N/A</v>
      </c>
      <c r="N720" s="55" t="e">
        <f>VLOOKUP($I720,'Pricing Table - eff 27-Jan-2026'!$A:$R,13,FALSE)&amp;" "&amp;VLOOKUP($I720,'Pricing Table - eff 27-Jan-2026'!$A:$R,12,FALSE)</f>
        <v>#N/A</v>
      </c>
      <c r="O720" s="56"/>
      <c r="P720" s="55" t="e">
        <f>(VLOOKUP($I720,'Pricing Table - eff 27-Jan-2026'!$A:$R,8,FALSE)/1000)*(VLOOKUP($I720,'Pricing Table - eff 27-Jan-2026'!$A:$R,10,FALSE)/1000)*Q720</f>
        <v>#N/A</v>
      </c>
      <c r="Q720" s="55" t="e">
        <f>ROUND(('Order Details'!$O720*1000)/((VLOOKUP($I720,'Pricing Table - eff 27-Jan-2026'!$A:$Q,7,FALSE)/12)*(VLOOKUP($I720,'Pricing Table - eff 27-Jan-2026'!$A:$Q,9,FALSE)/12))/5,0)*5</f>
        <v>#N/A</v>
      </c>
      <c r="R720" s="71" t="e">
        <f>$Q720/IFERROR(VLOOKUP($F720&amp;RIGHT($K720,8),'Master Data'!$O$5:$P$10,2,FALSE),'Master Data'!$P$4)</f>
        <v>#N/A</v>
      </c>
      <c r="S720" s="57" t="e">
        <f>VLOOKUP($I720,'Pricing Table - eff 27-Jan-2026'!$A:$Q,16,FALSE)</f>
        <v>#N/A</v>
      </c>
      <c r="T720" s="57" t="e">
        <f>VLOOKUP(I720,'Pricing Table - eff 27-Jan-2026'!$A:$O,15,FALSE)</f>
        <v>#N/A</v>
      </c>
      <c r="U720" s="57" t="e">
        <f t="shared" si="31"/>
        <v>#N/A</v>
      </c>
      <c r="V720" s="111" t="e">
        <f t="shared" si="32"/>
        <v>#N/A</v>
      </c>
      <c r="W720" s="55" t="e">
        <f>VLOOKUP($I720,'Pricing Table - eff 27-Jan-2026'!$A:$R,18,FALSE)</f>
        <v>#N/A</v>
      </c>
    </row>
    <row r="721" spans="1:23" hidden="1" x14ac:dyDescent="0.3">
      <c r="A721" s="55"/>
      <c r="B721" s="55"/>
      <c r="C721" s="55">
        <f>VLOOKUP(A721&amp;"-"&amp;B721,'Order Summary'!$D:$E,2,FALSE)</f>
        <v>0</v>
      </c>
      <c r="D721" s="216" t="str">
        <f>IF($A721="","",VLOOKUP($A721&amp;"-"&amp;$B721,'Order Summary'!$D:$U,3,FALSE))</f>
        <v/>
      </c>
      <c r="E721" s="55" t="str">
        <f>VLOOKUP(A721&amp;"-"&amp;B721,'Order Summary'!$D:$G,4,FALSE)</f>
        <v>Yes</v>
      </c>
      <c r="F721" s="55" t="e">
        <f>VLOOKUP($A721,'Order Summary'!$B:$I,8,FALSE)</f>
        <v>#N/A</v>
      </c>
      <c r="G721" s="216" t="str">
        <f>IF($A721="","",VLOOKUP($A721&amp;"-"&amp;$B721,'Order Summary'!$D:$U,18,FALSE))</f>
        <v/>
      </c>
      <c r="H721" s="55"/>
      <c r="I721" s="55"/>
      <c r="J721" s="55" t="e">
        <f>VLOOKUP($I721,'Pricing Table - eff 27-Jan-2026'!$A:$R,2,FALSE)</f>
        <v>#N/A</v>
      </c>
      <c r="K721" s="55" t="e">
        <f>VLOOKUP($I721,'Pricing Table - eff 27-Jan-2026'!$A:$R,6,FALSE)&amp;" "&amp;VLOOKUP($I721,'Pricing Table - eff 27-Jan-2026'!$A:$R,7,FALSE)&amp;""" x "&amp;VLOOKUP($I721,'Pricing Table - eff 27-Jan-2026'!$A:$R,9,FALSE)&amp;""" "&amp;VLOOKUP($I721,'Pricing Table - eff 27-Jan-2026'!$A:$R,5,FALSE)</f>
        <v>#N/A</v>
      </c>
      <c r="L721" s="55" t="e">
        <f>VLOOKUP($I721,'Pricing Table - eff 27-Jan-2026'!$A:$K,8,FALSE)</f>
        <v>#N/A</v>
      </c>
      <c r="M721" s="55" t="e">
        <f>VLOOKUP($I721,'Pricing Table - eff 27-Jan-2026'!$A:$K,10,FALSE)</f>
        <v>#N/A</v>
      </c>
      <c r="N721" s="55" t="e">
        <f>VLOOKUP($I721,'Pricing Table - eff 27-Jan-2026'!$A:$R,13,FALSE)&amp;" "&amp;VLOOKUP($I721,'Pricing Table - eff 27-Jan-2026'!$A:$R,12,FALSE)</f>
        <v>#N/A</v>
      </c>
      <c r="O721" s="56"/>
      <c r="P721" s="55" t="e">
        <f>(VLOOKUP($I721,'Pricing Table - eff 27-Jan-2026'!$A:$R,8,FALSE)/1000)*(VLOOKUP($I721,'Pricing Table - eff 27-Jan-2026'!$A:$R,10,FALSE)/1000)*Q721</f>
        <v>#N/A</v>
      </c>
      <c r="Q721" s="55" t="e">
        <f>ROUND(('Order Details'!$O721*1000)/((VLOOKUP($I721,'Pricing Table - eff 27-Jan-2026'!$A:$Q,7,FALSE)/12)*(VLOOKUP($I721,'Pricing Table - eff 27-Jan-2026'!$A:$Q,9,FALSE)/12))/5,0)*5</f>
        <v>#N/A</v>
      </c>
      <c r="R721" s="71" t="e">
        <f>$Q721/IFERROR(VLOOKUP($F721&amp;RIGHT($K721,8),'Master Data'!$O$5:$P$10,2,FALSE),'Master Data'!$P$4)</f>
        <v>#N/A</v>
      </c>
      <c r="S721" s="57" t="e">
        <f>VLOOKUP($I721,'Pricing Table - eff 27-Jan-2026'!$A:$Q,16,FALSE)</f>
        <v>#N/A</v>
      </c>
      <c r="T721" s="57" t="e">
        <f>VLOOKUP(I721,'Pricing Table - eff 27-Jan-2026'!$A:$O,15,FALSE)</f>
        <v>#N/A</v>
      </c>
      <c r="U721" s="57" t="e">
        <f t="shared" si="31"/>
        <v>#N/A</v>
      </c>
      <c r="V721" s="111" t="e">
        <f t="shared" si="32"/>
        <v>#N/A</v>
      </c>
      <c r="W721" s="55" t="e">
        <f>VLOOKUP($I721,'Pricing Table - eff 27-Jan-2026'!$A:$R,18,FALSE)</f>
        <v>#N/A</v>
      </c>
    </row>
    <row r="722" spans="1:23" hidden="1" x14ac:dyDescent="0.3">
      <c r="A722" s="55"/>
      <c r="B722" s="55"/>
      <c r="C722" s="55">
        <f>VLOOKUP(A722&amp;"-"&amp;B722,'Order Summary'!$D:$E,2,FALSE)</f>
        <v>0</v>
      </c>
      <c r="D722" s="216" t="str">
        <f>IF($A722="","",VLOOKUP($A722&amp;"-"&amp;$B722,'Order Summary'!$D:$U,3,FALSE))</f>
        <v/>
      </c>
      <c r="E722" s="55" t="str">
        <f>VLOOKUP(A722&amp;"-"&amp;B722,'Order Summary'!$D:$G,4,FALSE)</f>
        <v>Yes</v>
      </c>
      <c r="F722" s="55" t="e">
        <f>VLOOKUP($A722,'Order Summary'!$B:$I,8,FALSE)</f>
        <v>#N/A</v>
      </c>
      <c r="G722" s="216" t="str">
        <f>IF($A722="","",VLOOKUP($A722&amp;"-"&amp;$B722,'Order Summary'!$D:$U,18,FALSE))</f>
        <v/>
      </c>
      <c r="H722" s="55"/>
      <c r="I722" s="55"/>
      <c r="J722" s="55" t="e">
        <f>VLOOKUP($I722,'Pricing Table - eff 27-Jan-2026'!$A:$R,2,FALSE)</f>
        <v>#N/A</v>
      </c>
      <c r="K722" s="55" t="e">
        <f>VLOOKUP($I722,'Pricing Table - eff 27-Jan-2026'!$A:$R,6,FALSE)&amp;" "&amp;VLOOKUP($I722,'Pricing Table - eff 27-Jan-2026'!$A:$R,7,FALSE)&amp;""" x "&amp;VLOOKUP($I722,'Pricing Table - eff 27-Jan-2026'!$A:$R,9,FALSE)&amp;""" "&amp;VLOOKUP($I722,'Pricing Table - eff 27-Jan-2026'!$A:$R,5,FALSE)</f>
        <v>#N/A</v>
      </c>
      <c r="L722" s="55" t="e">
        <f>VLOOKUP($I722,'Pricing Table - eff 27-Jan-2026'!$A:$K,8,FALSE)</f>
        <v>#N/A</v>
      </c>
      <c r="M722" s="55" t="e">
        <f>VLOOKUP($I722,'Pricing Table - eff 27-Jan-2026'!$A:$K,10,FALSE)</f>
        <v>#N/A</v>
      </c>
      <c r="N722" s="55" t="e">
        <f>VLOOKUP($I722,'Pricing Table - eff 27-Jan-2026'!$A:$R,13,FALSE)&amp;" "&amp;VLOOKUP($I722,'Pricing Table - eff 27-Jan-2026'!$A:$R,12,FALSE)</f>
        <v>#N/A</v>
      </c>
      <c r="O722" s="56"/>
      <c r="P722" s="55" t="e">
        <f>(VLOOKUP($I722,'Pricing Table - eff 27-Jan-2026'!$A:$R,8,FALSE)/1000)*(VLOOKUP($I722,'Pricing Table - eff 27-Jan-2026'!$A:$R,10,FALSE)/1000)*Q722</f>
        <v>#N/A</v>
      </c>
      <c r="Q722" s="55" t="e">
        <f>ROUND(('Order Details'!$O722*1000)/((VLOOKUP($I722,'Pricing Table - eff 27-Jan-2026'!$A:$Q,7,FALSE)/12)*(VLOOKUP($I722,'Pricing Table - eff 27-Jan-2026'!$A:$Q,9,FALSE)/12))/5,0)*5</f>
        <v>#N/A</v>
      </c>
      <c r="R722" s="71" t="e">
        <f>$Q722/IFERROR(VLOOKUP($F722&amp;RIGHT($K722,8),'Master Data'!$O$5:$P$10,2,FALSE),'Master Data'!$P$4)</f>
        <v>#N/A</v>
      </c>
      <c r="S722" s="57" t="e">
        <f>VLOOKUP($I722,'Pricing Table - eff 27-Jan-2026'!$A:$Q,16,FALSE)</f>
        <v>#N/A</v>
      </c>
      <c r="T722" s="57" t="e">
        <f>VLOOKUP(I722,'Pricing Table - eff 27-Jan-2026'!$A:$O,15,FALSE)</f>
        <v>#N/A</v>
      </c>
      <c r="U722" s="57" t="e">
        <f t="shared" si="31"/>
        <v>#N/A</v>
      </c>
      <c r="V722" s="111" t="e">
        <f t="shared" si="32"/>
        <v>#N/A</v>
      </c>
      <c r="W722" s="55" t="e">
        <f>VLOOKUP($I722,'Pricing Table - eff 27-Jan-2026'!$A:$R,18,FALSE)</f>
        <v>#N/A</v>
      </c>
    </row>
    <row r="723" spans="1:23" hidden="1" x14ac:dyDescent="0.3">
      <c r="A723" s="55"/>
      <c r="B723" s="55"/>
      <c r="C723" s="55">
        <f>VLOOKUP(A723&amp;"-"&amp;B723,'Order Summary'!$D:$E,2,FALSE)</f>
        <v>0</v>
      </c>
      <c r="D723" s="216" t="str">
        <f>IF($A723="","",VLOOKUP($A723&amp;"-"&amp;$B723,'Order Summary'!$D:$U,3,FALSE))</f>
        <v/>
      </c>
      <c r="E723" s="55" t="str">
        <f>VLOOKUP(A723&amp;"-"&amp;B723,'Order Summary'!$D:$G,4,FALSE)</f>
        <v>Yes</v>
      </c>
      <c r="F723" s="55" t="e">
        <f>VLOOKUP($A723,'Order Summary'!$B:$I,8,FALSE)</f>
        <v>#N/A</v>
      </c>
      <c r="G723" s="216" t="str">
        <f>IF($A723="","",VLOOKUP($A723&amp;"-"&amp;$B723,'Order Summary'!$D:$U,18,FALSE))</f>
        <v/>
      </c>
      <c r="H723" s="55"/>
      <c r="I723" s="55"/>
      <c r="J723" s="55" t="e">
        <f>VLOOKUP($I723,'Pricing Table - eff 27-Jan-2026'!$A:$R,2,FALSE)</f>
        <v>#N/A</v>
      </c>
      <c r="K723" s="55" t="e">
        <f>VLOOKUP($I723,'Pricing Table - eff 27-Jan-2026'!$A:$R,6,FALSE)&amp;" "&amp;VLOOKUP($I723,'Pricing Table - eff 27-Jan-2026'!$A:$R,7,FALSE)&amp;""" x "&amp;VLOOKUP($I723,'Pricing Table - eff 27-Jan-2026'!$A:$R,9,FALSE)&amp;""" "&amp;VLOOKUP($I723,'Pricing Table - eff 27-Jan-2026'!$A:$R,5,FALSE)</f>
        <v>#N/A</v>
      </c>
      <c r="L723" s="55" t="e">
        <f>VLOOKUP($I723,'Pricing Table - eff 27-Jan-2026'!$A:$K,8,FALSE)</f>
        <v>#N/A</v>
      </c>
      <c r="M723" s="55" t="e">
        <f>VLOOKUP($I723,'Pricing Table - eff 27-Jan-2026'!$A:$K,10,FALSE)</f>
        <v>#N/A</v>
      </c>
      <c r="N723" s="55" t="e">
        <f>VLOOKUP($I723,'Pricing Table - eff 27-Jan-2026'!$A:$R,13,FALSE)&amp;" "&amp;VLOOKUP($I723,'Pricing Table - eff 27-Jan-2026'!$A:$R,12,FALSE)</f>
        <v>#N/A</v>
      </c>
      <c r="O723" s="56"/>
      <c r="P723" s="55" t="e">
        <f>(VLOOKUP($I723,'Pricing Table - eff 27-Jan-2026'!$A:$R,8,FALSE)/1000)*(VLOOKUP($I723,'Pricing Table - eff 27-Jan-2026'!$A:$R,10,FALSE)/1000)*Q723</f>
        <v>#N/A</v>
      </c>
      <c r="Q723" s="55" t="e">
        <f>ROUND(('Order Details'!$O723*1000)/((VLOOKUP($I723,'Pricing Table - eff 27-Jan-2026'!$A:$Q,7,FALSE)/12)*(VLOOKUP($I723,'Pricing Table - eff 27-Jan-2026'!$A:$Q,9,FALSE)/12))/5,0)*5</f>
        <v>#N/A</v>
      </c>
      <c r="R723" s="71" t="e">
        <f>$Q723/IFERROR(VLOOKUP($F723&amp;RIGHT($K723,8),'Master Data'!$O$5:$P$10,2,FALSE),'Master Data'!$P$4)</f>
        <v>#N/A</v>
      </c>
      <c r="S723" s="57" t="e">
        <f>VLOOKUP($I723,'Pricing Table - eff 27-Jan-2026'!$A:$Q,16,FALSE)</f>
        <v>#N/A</v>
      </c>
      <c r="T723" s="57" t="e">
        <f>VLOOKUP(I723,'Pricing Table - eff 27-Jan-2026'!$A:$O,15,FALSE)</f>
        <v>#N/A</v>
      </c>
      <c r="U723" s="57" t="e">
        <f t="shared" si="31"/>
        <v>#N/A</v>
      </c>
      <c r="V723" s="111" t="e">
        <f t="shared" si="32"/>
        <v>#N/A</v>
      </c>
      <c r="W723" s="55" t="e">
        <f>VLOOKUP($I723,'Pricing Table - eff 27-Jan-2026'!$A:$R,18,FALSE)</f>
        <v>#N/A</v>
      </c>
    </row>
    <row r="724" spans="1:23" hidden="1" x14ac:dyDescent="0.3">
      <c r="A724" s="55"/>
      <c r="B724" s="55"/>
      <c r="C724" s="55">
        <f>VLOOKUP(A724&amp;"-"&amp;B724,'Order Summary'!$D:$E,2,FALSE)</f>
        <v>0</v>
      </c>
      <c r="D724" s="216" t="str">
        <f>IF($A724="","",VLOOKUP($A724&amp;"-"&amp;$B724,'Order Summary'!$D:$U,3,FALSE))</f>
        <v/>
      </c>
      <c r="E724" s="55" t="str">
        <f>VLOOKUP(A724&amp;"-"&amp;B724,'Order Summary'!$D:$G,4,FALSE)</f>
        <v>Yes</v>
      </c>
      <c r="F724" s="55" t="e">
        <f>VLOOKUP($A724,'Order Summary'!$B:$I,8,FALSE)</f>
        <v>#N/A</v>
      </c>
      <c r="G724" s="216" t="str">
        <f>IF($A724="","",VLOOKUP($A724&amp;"-"&amp;$B724,'Order Summary'!$D:$U,18,FALSE))</f>
        <v/>
      </c>
      <c r="H724" s="55"/>
      <c r="I724" s="55"/>
      <c r="J724" s="55" t="e">
        <f>VLOOKUP($I724,'Pricing Table - eff 27-Jan-2026'!$A:$R,2,FALSE)</f>
        <v>#N/A</v>
      </c>
      <c r="K724" s="55" t="e">
        <f>VLOOKUP($I724,'Pricing Table - eff 27-Jan-2026'!$A:$R,6,FALSE)&amp;" "&amp;VLOOKUP($I724,'Pricing Table - eff 27-Jan-2026'!$A:$R,7,FALSE)&amp;""" x "&amp;VLOOKUP($I724,'Pricing Table - eff 27-Jan-2026'!$A:$R,9,FALSE)&amp;""" "&amp;VLOOKUP($I724,'Pricing Table - eff 27-Jan-2026'!$A:$R,5,FALSE)</f>
        <v>#N/A</v>
      </c>
      <c r="L724" s="55" t="e">
        <f>VLOOKUP($I724,'Pricing Table - eff 27-Jan-2026'!$A:$K,8,FALSE)</f>
        <v>#N/A</v>
      </c>
      <c r="M724" s="55" t="e">
        <f>VLOOKUP($I724,'Pricing Table - eff 27-Jan-2026'!$A:$K,10,FALSE)</f>
        <v>#N/A</v>
      </c>
      <c r="N724" s="55" t="e">
        <f>VLOOKUP($I724,'Pricing Table - eff 27-Jan-2026'!$A:$R,13,FALSE)&amp;" "&amp;VLOOKUP($I724,'Pricing Table - eff 27-Jan-2026'!$A:$R,12,FALSE)</f>
        <v>#N/A</v>
      </c>
      <c r="O724" s="56"/>
      <c r="P724" s="55" t="e">
        <f>(VLOOKUP($I724,'Pricing Table - eff 27-Jan-2026'!$A:$R,8,FALSE)/1000)*(VLOOKUP($I724,'Pricing Table - eff 27-Jan-2026'!$A:$R,10,FALSE)/1000)*Q724</f>
        <v>#N/A</v>
      </c>
      <c r="Q724" s="55" t="e">
        <f>ROUND(('Order Details'!$O724*1000)/((VLOOKUP($I724,'Pricing Table - eff 27-Jan-2026'!$A:$Q,7,FALSE)/12)*(VLOOKUP($I724,'Pricing Table - eff 27-Jan-2026'!$A:$Q,9,FALSE)/12))/5,0)*5</f>
        <v>#N/A</v>
      </c>
      <c r="R724" s="71" t="e">
        <f>$Q724/IFERROR(VLOOKUP($F724&amp;RIGHT($K724,8),'Master Data'!$O$5:$P$10,2,FALSE),'Master Data'!$P$4)</f>
        <v>#N/A</v>
      </c>
      <c r="S724" s="57" t="e">
        <f>VLOOKUP($I724,'Pricing Table - eff 27-Jan-2026'!$A:$Q,16,FALSE)</f>
        <v>#N/A</v>
      </c>
      <c r="T724" s="57" t="e">
        <f>VLOOKUP(I724,'Pricing Table - eff 27-Jan-2026'!$A:$O,15,FALSE)</f>
        <v>#N/A</v>
      </c>
      <c r="U724" s="57" t="e">
        <f t="shared" si="31"/>
        <v>#N/A</v>
      </c>
      <c r="V724" s="111" t="e">
        <f t="shared" si="32"/>
        <v>#N/A</v>
      </c>
      <c r="W724" s="55" t="e">
        <f>VLOOKUP($I724,'Pricing Table - eff 27-Jan-2026'!$A:$R,18,FALSE)</f>
        <v>#N/A</v>
      </c>
    </row>
    <row r="725" spans="1:23" hidden="1" x14ac:dyDescent="0.3">
      <c r="A725" s="55"/>
      <c r="B725" s="55"/>
      <c r="C725" s="55">
        <f>VLOOKUP(A725&amp;"-"&amp;B725,'Order Summary'!$D:$E,2,FALSE)</f>
        <v>0</v>
      </c>
      <c r="D725" s="216" t="str">
        <f>IF($A725="","",VLOOKUP($A725&amp;"-"&amp;$B725,'Order Summary'!$D:$U,3,FALSE))</f>
        <v/>
      </c>
      <c r="E725" s="55" t="str">
        <f>VLOOKUP(A725&amp;"-"&amp;B725,'Order Summary'!$D:$G,4,FALSE)</f>
        <v>Yes</v>
      </c>
      <c r="F725" s="55" t="e">
        <f>VLOOKUP($A725,'Order Summary'!$B:$I,8,FALSE)</f>
        <v>#N/A</v>
      </c>
      <c r="G725" s="216" t="str">
        <f>IF($A725="","",VLOOKUP($A725&amp;"-"&amp;$B725,'Order Summary'!$D:$U,18,FALSE))</f>
        <v/>
      </c>
      <c r="H725" s="55"/>
      <c r="I725" s="55"/>
      <c r="J725" s="55" t="e">
        <f>VLOOKUP($I725,'Pricing Table - eff 27-Jan-2026'!$A:$R,2,FALSE)</f>
        <v>#N/A</v>
      </c>
      <c r="K725" s="55" t="e">
        <f>VLOOKUP($I725,'Pricing Table - eff 27-Jan-2026'!$A:$R,6,FALSE)&amp;" "&amp;VLOOKUP($I725,'Pricing Table - eff 27-Jan-2026'!$A:$R,7,FALSE)&amp;""" x "&amp;VLOOKUP($I725,'Pricing Table - eff 27-Jan-2026'!$A:$R,9,FALSE)&amp;""" "&amp;VLOOKUP($I725,'Pricing Table - eff 27-Jan-2026'!$A:$R,5,FALSE)</f>
        <v>#N/A</v>
      </c>
      <c r="L725" s="55" t="e">
        <f>VLOOKUP($I725,'Pricing Table - eff 27-Jan-2026'!$A:$K,8,FALSE)</f>
        <v>#N/A</v>
      </c>
      <c r="M725" s="55" t="e">
        <f>VLOOKUP($I725,'Pricing Table - eff 27-Jan-2026'!$A:$K,10,FALSE)</f>
        <v>#N/A</v>
      </c>
      <c r="N725" s="55" t="e">
        <f>VLOOKUP($I725,'Pricing Table - eff 27-Jan-2026'!$A:$R,13,FALSE)&amp;" "&amp;VLOOKUP($I725,'Pricing Table - eff 27-Jan-2026'!$A:$R,12,FALSE)</f>
        <v>#N/A</v>
      </c>
      <c r="O725" s="56"/>
      <c r="P725" s="55" t="e">
        <f>(VLOOKUP($I725,'Pricing Table - eff 27-Jan-2026'!$A:$R,8,FALSE)/1000)*(VLOOKUP($I725,'Pricing Table - eff 27-Jan-2026'!$A:$R,10,FALSE)/1000)*Q725</f>
        <v>#N/A</v>
      </c>
      <c r="Q725" s="55" t="e">
        <f>ROUND(('Order Details'!$O725*1000)/((VLOOKUP($I725,'Pricing Table - eff 27-Jan-2026'!$A:$Q,7,FALSE)/12)*(VLOOKUP($I725,'Pricing Table - eff 27-Jan-2026'!$A:$Q,9,FALSE)/12))/5,0)*5</f>
        <v>#N/A</v>
      </c>
      <c r="R725" s="71" t="e">
        <f>$Q725/IFERROR(VLOOKUP($F725&amp;RIGHT($K725,8),'Master Data'!$O$5:$P$10,2,FALSE),'Master Data'!$P$4)</f>
        <v>#N/A</v>
      </c>
      <c r="S725" s="57" t="e">
        <f>VLOOKUP($I725,'Pricing Table - eff 27-Jan-2026'!$A:$Q,16,FALSE)</f>
        <v>#N/A</v>
      </c>
      <c r="T725" s="57" t="e">
        <f>VLOOKUP(I725,'Pricing Table - eff 27-Jan-2026'!$A:$O,15,FALSE)</f>
        <v>#N/A</v>
      </c>
      <c r="U725" s="57" t="e">
        <f t="shared" si="31"/>
        <v>#N/A</v>
      </c>
      <c r="V725" s="111" t="e">
        <f t="shared" si="32"/>
        <v>#N/A</v>
      </c>
      <c r="W725" s="55" t="e">
        <f>VLOOKUP($I725,'Pricing Table - eff 27-Jan-2026'!$A:$R,18,FALSE)</f>
        <v>#N/A</v>
      </c>
    </row>
    <row r="726" spans="1:23" hidden="1" x14ac:dyDescent="0.3">
      <c r="A726" s="55"/>
      <c r="B726" s="55"/>
      <c r="C726" s="55">
        <f>VLOOKUP(A726&amp;"-"&amp;B726,'Order Summary'!$D:$E,2,FALSE)</f>
        <v>0</v>
      </c>
      <c r="D726" s="216" t="str">
        <f>IF($A726="","",VLOOKUP($A726&amp;"-"&amp;$B726,'Order Summary'!$D:$U,3,FALSE))</f>
        <v/>
      </c>
      <c r="E726" s="55" t="str">
        <f>VLOOKUP(A726&amp;"-"&amp;B726,'Order Summary'!$D:$G,4,FALSE)</f>
        <v>Yes</v>
      </c>
      <c r="F726" s="55" t="e">
        <f>VLOOKUP($A726,'Order Summary'!$B:$I,8,FALSE)</f>
        <v>#N/A</v>
      </c>
      <c r="G726" s="216" t="str">
        <f>IF($A726="","",VLOOKUP($A726&amp;"-"&amp;$B726,'Order Summary'!$D:$U,18,FALSE))</f>
        <v/>
      </c>
      <c r="H726" s="55"/>
      <c r="I726" s="55"/>
      <c r="J726" s="55" t="e">
        <f>VLOOKUP($I726,'Pricing Table - eff 27-Jan-2026'!$A:$R,2,FALSE)</f>
        <v>#N/A</v>
      </c>
      <c r="K726" s="55" t="e">
        <f>VLOOKUP($I726,'Pricing Table - eff 27-Jan-2026'!$A:$R,6,FALSE)&amp;" "&amp;VLOOKUP($I726,'Pricing Table - eff 27-Jan-2026'!$A:$R,7,FALSE)&amp;""" x "&amp;VLOOKUP($I726,'Pricing Table - eff 27-Jan-2026'!$A:$R,9,FALSE)&amp;""" "&amp;VLOOKUP($I726,'Pricing Table - eff 27-Jan-2026'!$A:$R,5,FALSE)</f>
        <v>#N/A</v>
      </c>
      <c r="L726" s="55" t="e">
        <f>VLOOKUP($I726,'Pricing Table - eff 27-Jan-2026'!$A:$K,8,FALSE)</f>
        <v>#N/A</v>
      </c>
      <c r="M726" s="55" t="e">
        <f>VLOOKUP($I726,'Pricing Table - eff 27-Jan-2026'!$A:$K,10,FALSE)</f>
        <v>#N/A</v>
      </c>
      <c r="N726" s="55" t="e">
        <f>VLOOKUP($I726,'Pricing Table - eff 27-Jan-2026'!$A:$R,13,FALSE)&amp;" "&amp;VLOOKUP($I726,'Pricing Table - eff 27-Jan-2026'!$A:$R,12,FALSE)</f>
        <v>#N/A</v>
      </c>
      <c r="O726" s="56"/>
      <c r="P726" s="55" t="e">
        <f>(VLOOKUP($I726,'Pricing Table - eff 27-Jan-2026'!$A:$R,8,FALSE)/1000)*(VLOOKUP($I726,'Pricing Table - eff 27-Jan-2026'!$A:$R,10,FALSE)/1000)*Q726</f>
        <v>#N/A</v>
      </c>
      <c r="Q726" s="55" t="e">
        <f>ROUND(('Order Details'!$O726*1000)/((VLOOKUP($I726,'Pricing Table - eff 27-Jan-2026'!$A:$Q,7,FALSE)/12)*(VLOOKUP($I726,'Pricing Table - eff 27-Jan-2026'!$A:$Q,9,FALSE)/12))/5,0)*5</f>
        <v>#N/A</v>
      </c>
      <c r="R726" s="71" t="e">
        <f>$Q726/IFERROR(VLOOKUP($F726&amp;RIGHT($K726,8),'Master Data'!$O$5:$P$10,2,FALSE),'Master Data'!$P$4)</f>
        <v>#N/A</v>
      </c>
      <c r="S726" s="57" t="e">
        <f>VLOOKUP($I726,'Pricing Table - eff 27-Jan-2026'!$A:$Q,16,FALSE)</f>
        <v>#N/A</v>
      </c>
      <c r="T726" s="57" t="e">
        <f>VLOOKUP(I726,'Pricing Table - eff 27-Jan-2026'!$A:$O,15,FALSE)</f>
        <v>#N/A</v>
      </c>
      <c r="U726" s="57" t="e">
        <f t="shared" si="31"/>
        <v>#N/A</v>
      </c>
      <c r="V726" s="111" t="e">
        <f t="shared" si="32"/>
        <v>#N/A</v>
      </c>
      <c r="W726" s="55" t="e">
        <f>VLOOKUP($I726,'Pricing Table - eff 27-Jan-2026'!$A:$R,18,FALSE)</f>
        <v>#N/A</v>
      </c>
    </row>
    <row r="727" spans="1:23" hidden="1" x14ac:dyDescent="0.3">
      <c r="A727" s="55"/>
      <c r="B727" s="55"/>
      <c r="C727" s="55">
        <f>VLOOKUP(A727&amp;"-"&amp;B727,'Order Summary'!$D:$E,2,FALSE)</f>
        <v>0</v>
      </c>
      <c r="D727" s="216" t="str">
        <f>IF($A727="","",VLOOKUP($A727&amp;"-"&amp;$B727,'Order Summary'!$D:$U,3,FALSE))</f>
        <v/>
      </c>
      <c r="E727" s="55" t="str">
        <f>VLOOKUP(A727&amp;"-"&amp;B727,'Order Summary'!$D:$G,4,FALSE)</f>
        <v>Yes</v>
      </c>
      <c r="F727" s="55" t="e">
        <f>VLOOKUP($A727,'Order Summary'!$B:$I,8,FALSE)</f>
        <v>#N/A</v>
      </c>
      <c r="G727" s="216" t="str">
        <f>IF($A727="","",VLOOKUP($A727&amp;"-"&amp;$B727,'Order Summary'!$D:$U,18,FALSE))</f>
        <v/>
      </c>
      <c r="H727" s="55"/>
      <c r="I727" s="55"/>
      <c r="J727" s="55" t="e">
        <f>VLOOKUP($I727,'Pricing Table - eff 27-Jan-2026'!$A:$R,2,FALSE)</f>
        <v>#N/A</v>
      </c>
      <c r="K727" s="55" t="e">
        <f>VLOOKUP($I727,'Pricing Table - eff 27-Jan-2026'!$A:$R,6,FALSE)&amp;" "&amp;VLOOKUP($I727,'Pricing Table - eff 27-Jan-2026'!$A:$R,7,FALSE)&amp;""" x "&amp;VLOOKUP($I727,'Pricing Table - eff 27-Jan-2026'!$A:$R,9,FALSE)&amp;""" "&amp;VLOOKUP($I727,'Pricing Table - eff 27-Jan-2026'!$A:$R,5,FALSE)</f>
        <v>#N/A</v>
      </c>
      <c r="L727" s="55" t="e">
        <f>VLOOKUP($I727,'Pricing Table - eff 27-Jan-2026'!$A:$K,8,FALSE)</f>
        <v>#N/A</v>
      </c>
      <c r="M727" s="55" t="e">
        <f>VLOOKUP($I727,'Pricing Table - eff 27-Jan-2026'!$A:$K,10,FALSE)</f>
        <v>#N/A</v>
      </c>
      <c r="N727" s="55" t="e">
        <f>VLOOKUP($I727,'Pricing Table - eff 27-Jan-2026'!$A:$R,13,FALSE)&amp;" "&amp;VLOOKUP($I727,'Pricing Table - eff 27-Jan-2026'!$A:$R,12,FALSE)</f>
        <v>#N/A</v>
      </c>
      <c r="O727" s="56"/>
      <c r="P727" s="55" t="e">
        <f>(VLOOKUP($I727,'Pricing Table - eff 27-Jan-2026'!$A:$R,8,FALSE)/1000)*(VLOOKUP($I727,'Pricing Table - eff 27-Jan-2026'!$A:$R,10,FALSE)/1000)*Q727</f>
        <v>#N/A</v>
      </c>
      <c r="Q727" s="55" t="e">
        <f>ROUND(('Order Details'!$O727*1000)/((VLOOKUP($I727,'Pricing Table - eff 27-Jan-2026'!$A:$Q,7,FALSE)/12)*(VLOOKUP($I727,'Pricing Table - eff 27-Jan-2026'!$A:$Q,9,FALSE)/12))/5,0)*5</f>
        <v>#N/A</v>
      </c>
      <c r="R727" s="71" t="e">
        <f>$Q727/IFERROR(VLOOKUP($F727&amp;RIGHT($K727,8),'Master Data'!$O$5:$P$10,2,FALSE),'Master Data'!$P$4)</f>
        <v>#N/A</v>
      </c>
      <c r="S727" s="57" t="e">
        <f>VLOOKUP($I727,'Pricing Table - eff 27-Jan-2026'!$A:$Q,16,FALSE)</f>
        <v>#N/A</v>
      </c>
      <c r="T727" s="57" t="e">
        <f>VLOOKUP(I727,'Pricing Table - eff 27-Jan-2026'!$A:$O,15,FALSE)</f>
        <v>#N/A</v>
      </c>
      <c r="U727" s="57" t="e">
        <f t="shared" si="31"/>
        <v>#N/A</v>
      </c>
      <c r="V727" s="111" t="e">
        <f t="shared" si="32"/>
        <v>#N/A</v>
      </c>
      <c r="W727" s="55" t="e">
        <f>VLOOKUP($I727,'Pricing Table - eff 27-Jan-2026'!$A:$R,18,FALSE)</f>
        <v>#N/A</v>
      </c>
    </row>
    <row r="728" spans="1:23" hidden="1" x14ac:dyDescent="0.3">
      <c r="A728" s="55"/>
      <c r="B728" s="55"/>
      <c r="C728" s="55">
        <f>VLOOKUP(A728&amp;"-"&amp;B728,'Order Summary'!$D:$E,2,FALSE)</f>
        <v>0</v>
      </c>
      <c r="D728" s="216" t="str">
        <f>IF($A728="","",VLOOKUP($A728&amp;"-"&amp;$B728,'Order Summary'!$D:$U,3,FALSE))</f>
        <v/>
      </c>
      <c r="E728" s="55" t="str">
        <f>VLOOKUP(A728&amp;"-"&amp;B728,'Order Summary'!$D:$G,4,FALSE)</f>
        <v>Yes</v>
      </c>
      <c r="F728" s="55" t="e">
        <f>VLOOKUP($A728,'Order Summary'!$B:$I,8,FALSE)</f>
        <v>#N/A</v>
      </c>
      <c r="G728" s="216" t="str">
        <f>IF($A728="","",VLOOKUP($A728&amp;"-"&amp;$B728,'Order Summary'!$D:$U,18,FALSE))</f>
        <v/>
      </c>
      <c r="H728" s="55"/>
      <c r="I728" s="55"/>
      <c r="J728" s="55" t="e">
        <f>VLOOKUP($I728,'Pricing Table - eff 27-Jan-2026'!$A:$R,2,FALSE)</f>
        <v>#N/A</v>
      </c>
      <c r="K728" s="55" t="e">
        <f>VLOOKUP($I728,'Pricing Table - eff 27-Jan-2026'!$A:$R,6,FALSE)&amp;" "&amp;VLOOKUP($I728,'Pricing Table - eff 27-Jan-2026'!$A:$R,7,FALSE)&amp;""" x "&amp;VLOOKUP($I728,'Pricing Table - eff 27-Jan-2026'!$A:$R,9,FALSE)&amp;""" "&amp;VLOOKUP($I728,'Pricing Table - eff 27-Jan-2026'!$A:$R,5,FALSE)</f>
        <v>#N/A</v>
      </c>
      <c r="L728" s="55" t="e">
        <f>VLOOKUP($I728,'Pricing Table - eff 27-Jan-2026'!$A:$K,8,FALSE)</f>
        <v>#N/A</v>
      </c>
      <c r="M728" s="55" t="e">
        <f>VLOOKUP($I728,'Pricing Table - eff 27-Jan-2026'!$A:$K,10,FALSE)</f>
        <v>#N/A</v>
      </c>
      <c r="N728" s="55" t="e">
        <f>VLOOKUP($I728,'Pricing Table - eff 27-Jan-2026'!$A:$R,13,FALSE)&amp;" "&amp;VLOOKUP($I728,'Pricing Table - eff 27-Jan-2026'!$A:$R,12,FALSE)</f>
        <v>#N/A</v>
      </c>
      <c r="O728" s="56"/>
      <c r="P728" s="55" t="e">
        <f>(VLOOKUP($I728,'Pricing Table - eff 27-Jan-2026'!$A:$R,8,FALSE)/1000)*(VLOOKUP($I728,'Pricing Table - eff 27-Jan-2026'!$A:$R,10,FALSE)/1000)*Q728</f>
        <v>#N/A</v>
      </c>
      <c r="Q728" s="55" t="e">
        <f>ROUND(('Order Details'!$O728*1000)/((VLOOKUP($I728,'Pricing Table - eff 27-Jan-2026'!$A:$Q,7,FALSE)/12)*(VLOOKUP($I728,'Pricing Table - eff 27-Jan-2026'!$A:$Q,9,FALSE)/12))/5,0)*5</f>
        <v>#N/A</v>
      </c>
      <c r="R728" s="71" t="e">
        <f>$Q728/IFERROR(VLOOKUP($F728&amp;RIGHT($K728,8),'Master Data'!$O$5:$P$10,2,FALSE),'Master Data'!$P$4)</f>
        <v>#N/A</v>
      </c>
      <c r="S728" s="57" t="e">
        <f>VLOOKUP($I728,'Pricing Table - eff 27-Jan-2026'!$A:$Q,16,FALSE)</f>
        <v>#N/A</v>
      </c>
      <c r="T728" s="57" t="e">
        <f>VLOOKUP(I728,'Pricing Table - eff 27-Jan-2026'!$A:$O,15,FALSE)</f>
        <v>#N/A</v>
      </c>
      <c r="U728" s="57" t="e">
        <f t="shared" si="31"/>
        <v>#N/A</v>
      </c>
      <c r="V728" s="111" t="e">
        <f t="shared" si="32"/>
        <v>#N/A</v>
      </c>
      <c r="W728" s="55" t="e">
        <f>VLOOKUP($I728,'Pricing Table - eff 27-Jan-2026'!$A:$R,18,FALSE)</f>
        <v>#N/A</v>
      </c>
    </row>
    <row r="729" spans="1:23" hidden="1" x14ac:dyDescent="0.3">
      <c r="A729" s="55"/>
      <c r="B729" s="55"/>
      <c r="C729" s="55">
        <f>VLOOKUP(A729&amp;"-"&amp;B729,'Order Summary'!$D:$E,2,FALSE)</f>
        <v>0</v>
      </c>
      <c r="D729" s="216" t="str">
        <f>IF($A729="","",VLOOKUP($A729&amp;"-"&amp;$B729,'Order Summary'!$D:$U,3,FALSE))</f>
        <v/>
      </c>
      <c r="E729" s="55" t="str">
        <f>VLOOKUP(A729&amp;"-"&amp;B729,'Order Summary'!$D:$G,4,FALSE)</f>
        <v>Yes</v>
      </c>
      <c r="F729" s="55" t="e">
        <f>VLOOKUP($A729,'Order Summary'!$B:$I,8,FALSE)</f>
        <v>#N/A</v>
      </c>
      <c r="G729" s="216" t="str">
        <f>IF($A729="","",VLOOKUP($A729&amp;"-"&amp;$B729,'Order Summary'!$D:$U,18,FALSE))</f>
        <v/>
      </c>
      <c r="H729" s="55"/>
      <c r="I729" s="55"/>
      <c r="J729" s="55" t="e">
        <f>VLOOKUP($I729,'Pricing Table - eff 27-Jan-2026'!$A:$R,2,FALSE)</f>
        <v>#N/A</v>
      </c>
      <c r="K729" s="55" t="e">
        <f>VLOOKUP($I729,'Pricing Table - eff 27-Jan-2026'!$A:$R,6,FALSE)&amp;" "&amp;VLOOKUP($I729,'Pricing Table - eff 27-Jan-2026'!$A:$R,7,FALSE)&amp;""" x "&amp;VLOOKUP($I729,'Pricing Table - eff 27-Jan-2026'!$A:$R,9,FALSE)&amp;""" "&amp;VLOOKUP($I729,'Pricing Table - eff 27-Jan-2026'!$A:$R,5,FALSE)</f>
        <v>#N/A</v>
      </c>
      <c r="L729" s="55" t="e">
        <f>VLOOKUP($I729,'Pricing Table - eff 27-Jan-2026'!$A:$K,8,FALSE)</f>
        <v>#N/A</v>
      </c>
      <c r="M729" s="55" t="e">
        <f>VLOOKUP($I729,'Pricing Table - eff 27-Jan-2026'!$A:$K,10,FALSE)</f>
        <v>#N/A</v>
      </c>
      <c r="N729" s="55" t="e">
        <f>VLOOKUP($I729,'Pricing Table - eff 27-Jan-2026'!$A:$R,13,FALSE)&amp;" "&amp;VLOOKUP($I729,'Pricing Table - eff 27-Jan-2026'!$A:$R,12,FALSE)</f>
        <v>#N/A</v>
      </c>
      <c r="O729" s="56"/>
      <c r="P729" s="55" t="e">
        <f>(VLOOKUP($I729,'Pricing Table - eff 27-Jan-2026'!$A:$R,8,FALSE)/1000)*(VLOOKUP($I729,'Pricing Table - eff 27-Jan-2026'!$A:$R,10,FALSE)/1000)*Q729</f>
        <v>#N/A</v>
      </c>
      <c r="Q729" s="55" t="e">
        <f>ROUND(('Order Details'!$O729*1000)/((VLOOKUP($I729,'Pricing Table - eff 27-Jan-2026'!$A:$Q,7,FALSE)/12)*(VLOOKUP($I729,'Pricing Table - eff 27-Jan-2026'!$A:$Q,9,FALSE)/12))/5,0)*5</f>
        <v>#N/A</v>
      </c>
      <c r="R729" s="71" t="e">
        <f>$Q729/IFERROR(VLOOKUP($F729&amp;RIGHT($K729,8),'Master Data'!$O$5:$P$10,2,FALSE),'Master Data'!$P$4)</f>
        <v>#N/A</v>
      </c>
      <c r="S729" s="57" t="e">
        <f>VLOOKUP($I729,'Pricing Table - eff 27-Jan-2026'!$A:$Q,16,FALSE)</f>
        <v>#N/A</v>
      </c>
      <c r="T729" s="57" t="e">
        <f>VLOOKUP(I729,'Pricing Table - eff 27-Jan-2026'!$A:$O,15,FALSE)</f>
        <v>#N/A</v>
      </c>
      <c r="U729" s="57" t="e">
        <f t="shared" si="31"/>
        <v>#N/A</v>
      </c>
      <c r="V729" s="111" t="e">
        <f t="shared" si="32"/>
        <v>#N/A</v>
      </c>
      <c r="W729" s="55" t="e">
        <f>VLOOKUP($I729,'Pricing Table - eff 27-Jan-2026'!$A:$R,18,FALSE)</f>
        <v>#N/A</v>
      </c>
    </row>
    <row r="730" spans="1:23" hidden="1" x14ac:dyDescent="0.3">
      <c r="A730" s="55"/>
      <c r="B730" s="55"/>
      <c r="C730" s="55">
        <f>VLOOKUP(A730&amp;"-"&amp;B730,'Order Summary'!$D:$E,2,FALSE)</f>
        <v>0</v>
      </c>
      <c r="D730" s="216" t="str">
        <f>IF($A730="","",VLOOKUP($A730&amp;"-"&amp;$B730,'Order Summary'!$D:$U,3,FALSE))</f>
        <v/>
      </c>
      <c r="E730" s="55" t="str">
        <f>VLOOKUP(A730&amp;"-"&amp;B730,'Order Summary'!$D:$G,4,FALSE)</f>
        <v>Yes</v>
      </c>
      <c r="F730" s="55" t="e">
        <f>VLOOKUP($A730,'Order Summary'!$B:$I,8,FALSE)</f>
        <v>#N/A</v>
      </c>
      <c r="G730" s="216" t="str">
        <f>IF($A730="","",VLOOKUP($A730&amp;"-"&amp;$B730,'Order Summary'!$D:$U,18,FALSE))</f>
        <v/>
      </c>
      <c r="H730" s="55"/>
      <c r="I730" s="55"/>
      <c r="J730" s="55" t="e">
        <f>VLOOKUP($I730,'Pricing Table - eff 27-Jan-2026'!$A:$R,2,FALSE)</f>
        <v>#N/A</v>
      </c>
      <c r="K730" s="55" t="e">
        <f>VLOOKUP($I730,'Pricing Table - eff 27-Jan-2026'!$A:$R,6,FALSE)&amp;" "&amp;VLOOKUP($I730,'Pricing Table - eff 27-Jan-2026'!$A:$R,7,FALSE)&amp;""" x "&amp;VLOOKUP($I730,'Pricing Table - eff 27-Jan-2026'!$A:$R,9,FALSE)&amp;""" "&amp;VLOOKUP($I730,'Pricing Table - eff 27-Jan-2026'!$A:$R,5,FALSE)</f>
        <v>#N/A</v>
      </c>
      <c r="L730" s="55" t="e">
        <f>VLOOKUP($I730,'Pricing Table - eff 27-Jan-2026'!$A:$K,8,FALSE)</f>
        <v>#N/A</v>
      </c>
      <c r="M730" s="55" t="e">
        <f>VLOOKUP($I730,'Pricing Table - eff 27-Jan-2026'!$A:$K,10,FALSE)</f>
        <v>#N/A</v>
      </c>
      <c r="N730" s="55" t="e">
        <f>VLOOKUP($I730,'Pricing Table - eff 27-Jan-2026'!$A:$R,13,FALSE)&amp;" "&amp;VLOOKUP($I730,'Pricing Table - eff 27-Jan-2026'!$A:$R,12,FALSE)</f>
        <v>#N/A</v>
      </c>
      <c r="O730" s="56"/>
      <c r="P730" s="55" t="e">
        <f>(VLOOKUP($I730,'Pricing Table - eff 27-Jan-2026'!$A:$R,8,FALSE)/1000)*(VLOOKUP($I730,'Pricing Table - eff 27-Jan-2026'!$A:$R,10,FALSE)/1000)*Q730</f>
        <v>#N/A</v>
      </c>
      <c r="Q730" s="55" t="e">
        <f>ROUND(('Order Details'!$O730*1000)/((VLOOKUP($I730,'Pricing Table - eff 27-Jan-2026'!$A:$Q,7,FALSE)/12)*(VLOOKUP($I730,'Pricing Table - eff 27-Jan-2026'!$A:$Q,9,FALSE)/12))/5,0)*5</f>
        <v>#N/A</v>
      </c>
      <c r="R730" s="71" t="e">
        <f>$Q730/IFERROR(VLOOKUP($F730&amp;RIGHT($K730,8),'Master Data'!$O$5:$P$10,2,FALSE),'Master Data'!$P$4)</f>
        <v>#N/A</v>
      </c>
      <c r="S730" s="57" t="e">
        <f>VLOOKUP($I730,'Pricing Table - eff 27-Jan-2026'!$A:$Q,16,FALSE)</f>
        <v>#N/A</v>
      </c>
      <c r="T730" s="57" t="e">
        <f>VLOOKUP(I730,'Pricing Table - eff 27-Jan-2026'!$A:$O,15,FALSE)</f>
        <v>#N/A</v>
      </c>
      <c r="U730" s="57" t="e">
        <f t="shared" si="31"/>
        <v>#N/A</v>
      </c>
      <c r="V730" s="111" t="e">
        <f t="shared" si="32"/>
        <v>#N/A</v>
      </c>
      <c r="W730" s="55" t="e">
        <f>VLOOKUP($I730,'Pricing Table - eff 27-Jan-2026'!$A:$R,18,FALSE)</f>
        <v>#N/A</v>
      </c>
    </row>
    <row r="731" spans="1:23" hidden="1" x14ac:dyDescent="0.3">
      <c r="A731" s="55"/>
      <c r="B731" s="55"/>
      <c r="C731" s="55">
        <f>VLOOKUP(A731&amp;"-"&amp;B731,'Order Summary'!$D:$E,2,FALSE)</f>
        <v>0</v>
      </c>
      <c r="D731" s="216" t="str">
        <f>IF($A731="","",VLOOKUP($A731&amp;"-"&amp;$B731,'Order Summary'!$D:$U,3,FALSE))</f>
        <v/>
      </c>
      <c r="E731" s="55" t="str">
        <f>VLOOKUP(A731&amp;"-"&amp;B731,'Order Summary'!$D:$G,4,FALSE)</f>
        <v>Yes</v>
      </c>
      <c r="F731" s="55" t="e">
        <f>VLOOKUP($A731,'Order Summary'!$B:$I,8,FALSE)</f>
        <v>#N/A</v>
      </c>
      <c r="G731" s="216" t="str">
        <f>IF($A731="","",VLOOKUP($A731&amp;"-"&amp;$B731,'Order Summary'!$D:$U,18,FALSE))</f>
        <v/>
      </c>
      <c r="H731" s="55"/>
      <c r="I731" s="55"/>
      <c r="J731" s="55" t="e">
        <f>VLOOKUP($I731,'Pricing Table - eff 27-Jan-2026'!$A:$R,2,FALSE)</f>
        <v>#N/A</v>
      </c>
      <c r="K731" s="55" t="e">
        <f>VLOOKUP($I731,'Pricing Table - eff 27-Jan-2026'!$A:$R,6,FALSE)&amp;" "&amp;VLOOKUP($I731,'Pricing Table - eff 27-Jan-2026'!$A:$R,7,FALSE)&amp;""" x "&amp;VLOOKUP($I731,'Pricing Table - eff 27-Jan-2026'!$A:$R,9,FALSE)&amp;""" "&amp;VLOOKUP($I731,'Pricing Table - eff 27-Jan-2026'!$A:$R,5,FALSE)</f>
        <v>#N/A</v>
      </c>
      <c r="L731" s="55" t="e">
        <f>VLOOKUP($I731,'Pricing Table - eff 27-Jan-2026'!$A:$K,8,FALSE)</f>
        <v>#N/A</v>
      </c>
      <c r="M731" s="55" t="e">
        <f>VLOOKUP($I731,'Pricing Table - eff 27-Jan-2026'!$A:$K,10,FALSE)</f>
        <v>#N/A</v>
      </c>
      <c r="N731" s="55" t="e">
        <f>VLOOKUP($I731,'Pricing Table - eff 27-Jan-2026'!$A:$R,13,FALSE)&amp;" "&amp;VLOOKUP($I731,'Pricing Table - eff 27-Jan-2026'!$A:$R,12,FALSE)</f>
        <v>#N/A</v>
      </c>
      <c r="O731" s="56"/>
      <c r="P731" s="55" t="e">
        <f>(VLOOKUP($I731,'Pricing Table - eff 27-Jan-2026'!$A:$R,8,FALSE)/1000)*(VLOOKUP($I731,'Pricing Table - eff 27-Jan-2026'!$A:$R,10,FALSE)/1000)*Q731</f>
        <v>#N/A</v>
      </c>
      <c r="Q731" s="55" t="e">
        <f>ROUND(('Order Details'!$O731*1000)/((VLOOKUP($I731,'Pricing Table - eff 27-Jan-2026'!$A:$Q,7,FALSE)/12)*(VLOOKUP($I731,'Pricing Table - eff 27-Jan-2026'!$A:$Q,9,FALSE)/12))/5,0)*5</f>
        <v>#N/A</v>
      </c>
      <c r="R731" s="71" t="e">
        <f>$Q731/IFERROR(VLOOKUP($F731&amp;RIGHT($K731,8),'Master Data'!$O$5:$P$10,2,FALSE),'Master Data'!$P$4)</f>
        <v>#N/A</v>
      </c>
      <c r="S731" s="57" t="e">
        <f>VLOOKUP($I731,'Pricing Table - eff 27-Jan-2026'!$A:$Q,16,FALSE)</f>
        <v>#N/A</v>
      </c>
      <c r="T731" s="57" t="e">
        <f>VLOOKUP(I731,'Pricing Table - eff 27-Jan-2026'!$A:$O,15,FALSE)</f>
        <v>#N/A</v>
      </c>
      <c r="U731" s="57" t="e">
        <f t="shared" si="31"/>
        <v>#N/A</v>
      </c>
      <c r="V731" s="111" t="e">
        <f t="shared" si="32"/>
        <v>#N/A</v>
      </c>
      <c r="W731" s="55" t="e">
        <f>VLOOKUP($I731,'Pricing Table - eff 27-Jan-2026'!$A:$R,18,FALSE)</f>
        <v>#N/A</v>
      </c>
    </row>
    <row r="732" spans="1:23" hidden="1" x14ac:dyDescent="0.3">
      <c r="A732" s="55"/>
      <c r="B732" s="55"/>
      <c r="C732" s="55">
        <f>VLOOKUP(A732&amp;"-"&amp;B732,'Order Summary'!$D:$E,2,FALSE)</f>
        <v>0</v>
      </c>
      <c r="D732" s="216" t="str">
        <f>IF($A732="","",VLOOKUP($A732&amp;"-"&amp;$B732,'Order Summary'!$D:$U,3,FALSE))</f>
        <v/>
      </c>
      <c r="E732" s="55" t="str">
        <f>VLOOKUP(A732&amp;"-"&amp;B732,'Order Summary'!$D:$G,4,FALSE)</f>
        <v>Yes</v>
      </c>
      <c r="F732" s="55" t="e">
        <f>VLOOKUP($A732,'Order Summary'!$B:$I,8,FALSE)</f>
        <v>#N/A</v>
      </c>
      <c r="G732" s="216" t="str">
        <f>IF($A732="","",VLOOKUP($A732&amp;"-"&amp;$B732,'Order Summary'!$D:$U,18,FALSE))</f>
        <v/>
      </c>
      <c r="H732" s="55"/>
      <c r="I732" s="55"/>
      <c r="J732" s="55" t="e">
        <f>VLOOKUP($I732,'Pricing Table - eff 27-Jan-2026'!$A:$R,2,FALSE)</f>
        <v>#N/A</v>
      </c>
      <c r="K732" s="55" t="e">
        <f>VLOOKUP($I732,'Pricing Table - eff 27-Jan-2026'!$A:$R,6,FALSE)&amp;" "&amp;VLOOKUP($I732,'Pricing Table - eff 27-Jan-2026'!$A:$R,7,FALSE)&amp;""" x "&amp;VLOOKUP($I732,'Pricing Table - eff 27-Jan-2026'!$A:$R,9,FALSE)&amp;""" "&amp;VLOOKUP($I732,'Pricing Table - eff 27-Jan-2026'!$A:$R,5,FALSE)</f>
        <v>#N/A</v>
      </c>
      <c r="L732" s="55" t="e">
        <f>VLOOKUP($I732,'Pricing Table - eff 27-Jan-2026'!$A:$K,8,FALSE)</f>
        <v>#N/A</v>
      </c>
      <c r="M732" s="55" t="e">
        <f>VLOOKUP($I732,'Pricing Table - eff 27-Jan-2026'!$A:$K,10,FALSE)</f>
        <v>#N/A</v>
      </c>
      <c r="N732" s="55" t="e">
        <f>VLOOKUP($I732,'Pricing Table - eff 27-Jan-2026'!$A:$R,13,FALSE)&amp;" "&amp;VLOOKUP($I732,'Pricing Table - eff 27-Jan-2026'!$A:$R,12,FALSE)</f>
        <v>#N/A</v>
      </c>
      <c r="O732" s="56"/>
      <c r="P732" s="55" t="e">
        <f>(VLOOKUP($I732,'Pricing Table - eff 27-Jan-2026'!$A:$R,8,FALSE)/1000)*(VLOOKUP($I732,'Pricing Table - eff 27-Jan-2026'!$A:$R,10,FALSE)/1000)*Q732</f>
        <v>#N/A</v>
      </c>
      <c r="Q732" s="55" t="e">
        <f>ROUND(('Order Details'!$O732*1000)/((VLOOKUP($I732,'Pricing Table - eff 27-Jan-2026'!$A:$Q,7,FALSE)/12)*(VLOOKUP($I732,'Pricing Table - eff 27-Jan-2026'!$A:$Q,9,FALSE)/12))/5,0)*5</f>
        <v>#N/A</v>
      </c>
      <c r="R732" s="71" t="e">
        <f>$Q732/IFERROR(VLOOKUP($F732&amp;RIGHT($K732,8),'Master Data'!$O$5:$P$10,2,FALSE),'Master Data'!$P$4)</f>
        <v>#N/A</v>
      </c>
      <c r="S732" s="57" t="e">
        <f>VLOOKUP($I732,'Pricing Table - eff 27-Jan-2026'!$A:$Q,16,FALSE)</f>
        <v>#N/A</v>
      </c>
      <c r="T732" s="57" t="e">
        <f>VLOOKUP(I732,'Pricing Table - eff 27-Jan-2026'!$A:$O,15,FALSE)</f>
        <v>#N/A</v>
      </c>
      <c r="U732" s="57" t="e">
        <f t="shared" si="31"/>
        <v>#N/A</v>
      </c>
      <c r="V732" s="111" t="e">
        <f t="shared" si="32"/>
        <v>#N/A</v>
      </c>
      <c r="W732" s="55" t="e">
        <f>VLOOKUP($I732,'Pricing Table - eff 27-Jan-2026'!$A:$R,18,FALSE)</f>
        <v>#N/A</v>
      </c>
    </row>
    <row r="733" spans="1:23" hidden="1" x14ac:dyDescent="0.3">
      <c r="A733" s="55"/>
      <c r="B733" s="55"/>
      <c r="C733" s="55">
        <f>VLOOKUP(A733&amp;"-"&amp;B733,'Order Summary'!$D:$E,2,FALSE)</f>
        <v>0</v>
      </c>
      <c r="D733" s="216" t="str">
        <f>IF($A733="","",VLOOKUP($A733&amp;"-"&amp;$B733,'Order Summary'!$D:$U,3,FALSE))</f>
        <v/>
      </c>
      <c r="E733" s="55" t="str">
        <f>VLOOKUP(A733&amp;"-"&amp;B733,'Order Summary'!$D:$G,4,FALSE)</f>
        <v>Yes</v>
      </c>
      <c r="F733" s="55" t="e">
        <f>VLOOKUP($A733,'Order Summary'!$B:$I,8,FALSE)</f>
        <v>#N/A</v>
      </c>
      <c r="G733" s="216" t="str">
        <f>IF($A733="","",VLOOKUP($A733&amp;"-"&amp;$B733,'Order Summary'!$D:$U,18,FALSE))</f>
        <v/>
      </c>
      <c r="H733" s="55"/>
      <c r="I733" s="55"/>
      <c r="J733" s="55" t="e">
        <f>VLOOKUP($I733,'Pricing Table - eff 27-Jan-2026'!$A:$R,2,FALSE)</f>
        <v>#N/A</v>
      </c>
      <c r="K733" s="55" t="e">
        <f>VLOOKUP($I733,'Pricing Table - eff 27-Jan-2026'!$A:$R,6,FALSE)&amp;" "&amp;VLOOKUP($I733,'Pricing Table - eff 27-Jan-2026'!$A:$R,7,FALSE)&amp;""" x "&amp;VLOOKUP($I733,'Pricing Table - eff 27-Jan-2026'!$A:$R,9,FALSE)&amp;""" "&amp;VLOOKUP($I733,'Pricing Table - eff 27-Jan-2026'!$A:$R,5,FALSE)</f>
        <v>#N/A</v>
      </c>
      <c r="L733" s="55" t="e">
        <f>VLOOKUP($I733,'Pricing Table - eff 27-Jan-2026'!$A:$K,8,FALSE)</f>
        <v>#N/A</v>
      </c>
      <c r="M733" s="55" t="e">
        <f>VLOOKUP($I733,'Pricing Table - eff 27-Jan-2026'!$A:$K,10,FALSE)</f>
        <v>#N/A</v>
      </c>
      <c r="N733" s="55" t="e">
        <f>VLOOKUP($I733,'Pricing Table - eff 27-Jan-2026'!$A:$R,13,FALSE)&amp;" "&amp;VLOOKUP($I733,'Pricing Table - eff 27-Jan-2026'!$A:$R,12,FALSE)</f>
        <v>#N/A</v>
      </c>
      <c r="O733" s="56"/>
      <c r="P733" s="55" t="e">
        <f>(VLOOKUP($I733,'Pricing Table - eff 27-Jan-2026'!$A:$R,8,FALSE)/1000)*(VLOOKUP($I733,'Pricing Table - eff 27-Jan-2026'!$A:$R,10,FALSE)/1000)*Q733</f>
        <v>#N/A</v>
      </c>
      <c r="Q733" s="55" t="e">
        <f>ROUND(('Order Details'!$O733*1000)/((VLOOKUP($I733,'Pricing Table - eff 27-Jan-2026'!$A:$Q,7,FALSE)/12)*(VLOOKUP($I733,'Pricing Table - eff 27-Jan-2026'!$A:$Q,9,FALSE)/12))/5,0)*5</f>
        <v>#N/A</v>
      </c>
      <c r="R733" s="71" t="e">
        <f>$Q733/IFERROR(VLOOKUP($F733&amp;RIGHT($K733,8),'Master Data'!$O$5:$P$10,2,FALSE),'Master Data'!$P$4)</f>
        <v>#N/A</v>
      </c>
      <c r="S733" s="57" t="e">
        <f>VLOOKUP($I733,'Pricing Table - eff 27-Jan-2026'!$A:$Q,16,FALSE)</f>
        <v>#N/A</v>
      </c>
      <c r="T733" s="57" t="e">
        <f>VLOOKUP(I733,'Pricing Table - eff 27-Jan-2026'!$A:$O,15,FALSE)</f>
        <v>#N/A</v>
      </c>
      <c r="U733" s="57" t="e">
        <f t="shared" si="31"/>
        <v>#N/A</v>
      </c>
      <c r="V733" s="111" t="e">
        <f t="shared" si="32"/>
        <v>#N/A</v>
      </c>
      <c r="W733" s="55" t="e">
        <f>VLOOKUP($I733,'Pricing Table - eff 27-Jan-2026'!$A:$R,18,FALSE)</f>
        <v>#N/A</v>
      </c>
    </row>
    <row r="734" spans="1:23" hidden="1" x14ac:dyDescent="0.3">
      <c r="A734" s="55"/>
      <c r="B734" s="55"/>
      <c r="C734" s="55">
        <f>VLOOKUP(A734&amp;"-"&amp;B734,'Order Summary'!$D:$E,2,FALSE)</f>
        <v>0</v>
      </c>
      <c r="D734" s="216" t="str">
        <f>IF($A734="","",VLOOKUP($A734&amp;"-"&amp;$B734,'Order Summary'!$D:$U,3,FALSE))</f>
        <v/>
      </c>
      <c r="E734" s="55" t="str">
        <f>VLOOKUP(A734&amp;"-"&amp;B734,'Order Summary'!$D:$G,4,FALSE)</f>
        <v>Yes</v>
      </c>
      <c r="F734" s="55" t="e">
        <f>VLOOKUP($A734,'Order Summary'!$B:$I,8,FALSE)</f>
        <v>#N/A</v>
      </c>
      <c r="G734" s="216" t="str">
        <f>IF($A734="","",VLOOKUP($A734&amp;"-"&amp;$B734,'Order Summary'!$D:$U,18,FALSE))</f>
        <v/>
      </c>
      <c r="H734" s="55"/>
      <c r="I734" s="55"/>
      <c r="J734" s="55" t="e">
        <f>VLOOKUP($I734,'Pricing Table - eff 27-Jan-2026'!$A:$R,2,FALSE)</f>
        <v>#N/A</v>
      </c>
      <c r="K734" s="55" t="e">
        <f>VLOOKUP($I734,'Pricing Table - eff 27-Jan-2026'!$A:$R,6,FALSE)&amp;" "&amp;VLOOKUP($I734,'Pricing Table - eff 27-Jan-2026'!$A:$R,7,FALSE)&amp;""" x "&amp;VLOOKUP($I734,'Pricing Table - eff 27-Jan-2026'!$A:$R,9,FALSE)&amp;""" "&amp;VLOOKUP($I734,'Pricing Table - eff 27-Jan-2026'!$A:$R,5,FALSE)</f>
        <v>#N/A</v>
      </c>
      <c r="L734" s="55" t="e">
        <f>VLOOKUP($I734,'Pricing Table - eff 27-Jan-2026'!$A:$K,8,FALSE)</f>
        <v>#N/A</v>
      </c>
      <c r="M734" s="55" t="e">
        <f>VLOOKUP($I734,'Pricing Table - eff 27-Jan-2026'!$A:$K,10,FALSE)</f>
        <v>#N/A</v>
      </c>
      <c r="N734" s="55" t="e">
        <f>VLOOKUP($I734,'Pricing Table - eff 27-Jan-2026'!$A:$R,13,FALSE)&amp;" "&amp;VLOOKUP($I734,'Pricing Table - eff 27-Jan-2026'!$A:$R,12,FALSE)</f>
        <v>#N/A</v>
      </c>
      <c r="O734" s="56"/>
      <c r="P734" s="55" t="e">
        <f>(VLOOKUP($I734,'Pricing Table - eff 27-Jan-2026'!$A:$R,8,FALSE)/1000)*(VLOOKUP($I734,'Pricing Table - eff 27-Jan-2026'!$A:$R,10,FALSE)/1000)*Q734</f>
        <v>#N/A</v>
      </c>
      <c r="Q734" s="55" t="e">
        <f>ROUND(('Order Details'!$O734*1000)/((VLOOKUP($I734,'Pricing Table - eff 27-Jan-2026'!$A:$Q,7,FALSE)/12)*(VLOOKUP($I734,'Pricing Table - eff 27-Jan-2026'!$A:$Q,9,FALSE)/12))/5,0)*5</f>
        <v>#N/A</v>
      </c>
      <c r="R734" s="71" t="e">
        <f>$Q734/IFERROR(VLOOKUP($F734&amp;RIGHT($K734,8),'Master Data'!$O$5:$P$10,2,FALSE),'Master Data'!$P$4)</f>
        <v>#N/A</v>
      </c>
      <c r="S734" s="57" t="e">
        <f>VLOOKUP($I734,'Pricing Table - eff 27-Jan-2026'!$A:$Q,16,FALSE)</f>
        <v>#N/A</v>
      </c>
      <c r="T734" s="57" t="e">
        <f>VLOOKUP(I734,'Pricing Table - eff 27-Jan-2026'!$A:$O,15,FALSE)</f>
        <v>#N/A</v>
      </c>
      <c r="U734" s="57" t="e">
        <f t="shared" si="31"/>
        <v>#N/A</v>
      </c>
      <c r="V734" s="111" t="e">
        <f t="shared" si="32"/>
        <v>#N/A</v>
      </c>
      <c r="W734" s="55" t="e">
        <f>VLOOKUP($I734,'Pricing Table - eff 27-Jan-2026'!$A:$R,18,FALSE)</f>
        <v>#N/A</v>
      </c>
    </row>
    <row r="735" spans="1:23" hidden="1" x14ac:dyDescent="0.3">
      <c r="A735" s="55"/>
      <c r="B735" s="55"/>
      <c r="C735" s="55">
        <f>VLOOKUP(A735&amp;"-"&amp;B735,'Order Summary'!$D:$E,2,FALSE)</f>
        <v>0</v>
      </c>
      <c r="D735" s="216" t="str">
        <f>IF($A735="","",VLOOKUP($A735&amp;"-"&amp;$B735,'Order Summary'!$D:$U,3,FALSE))</f>
        <v/>
      </c>
      <c r="E735" s="55" t="str">
        <f>VLOOKUP(A735&amp;"-"&amp;B735,'Order Summary'!$D:$G,4,FALSE)</f>
        <v>Yes</v>
      </c>
      <c r="F735" s="55" t="e">
        <f>VLOOKUP($A735,'Order Summary'!$B:$I,8,FALSE)</f>
        <v>#N/A</v>
      </c>
      <c r="G735" s="216" t="str">
        <f>IF($A735="","",VLOOKUP($A735&amp;"-"&amp;$B735,'Order Summary'!$D:$U,18,FALSE))</f>
        <v/>
      </c>
      <c r="H735" s="55"/>
      <c r="I735" s="55"/>
      <c r="J735" s="55" t="e">
        <f>VLOOKUP($I735,'Pricing Table - eff 27-Jan-2026'!$A:$R,2,FALSE)</f>
        <v>#N/A</v>
      </c>
      <c r="K735" s="55" t="e">
        <f>VLOOKUP($I735,'Pricing Table - eff 27-Jan-2026'!$A:$R,6,FALSE)&amp;" "&amp;VLOOKUP($I735,'Pricing Table - eff 27-Jan-2026'!$A:$R,7,FALSE)&amp;""" x "&amp;VLOOKUP($I735,'Pricing Table - eff 27-Jan-2026'!$A:$R,9,FALSE)&amp;""" "&amp;VLOOKUP($I735,'Pricing Table - eff 27-Jan-2026'!$A:$R,5,FALSE)</f>
        <v>#N/A</v>
      </c>
      <c r="L735" s="55" t="e">
        <f>VLOOKUP($I735,'Pricing Table - eff 27-Jan-2026'!$A:$K,8,FALSE)</f>
        <v>#N/A</v>
      </c>
      <c r="M735" s="55" t="e">
        <f>VLOOKUP($I735,'Pricing Table - eff 27-Jan-2026'!$A:$K,10,FALSE)</f>
        <v>#N/A</v>
      </c>
      <c r="N735" s="55" t="e">
        <f>VLOOKUP($I735,'Pricing Table - eff 27-Jan-2026'!$A:$R,13,FALSE)&amp;" "&amp;VLOOKUP($I735,'Pricing Table - eff 27-Jan-2026'!$A:$R,12,FALSE)</f>
        <v>#N/A</v>
      </c>
      <c r="O735" s="56"/>
      <c r="P735" s="55" t="e">
        <f>(VLOOKUP($I735,'Pricing Table - eff 27-Jan-2026'!$A:$R,8,FALSE)/1000)*(VLOOKUP($I735,'Pricing Table - eff 27-Jan-2026'!$A:$R,10,FALSE)/1000)*Q735</f>
        <v>#N/A</v>
      </c>
      <c r="Q735" s="55" t="e">
        <f>ROUND(('Order Details'!$O735*1000)/((VLOOKUP($I735,'Pricing Table - eff 27-Jan-2026'!$A:$Q,7,FALSE)/12)*(VLOOKUP($I735,'Pricing Table - eff 27-Jan-2026'!$A:$Q,9,FALSE)/12))/5,0)*5</f>
        <v>#N/A</v>
      </c>
      <c r="R735" s="71" t="e">
        <f>$Q735/IFERROR(VLOOKUP($F735&amp;RIGHT($K735,8),'Master Data'!$O$5:$P$10,2,FALSE),'Master Data'!$P$4)</f>
        <v>#N/A</v>
      </c>
      <c r="S735" s="57" t="e">
        <f>VLOOKUP($I735,'Pricing Table - eff 27-Jan-2026'!$A:$Q,16,FALSE)</f>
        <v>#N/A</v>
      </c>
      <c r="T735" s="57" t="e">
        <f>VLOOKUP(I735,'Pricing Table - eff 27-Jan-2026'!$A:$O,15,FALSE)</f>
        <v>#N/A</v>
      </c>
      <c r="U735" s="57" t="e">
        <f t="shared" si="31"/>
        <v>#N/A</v>
      </c>
      <c r="V735" s="111" t="e">
        <f t="shared" si="32"/>
        <v>#N/A</v>
      </c>
      <c r="W735" s="55" t="e">
        <f>VLOOKUP($I735,'Pricing Table - eff 27-Jan-2026'!$A:$R,18,FALSE)</f>
        <v>#N/A</v>
      </c>
    </row>
    <row r="736" spans="1:23" hidden="1" x14ac:dyDescent="0.3">
      <c r="A736" s="55"/>
      <c r="B736" s="55"/>
      <c r="C736" s="55">
        <f>VLOOKUP(A736&amp;"-"&amp;B736,'Order Summary'!$D:$E,2,FALSE)</f>
        <v>0</v>
      </c>
      <c r="D736" s="216" t="str">
        <f>IF($A736="","",VLOOKUP($A736&amp;"-"&amp;$B736,'Order Summary'!$D:$U,3,FALSE))</f>
        <v/>
      </c>
      <c r="E736" s="55" t="str">
        <f>VLOOKUP(A736&amp;"-"&amp;B736,'Order Summary'!$D:$G,4,FALSE)</f>
        <v>Yes</v>
      </c>
      <c r="F736" s="55" t="e">
        <f>VLOOKUP($A736,'Order Summary'!$B:$I,8,FALSE)</f>
        <v>#N/A</v>
      </c>
      <c r="G736" s="216" t="str">
        <f>IF($A736="","",VLOOKUP($A736&amp;"-"&amp;$B736,'Order Summary'!$D:$U,18,FALSE))</f>
        <v/>
      </c>
      <c r="H736" s="55"/>
      <c r="I736" s="55"/>
      <c r="J736" s="55" t="e">
        <f>VLOOKUP($I736,'Pricing Table - eff 27-Jan-2026'!$A:$R,2,FALSE)</f>
        <v>#N/A</v>
      </c>
      <c r="K736" s="55" t="e">
        <f>VLOOKUP($I736,'Pricing Table - eff 27-Jan-2026'!$A:$R,6,FALSE)&amp;" "&amp;VLOOKUP($I736,'Pricing Table - eff 27-Jan-2026'!$A:$R,7,FALSE)&amp;""" x "&amp;VLOOKUP($I736,'Pricing Table - eff 27-Jan-2026'!$A:$R,9,FALSE)&amp;""" "&amp;VLOOKUP($I736,'Pricing Table - eff 27-Jan-2026'!$A:$R,5,FALSE)</f>
        <v>#N/A</v>
      </c>
      <c r="L736" s="55" t="e">
        <f>VLOOKUP($I736,'Pricing Table - eff 27-Jan-2026'!$A:$K,8,FALSE)</f>
        <v>#N/A</v>
      </c>
      <c r="M736" s="55" t="e">
        <f>VLOOKUP($I736,'Pricing Table - eff 27-Jan-2026'!$A:$K,10,FALSE)</f>
        <v>#N/A</v>
      </c>
      <c r="N736" s="55" t="e">
        <f>VLOOKUP($I736,'Pricing Table - eff 27-Jan-2026'!$A:$R,13,FALSE)&amp;" "&amp;VLOOKUP($I736,'Pricing Table - eff 27-Jan-2026'!$A:$R,12,FALSE)</f>
        <v>#N/A</v>
      </c>
      <c r="O736" s="56"/>
      <c r="P736" s="55" t="e">
        <f>(VLOOKUP($I736,'Pricing Table - eff 27-Jan-2026'!$A:$R,8,FALSE)/1000)*(VLOOKUP($I736,'Pricing Table - eff 27-Jan-2026'!$A:$R,10,FALSE)/1000)*Q736</f>
        <v>#N/A</v>
      </c>
      <c r="Q736" s="55" t="e">
        <f>ROUND(('Order Details'!$O736*1000)/((VLOOKUP($I736,'Pricing Table - eff 27-Jan-2026'!$A:$Q,7,FALSE)/12)*(VLOOKUP($I736,'Pricing Table - eff 27-Jan-2026'!$A:$Q,9,FALSE)/12))/5,0)*5</f>
        <v>#N/A</v>
      </c>
      <c r="R736" s="71" t="e">
        <f>$Q736/IFERROR(VLOOKUP($F736&amp;RIGHT($K736,8),'Master Data'!$O$5:$P$10,2,FALSE),'Master Data'!$P$4)</f>
        <v>#N/A</v>
      </c>
      <c r="S736" s="57" t="e">
        <f>VLOOKUP($I736,'Pricing Table - eff 27-Jan-2026'!$A:$Q,16,FALSE)</f>
        <v>#N/A</v>
      </c>
      <c r="T736" s="57" t="e">
        <f>VLOOKUP(I736,'Pricing Table - eff 27-Jan-2026'!$A:$O,15,FALSE)</f>
        <v>#N/A</v>
      </c>
      <c r="U736" s="57" t="e">
        <f t="shared" si="31"/>
        <v>#N/A</v>
      </c>
      <c r="V736" s="111" t="e">
        <f t="shared" si="32"/>
        <v>#N/A</v>
      </c>
      <c r="W736" s="55" t="e">
        <f>VLOOKUP($I736,'Pricing Table - eff 27-Jan-2026'!$A:$R,18,FALSE)</f>
        <v>#N/A</v>
      </c>
    </row>
    <row r="737" spans="1:23" hidden="1" x14ac:dyDescent="0.3">
      <c r="A737" s="55"/>
      <c r="B737" s="55"/>
      <c r="C737" s="55">
        <f>VLOOKUP(A737&amp;"-"&amp;B737,'Order Summary'!$D:$E,2,FALSE)</f>
        <v>0</v>
      </c>
      <c r="D737" s="216" t="str">
        <f>IF($A737="","",VLOOKUP($A737&amp;"-"&amp;$B737,'Order Summary'!$D:$U,3,FALSE))</f>
        <v/>
      </c>
      <c r="E737" s="55" t="str">
        <f>VLOOKUP(A737&amp;"-"&amp;B737,'Order Summary'!$D:$G,4,FALSE)</f>
        <v>Yes</v>
      </c>
      <c r="F737" s="55" t="e">
        <f>VLOOKUP($A737,'Order Summary'!$B:$I,8,FALSE)</f>
        <v>#N/A</v>
      </c>
      <c r="G737" s="216" t="str">
        <f>IF($A737="","",VLOOKUP($A737&amp;"-"&amp;$B737,'Order Summary'!$D:$U,18,FALSE))</f>
        <v/>
      </c>
      <c r="H737" s="55"/>
      <c r="I737" s="55"/>
      <c r="J737" s="55" t="e">
        <f>VLOOKUP($I737,'Pricing Table - eff 27-Jan-2026'!$A:$R,2,FALSE)</f>
        <v>#N/A</v>
      </c>
      <c r="K737" s="55" t="e">
        <f>VLOOKUP($I737,'Pricing Table - eff 27-Jan-2026'!$A:$R,6,FALSE)&amp;" "&amp;VLOOKUP($I737,'Pricing Table - eff 27-Jan-2026'!$A:$R,7,FALSE)&amp;""" x "&amp;VLOOKUP($I737,'Pricing Table - eff 27-Jan-2026'!$A:$R,9,FALSE)&amp;""" "&amp;VLOOKUP($I737,'Pricing Table - eff 27-Jan-2026'!$A:$R,5,FALSE)</f>
        <v>#N/A</v>
      </c>
      <c r="L737" s="55" t="e">
        <f>VLOOKUP($I737,'Pricing Table - eff 27-Jan-2026'!$A:$K,8,FALSE)</f>
        <v>#N/A</v>
      </c>
      <c r="M737" s="55" t="e">
        <f>VLOOKUP($I737,'Pricing Table - eff 27-Jan-2026'!$A:$K,10,FALSE)</f>
        <v>#N/A</v>
      </c>
      <c r="N737" s="55" t="e">
        <f>VLOOKUP($I737,'Pricing Table - eff 27-Jan-2026'!$A:$R,13,FALSE)&amp;" "&amp;VLOOKUP($I737,'Pricing Table - eff 27-Jan-2026'!$A:$R,12,FALSE)</f>
        <v>#N/A</v>
      </c>
      <c r="O737" s="56"/>
      <c r="P737" s="55" t="e">
        <f>(VLOOKUP($I737,'Pricing Table - eff 27-Jan-2026'!$A:$R,8,FALSE)/1000)*(VLOOKUP($I737,'Pricing Table - eff 27-Jan-2026'!$A:$R,10,FALSE)/1000)*Q737</f>
        <v>#N/A</v>
      </c>
      <c r="Q737" s="55" t="e">
        <f>ROUND(('Order Details'!$O737*1000)/((VLOOKUP($I737,'Pricing Table - eff 27-Jan-2026'!$A:$Q,7,FALSE)/12)*(VLOOKUP($I737,'Pricing Table - eff 27-Jan-2026'!$A:$Q,9,FALSE)/12))/5,0)*5</f>
        <v>#N/A</v>
      </c>
      <c r="R737" s="71" t="e">
        <f>$Q737/IFERROR(VLOOKUP($F737&amp;RIGHT($K737,8),'Master Data'!$O$5:$P$10,2,FALSE),'Master Data'!$P$4)</f>
        <v>#N/A</v>
      </c>
      <c r="S737" s="57" t="e">
        <f>VLOOKUP($I737,'Pricing Table - eff 27-Jan-2026'!$A:$Q,16,FALSE)</f>
        <v>#N/A</v>
      </c>
      <c r="T737" s="57" t="e">
        <f>VLOOKUP(I737,'Pricing Table - eff 27-Jan-2026'!$A:$O,15,FALSE)</f>
        <v>#N/A</v>
      </c>
      <c r="U737" s="57" t="e">
        <f t="shared" si="31"/>
        <v>#N/A</v>
      </c>
      <c r="V737" s="111" t="e">
        <f t="shared" si="32"/>
        <v>#N/A</v>
      </c>
      <c r="W737" s="55" t="e">
        <f>VLOOKUP($I737,'Pricing Table - eff 27-Jan-2026'!$A:$R,18,FALSE)</f>
        <v>#N/A</v>
      </c>
    </row>
    <row r="738" spans="1:23" hidden="1" x14ac:dyDescent="0.3">
      <c r="A738" s="55"/>
      <c r="B738" s="55"/>
      <c r="C738" s="55">
        <f>VLOOKUP(A738&amp;"-"&amp;B738,'Order Summary'!$D:$E,2,FALSE)</f>
        <v>0</v>
      </c>
      <c r="D738" s="216" t="str">
        <f>IF($A738="","",VLOOKUP($A738&amp;"-"&amp;$B738,'Order Summary'!$D:$U,3,FALSE))</f>
        <v/>
      </c>
      <c r="E738" s="55" t="str">
        <f>VLOOKUP(A738&amp;"-"&amp;B738,'Order Summary'!$D:$G,4,FALSE)</f>
        <v>Yes</v>
      </c>
      <c r="F738" s="55" t="e">
        <f>VLOOKUP($A738,'Order Summary'!$B:$I,8,FALSE)</f>
        <v>#N/A</v>
      </c>
      <c r="G738" s="216" t="str">
        <f>IF($A738="","",VLOOKUP($A738&amp;"-"&amp;$B738,'Order Summary'!$D:$U,18,FALSE))</f>
        <v/>
      </c>
      <c r="H738" s="55"/>
      <c r="I738" s="55"/>
      <c r="J738" s="55" t="e">
        <f>VLOOKUP($I738,'Pricing Table - eff 27-Jan-2026'!$A:$R,2,FALSE)</f>
        <v>#N/A</v>
      </c>
      <c r="K738" s="55" t="e">
        <f>VLOOKUP($I738,'Pricing Table - eff 27-Jan-2026'!$A:$R,6,FALSE)&amp;" "&amp;VLOOKUP($I738,'Pricing Table - eff 27-Jan-2026'!$A:$R,7,FALSE)&amp;""" x "&amp;VLOOKUP($I738,'Pricing Table - eff 27-Jan-2026'!$A:$R,9,FALSE)&amp;""" "&amp;VLOOKUP($I738,'Pricing Table - eff 27-Jan-2026'!$A:$R,5,FALSE)</f>
        <v>#N/A</v>
      </c>
      <c r="L738" s="55" t="e">
        <f>VLOOKUP($I738,'Pricing Table - eff 27-Jan-2026'!$A:$K,8,FALSE)</f>
        <v>#N/A</v>
      </c>
      <c r="M738" s="55" t="e">
        <f>VLOOKUP($I738,'Pricing Table - eff 27-Jan-2026'!$A:$K,10,FALSE)</f>
        <v>#N/A</v>
      </c>
      <c r="N738" s="55" t="e">
        <f>VLOOKUP($I738,'Pricing Table - eff 27-Jan-2026'!$A:$R,13,FALSE)&amp;" "&amp;VLOOKUP($I738,'Pricing Table - eff 27-Jan-2026'!$A:$R,12,FALSE)</f>
        <v>#N/A</v>
      </c>
      <c r="O738" s="56"/>
      <c r="P738" s="55" t="e">
        <f>(VLOOKUP($I738,'Pricing Table - eff 27-Jan-2026'!$A:$R,8,FALSE)/1000)*(VLOOKUP($I738,'Pricing Table - eff 27-Jan-2026'!$A:$R,10,FALSE)/1000)*Q738</f>
        <v>#N/A</v>
      </c>
      <c r="Q738" s="55" t="e">
        <f>ROUND(('Order Details'!$O738*1000)/((VLOOKUP($I738,'Pricing Table - eff 27-Jan-2026'!$A:$Q,7,FALSE)/12)*(VLOOKUP($I738,'Pricing Table - eff 27-Jan-2026'!$A:$Q,9,FALSE)/12))/5,0)*5</f>
        <v>#N/A</v>
      </c>
      <c r="R738" s="71" t="e">
        <f>$Q738/IFERROR(VLOOKUP($F738&amp;RIGHT($K738,8),'Master Data'!$O$5:$P$10,2,FALSE),'Master Data'!$P$4)</f>
        <v>#N/A</v>
      </c>
      <c r="S738" s="57" t="e">
        <f>VLOOKUP($I738,'Pricing Table - eff 27-Jan-2026'!$A:$Q,16,FALSE)</f>
        <v>#N/A</v>
      </c>
      <c r="T738" s="57" t="e">
        <f>VLOOKUP(I738,'Pricing Table - eff 27-Jan-2026'!$A:$O,15,FALSE)</f>
        <v>#N/A</v>
      </c>
      <c r="U738" s="57" t="e">
        <f t="shared" si="31"/>
        <v>#N/A</v>
      </c>
      <c r="V738" s="111" t="e">
        <f t="shared" si="32"/>
        <v>#N/A</v>
      </c>
      <c r="W738" s="55" t="e">
        <f>VLOOKUP($I738,'Pricing Table - eff 27-Jan-2026'!$A:$R,18,FALSE)</f>
        <v>#N/A</v>
      </c>
    </row>
    <row r="739" spans="1:23" hidden="1" x14ac:dyDescent="0.3">
      <c r="A739" s="55"/>
      <c r="B739" s="55"/>
      <c r="C739" s="55">
        <f>VLOOKUP(A739&amp;"-"&amp;B739,'Order Summary'!$D:$E,2,FALSE)</f>
        <v>0</v>
      </c>
      <c r="D739" s="216" t="str">
        <f>IF($A739="","",VLOOKUP($A739&amp;"-"&amp;$B739,'Order Summary'!$D:$U,3,FALSE))</f>
        <v/>
      </c>
      <c r="E739" s="55" t="str">
        <f>VLOOKUP(A739&amp;"-"&amp;B739,'Order Summary'!$D:$G,4,FALSE)</f>
        <v>Yes</v>
      </c>
      <c r="F739" s="55" t="e">
        <f>VLOOKUP($A739,'Order Summary'!$B:$I,8,FALSE)</f>
        <v>#N/A</v>
      </c>
      <c r="G739" s="216" t="str">
        <f>IF($A739="","",VLOOKUP($A739&amp;"-"&amp;$B739,'Order Summary'!$D:$U,18,FALSE))</f>
        <v/>
      </c>
      <c r="H739" s="55"/>
      <c r="I739" s="55"/>
      <c r="J739" s="55" t="e">
        <f>VLOOKUP($I739,'Pricing Table - eff 27-Jan-2026'!$A:$R,2,FALSE)</f>
        <v>#N/A</v>
      </c>
      <c r="K739" s="55" t="e">
        <f>VLOOKUP($I739,'Pricing Table - eff 27-Jan-2026'!$A:$R,6,FALSE)&amp;" "&amp;VLOOKUP($I739,'Pricing Table - eff 27-Jan-2026'!$A:$R,7,FALSE)&amp;""" x "&amp;VLOOKUP($I739,'Pricing Table - eff 27-Jan-2026'!$A:$R,9,FALSE)&amp;""" "&amp;VLOOKUP($I739,'Pricing Table - eff 27-Jan-2026'!$A:$R,5,FALSE)</f>
        <v>#N/A</v>
      </c>
      <c r="L739" s="55" t="e">
        <f>VLOOKUP($I739,'Pricing Table - eff 27-Jan-2026'!$A:$K,8,FALSE)</f>
        <v>#N/A</v>
      </c>
      <c r="M739" s="55" t="e">
        <f>VLOOKUP($I739,'Pricing Table - eff 27-Jan-2026'!$A:$K,10,FALSE)</f>
        <v>#N/A</v>
      </c>
      <c r="N739" s="55" t="e">
        <f>VLOOKUP($I739,'Pricing Table - eff 27-Jan-2026'!$A:$R,13,FALSE)&amp;" "&amp;VLOOKUP($I739,'Pricing Table - eff 27-Jan-2026'!$A:$R,12,FALSE)</f>
        <v>#N/A</v>
      </c>
      <c r="O739" s="56"/>
      <c r="P739" s="55" t="e">
        <f>(VLOOKUP($I739,'Pricing Table - eff 27-Jan-2026'!$A:$R,8,FALSE)/1000)*(VLOOKUP($I739,'Pricing Table - eff 27-Jan-2026'!$A:$R,10,FALSE)/1000)*Q739</f>
        <v>#N/A</v>
      </c>
      <c r="Q739" s="55" t="e">
        <f>ROUND(('Order Details'!$O739*1000)/((VLOOKUP($I739,'Pricing Table - eff 27-Jan-2026'!$A:$Q,7,FALSE)/12)*(VLOOKUP($I739,'Pricing Table - eff 27-Jan-2026'!$A:$Q,9,FALSE)/12))/5,0)*5</f>
        <v>#N/A</v>
      </c>
      <c r="R739" s="71" t="e">
        <f>$Q739/IFERROR(VLOOKUP($F739&amp;RIGHT($K739,8),'Master Data'!$O$5:$P$10,2,FALSE),'Master Data'!$P$4)</f>
        <v>#N/A</v>
      </c>
      <c r="S739" s="57" t="e">
        <f>VLOOKUP($I739,'Pricing Table - eff 27-Jan-2026'!$A:$Q,16,FALSE)</f>
        <v>#N/A</v>
      </c>
      <c r="T739" s="57" t="e">
        <f>VLOOKUP(I739,'Pricing Table - eff 27-Jan-2026'!$A:$O,15,FALSE)</f>
        <v>#N/A</v>
      </c>
      <c r="U739" s="57" t="e">
        <f t="shared" si="31"/>
        <v>#N/A</v>
      </c>
      <c r="V739" s="111" t="e">
        <f t="shared" si="32"/>
        <v>#N/A</v>
      </c>
      <c r="W739" s="55" t="e">
        <f>VLOOKUP($I739,'Pricing Table - eff 27-Jan-2026'!$A:$R,18,FALSE)</f>
        <v>#N/A</v>
      </c>
    </row>
    <row r="740" spans="1:23" hidden="1" x14ac:dyDescent="0.3">
      <c r="A740" s="55"/>
      <c r="B740" s="55"/>
      <c r="C740" s="55">
        <f>VLOOKUP(A740&amp;"-"&amp;B740,'Order Summary'!$D:$E,2,FALSE)</f>
        <v>0</v>
      </c>
      <c r="D740" s="216" t="str">
        <f>IF($A740="","",VLOOKUP($A740&amp;"-"&amp;$B740,'Order Summary'!$D:$U,3,FALSE))</f>
        <v/>
      </c>
      <c r="E740" s="55" t="str">
        <f>VLOOKUP(A740&amp;"-"&amp;B740,'Order Summary'!$D:$G,4,FALSE)</f>
        <v>Yes</v>
      </c>
      <c r="F740" s="55" t="e">
        <f>VLOOKUP($A740,'Order Summary'!$B:$I,8,FALSE)</f>
        <v>#N/A</v>
      </c>
      <c r="G740" s="216" t="str">
        <f>IF($A740="","",VLOOKUP($A740&amp;"-"&amp;$B740,'Order Summary'!$D:$U,18,FALSE))</f>
        <v/>
      </c>
      <c r="H740" s="55"/>
      <c r="I740" s="55"/>
      <c r="J740" s="55" t="e">
        <f>VLOOKUP($I740,'Pricing Table - eff 27-Jan-2026'!$A:$R,2,FALSE)</f>
        <v>#N/A</v>
      </c>
      <c r="K740" s="55" t="e">
        <f>VLOOKUP($I740,'Pricing Table - eff 27-Jan-2026'!$A:$R,6,FALSE)&amp;" "&amp;VLOOKUP($I740,'Pricing Table - eff 27-Jan-2026'!$A:$R,7,FALSE)&amp;""" x "&amp;VLOOKUP($I740,'Pricing Table - eff 27-Jan-2026'!$A:$R,9,FALSE)&amp;""" "&amp;VLOOKUP($I740,'Pricing Table - eff 27-Jan-2026'!$A:$R,5,FALSE)</f>
        <v>#N/A</v>
      </c>
      <c r="L740" s="55" t="e">
        <f>VLOOKUP($I740,'Pricing Table - eff 27-Jan-2026'!$A:$K,8,FALSE)</f>
        <v>#N/A</v>
      </c>
      <c r="M740" s="55" t="e">
        <f>VLOOKUP($I740,'Pricing Table - eff 27-Jan-2026'!$A:$K,10,FALSE)</f>
        <v>#N/A</v>
      </c>
      <c r="N740" s="55" t="e">
        <f>VLOOKUP($I740,'Pricing Table - eff 27-Jan-2026'!$A:$R,13,FALSE)&amp;" "&amp;VLOOKUP($I740,'Pricing Table - eff 27-Jan-2026'!$A:$R,12,FALSE)</f>
        <v>#N/A</v>
      </c>
      <c r="O740" s="56"/>
      <c r="P740" s="55" t="e">
        <f>(VLOOKUP($I740,'Pricing Table - eff 27-Jan-2026'!$A:$R,8,FALSE)/1000)*(VLOOKUP($I740,'Pricing Table - eff 27-Jan-2026'!$A:$R,10,FALSE)/1000)*Q740</f>
        <v>#N/A</v>
      </c>
      <c r="Q740" s="55" t="e">
        <f>ROUND(('Order Details'!$O740*1000)/((VLOOKUP($I740,'Pricing Table - eff 27-Jan-2026'!$A:$Q,7,FALSE)/12)*(VLOOKUP($I740,'Pricing Table - eff 27-Jan-2026'!$A:$Q,9,FALSE)/12))/5,0)*5</f>
        <v>#N/A</v>
      </c>
      <c r="R740" s="71" t="e">
        <f>$Q740/IFERROR(VLOOKUP($F740&amp;RIGHT($K740,8),'Master Data'!$O$5:$P$10,2,FALSE),'Master Data'!$P$4)</f>
        <v>#N/A</v>
      </c>
      <c r="S740" s="57" t="e">
        <f>VLOOKUP($I740,'Pricing Table - eff 27-Jan-2026'!$A:$Q,16,FALSE)</f>
        <v>#N/A</v>
      </c>
      <c r="T740" s="57" t="e">
        <f>VLOOKUP(I740,'Pricing Table - eff 27-Jan-2026'!$A:$O,15,FALSE)</f>
        <v>#N/A</v>
      </c>
      <c r="U740" s="57" t="e">
        <f t="shared" si="31"/>
        <v>#N/A</v>
      </c>
      <c r="V740" s="111" t="e">
        <f t="shared" si="32"/>
        <v>#N/A</v>
      </c>
      <c r="W740" s="55" t="e">
        <f>VLOOKUP($I740,'Pricing Table - eff 27-Jan-2026'!$A:$R,18,FALSE)</f>
        <v>#N/A</v>
      </c>
    </row>
    <row r="741" spans="1:23" hidden="1" x14ac:dyDescent="0.3">
      <c r="A741" s="55"/>
      <c r="B741" s="55"/>
      <c r="C741" s="55">
        <f>VLOOKUP(A741&amp;"-"&amp;B741,'Order Summary'!$D:$E,2,FALSE)</f>
        <v>0</v>
      </c>
      <c r="D741" s="216" t="str">
        <f>IF($A741="","",VLOOKUP($A741&amp;"-"&amp;$B741,'Order Summary'!$D:$U,3,FALSE))</f>
        <v/>
      </c>
      <c r="E741" s="55" t="str">
        <f>VLOOKUP(A741&amp;"-"&amp;B741,'Order Summary'!$D:$G,4,FALSE)</f>
        <v>Yes</v>
      </c>
      <c r="F741" s="55" t="e">
        <f>VLOOKUP($A741,'Order Summary'!$B:$I,8,FALSE)</f>
        <v>#N/A</v>
      </c>
      <c r="G741" s="216" t="str">
        <f>IF($A741="","",VLOOKUP($A741&amp;"-"&amp;$B741,'Order Summary'!$D:$U,18,FALSE))</f>
        <v/>
      </c>
      <c r="H741" s="55"/>
      <c r="I741" s="55"/>
      <c r="J741" s="55" t="e">
        <f>VLOOKUP($I741,'Pricing Table - eff 27-Jan-2026'!$A:$R,2,FALSE)</f>
        <v>#N/A</v>
      </c>
      <c r="K741" s="55" t="e">
        <f>VLOOKUP($I741,'Pricing Table - eff 27-Jan-2026'!$A:$R,6,FALSE)&amp;" "&amp;VLOOKUP($I741,'Pricing Table - eff 27-Jan-2026'!$A:$R,7,FALSE)&amp;""" x "&amp;VLOOKUP($I741,'Pricing Table - eff 27-Jan-2026'!$A:$R,9,FALSE)&amp;""" "&amp;VLOOKUP($I741,'Pricing Table - eff 27-Jan-2026'!$A:$R,5,FALSE)</f>
        <v>#N/A</v>
      </c>
      <c r="L741" s="55" t="e">
        <f>VLOOKUP($I741,'Pricing Table - eff 27-Jan-2026'!$A:$K,8,FALSE)</f>
        <v>#N/A</v>
      </c>
      <c r="M741" s="55" t="e">
        <f>VLOOKUP($I741,'Pricing Table - eff 27-Jan-2026'!$A:$K,10,FALSE)</f>
        <v>#N/A</v>
      </c>
      <c r="N741" s="55" t="e">
        <f>VLOOKUP($I741,'Pricing Table - eff 27-Jan-2026'!$A:$R,13,FALSE)&amp;" "&amp;VLOOKUP($I741,'Pricing Table - eff 27-Jan-2026'!$A:$R,12,FALSE)</f>
        <v>#N/A</v>
      </c>
      <c r="O741" s="56"/>
      <c r="P741" s="55" t="e">
        <f>(VLOOKUP($I741,'Pricing Table - eff 27-Jan-2026'!$A:$R,8,FALSE)/1000)*(VLOOKUP($I741,'Pricing Table - eff 27-Jan-2026'!$A:$R,10,FALSE)/1000)*Q741</f>
        <v>#N/A</v>
      </c>
      <c r="Q741" s="55" t="e">
        <f>ROUND(('Order Details'!$O741*1000)/((VLOOKUP($I741,'Pricing Table - eff 27-Jan-2026'!$A:$Q,7,FALSE)/12)*(VLOOKUP($I741,'Pricing Table - eff 27-Jan-2026'!$A:$Q,9,FALSE)/12))/5,0)*5</f>
        <v>#N/A</v>
      </c>
      <c r="R741" s="71" t="e">
        <f>$Q741/IFERROR(VLOOKUP($F741&amp;RIGHT($K741,8),'Master Data'!$O$5:$P$10,2,FALSE),'Master Data'!$P$4)</f>
        <v>#N/A</v>
      </c>
      <c r="S741" s="57" t="e">
        <f>VLOOKUP($I741,'Pricing Table - eff 27-Jan-2026'!$A:$Q,16,FALSE)</f>
        <v>#N/A</v>
      </c>
      <c r="T741" s="57" t="e">
        <f>VLOOKUP(I741,'Pricing Table - eff 27-Jan-2026'!$A:$O,15,FALSE)</f>
        <v>#N/A</v>
      </c>
      <c r="U741" s="57" t="e">
        <f t="shared" si="31"/>
        <v>#N/A</v>
      </c>
      <c r="V741" s="111" t="e">
        <f t="shared" si="32"/>
        <v>#N/A</v>
      </c>
      <c r="W741" s="55" t="e">
        <f>VLOOKUP($I741,'Pricing Table - eff 27-Jan-2026'!$A:$R,18,FALSE)</f>
        <v>#N/A</v>
      </c>
    </row>
    <row r="742" spans="1:23" hidden="1" x14ac:dyDescent="0.3">
      <c r="A742" s="55"/>
      <c r="B742" s="55"/>
      <c r="C742" s="55">
        <f>VLOOKUP(A742&amp;"-"&amp;B742,'Order Summary'!$D:$E,2,FALSE)</f>
        <v>0</v>
      </c>
      <c r="D742" s="216" t="str">
        <f>IF($A742="","",VLOOKUP($A742&amp;"-"&amp;$B742,'Order Summary'!$D:$U,3,FALSE))</f>
        <v/>
      </c>
      <c r="E742" s="55" t="str">
        <f>VLOOKUP(A742&amp;"-"&amp;B742,'Order Summary'!$D:$G,4,FALSE)</f>
        <v>Yes</v>
      </c>
      <c r="F742" s="55" t="e">
        <f>VLOOKUP($A742,'Order Summary'!$B:$I,8,FALSE)</f>
        <v>#N/A</v>
      </c>
      <c r="G742" s="216" t="str">
        <f>IF($A742="","",VLOOKUP($A742&amp;"-"&amp;$B742,'Order Summary'!$D:$U,18,FALSE))</f>
        <v/>
      </c>
      <c r="H742" s="55"/>
      <c r="I742" s="55"/>
      <c r="J742" s="55" t="e">
        <f>VLOOKUP($I742,'Pricing Table - eff 27-Jan-2026'!$A:$R,2,FALSE)</f>
        <v>#N/A</v>
      </c>
      <c r="K742" s="55" t="e">
        <f>VLOOKUP($I742,'Pricing Table - eff 27-Jan-2026'!$A:$R,6,FALSE)&amp;" "&amp;VLOOKUP($I742,'Pricing Table - eff 27-Jan-2026'!$A:$R,7,FALSE)&amp;""" x "&amp;VLOOKUP($I742,'Pricing Table - eff 27-Jan-2026'!$A:$R,9,FALSE)&amp;""" "&amp;VLOOKUP($I742,'Pricing Table - eff 27-Jan-2026'!$A:$R,5,FALSE)</f>
        <v>#N/A</v>
      </c>
      <c r="L742" s="55" t="e">
        <f>VLOOKUP($I742,'Pricing Table - eff 27-Jan-2026'!$A:$K,8,FALSE)</f>
        <v>#N/A</v>
      </c>
      <c r="M742" s="55" t="e">
        <f>VLOOKUP($I742,'Pricing Table - eff 27-Jan-2026'!$A:$K,10,FALSE)</f>
        <v>#N/A</v>
      </c>
      <c r="N742" s="55" t="e">
        <f>VLOOKUP($I742,'Pricing Table - eff 27-Jan-2026'!$A:$R,13,FALSE)&amp;" "&amp;VLOOKUP($I742,'Pricing Table - eff 27-Jan-2026'!$A:$R,12,FALSE)</f>
        <v>#N/A</v>
      </c>
      <c r="O742" s="56"/>
      <c r="P742" s="55" t="e">
        <f>(VLOOKUP($I742,'Pricing Table - eff 27-Jan-2026'!$A:$R,8,FALSE)/1000)*(VLOOKUP($I742,'Pricing Table - eff 27-Jan-2026'!$A:$R,10,FALSE)/1000)*Q742</f>
        <v>#N/A</v>
      </c>
      <c r="Q742" s="55" t="e">
        <f>ROUND(('Order Details'!$O742*1000)/((VLOOKUP($I742,'Pricing Table - eff 27-Jan-2026'!$A:$Q,7,FALSE)/12)*(VLOOKUP($I742,'Pricing Table - eff 27-Jan-2026'!$A:$Q,9,FALSE)/12))/5,0)*5</f>
        <v>#N/A</v>
      </c>
      <c r="R742" s="71" t="e">
        <f>$Q742/IFERROR(VLOOKUP($F742&amp;RIGHT($K742,8),'Master Data'!$O$5:$P$10,2,FALSE),'Master Data'!$P$4)</f>
        <v>#N/A</v>
      </c>
      <c r="S742" s="57" t="e">
        <f>VLOOKUP($I742,'Pricing Table - eff 27-Jan-2026'!$A:$Q,16,FALSE)</f>
        <v>#N/A</v>
      </c>
      <c r="T742" s="57" t="e">
        <f>VLOOKUP(I742,'Pricing Table - eff 27-Jan-2026'!$A:$O,15,FALSE)</f>
        <v>#N/A</v>
      </c>
      <c r="U742" s="57" t="e">
        <f t="shared" si="31"/>
        <v>#N/A</v>
      </c>
      <c r="V742" s="111" t="e">
        <f t="shared" si="32"/>
        <v>#N/A</v>
      </c>
      <c r="W742" s="55" t="e">
        <f>VLOOKUP($I742,'Pricing Table - eff 27-Jan-2026'!$A:$R,18,FALSE)</f>
        <v>#N/A</v>
      </c>
    </row>
    <row r="743" spans="1:23" hidden="1" x14ac:dyDescent="0.3">
      <c r="A743" s="55"/>
      <c r="B743" s="55"/>
      <c r="C743" s="55">
        <f>VLOOKUP(A743&amp;"-"&amp;B743,'Order Summary'!$D:$E,2,FALSE)</f>
        <v>0</v>
      </c>
      <c r="D743" s="216" t="str">
        <f>IF($A743="","",VLOOKUP($A743&amp;"-"&amp;$B743,'Order Summary'!$D:$U,3,FALSE))</f>
        <v/>
      </c>
      <c r="E743" s="55" t="str">
        <f>VLOOKUP(A743&amp;"-"&amp;B743,'Order Summary'!$D:$G,4,FALSE)</f>
        <v>Yes</v>
      </c>
      <c r="F743" s="55" t="e">
        <f>VLOOKUP($A743,'Order Summary'!$B:$I,8,FALSE)</f>
        <v>#N/A</v>
      </c>
      <c r="G743" s="216" t="str">
        <f>IF($A743="","",VLOOKUP($A743&amp;"-"&amp;$B743,'Order Summary'!$D:$U,18,FALSE))</f>
        <v/>
      </c>
      <c r="H743" s="55"/>
      <c r="I743" s="55"/>
      <c r="J743" s="55" t="e">
        <f>VLOOKUP($I743,'Pricing Table - eff 27-Jan-2026'!$A:$R,2,FALSE)</f>
        <v>#N/A</v>
      </c>
      <c r="K743" s="55" t="e">
        <f>VLOOKUP($I743,'Pricing Table - eff 27-Jan-2026'!$A:$R,6,FALSE)&amp;" "&amp;VLOOKUP($I743,'Pricing Table - eff 27-Jan-2026'!$A:$R,7,FALSE)&amp;""" x "&amp;VLOOKUP($I743,'Pricing Table - eff 27-Jan-2026'!$A:$R,9,FALSE)&amp;""" "&amp;VLOOKUP($I743,'Pricing Table - eff 27-Jan-2026'!$A:$R,5,FALSE)</f>
        <v>#N/A</v>
      </c>
      <c r="L743" s="55" t="e">
        <f>VLOOKUP($I743,'Pricing Table - eff 27-Jan-2026'!$A:$K,8,FALSE)</f>
        <v>#N/A</v>
      </c>
      <c r="M743" s="55" t="e">
        <f>VLOOKUP($I743,'Pricing Table - eff 27-Jan-2026'!$A:$K,10,FALSE)</f>
        <v>#N/A</v>
      </c>
      <c r="N743" s="55" t="e">
        <f>VLOOKUP($I743,'Pricing Table - eff 27-Jan-2026'!$A:$R,13,FALSE)&amp;" "&amp;VLOOKUP($I743,'Pricing Table - eff 27-Jan-2026'!$A:$R,12,FALSE)</f>
        <v>#N/A</v>
      </c>
      <c r="O743" s="56"/>
      <c r="P743" s="55" t="e">
        <f>(VLOOKUP($I743,'Pricing Table - eff 27-Jan-2026'!$A:$R,8,FALSE)/1000)*(VLOOKUP($I743,'Pricing Table - eff 27-Jan-2026'!$A:$R,10,FALSE)/1000)*Q743</f>
        <v>#N/A</v>
      </c>
      <c r="Q743" s="55" t="e">
        <f>ROUND(('Order Details'!$O743*1000)/((VLOOKUP($I743,'Pricing Table - eff 27-Jan-2026'!$A:$Q,7,FALSE)/12)*(VLOOKUP($I743,'Pricing Table - eff 27-Jan-2026'!$A:$Q,9,FALSE)/12))/5,0)*5</f>
        <v>#N/A</v>
      </c>
      <c r="R743" s="71" t="e">
        <f>$Q743/IFERROR(VLOOKUP($F743&amp;RIGHT($K743,8),'Master Data'!$O$5:$P$10,2,FALSE),'Master Data'!$P$4)</f>
        <v>#N/A</v>
      </c>
      <c r="S743" s="57" t="e">
        <f>VLOOKUP($I743,'Pricing Table - eff 27-Jan-2026'!$A:$Q,16,FALSE)</f>
        <v>#N/A</v>
      </c>
      <c r="T743" s="57" t="e">
        <f>VLOOKUP(I743,'Pricing Table - eff 27-Jan-2026'!$A:$O,15,FALSE)</f>
        <v>#N/A</v>
      </c>
      <c r="U743" s="57" t="e">
        <f t="shared" ref="U743:U806" si="33">O743*S743</f>
        <v>#N/A</v>
      </c>
      <c r="V743" s="111" t="e">
        <f t="shared" si="32"/>
        <v>#N/A</v>
      </c>
      <c r="W743" s="55" t="e">
        <f>VLOOKUP($I743,'Pricing Table - eff 27-Jan-2026'!$A:$R,18,FALSE)</f>
        <v>#N/A</v>
      </c>
    </row>
    <row r="744" spans="1:23" hidden="1" x14ac:dyDescent="0.3">
      <c r="A744" s="55"/>
      <c r="B744" s="55"/>
      <c r="C744" s="55">
        <f>VLOOKUP(A744&amp;"-"&amp;B744,'Order Summary'!$D:$E,2,FALSE)</f>
        <v>0</v>
      </c>
      <c r="D744" s="216" t="str">
        <f>IF($A744="","",VLOOKUP($A744&amp;"-"&amp;$B744,'Order Summary'!$D:$U,3,FALSE))</f>
        <v/>
      </c>
      <c r="E744" s="55" t="str">
        <f>VLOOKUP(A744&amp;"-"&amp;B744,'Order Summary'!$D:$G,4,FALSE)</f>
        <v>Yes</v>
      </c>
      <c r="F744" s="55" t="e">
        <f>VLOOKUP($A744,'Order Summary'!$B:$I,8,FALSE)</f>
        <v>#N/A</v>
      </c>
      <c r="G744" s="216" t="str">
        <f>IF($A744="","",VLOOKUP($A744&amp;"-"&amp;$B744,'Order Summary'!$D:$U,18,FALSE))</f>
        <v/>
      </c>
      <c r="H744" s="55"/>
      <c r="I744" s="55"/>
      <c r="J744" s="55" t="e">
        <f>VLOOKUP($I744,'Pricing Table - eff 27-Jan-2026'!$A:$R,2,FALSE)</f>
        <v>#N/A</v>
      </c>
      <c r="K744" s="55" t="e">
        <f>VLOOKUP($I744,'Pricing Table - eff 27-Jan-2026'!$A:$R,6,FALSE)&amp;" "&amp;VLOOKUP($I744,'Pricing Table - eff 27-Jan-2026'!$A:$R,7,FALSE)&amp;""" x "&amp;VLOOKUP($I744,'Pricing Table - eff 27-Jan-2026'!$A:$R,9,FALSE)&amp;""" "&amp;VLOOKUP($I744,'Pricing Table - eff 27-Jan-2026'!$A:$R,5,FALSE)</f>
        <v>#N/A</v>
      </c>
      <c r="L744" s="55" t="e">
        <f>VLOOKUP($I744,'Pricing Table - eff 27-Jan-2026'!$A:$K,8,FALSE)</f>
        <v>#N/A</v>
      </c>
      <c r="M744" s="55" t="e">
        <f>VLOOKUP($I744,'Pricing Table - eff 27-Jan-2026'!$A:$K,10,FALSE)</f>
        <v>#N/A</v>
      </c>
      <c r="N744" s="55" t="e">
        <f>VLOOKUP($I744,'Pricing Table - eff 27-Jan-2026'!$A:$R,13,FALSE)&amp;" "&amp;VLOOKUP($I744,'Pricing Table - eff 27-Jan-2026'!$A:$R,12,FALSE)</f>
        <v>#N/A</v>
      </c>
      <c r="O744" s="56"/>
      <c r="P744" s="55" t="e">
        <f>(VLOOKUP($I744,'Pricing Table - eff 27-Jan-2026'!$A:$R,8,FALSE)/1000)*(VLOOKUP($I744,'Pricing Table - eff 27-Jan-2026'!$A:$R,10,FALSE)/1000)*Q744</f>
        <v>#N/A</v>
      </c>
      <c r="Q744" s="55" t="e">
        <f>ROUND(('Order Details'!$O744*1000)/((VLOOKUP($I744,'Pricing Table - eff 27-Jan-2026'!$A:$Q,7,FALSE)/12)*(VLOOKUP($I744,'Pricing Table - eff 27-Jan-2026'!$A:$Q,9,FALSE)/12))/5,0)*5</f>
        <v>#N/A</v>
      </c>
      <c r="R744" s="71" t="e">
        <f>$Q744/IFERROR(VLOOKUP($F744&amp;RIGHT($K744,8),'Master Data'!$O$5:$P$10,2,FALSE),'Master Data'!$P$4)</f>
        <v>#N/A</v>
      </c>
      <c r="S744" s="57" t="e">
        <f>VLOOKUP($I744,'Pricing Table - eff 27-Jan-2026'!$A:$Q,16,FALSE)</f>
        <v>#N/A</v>
      </c>
      <c r="T744" s="57" t="e">
        <f>VLOOKUP(I744,'Pricing Table - eff 27-Jan-2026'!$A:$O,15,FALSE)</f>
        <v>#N/A</v>
      </c>
      <c r="U744" s="57" t="e">
        <f t="shared" si="33"/>
        <v>#N/A</v>
      </c>
      <c r="V744" s="111" t="e">
        <f t="shared" si="32"/>
        <v>#N/A</v>
      </c>
      <c r="W744" s="55" t="e">
        <f>VLOOKUP($I744,'Pricing Table - eff 27-Jan-2026'!$A:$R,18,FALSE)</f>
        <v>#N/A</v>
      </c>
    </row>
    <row r="745" spans="1:23" hidden="1" x14ac:dyDescent="0.3">
      <c r="A745" s="55"/>
      <c r="B745" s="55"/>
      <c r="C745" s="55">
        <f>VLOOKUP(A745&amp;"-"&amp;B745,'Order Summary'!$D:$E,2,FALSE)</f>
        <v>0</v>
      </c>
      <c r="D745" s="216" t="str">
        <f>IF($A745="","",VLOOKUP($A745&amp;"-"&amp;$B745,'Order Summary'!$D:$U,3,FALSE))</f>
        <v/>
      </c>
      <c r="E745" s="55" t="str">
        <f>VLOOKUP(A745&amp;"-"&amp;B745,'Order Summary'!$D:$G,4,FALSE)</f>
        <v>Yes</v>
      </c>
      <c r="F745" s="55" t="e">
        <f>VLOOKUP($A745,'Order Summary'!$B:$I,8,FALSE)</f>
        <v>#N/A</v>
      </c>
      <c r="G745" s="216" t="str">
        <f>IF($A745="","",VLOOKUP($A745&amp;"-"&amp;$B745,'Order Summary'!$D:$U,18,FALSE))</f>
        <v/>
      </c>
      <c r="H745" s="55"/>
      <c r="I745" s="55"/>
      <c r="J745" s="55" t="e">
        <f>VLOOKUP($I745,'Pricing Table - eff 27-Jan-2026'!$A:$R,2,FALSE)</f>
        <v>#N/A</v>
      </c>
      <c r="K745" s="55" t="e">
        <f>VLOOKUP($I745,'Pricing Table - eff 27-Jan-2026'!$A:$R,6,FALSE)&amp;" "&amp;VLOOKUP($I745,'Pricing Table - eff 27-Jan-2026'!$A:$R,7,FALSE)&amp;""" x "&amp;VLOOKUP($I745,'Pricing Table - eff 27-Jan-2026'!$A:$R,9,FALSE)&amp;""" "&amp;VLOOKUP($I745,'Pricing Table - eff 27-Jan-2026'!$A:$R,5,FALSE)</f>
        <v>#N/A</v>
      </c>
      <c r="L745" s="55" t="e">
        <f>VLOOKUP($I745,'Pricing Table - eff 27-Jan-2026'!$A:$K,8,FALSE)</f>
        <v>#N/A</v>
      </c>
      <c r="M745" s="55" t="e">
        <f>VLOOKUP($I745,'Pricing Table - eff 27-Jan-2026'!$A:$K,10,FALSE)</f>
        <v>#N/A</v>
      </c>
      <c r="N745" s="55" t="e">
        <f>VLOOKUP($I745,'Pricing Table - eff 27-Jan-2026'!$A:$R,13,FALSE)&amp;" "&amp;VLOOKUP($I745,'Pricing Table - eff 27-Jan-2026'!$A:$R,12,FALSE)</f>
        <v>#N/A</v>
      </c>
      <c r="O745" s="56"/>
      <c r="P745" s="55" t="e">
        <f>(VLOOKUP($I745,'Pricing Table - eff 27-Jan-2026'!$A:$R,8,FALSE)/1000)*(VLOOKUP($I745,'Pricing Table - eff 27-Jan-2026'!$A:$R,10,FALSE)/1000)*Q745</f>
        <v>#N/A</v>
      </c>
      <c r="Q745" s="55" t="e">
        <f>ROUND(('Order Details'!$O745*1000)/((VLOOKUP($I745,'Pricing Table - eff 27-Jan-2026'!$A:$Q,7,FALSE)/12)*(VLOOKUP($I745,'Pricing Table - eff 27-Jan-2026'!$A:$Q,9,FALSE)/12))/5,0)*5</f>
        <v>#N/A</v>
      </c>
      <c r="R745" s="71" t="e">
        <f>$Q745/IFERROR(VLOOKUP($F745&amp;RIGHT($K745,8),'Master Data'!$O$5:$P$10,2,FALSE),'Master Data'!$P$4)</f>
        <v>#N/A</v>
      </c>
      <c r="S745" s="57" t="e">
        <f>VLOOKUP($I745,'Pricing Table - eff 27-Jan-2026'!$A:$Q,16,FALSE)</f>
        <v>#N/A</v>
      </c>
      <c r="T745" s="57" t="e">
        <f>VLOOKUP(I745,'Pricing Table - eff 27-Jan-2026'!$A:$O,15,FALSE)</f>
        <v>#N/A</v>
      </c>
      <c r="U745" s="57" t="e">
        <f t="shared" si="33"/>
        <v>#N/A</v>
      </c>
      <c r="V745" s="111" t="e">
        <f t="shared" si="32"/>
        <v>#N/A</v>
      </c>
      <c r="W745" s="55" t="e">
        <f>VLOOKUP($I745,'Pricing Table - eff 27-Jan-2026'!$A:$R,18,FALSE)</f>
        <v>#N/A</v>
      </c>
    </row>
    <row r="746" spans="1:23" hidden="1" x14ac:dyDescent="0.3">
      <c r="A746" s="55"/>
      <c r="B746" s="55"/>
      <c r="C746" s="55">
        <f>VLOOKUP(A746&amp;"-"&amp;B746,'Order Summary'!$D:$E,2,FALSE)</f>
        <v>0</v>
      </c>
      <c r="D746" s="216" t="str">
        <f>IF($A746="","",VLOOKUP($A746&amp;"-"&amp;$B746,'Order Summary'!$D:$U,3,FALSE))</f>
        <v/>
      </c>
      <c r="E746" s="55" t="str">
        <f>VLOOKUP(A746&amp;"-"&amp;B746,'Order Summary'!$D:$G,4,FALSE)</f>
        <v>Yes</v>
      </c>
      <c r="F746" s="55" t="e">
        <f>VLOOKUP($A746,'Order Summary'!$B:$I,8,FALSE)</f>
        <v>#N/A</v>
      </c>
      <c r="G746" s="216" t="str">
        <f>IF($A746="","",VLOOKUP($A746&amp;"-"&amp;$B746,'Order Summary'!$D:$U,18,FALSE))</f>
        <v/>
      </c>
      <c r="H746" s="55"/>
      <c r="I746" s="55"/>
      <c r="J746" s="55" t="e">
        <f>VLOOKUP($I746,'Pricing Table - eff 27-Jan-2026'!$A:$R,2,FALSE)</f>
        <v>#N/A</v>
      </c>
      <c r="K746" s="55" t="e">
        <f>VLOOKUP($I746,'Pricing Table - eff 27-Jan-2026'!$A:$R,6,FALSE)&amp;" "&amp;VLOOKUP($I746,'Pricing Table - eff 27-Jan-2026'!$A:$R,7,FALSE)&amp;""" x "&amp;VLOOKUP($I746,'Pricing Table - eff 27-Jan-2026'!$A:$R,9,FALSE)&amp;""" "&amp;VLOOKUP($I746,'Pricing Table - eff 27-Jan-2026'!$A:$R,5,FALSE)</f>
        <v>#N/A</v>
      </c>
      <c r="L746" s="55" t="e">
        <f>VLOOKUP($I746,'Pricing Table - eff 27-Jan-2026'!$A:$K,8,FALSE)</f>
        <v>#N/A</v>
      </c>
      <c r="M746" s="55" t="e">
        <f>VLOOKUP($I746,'Pricing Table - eff 27-Jan-2026'!$A:$K,10,FALSE)</f>
        <v>#N/A</v>
      </c>
      <c r="N746" s="55" t="e">
        <f>VLOOKUP($I746,'Pricing Table - eff 27-Jan-2026'!$A:$R,13,FALSE)&amp;" "&amp;VLOOKUP($I746,'Pricing Table - eff 27-Jan-2026'!$A:$R,12,FALSE)</f>
        <v>#N/A</v>
      </c>
      <c r="O746" s="56"/>
      <c r="P746" s="55" t="e">
        <f>(VLOOKUP($I746,'Pricing Table - eff 27-Jan-2026'!$A:$R,8,FALSE)/1000)*(VLOOKUP($I746,'Pricing Table - eff 27-Jan-2026'!$A:$R,10,FALSE)/1000)*Q746</f>
        <v>#N/A</v>
      </c>
      <c r="Q746" s="55" t="e">
        <f>ROUND(('Order Details'!$O746*1000)/((VLOOKUP($I746,'Pricing Table - eff 27-Jan-2026'!$A:$Q,7,FALSE)/12)*(VLOOKUP($I746,'Pricing Table - eff 27-Jan-2026'!$A:$Q,9,FALSE)/12))/5,0)*5</f>
        <v>#N/A</v>
      </c>
      <c r="R746" s="71" t="e">
        <f>$Q746/IFERROR(VLOOKUP($F746&amp;RIGHT($K746,8),'Master Data'!$O$5:$P$10,2,FALSE),'Master Data'!$P$4)</f>
        <v>#N/A</v>
      </c>
      <c r="S746" s="57" t="e">
        <f>VLOOKUP($I746,'Pricing Table - eff 27-Jan-2026'!$A:$Q,16,FALSE)</f>
        <v>#N/A</v>
      </c>
      <c r="T746" s="57" t="e">
        <f>VLOOKUP(I746,'Pricing Table - eff 27-Jan-2026'!$A:$O,15,FALSE)</f>
        <v>#N/A</v>
      </c>
      <c r="U746" s="57" t="e">
        <f t="shared" si="33"/>
        <v>#N/A</v>
      </c>
      <c r="V746" s="111" t="e">
        <f t="shared" si="32"/>
        <v>#N/A</v>
      </c>
      <c r="W746" s="55" t="e">
        <f>VLOOKUP($I746,'Pricing Table - eff 27-Jan-2026'!$A:$R,18,FALSE)</f>
        <v>#N/A</v>
      </c>
    </row>
    <row r="747" spans="1:23" hidden="1" x14ac:dyDescent="0.3">
      <c r="A747" s="55"/>
      <c r="B747" s="55"/>
      <c r="C747" s="55">
        <f>VLOOKUP(A747&amp;"-"&amp;B747,'Order Summary'!$D:$E,2,FALSE)</f>
        <v>0</v>
      </c>
      <c r="D747" s="216" t="str">
        <f>IF($A747="","",VLOOKUP($A747&amp;"-"&amp;$B747,'Order Summary'!$D:$U,3,FALSE))</f>
        <v/>
      </c>
      <c r="E747" s="55" t="str">
        <f>VLOOKUP(A747&amp;"-"&amp;B747,'Order Summary'!$D:$G,4,FALSE)</f>
        <v>Yes</v>
      </c>
      <c r="F747" s="55" t="e">
        <f>VLOOKUP($A747,'Order Summary'!$B:$I,8,FALSE)</f>
        <v>#N/A</v>
      </c>
      <c r="G747" s="216" t="str">
        <f>IF($A747="","",VLOOKUP($A747&amp;"-"&amp;$B747,'Order Summary'!$D:$U,18,FALSE))</f>
        <v/>
      </c>
      <c r="H747" s="55"/>
      <c r="I747" s="55"/>
      <c r="J747" s="55" t="e">
        <f>VLOOKUP($I747,'Pricing Table - eff 27-Jan-2026'!$A:$R,2,FALSE)</f>
        <v>#N/A</v>
      </c>
      <c r="K747" s="55" t="e">
        <f>VLOOKUP($I747,'Pricing Table - eff 27-Jan-2026'!$A:$R,6,FALSE)&amp;" "&amp;VLOOKUP($I747,'Pricing Table - eff 27-Jan-2026'!$A:$R,7,FALSE)&amp;""" x "&amp;VLOOKUP($I747,'Pricing Table - eff 27-Jan-2026'!$A:$R,9,FALSE)&amp;""" "&amp;VLOOKUP($I747,'Pricing Table - eff 27-Jan-2026'!$A:$R,5,FALSE)</f>
        <v>#N/A</v>
      </c>
      <c r="L747" s="55" t="e">
        <f>VLOOKUP($I747,'Pricing Table - eff 27-Jan-2026'!$A:$K,8,FALSE)</f>
        <v>#N/A</v>
      </c>
      <c r="M747" s="55" t="e">
        <f>VLOOKUP($I747,'Pricing Table - eff 27-Jan-2026'!$A:$K,10,FALSE)</f>
        <v>#N/A</v>
      </c>
      <c r="N747" s="55" t="e">
        <f>VLOOKUP($I747,'Pricing Table - eff 27-Jan-2026'!$A:$R,13,FALSE)&amp;" "&amp;VLOOKUP($I747,'Pricing Table - eff 27-Jan-2026'!$A:$R,12,FALSE)</f>
        <v>#N/A</v>
      </c>
      <c r="O747" s="56"/>
      <c r="P747" s="55" t="e">
        <f>(VLOOKUP($I747,'Pricing Table - eff 27-Jan-2026'!$A:$R,8,FALSE)/1000)*(VLOOKUP($I747,'Pricing Table - eff 27-Jan-2026'!$A:$R,10,FALSE)/1000)*Q747</f>
        <v>#N/A</v>
      </c>
      <c r="Q747" s="55" t="e">
        <f>ROUND(('Order Details'!$O747*1000)/((VLOOKUP($I747,'Pricing Table - eff 27-Jan-2026'!$A:$Q,7,FALSE)/12)*(VLOOKUP($I747,'Pricing Table - eff 27-Jan-2026'!$A:$Q,9,FALSE)/12))/5,0)*5</f>
        <v>#N/A</v>
      </c>
      <c r="R747" s="71" t="e">
        <f>$Q747/IFERROR(VLOOKUP($F747&amp;RIGHT($K747,8),'Master Data'!$O$5:$P$10,2,FALSE),'Master Data'!$P$4)</f>
        <v>#N/A</v>
      </c>
      <c r="S747" s="57" t="e">
        <f>VLOOKUP($I747,'Pricing Table - eff 27-Jan-2026'!$A:$Q,16,FALSE)</f>
        <v>#N/A</v>
      </c>
      <c r="T747" s="57" t="e">
        <f>VLOOKUP(I747,'Pricing Table - eff 27-Jan-2026'!$A:$O,15,FALSE)</f>
        <v>#N/A</v>
      </c>
      <c r="U747" s="57" t="e">
        <f t="shared" si="33"/>
        <v>#N/A</v>
      </c>
      <c r="V747" s="111" t="e">
        <f t="shared" si="32"/>
        <v>#N/A</v>
      </c>
      <c r="W747" s="55" t="e">
        <f>VLOOKUP($I747,'Pricing Table - eff 27-Jan-2026'!$A:$R,18,FALSE)</f>
        <v>#N/A</v>
      </c>
    </row>
    <row r="748" spans="1:23" hidden="1" x14ac:dyDescent="0.3">
      <c r="A748" s="55"/>
      <c r="B748" s="55"/>
      <c r="C748" s="55">
        <f>VLOOKUP(A748&amp;"-"&amp;B748,'Order Summary'!$D:$E,2,FALSE)</f>
        <v>0</v>
      </c>
      <c r="D748" s="216" t="str">
        <f>IF($A748="","",VLOOKUP($A748&amp;"-"&amp;$B748,'Order Summary'!$D:$U,3,FALSE))</f>
        <v/>
      </c>
      <c r="E748" s="55" t="str">
        <f>VLOOKUP(A748&amp;"-"&amp;B748,'Order Summary'!$D:$G,4,FALSE)</f>
        <v>Yes</v>
      </c>
      <c r="F748" s="55" t="e">
        <f>VLOOKUP($A748,'Order Summary'!$B:$I,8,FALSE)</f>
        <v>#N/A</v>
      </c>
      <c r="G748" s="216" t="str">
        <f>IF($A748="","",VLOOKUP($A748&amp;"-"&amp;$B748,'Order Summary'!$D:$U,18,FALSE))</f>
        <v/>
      </c>
      <c r="H748" s="55"/>
      <c r="I748" s="55"/>
      <c r="J748" s="55" t="e">
        <f>VLOOKUP($I748,'Pricing Table - eff 27-Jan-2026'!$A:$R,2,FALSE)</f>
        <v>#N/A</v>
      </c>
      <c r="K748" s="55" t="e">
        <f>VLOOKUP($I748,'Pricing Table - eff 27-Jan-2026'!$A:$R,6,FALSE)&amp;" "&amp;VLOOKUP($I748,'Pricing Table - eff 27-Jan-2026'!$A:$R,7,FALSE)&amp;""" x "&amp;VLOOKUP($I748,'Pricing Table - eff 27-Jan-2026'!$A:$R,9,FALSE)&amp;""" "&amp;VLOOKUP($I748,'Pricing Table - eff 27-Jan-2026'!$A:$R,5,FALSE)</f>
        <v>#N/A</v>
      </c>
      <c r="L748" s="55" t="e">
        <f>VLOOKUP($I748,'Pricing Table - eff 27-Jan-2026'!$A:$K,8,FALSE)</f>
        <v>#N/A</v>
      </c>
      <c r="M748" s="55" t="e">
        <f>VLOOKUP($I748,'Pricing Table - eff 27-Jan-2026'!$A:$K,10,FALSE)</f>
        <v>#N/A</v>
      </c>
      <c r="N748" s="55" t="e">
        <f>VLOOKUP($I748,'Pricing Table - eff 27-Jan-2026'!$A:$R,13,FALSE)&amp;" "&amp;VLOOKUP($I748,'Pricing Table - eff 27-Jan-2026'!$A:$R,12,FALSE)</f>
        <v>#N/A</v>
      </c>
      <c r="O748" s="56"/>
      <c r="P748" s="55" t="e">
        <f>(VLOOKUP($I748,'Pricing Table - eff 27-Jan-2026'!$A:$R,8,FALSE)/1000)*(VLOOKUP($I748,'Pricing Table - eff 27-Jan-2026'!$A:$R,10,FALSE)/1000)*Q748</f>
        <v>#N/A</v>
      </c>
      <c r="Q748" s="55" t="e">
        <f>ROUND(('Order Details'!$O748*1000)/((VLOOKUP($I748,'Pricing Table - eff 27-Jan-2026'!$A:$Q,7,FALSE)/12)*(VLOOKUP($I748,'Pricing Table - eff 27-Jan-2026'!$A:$Q,9,FALSE)/12))/5,0)*5</f>
        <v>#N/A</v>
      </c>
      <c r="R748" s="71" t="e">
        <f>$Q748/IFERROR(VLOOKUP($F748&amp;RIGHT($K748,8),'Master Data'!$O$5:$P$10,2,FALSE),'Master Data'!$P$4)</f>
        <v>#N/A</v>
      </c>
      <c r="S748" s="57" t="e">
        <f>VLOOKUP($I748,'Pricing Table - eff 27-Jan-2026'!$A:$Q,16,FALSE)</f>
        <v>#N/A</v>
      </c>
      <c r="T748" s="57" t="e">
        <f>VLOOKUP(I748,'Pricing Table - eff 27-Jan-2026'!$A:$O,15,FALSE)</f>
        <v>#N/A</v>
      </c>
      <c r="U748" s="57" t="e">
        <f t="shared" si="33"/>
        <v>#N/A</v>
      </c>
      <c r="V748" s="111" t="e">
        <f t="shared" si="32"/>
        <v>#N/A</v>
      </c>
      <c r="W748" s="55" t="e">
        <f>VLOOKUP($I748,'Pricing Table - eff 27-Jan-2026'!$A:$R,18,FALSE)</f>
        <v>#N/A</v>
      </c>
    </row>
    <row r="749" spans="1:23" hidden="1" x14ac:dyDescent="0.3">
      <c r="A749" s="55"/>
      <c r="B749" s="55"/>
      <c r="C749" s="55">
        <f>VLOOKUP(A749&amp;"-"&amp;B749,'Order Summary'!$D:$E,2,FALSE)</f>
        <v>0</v>
      </c>
      <c r="D749" s="216" t="str">
        <f>IF($A749="","",VLOOKUP($A749&amp;"-"&amp;$B749,'Order Summary'!$D:$U,3,FALSE))</f>
        <v/>
      </c>
      <c r="E749" s="55" t="str">
        <f>VLOOKUP(A749&amp;"-"&amp;B749,'Order Summary'!$D:$G,4,FALSE)</f>
        <v>Yes</v>
      </c>
      <c r="F749" s="55" t="e">
        <f>VLOOKUP($A749,'Order Summary'!$B:$I,8,FALSE)</f>
        <v>#N/A</v>
      </c>
      <c r="G749" s="216" t="str">
        <f>IF($A749="","",VLOOKUP($A749&amp;"-"&amp;$B749,'Order Summary'!$D:$U,18,FALSE))</f>
        <v/>
      </c>
      <c r="H749" s="55"/>
      <c r="I749" s="55"/>
      <c r="J749" s="55" t="e">
        <f>VLOOKUP($I749,'Pricing Table - eff 27-Jan-2026'!$A:$R,2,FALSE)</f>
        <v>#N/A</v>
      </c>
      <c r="K749" s="55" t="e">
        <f>VLOOKUP($I749,'Pricing Table - eff 27-Jan-2026'!$A:$R,6,FALSE)&amp;" "&amp;VLOOKUP($I749,'Pricing Table - eff 27-Jan-2026'!$A:$R,7,FALSE)&amp;""" x "&amp;VLOOKUP($I749,'Pricing Table - eff 27-Jan-2026'!$A:$R,9,FALSE)&amp;""" "&amp;VLOOKUP($I749,'Pricing Table - eff 27-Jan-2026'!$A:$R,5,FALSE)</f>
        <v>#N/A</v>
      </c>
      <c r="L749" s="55" t="e">
        <f>VLOOKUP($I749,'Pricing Table - eff 27-Jan-2026'!$A:$K,8,FALSE)</f>
        <v>#N/A</v>
      </c>
      <c r="M749" s="55" t="e">
        <f>VLOOKUP($I749,'Pricing Table - eff 27-Jan-2026'!$A:$K,10,FALSE)</f>
        <v>#N/A</v>
      </c>
      <c r="N749" s="55" t="e">
        <f>VLOOKUP($I749,'Pricing Table - eff 27-Jan-2026'!$A:$R,13,FALSE)&amp;" "&amp;VLOOKUP($I749,'Pricing Table - eff 27-Jan-2026'!$A:$R,12,FALSE)</f>
        <v>#N/A</v>
      </c>
      <c r="O749" s="56"/>
      <c r="P749" s="55" t="e">
        <f>(VLOOKUP($I749,'Pricing Table - eff 27-Jan-2026'!$A:$R,8,FALSE)/1000)*(VLOOKUP($I749,'Pricing Table - eff 27-Jan-2026'!$A:$R,10,FALSE)/1000)*Q749</f>
        <v>#N/A</v>
      </c>
      <c r="Q749" s="55" t="e">
        <f>ROUND(('Order Details'!$O749*1000)/((VLOOKUP($I749,'Pricing Table - eff 27-Jan-2026'!$A:$Q,7,FALSE)/12)*(VLOOKUP($I749,'Pricing Table - eff 27-Jan-2026'!$A:$Q,9,FALSE)/12))/5,0)*5</f>
        <v>#N/A</v>
      </c>
      <c r="R749" s="71" t="e">
        <f>$Q749/IFERROR(VLOOKUP($F749&amp;RIGHT($K749,8),'Master Data'!$O$5:$P$10,2,FALSE),'Master Data'!$P$4)</f>
        <v>#N/A</v>
      </c>
      <c r="S749" s="57" t="e">
        <f>VLOOKUP($I749,'Pricing Table - eff 27-Jan-2026'!$A:$Q,16,FALSE)</f>
        <v>#N/A</v>
      </c>
      <c r="T749" s="57" t="e">
        <f>VLOOKUP(I749,'Pricing Table - eff 27-Jan-2026'!$A:$O,15,FALSE)</f>
        <v>#N/A</v>
      </c>
      <c r="U749" s="57" t="e">
        <f t="shared" si="33"/>
        <v>#N/A</v>
      </c>
      <c r="V749" s="111" t="e">
        <f t="shared" si="32"/>
        <v>#N/A</v>
      </c>
      <c r="W749" s="55" t="e">
        <f>VLOOKUP($I749,'Pricing Table - eff 27-Jan-2026'!$A:$R,18,FALSE)</f>
        <v>#N/A</v>
      </c>
    </row>
    <row r="750" spans="1:23" hidden="1" x14ac:dyDescent="0.3">
      <c r="A750" s="55"/>
      <c r="B750" s="55"/>
      <c r="C750" s="55">
        <f>VLOOKUP(A750&amp;"-"&amp;B750,'Order Summary'!$D:$E,2,FALSE)</f>
        <v>0</v>
      </c>
      <c r="D750" s="216" t="str">
        <f>IF($A750="","",VLOOKUP($A750&amp;"-"&amp;$B750,'Order Summary'!$D:$U,3,FALSE))</f>
        <v/>
      </c>
      <c r="E750" s="55" t="str">
        <f>VLOOKUP(A750&amp;"-"&amp;B750,'Order Summary'!$D:$G,4,FALSE)</f>
        <v>Yes</v>
      </c>
      <c r="F750" s="55" t="e">
        <f>VLOOKUP($A750,'Order Summary'!$B:$I,8,FALSE)</f>
        <v>#N/A</v>
      </c>
      <c r="G750" s="216" t="str">
        <f>IF($A750="","",VLOOKUP($A750&amp;"-"&amp;$B750,'Order Summary'!$D:$U,18,FALSE))</f>
        <v/>
      </c>
      <c r="H750" s="55"/>
      <c r="I750" s="55"/>
      <c r="J750" s="55" t="e">
        <f>VLOOKUP($I750,'Pricing Table - eff 27-Jan-2026'!$A:$R,2,FALSE)</f>
        <v>#N/A</v>
      </c>
      <c r="K750" s="55" t="e">
        <f>VLOOKUP($I750,'Pricing Table - eff 27-Jan-2026'!$A:$R,6,FALSE)&amp;" "&amp;VLOOKUP($I750,'Pricing Table - eff 27-Jan-2026'!$A:$R,7,FALSE)&amp;""" x "&amp;VLOOKUP($I750,'Pricing Table - eff 27-Jan-2026'!$A:$R,9,FALSE)&amp;""" "&amp;VLOOKUP($I750,'Pricing Table - eff 27-Jan-2026'!$A:$R,5,FALSE)</f>
        <v>#N/A</v>
      </c>
      <c r="L750" s="55" t="e">
        <f>VLOOKUP($I750,'Pricing Table - eff 27-Jan-2026'!$A:$K,8,FALSE)</f>
        <v>#N/A</v>
      </c>
      <c r="M750" s="55" t="e">
        <f>VLOOKUP($I750,'Pricing Table - eff 27-Jan-2026'!$A:$K,10,FALSE)</f>
        <v>#N/A</v>
      </c>
      <c r="N750" s="55" t="e">
        <f>VLOOKUP($I750,'Pricing Table - eff 27-Jan-2026'!$A:$R,13,FALSE)&amp;" "&amp;VLOOKUP($I750,'Pricing Table - eff 27-Jan-2026'!$A:$R,12,FALSE)</f>
        <v>#N/A</v>
      </c>
      <c r="O750" s="56"/>
      <c r="P750" s="55" t="e">
        <f>(VLOOKUP($I750,'Pricing Table - eff 27-Jan-2026'!$A:$R,8,FALSE)/1000)*(VLOOKUP($I750,'Pricing Table - eff 27-Jan-2026'!$A:$R,10,FALSE)/1000)*Q750</f>
        <v>#N/A</v>
      </c>
      <c r="Q750" s="55" t="e">
        <f>ROUND(('Order Details'!$O750*1000)/((VLOOKUP($I750,'Pricing Table - eff 27-Jan-2026'!$A:$Q,7,FALSE)/12)*(VLOOKUP($I750,'Pricing Table - eff 27-Jan-2026'!$A:$Q,9,FALSE)/12))/5,0)*5</f>
        <v>#N/A</v>
      </c>
      <c r="R750" s="71" t="e">
        <f>$Q750/IFERROR(VLOOKUP($F750&amp;RIGHT($K750,8),'Master Data'!$O$5:$P$10,2,FALSE),'Master Data'!$P$4)</f>
        <v>#N/A</v>
      </c>
      <c r="S750" s="57" t="e">
        <f>VLOOKUP($I750,'Pricing Table - eff 27-Jan-2026'!$A:$Q,16,FALSE)</f>
        <v>#N/A</v>
      </c>
      <c r="T750" s="57" t="e">
        <f>VLOOKUP(I750,'Pricing Table - eff 27-Jan-2026'!$A:$O,15,FALSE)</f>
        <v>#N/A</v>
      </c>
      <c r="U750" s="57" t="e">
        <f t="shared" si="33"/>
        <v>#N/A</v>
      </c>
      <c r="V750" s="111" t="e">
        <f t="shared" si="32"/>
        <v>#N/A</v>
      </c>
      <c r="W750" s="55" t="e">
        <f>VLOOKUP($I750,'Pricing Table - eff 27-Jan-2026'!$A:$R,18,FALSE)</f>
        <v>#N/A</v>
      </c>
    </row>
    <row r="751" spans="1:23" hidden="1" x14ac:dyDescent="0.3">
      <c r="A751" s="55"/>
      <c r="B751" s="55"/>
      <c r="C751" s="55">
        <f>VLOOKUP(A751&amp;"-"&amp;B751,'Order Summary'!$D:$E,2,FALSE)</f>
        <v>0</v>
      </c>
      <c r="D751" s="216" t="str">
        <f>IF($A751="","",VLOOKUP($A751&amp;"-"&amp;$B751,'Order Summary'!$D:$U,3,FALSE))</f>
        <v/>
      </c>
      <c r="E751" s="55" t="str">
        <f>VLOOKUP(A751&amp;"-"&amp;B751,'Order Summary'!$D:$G,4,FALSE)</f>
        <v>Yes</v>
      </c>
      <c r="F751" s="55" t="e">
        <f>VLOOKUP($A751,'Order Summary'!$B:$I,8,FALSE)</f>
        <v>#N/A</v>
      </c>
      <c r="G751" s="216" t="str">
        <f>IF($A751="","",VLOOKUP($A751&amp;"-"&amp;$B751,'Order Summary'!$D:$U,18,FALSE))</f>
        <v/>
      </c>
      <c r="H751" s="55"/>
      <c r="I751" s="55"/>
      <c r="J751" s="55" t="e">
        <f>VLOOKUP($I751,'Pricing Table - eff 27-Jan-2026'!$A:$R,2,FALSE)</f>
        <v>#N/A</v>
      </c>
      <c r="K751" s="55" t="e">
        <f>VLOOKUP($I751,'Pricing Table - eff 27-Jan-2026'!$A:$R,6,FALSE)&amp;" "&amp;VLOOKUP($I751,'Pricing Table - eff 27-Jan-2026'!$A:$R,7,FALSE)&amp;""" x "&amp;VLOOKUP($I751,'Pricing Table - eff 27-Jan-2026'!$A:$R,9,FALSE)&amp;""" "&amp;VLOOKUP($I751,'Pricing Table - eff 27-Jan-2026'!$A:$R,5,FALSE)</f>
        <v>#N/A</v>
      </c>
      <c r="L751" s="55" t="e">
        <f>VLOOKUP($I751,'Pricing Table - eff 27-Jan-2026'!$A:$K,8,FALSE)</f>
        <v>#N/A</v>
      </c>
      <c r="M751" s="55" t="e">
        <f>VLOOKUP($I751,'Pricing Table - eff 27-Jan-2026'!$A:$K,10,FALSE)</f>
        <v>#N/A</v>
      </c>
      <c r="N751" s="55" t="e">
        <f>VLOOKUP($I751,'Pricing Table - eff 27-Jan-2026'!$A:$R,13,FALSE)&amp;" "&amp;VLOOKUP($I751,'Pricing Table - eff 27-Jan-2026'!$A:$R,12,FALSE)</f>
        <v>#N/A</v>
      </c>
      <c r="O751" s="56"/>
      <c r="P751" s="55" t="e">
        <f>(VLOOKUP($I751,'Pricing Table - eff 27-Jan-2026'!$A:$R,8,FALSE)/1000)*(VLOOKUP($I751,'Pricing Table - eff 27-Jan-2026'!$A:$R,10,FALSE)/1000)*Q751</f>
        <v>#N/A</v>
      </c>
      <c r="Q751" s="55" t="e">
        <f>ROUND(('Order Details'!$O751*1000)/((VLOOKUP($I751,'Pricing Table - eff 27-Jan-2026'!$A:$Q,7,FALSE)/12)*(VLOOKUP($I751,'Pricing Table - eff 27-Jan-2026'!$A:$Q,9,FALSE)/12))/5,0)*5</f>
        <v>#N/A</v>
      </c>
      <c r="R751" s="71" t="e">
        <f>$Q751/IFERROR(VLOOKUP($F751&amp;RIGHT($K751,8),'Master Data'!$O$5:$P$10,2,FALSE),'Master Data'!$P$4)</f>
        <v>#N/A</v>
      </c>
      <c r="S751" s="57" t="e">
        <f>VLOOKUP($I751,'Pricing Table - eff 27-Jan-2026'!$A:$Q,16,FALSE)</f>
        <v>#N/A</v>
      </c>
      <c r="T751" s="57" t="e">
        <f>VLOOKUP(I751,'Pricing Table - eff 27-Jan-2026'!$A:$O,15,FALSE)</f>
        <v>#N/A</v>
      </c>
      <c r="U751" s="57" t="e">
        <f t="shared" si="33"/>
        <v>#N/A</v>
      </c>
      <c r="V751" s="111" t="e">
        <f t="shared" si="32"/>
        <v>#N/A</v>
      </c>
      <c r="W751" s="55" t="e">
        <f>VLOOKUP($I751,'Pricing Table - eff 27-Jan-2026'!$A:$R,18,FALSE)</f>
        <v>#N/A</v>
      </c>
    </row>
    <row r="752" spans="1:23" hidden="1" x14ac:dyDescent="0.3">
      <c r="A752" s="55"/>
      <c r="B752" s="55"/>
      <c r="C752" s="55">
        <f>VLOOKUP(A752&amp;"-"&amp;B752,'Order Summary'!$D:$E,2,FALSE)</f>
        <v>0</v>
      </c>
      <c r="D752" s="216" t="str">
        <f>IF($A752="","",VLOOKUP($A752&amp;"-"&amp;$B752,'Order Summary'!$D:$U,3,FALSE))</f>
        <v/>
      </c>
      <c r="E752" s="55" t="str">
        <f>VLOOKUP(A752&amp;"-"&amp;B752,'Order Summary'!$D:$G,4,FALSE)</f>
        <v>Yes</v>
      </c>
      <c r="F752" s="55" t="e">
        <f>VLOOKUP($A752,'Order Summary'!$B:$I,8,FALSE)</f>
        <v>#N/A</v>
      </c>
      <c r="G752" s="216" t="str">
        <f>IF($A752="","",VLOOKUP($A752&amp;"-"&amp;$B752,'Order Summary'!$D:$U,18,FALSE))</f>
        <v/>
      </c>
      <c r="H752" s="55"/>
      <c r="I752" s="55"/>
      <c r="J752" s="55" t="e">
        <f>VLOOKUP($I752,'Pricing Table - eff 27-Jan-2026'!$A:$R,2,FALSE)</f>
        <v>#N/A</v>
      </c>
      <c r="K752" s="55" t="e">
        <f>VLOOKUP($I752,'Pricing Table - eff 27-Jan-2026'!$A:$R,6,FALSE)&amp;" "&amp;VLOOKUP($I752,'Pricing Table - eff 27-Jan-2026'!$A:$R,7,FALSE)&amp;""" x "&amp;VLOOKUP($I752,'Pricing Table - eff 27-Jan-2026'!$A:$R,9,FALSE)&amp;""" "&amp;VLOOKUP($I752,'Pricing Table - eff 27-Jan-2026'!$A:$R,5,FALSE)</f>
        <v>#N/A</v>
      </c>
      <c r="L752" s="55" t="e">
        <f>VLOOKUP($I752,'Pricing Table - eff 27-Jan-2026'!$A:$K,8,FALSE)</f>
        <v>#N/A</v>
      </c>
      <c r="M752" s="55" t="e">
        <f>VLOOKUP($I752,'Pricing Table - eff 27-Jan-2026'!$A:$K,10,FALSE)</f>
        <v>#N/A</v>
      </c>
      <c r="N752" s="55" t="e">
        <f>VLOOKUP($I752,'Pricing Table - eff 27-Jan-2026'!$A:$R,13,FALSE)&amp;" "&amp;VLOOKUP($I752,'Pricing Table - eff 27-Jan-2026'!$A:$R,12,FALSE)</f>
        <v>#N/A</v>
      </c>
      <c r="O752" s="56"/>
      <c r="P752" s="55" t="e">
        <f>(VLOOKUP($I752,'Pricing Table - eff 27-Jan-2026'!$A:$R,8,FALSE)/1000)*(VLOOKUP($I752,'Pricing Table - eff 27-Jan-2026'!$A:$R,10,FALSE)/1000)*Q752</f>
        <v>#N/A</v>
      </c>
      <c r="Q752" s="55" t="e">
        <f>ROUND(('Order Details'!$O752*1000)/((VLOOKUP($I752,'Pricing Table - eff 27-Jan-2026'!$A:$Q,7,FALSE)/12)*(VLOOKUP($I752,'Pricing Table - eff 27-Jan-2026'!$A:$Q,9,FALSE)/12))/5,0)*5</f>
        <v>#N/A</v>
      </c>
      <c r="R752" s="71" t="e">
        <f>$Q752/IFERROR(VLOOKUP($F752&amp;RIGHT($K752,8),'Master Data'!$O$5:$P$10,2,FALSE),'Master Data'!$P$4)</f>
        <v>#N/A</v>
      </c>
      <c r="S752" s="57" t="e">
        <f>VLOOKUP($I752,'Pricing Table - eff 27-Jan-2026'!$A:$Q,16,FALSE)</f>
        <v>#N/A</v>
      </c>
      <c r="T752" s="57" t="e">
        <f>VLOOKUP(I752,'Pricing Table - eff 27-Jan-2026'!$A:$O,15,FALSE)</f>
        <v>#N/A</v>
      </c>
      <c r="U752" s="57" t="e">
        <f t="shared" si="33"/>
        <v>#N/A</v>
      </c>
      <c r="V752" s="111" t="e">
        <f t="shared" si="32"/>
        <v>#N/A</v>
      </c>
      <c r="W752" s="55" t="e">
        <f>VLOOKUP($I752,'Pricing Table - eff 27-Jan-2026'!$A:$R,18,FALSE)</f>
        <v>#N/A</v>
      </c>
    </row>
    <row r="753" spans="1:23" hidden="1" x14ac:dyDescent="0.3">
      <c r="A753" s="55"/>
      <c r="B753" s="55"/>
      <c r="C753" s="55">
        <f>VLOOKUP(A753&amp;"-"&amp;B753,'Order Summary'!$D:$E,2,FALSE)</f>
        <v>0</v>
      </c>
      <c r="D753" s="216" t="str">
        <f>IF($A753="","",VLOOKUP($A753&amp;"-"&amp;$B753,'Order Summary'!$D:$U,3,FALSE))</f>
        <v/>
      </c>
      <c r="E753" s="55" t="str">
        <f>VLOOKUP(A753&amp;"-"&amp;B753,'Order Summary'!$D:$G,4,FALSE)</f>
        <v>Yes</v>
      </c>
      <c r="F753" s="55" t="e">
        <f>VLOOKUP($A753,'Order Summary'!$B:$I,8,FALSE)</f>
        <v>#N/A</v>
      </c>
      <c r="G753" s="216" t="str">
        <f>IF($A753="","",VLOOKUP($A753&amp;"-"&amp;$B753,'Order Summary'!$D:$U,18,FALSE))</f>
        <v/>
      </c>
      <c r="H753" s="55"/>
      <c r="I753" s="55"/>
      <c r="J753" s="55" t="e">
        <f>VLOOKUP($I753,'Pricing Table - eff 27-Jan-2026'!$A:$R,2,FALSE)</f>
        <v>#N/A</v>
      </c>
      <c r="K753" s="55" t="e">
        <f>VLOOKUP($I753,'Pricing Table - eff 27-Jan-2026'!$A:$R,6,FALSE)&amp;" "&amp;VLOOKUP($I753,'Pricing Table - eff 27-Jan-2026'!$A:$R,7,FALSE)&amp;""" x "&amp;VLOOKUP($I753,'Pricing Table - eff 27-Jan-2026'!$A:$R,9,FALSE)&amp;""" "&amp;VLOOKUP($I753,'Pricing Table - eff 27-Jan-2026'!$A:$R,5,FALSE)</f>
        <v>#N/A</v>
      </c>
      <c r="L753" s="55" t="e">
        <f>VLOOKUP($I753,'Pricing Table - eff 27-Jan-2026'!$A:$K,8,FALSE)</f>
        <v>#N/A</v>
      </c>
      <c r="M753" s="55" t="e">
        <f>VLOOKUP($I753,'Pricing Table - eff 27-Jan-2026'!$A:$K,10,FALSE)</f>
        <v>#N/A</v>
      </c>
      <c r="N753" s="55" t="e">
        <f>VLOOKUP($I753,'Pricing Table - eff 27-Jan-2026'!$A:$R,13,FALSE)&amp;" "&amp;VLOOKUP($I753,'Pricing Table - eff 27-Jan-2026'!$A:$R,12,FALSE)</f>
        <v>#N/A</v>
      </c>
      <c r="O753" s="56"/>
      <c r="P753" s="55" t="e">
        <f>(VLOOKUP($I753,'Pricing Table - eff 27-Jan-2026'!$A:$R,8,FALSE)/1000)*(VLOOKUP($I753,'Pricing Table - eff 27-Jan-2026'!$A:$R,10,FALSE)/1000)*Q753</f>
        <v>#N/A</v>
      </c>
      <c r="Q753" s="55" t="e">
        <f>ROUND(('Order Details'!$O753*1000)/((VLOOKUP($I753,'Pricing Table - eff 27-Jan-2026'!$A:$Q,7,FALSE)/12)*(VLOOKUP($I753,'Pricing Table - eff 27-Jan-2026'!$A:$Q,9,FALSE)/12))/5,0)*5</f>
        <v>#N/A</v>
      </c>
      <c r="R753" s="71" t="e">
        <f>$Q753/IFERROR(VLOOKUP($F753&amp;RIGHT($K753,8),'Master Data'!$O$5:$P$10,2,FALSE),'Master Data'!$P$4)</f>
        <v>#N/A</v>
      </c>
      <c r="S753" s="57" t="e">
        <f>VLOOKUP($I753,'Pricing Table - eff 27-Jan-2026'!$A:$Q,16,FALSE)</f>
        <v>#N/A</v>
      </c>
      <c r="T753" s="57" t="e">
        <f>VLOOKUP(I753,'Pricing Table - eff 27-Jan-2026'!$A:$O,15,FALSE)</f>
        <v>#N/A</v>
      </c>
      <c r="U753" s="57" t="e">
        <f t="shared" si="33"/>
        <v>#N/A</v>
      </c>
      <c r="V753" s="111" t="e">
        <f t="shared" si="32"/>
        <v>#N/A</v>
      </c>
      <c r="W753" s="55" t="e">
        <f>VLOOKUP($I753,'Pricing Table - eff 27-Jan-2026'!$A:$R,18,FALSE)</f>
        <v>#N/A</v>
      </c>
    </row>
    <row r="754" spans="1:23" hidden="1" x14ac:dyDescent="0.3">
      <c r="A754" s="55"/>
      <c r="B754" s="55"/>
      <c r="C754" s="55">
        <f>VLOOKUP(A754&amp;"-"&amp;B754,'Order Summary'!$D:$E,2,FALSE)</f>
        <v>0</v>
      </c>
      <c r="D754" s="216" t="str">
        <f>IF($A754="","",VLOOKUP($A754&amp;"-"&amp;$B754,'Order Summary'!$D:$U,3,FALSE))</f>
        <v/>
      </c>
      <c r="E754" s="55" t="str">
        <f>VLOOKUP(A754&amp;"-"&amp;B754,'Order Summary'!$D:$G,4,FALSE)</f>
        <v>Yes</v>
      </c>
      <c r="F754" s="55" t="e">
        <f>VLOOKUP($A754,'Order Summary'!$B:$I,8,FALSE)</f>
        <v>#N/A</v>
      </c>
      <c r="G754" s="216" t="str">
        <f>IF($A754="","",VLOOKUP($A754&amp;"-"&amp;$B754,'Order Summary'!$D:$U,18,FALSE))</f>
        <v/>
      </c>
      <c r="H754" s="55"/>
      <c r="I754" s="55"/>
      <c r="J754" s="55" t="e">
        <f>VLOOKUP($I754,'Pricing Table - eff 27-Jan-2026'!$A:$R,2,FALSE)</f>
        <v>#N/A</v>
      </c>
      <c r="K754" s="55" t="e">
        <f>VLOOKUP($I754,'Pricing Table - eff 27-Jan-2026'!$A:$R,6,FALSE)&amp;" "&amp;VLOOKUP($I754,'Pricing Table - eff 27-Jan-2026'!$A:$R,7,FALSE)&amp;""" x "&amp;VLOOKUP($I754,'Pricing Table - eff 27-Jan-2026'!$A:$R,9,FALSE)&amp;""" "&amp;VLOOKUP($I754,'Pricing Table - eff 27-Jan-2026'!$A:$R,5,FALSE)</f>
        <v>#N/A</v>
      </c>
      <c r="L754" s="55" t="e">
        <f>VLOOKUP($I754,'Pricing Table - eff 27-Jan-2026'!$A:$K,8,FALSE)</f>
        <v>#N/A</v>
      </c>
      <c r="M754" s="55" t="e">
        <f>VLOOKUP($I754,'Pricing Table - eff 27-Jan-2026'!$A:$K,10,FALSE)</f>
        <v>#N/A</v>
      </c>
      <c r="N754" s="55" t="e">
        <f>VLOOKUP($I754,'Pricing Table - eff 27-Jan-2026'!$A:$R,13,FALSE)&amp;" "&amp;VLOOKUP($I754,'Pricing Table - eff 27-Jan-2026'!$A:$R,12,FALSE)</f>
        <v>#N/A</v>
      </c>
      <c r="O754" s="56"/>
      <c r="P754" s="55" t="e">
        <f>(VLOOKUP($I754,'Pricing Table - eff 27-Jan-2026'!$A:$R,8,FALSE)/1000)*(VLOOKUP($I754,'Pricing Table - eff 27-Jan-2026'!$A:$R,10,FALSE)/1000)*Q754</f>
        <v>#N/A</v>
      </c>
      <c r="Q754" s="55" t="e">
        <f>ROUND(('Order Details'!$O754*1000)/((VLOOKUP($I754,'Pricing Table - eff 27-Jan-2026'!$A:$Q,7,FALSE)/12)*(VLOOKUP($I754,'Pricing Table - eff 27-Jan-2026'!$A:$Q,9,FALSE)/12))/5,0)*5</f>
        <v>#N/A</v>
      </c>
      <c r="R754" s="71" t="e">
        <f>$Q754/IFERROR(VLOOKUP($F754&amp;RIGHT($K754,8),'Master Data'!$O$5:$P$10,2,FALSE),'Master Data'!$P$4)</f>
        <v>#N/A</v>
      </c>
      <c r="S754" s="57" t="e">
        <f>VLOOKUP($I754,'Pricing Table - eff 27-Jan-2026'!$A:$Q,16,FALSE)</f>
        <v>#N/A</v>
      </c>
      <c r="T754" s="57" t="e">
        <f>VLOOKUP(I754,'Pricing Table - eff 27-Jan-2026'!$A:$O,15,FALSE)</f>
        <v>#N/A</v>
      </c>
      <c r="U754" s="57" t="e">
        <f t="shared" si="33"/>
        <v>#N/A</v>
      </c>
      <c r="V754" s="111" t="e">
        <f t="shared" si="32"/>
        <v>#N/A</v>
      </c>
      <c r="W754" s="55" t="e">
        <f>VLOOKUP($I754,'Pricing Table - eff 27-Jan-2026'!$A:$R,18,FALSE)</f>
        <v>#N/A</v>
      </c>
    </row>
    <row r="755" spans="1:23" hidden="1" x14ac:dyDescent="0.3">
      <c r="A755" s="55"/>
      <c r="B755" s="55"/>
      <c r="C755" s="55">
        <f>VLOOKUP(A755&amp;"-"&amp;B755,'Order Summary'!$D:$E,2,FALSE)</f>
        <v>0</v>
      </c>
      <c r="D755" s="216" t="str">
        <f>IF($A755="","",VLOOKUP($A755&amp;"-"&amp;$B755,'Order Summary'!$D:$U,3,FALSE))</f>
        <v/>
      </c>
      <c r="E755" s="55" t="str">
        <f>VLOOKUP(A755&amp;"-"&amp;B755,'Order Summary'!$D:$G,4,FALSE)</f>
        <v>Yes</v>
      </c>
      <c r="F755" s="55" t="e">
        <f>VLOOKUP($A755,'Order Summary'!$B:$I,8,FALSE)</f>
        <v>#N/A</v>
      </c>
      <c r="G755" s="216" t="str">
        <f>IF($A755="","",VLOOKUP($A755&amp;"-"&amp;$B755,'Order Summary'!$D:$U,18,FALSE))</f>
        <v/>
      </c>
      <c r="H755" s="55"/>
      <c r="I755" s="55"/>
      <c r="J755" s="55" t="e">
        <f>VLOOKUP($I755,'Pricing Table - eff 27-Jan-2026'!$A:$R,2,FALSE)</f>
        <v>#N/A</v>
      </c>
      <c r="K755" s="55" t="e">
        <f>VLOOKUP($I755,'Pricing Table - eff 27-Jan-2026'!$A:$R,6,FALSE)&amp;" "&amp;VLOOKUP($I755,'Pricing Table - eff 27-Jan-2026'!$A:$R,7,FALSE)&amp;""" x "&amp;VLOOKUP($I755,'Pricing Table - eff 27-Jan-2026'!$A:$R,9,FALSE)&amp;""" "&amp;VLOOKUP($I755,'Pricing Table - eff 27-Jan-2026'!$A:$R,5,FALSE)</f>
        <v>#N/A</v>
      </c>
      <c r="L755" s="55" t="e">
        <f>VLOOKUP($I755,'Pricing Table - eff 27-Jan-2026'!$A:$K,8,FALSE)</f>
        <v>#N/A</v>
      </c>
      <c r="M755" s="55" t="e">
        <f>VLOOKUP($I755,'Pricing Table - eff 27-Jan-2026'!$A:$K,10,FALSE)</f>
        <v>#N/A</v>
      </c>
      <c r="N755" s="55" t="e">
        <f>VLOOKUP($I755,'Pricing Table - eff 27-Jan-2026'!$A:$R,13,FALSE)&amp;" "&amp;VLOOKUP($I755,'Pricing Table - eff 27-Jan-2026'!$A:$R,12,FALSE)</f>
        <v>#N/A</v>
      </c>
      <c r="O755" s="56"/>
      <c r="P755" s="55" t="e">
        <f>(VLOOKUP($I755,'Pricing Table - eff 27-Jan-2026'!$A:$R,8,FALSE)/1000)*(VLOOKUP($I755,'Pricing Table - eff 27-Jan-2026'!$A:$R,10,FALSE)/1000)*Q755</f>
        <v>#N/A</v>
      </c>
      <c r="Q755" s="55" t="e">
        <f>ROUND(('Order Details'!$O755*1000)/((VLOOKUP($I755,'Pricing Table - eff 27-Jan-2026'!$A:$Q,7,FALSE)/12)*(VLOOKUP($I755,'Pricing Table - eff 27-Jan-2026'!$A:$Q,9,FALSE)/12))/5,0)*5</f>
        <v>#N/A</v>
      </c>
      <c r="R755" s="71" t="e">
        <f>$Q755/IFERROR(VLOOKUP($F755&amp;RIGHT($K755,8),'Master Data'!$O$5:$P$10,2,FALSE),'Master Data'!$P$4)</f>
        <v>#N/A</v>
      </c>
      <c r="S755" s="57" t="e">
        <f>VLOOKUP($I755,'Pricing Table - eff 27-Jan-2026'!$A:$Q,16,FALSE)</f>
        <v>#N/A</v>
      </c>
      <c r="T755" s="57" t="e">
        <f>VLOOKUP(I755,'Pricing Table - eff 27-Jan-2026'!$A:$O,15,FALSE)</f>
        <v>#N/A</v>
      </c>
      <c r="U755" s="57" t="e">
        <f t="shared" si="33"/>
        <v>#N/A</v>
      </c>
      <c r="V755" s="111" t="e">
        <f t="shared" si="32"/>
        <v>#N/A</v>
      </c>
      <c r="W755" s="55" t="e">
        <f>VLOOKUP($I755,'Pricing Table - eff 27-Jan-2026'!$A:$R,18,FALSE)</f>
        <v>#N/A</v>
      </c>
    </row>
    <row r="756" spans="1:23" hidden="1" x14ac:dyDescent="0.3">
      <c r="A756" s="55"/>
      <c r="B756" s="55"/>
      <c r="C756" s="55">
        <f>VLOOKUP(A756&amp;"-"&amp;B756,'Order Summary'!$D:$E,2,FALSE)</f>
        <v>0</v>
      </c>
      <c r="D756" s="216" t="str">
        <f>IF($A756="","",VLOOKUP($A756&amp;"-"&amp;$B756,'Order Summary'!$D:$U,3,FALSE))</f>
        <v/>
      </c>
      <c r="E756" s="55" t="str">
        <f>VLOOKUP(A756&amp;"-"&amp;B756,'Order Summary'!$D:$G,4,FALSE)</f>
        <v>Yes</v>
      </c>
      <c r="F756" s="55" t="e">
        <f>VLOOKUP($A756,'Order Summary'!$B:$I,8,FALSE)</f>
        <v>#N/A</v>
      </c>
      <c r="G756" s="216" t="str">
        <f>IF($A756="","",VLOOKUP($A756&amp;"-"&amp;$B756,'Order Summary'!$D:$U,18,FALSE))</f>
        <v/>
      </c>
      <c r="H756" s="55"/>
      <c r="I756" s="55"/>
      <c r="J756" s="55" t="e">
        <f>VLOOKUP($I756,'Pricing Table - eff 27-Jan-2026'!$A:$R,2,FALSE)</f>
        <v>#N/A</v>
      </c>
      <c r="K756" s="55" t="e">
        <f>VLOOKUP($I756,'Pricing Table - eff 27-Jan-2026'!$A:$R,6,FALSE)&amp;" "&amp;VLOOKUP($I756,'Pricing Table - eff 27-Jan-2026'!$A:$R,7,FALSE)&amp;""" x "&amp;VLOOKUP($I756,'Pricing Table - eff 27-Jan-2026'!$A:$R,9,FALSE)&amp;""" "&amp;VLOOKUP($I756,'Pricing Table - eff 27-Jan-2026'!$A:$R,5,FALSE)</f>
        <v>#N/A</v>
      </c>
      <c r="L756" s="55" t="e">
        <f>VLOOKUP($I756,'Pricing Table - eff 27-Jan-2026'!$A:$K,8,FALSE)</f>
        <v>#N/A</v>
      </c>
      <c r="M756" s="55" t="e">
        <f>VLOOKUP($I756,'Pricing Table - eff 27-Jan-2026'!$A:$K,10,FALSE)</f>
        <v>#N/A</v>
      </c>
      <c r="N756" s="55" t="e">
        <f>VLOOKUP($I756,'Pricing Table - eff 27-Jan-2026'!$A:$R,13,FALSE)&amp;" "&amp;VLOOKUP($I756,'Pricing Table - eff 27-Jan-2026'!$A:$R,12,FALSE)</f>
        <v>#N/A</v>
      </c>
      <c r="O756" s="56"/>
      <c r="P756" s="55" t="e">
        <f>(VLOOKUP($I756,'Pricing Table - eff 27-Jan-2026'!$A:$R,8,FALSE)/1000)*(VLOOKUP($I756,'Pricing Table - eff 27-Jan-2026'!$A:$R,10,FALSE)/1000)*Q756</f>
        <v>#N/A</v>
      </c>
      <c r="Q756" s="55" t="e">
        <f>ROUND(('Order Details'!$O756*1000)/((VLOOKUP($I756,'Pricing Table - eff 27-Jan-2026'!$A:$Q,7,FALSE)/12)*(VLOOKUP($I756,'Pricing Table - eff 27-Jan-2026'!$A:$Q,9,FALSE)/12))/5,0)*5</f>
        <v>#N/A</v>
      </c>
      <c r="R756" s="71" t="e">
        <f>$Q756/IFERROR(VLOOKUP($F756&amp;RIGHT($K756,8),'Master Data'!$O$5:$P$10,2,FALSE),'Master Data'!$P$4)</f>
        <v>#N/A</v>
      </c>
      <c r="S756" s="57" t="e">
        <f>VLOOKUP($I756,'Pricing Table - eff 27-Jan-2026'!$A:$Q,16,FALSE)</f>
        <v>#N/A</v>
      </c>
      <c r="T756" s="57" t="e">
        <f>VLOOKUP(I756,'Pricing Table - eff 27-Jan-2026'!$A:$O,15,FALSE)</f>
        <v>#N/A</v>
      </c>
      <c r="U756" s="57" t="e">
        <f t="shared" si="33"/>
        <v>#N/A</v>
      </c>
      <c r="V756" s="111" t="e">
        <f t="shared" si="32"/>
        <v>#N/A</v>
      </c>
      <c r="W756" s="55" t="e">
        <f>VLOOKUP($I756,'Pricing Table - eff 27-Jan-2026'!$A:$R,18,FALSE)</f>
        <v>#N/A</v>
      </c>
    </row>
    <row r="757" spans="1:23" hidden="1" x14ac:dyDescent="0.3">
      <c r="A757" s="55"/>
      <c r="B757" s="55"/>
      <c r="C757" s="55">
        <f>VLOOKUP(A757&amp;"-"&amp;B757,'Order Summary'!$D:$E,2,FALSE)</f>
        <v>0</v>
      </c>
      <c r="D757" s="216" t="str">
        <f>IF($A757="","",VLOOKUP($A757&amp;"-"&amp;$B757,'Order Summary'!$D:$U,3,FALSE))</f>
        <v/>
      </c>
      <c r="E757" s="55" t="str">
        <f>VLOOKUP(A757&amp;"-"&amp;B757,'Order Summary'!$D:$G,4,FALSE)</f>
        <v>Yes</v>
      </c>
      <c r="F757" s="55" t="e">
        <f>VLOOKUP($A757,'Order Summary'!$B:$I,8,FALSE)</f>
        <v>#N/A</v>
      </c>
      <c r="G757" s="216" t="str">
        <f>IF($A757="","",VLOOKUP($A757&amp;"-"&amp;$B757,'Order Summary'!$D:$U,18,FALSE))</f>
        <v/>
      </c>
      <c r="H757" s="55"/>
      <c r="I757" s="55"/>
      <c r="J757" s="55" t="e">
        <f>VLOOKUP($I757,'Pricing Table - eff 27-Jan-2026'!$A:$R,2,FALSE)</f>
        <v>#N/A</v>
      </c>
      <c r="K757" s="55" t="e">
        <f>VLOOKUP($I757,'Pricing Table - eff 27-Jan-2026'!$A:$R,6,FALSE)&amp;" "&amp;VLOOKUP($I757,'Pricing Table - eff 27-Jan-2026'!$A:$R,7,FALSE)&amp;""" x "&amp;VLOOKUP($I757,'Pricing Table - eff 27-Jan-2026'!$A:$R,9,FALSE)&amp;""" "&amp;VLOOKUP($I757,'Pricing Table - eff 27-Jan-2026'!$A:$R,5,FALSE)</f>
        <v>#N/A</v>
      </c>
      <c r="L757" s="55" t="e">
        <f>VLOOKUP($I757,'Pricing Table - eff 27-Jan-2026'!$A:$K,8,FALSE)</f>
        <v>#N/A</v>
      </c>
      <c r="M757" s="55" t="e">
        <f>VLOOKUP($I757,'Pricing Table - eff 27-Jan-2026'!$A:$K,10,FALSE)</f>
        <v>#N/A</v>
      </c>
      <c r="N757" s="55" t="e">
        <f>VLOOKUP($I757,'Pricing Table - eff 27-Jan-2026'!$A:$R,13,FALSE)&amp;" "&amp;VLOOKUP($I757,'Pricing Table - eff 27-Jan-2026'!$A:$R,12,FALSE)</f>
        <v>#N/A</v>
      </c>
      <c r="O757" s="56"/>
      <c r="P757" s="55" t="e">
        <f>(VLOOKUP($I757,'Pricing Table - eff 27-Jan-2026'!$A:$R,8,FALSE)/1000)*(VLOOKUP($I757,'Pricing Table - eff 27-Jan-2026'!$A:$R,10,FALSE)/1000)*Q757</f>
        <v>#N/A</v>
      </c>
      <c r="Q757" s="55" t="e">
        <f>ROUND(('Order Details'!$O757*1000)/((VLOOKUP($I757,'Pricing Table - eff 27-Jan-2026'!$A:$Q,7,FALSE)/12)*(VLOOKUP($I757,'Pricing Table - eff 27-Jan-2026'!$A:$Q,9,FALSE)/12))/5,0)*5</f>
        <v>#N/A</v>
      </c>
      <c r="R757" s="71" t="e">
        <f>$Q757/IFERROR(VLOOKUP($F757&amp;RIGHT($K757,8),'Master Data'!$O$5:$P$10,2,FALSE),'Master Data'!$P$4)</f>
        <v>#N/A</v>
      </c>
      <c r="S757" s="57" t="e">
        <f>VLOOKUP($I757,'Pricing Table - eff 27-Jan-2026'!$A:$Q,16,FALSE)</f>
        <v>#N/A</v>
      </c>
      <c r="T757" s="57" t="e">
        <f>VLOOKUP(I757,'Pricing Table - eff 27-Jan-2026'!$A:$O,15,FALSE)</f>
        <v>#N/A</v>
      </c>
      <c r="U757" s="57" t="e">
        <f t="shared" si="33"/>
        <v>#N/A</v>
      </c>
      <c r="V757" s="111" t="e">
        <f t="shared" si="32"/>
        <v>#N/A</v>
      </c>
      <c r="W757" s="55" t="e">
        <f>VLOOKUP($I757,'Pricing Table - eff 27-Jan-2026'!$A:$R,18,FALSE)</f>
        <v>#N/A</v>
      </c>
    </row>
    <row r="758" spans="1:23" hidden="1" x14ac:dyDescent="0.3">
      <c r="A758" s="55"/>
      <c r="B758" s="55"/>
      <c r="C758" s="55">
        <f>VLOOKUP(A758&amp;"-"&amp;B758,'Order Summary'!$D:$E,2,FALSE)</f>
        <v>0</v>
      </c>
      <c r="D758" s="216" t="str">
        <f>IF($A758="","",VLOOKUP($A758&amp;"-"&amp;$B758,'Order Summary'!$D:$U,3,FALSE))</f>
        <v/>
      </c>
      <c r="E758" s="55" t="str">
        <f>VLOOKUP(A758&amp;"-"&amp;B758,'Order Summary'!$D:$G,4,FALSE)</f>
        <v>Yes</v>
      </c>
      <c r="F758" s="55" t="e">
        <f>VLOOKUP($A758,'Order Summary'!$B:$I,8,FALSE)</f>
        <v>#N/A</v>
      </c>
      <c r="G758" s="216" t="str">
        <f>IF($A758="","",VLOOKUP($A758&amp;"-"&amp;$B758,'Order Summary'!$D:$U,18,FALSE))</f>
        <v/>
      </c>
      <c r="H758" s="55"/>
      <c r="I758" s="55"/>
      <c r="J758" s="55" t="e">
        <f>VLOOKUP($I758,'Pricing Table - eff 27-Jan-2026'!$A:$R,2,FALSE)</f>
        <v>#N/A</v>
      </c>
      <c r="K758" s="55" t="e">
        <f>VLOOKUP($I758,'Pricing Table - eff 27-Jan-2026'!$A:$R,6,FALSE)&amp;" "&amp;VLOOKUP($I758,'Pricing Table - eff 27-Jan-2026'!$A:$R,7,FALSE)&amp;""" x "&amp;VLOOKUP($I758,'Pricing Table - eff 27-Jan-2026'!$A:$R,9,FALSE)&amp;""" "&amp;VLOOKUP($I758,'Pricing Table - eff 27-Jan-2026'!$A:$R,5,FALSE)</f>
        <v>#N/A</v>
      </c>
      <c r="L758" s="55" t="e">
        <f>VLOOKUP($I758,'Pricing Table - eff 27-Jan-2026'!$A:$K,8,FALSE)</f>
        <v>#N/A</v>
      </c>
      <c r="M758" s="55" t="e">
        <f>VLOOKUP($I758,'Pricing Table - eff 27-Jan-2026'!$A:$K,10,FALSE)</f>
        <v>#N/A</v>
      </c>
      <c r="N758" s="55" t="e">
        <f>VLOOKUP($I758,'Pricing Table - eff 27-Jan-2026'!$A:$R,13,FALSE)&amp;" "&amp;VLOOKUP($I758,'Pricing Table - eff 27-Jan-2026'!$A:$R,12,FALSE)</f>
        <v>#N/A</v>
      </c>
      <c r="O758" s="56"/>
      <c r="P758" s="55" t="e">
        <f>(VLOOKUP($I758,'Pricing Table - eff 27-Jan-2026'!$A:$R,8,FALSE)/1000)*(VLOOKUP($I758,'Pricing Table - eff 27-Jan-2026'!$A:$R,10,FALSE)/1000)*Q758</f>
        <v>#N/A</v>
      </c>
      <c r="Q758" s="55" t="e">
        <f>ROUND(('Order Details'!$O758*1000)/((VLOOKUP($I758,'Pricing Table - eff 27-Jan-2026'!$A:$Q,7,FALSE)/12)*(VLOOKUP($I758,'Pricing Table - eff 27-Jan-2026'!$A:$Q,9,FALSE)/12))/5,0)*5</f>
        <v>#N/A</v>
      </c>
      <c r="R758" s="71" t="e">
        <f>$Q758/IFERROR(VLOOKUP($F758&amp;RIGHT($K758,8),'Master Data'!$O$5:$P$10,2,FALSE),'Master Data'!$P$4)</f>
        <v>#N/A</v>
      </c>
      <c r="S758" s="57" t="e">
        <f>VLOOKUP($I758,'Pricing Table - eff 27-Jan-2026'!$A:$Q,16,FALSE)</f>
        <v>#N/A</v>
      </c>
      <c r="T758" s="57" t="e">
        <f>VLOOKUP(I758,'Pricing Table - eff 27-Jan-2026'!$A:$O,15,FALSE)</f>
        <v>#N/A</v>
      </c>
      <c r="U758" s="57" t="e">
        <f t="shared" si="33"/>
        <v>#N/A</v>
      </c>
      <c r="V758" s="111" t="e">
        <f t="shared" si="32"/>
        <v>#N/A</v>
      </c>
      <c r="W758" s="55" t="e">
        <f>VLOOKUP($I758,'Pricing Table - eff 27-Jan-2026'!$A:$R,18,FALSE)</f>
        <v>#N/A</v>
      </c>
    </row>
    <row r="759" spans="1:23" hidden="1" x14ac:dyDescent="0.3">
      <c r="A759" s="55"/>
      <c r="B759" s="55"/>
      <c r="C759" s="55">
        <f>VLOOKUP(A759&amp;"-"&amp;B759,'Order Summary'!$D:$E,2,FALSE)</f>
        <v>0</v>
      </c>
      <c r="D759" s="216" t="str">
        <f>IF($A759="","",VLOOKUP($A759&amp;"-"&amp;$B759,'Order Summary'!$D:$U,3,FALSE))</f>
        <v/>
      </c>
      <c r="E759" s="55" t="str">
        <f>VLOOKUP(A759&amp;"-"&amp;B759,'Order Summary'!$D:$G,4,FALSE)</f>
        <v>Yes</v>
      </c>
      <c r="F759" s="55" t="e">
        <f>VLOOKUP($A759,'Order Summary'!$B:$I,8,FALSE)</f>
        <v>#N/A</v>
      </c>
      <c r="G759" s="216" t="str">
        <f>IF($A759="","",VLOOKUP($A759&amp;"-"&amp;$B759,'Order Summary'!$D:$U,18,FALSE))</f>
        <v/>
      </c>
      <c r="H759" s="55"/>
      <c r="I759" s="55"/>
      <c r="J759" s="55" t="e">
        <f>VLOOKUP($I759,'Pricing Table - eff 27-Jan-2026'!$A:$R,2,FALSE)</f>
        <v>#N/A</v>
      </c>
      <c r="K759" s="55" t="e">
        <f>VLOOKUP($I759,'Pricing Table - eff 27-Jan-2026'!$A:$R,6,FALSE)&amp;" "&amp;VLOOKUP($I759,'Pricing Table - eff 27-Jan-2026'!$A:$R,7,FALSE)&amp;""" x "&amp;VLOOKUP($I759,'Pricing Table - eff 27-Jan-2026'!$A:$R,9,FALSE)&amp;""" "&amp;VLOOKUP($I759,'Pricing Table - eff 27-Jan-2026'!$A:$R,5,FALSE)</f>
        <v>#N/A</v>
      </c>
      <c r="L759" s="55" t="e">
        <f>VLOOKUP($I759,'Pricing Table - eff 27-Jan-2026'!$A:$K,8,FALSE)</f>
        <v>#N/A</v>
      </c>
      <c r="M759" s="55" t="e">
        <f>VLOOKUP($I759,'Pricing Table - eff 27-Jan-2026'!$A:$K,10,FALSE)</f>
        <v>#N/A</v>
      </c>
      <c r="N759" s="55" t="e">
        <f>VLOOKUP($I759,'Pricing Table - eff 27-Jan-2026'!$A:$R,13,FALSE)&amp;" "&amp;VLOOKUP($I759,'Pricing Table - eff 27-Jan-2026'!$A:$R,12,FALSE)</f>
        <v>#N/A</v>
      </c>
      <c r="O759" s="56"/>
      <c r="P759" s="55" t="e">
        <f>(VLOOKUP($I759,'Pricing Table - eff 27-Jan-2026'!$A:$R,8,FALSE)/1000)*(VLOOKUP($I759,'Pricing Table - eff 27-Jan-2026'!$A:$R,10,FALSE)/1000)*Q759</f>
        <v>#N/A</v>
      </c>
      <c r="Q759" s="55" t="e">
        <f>ROUND(('Order Details'!$O759*1000)/((VLOOKUP($I759,'Pricing Table - eff 27-Jan-2026'!$A:$Q,7,FALSE)/12)*(VLOOKUP($I759,'Pricing Table - eff 27-Jan-2026'!$A:$Q,9,FALSE)/12))/5,0)*5</f>
        <v>#N/A</v>
      </c>
      <c r="R759" s="71" t="e">
        <f>$Q759/IFERROR(VLOOKUP($F759&amp;RIGHT($K759,8),'Master Data'!$O$5:$P$10,2,FALSE),'Master Data'!$P$4)</f>
        <v>#N/A</v>
      </c>
      <c r="S759" s="57" t="e">
        <f>VLOOKUP($I759,'Pricing Table - eff 27-Jan-2026'!$A:$Q,16,FALSE)</f>
        <v>#N/A</v>
      </c>
      <c r="T759" s="57" t="e">
        <f>VLOOKUP(I759,'Pricing Table - eff 27-Jan-2026'!$A:$O,15,FALSE)</f>
        <v>#N/A</v>
      </c>
      <c r="U759" s="57" t="e">
        <f t="shared" si="33"/>
        <v>#N/A</v>
      </c>
      <c r="V759" s="111" t="e">
        <f t="shared" si="32"/>
        <v>#N/A</v>
      </c>
      <c r="W759" s="55" t="e">
        <f>VLOOKUP($I759,'Pricing Table - eff 27-Jan-2026'!$A:$R,18,FALSE)</f>
        <v>#N/A</v>
      </c>
    </row>
    <row r="760" spans="1:23" hidden="1" x14ac:dyDescent="0.3">
      <c r="A760" s="55"/>
      <c r="B760" s="55"/>
      <c r="C760" s="55">
        <f>VLOOKUP(A760&amp;"-"&amp;B760,'Order Summary'!$D:$E,2,FALSE)</f>
        <v>0</v>
      </c>
      <c r="D760" s="216" t="str">
        <f>IF($A760="","",VLOOKUP($A760&amp;"-"&amp;$B760,'Order Summary'!$D:$U,3,FALSE))</f>
        <v/>
      </c>
      <c r="E760" s="55" t="str">
        <f>VLOOKUP(A760&amp;"-"&amp;B760,'Order Summary'!$D:$G,4,FALSE)</f>
        <v>Yes</v>
      </c>
      <c r="F760" s="55" t="e">
        <f>VLOOKUP($A760,'Order Summary'!$B:$I,8,FALSE)</f>
        <v>#N/A</v>
      </c>
      <c r="G760" s="216" t="str">
        <f>IF($A760="","",VLOOKUP($A760&amp;"-"&amp;$B760,'Order Summary'!$D:$U,18,FALSE))</f>
        <v/>
      </c>
      <c r="H760" s="55"/>
      <c r="I760" s="55"/>
      <c r="J760" s="55" t="e">
        <f>VLOOKUP($I760,'Pricing Table - eff 27-Jan-2026'!$A:$R,2,FALSE)</f>
        <v>#N/A</v>
      </c>
      <c r="K760" s="55" t="e">
        <f>VLOOKUP($I760,'Pricing Table - eff 27-Jan-2026'!$A:$R,6,FALSE)&amp;" "&amp;VLOOKUP($I760,'Pricing Table - eff 27-Jan-2026'!$A:$R,7,FALSE)&amp;""" x "&amp;VLOOKUP($I760,'Pricing Table - eff 27-Jan-2026'!$A:$R,9,FALSE)&amp;""" "&amp;VLOOKUP($I760,'Pricing Table - eff 27-Jan-2026'!$A:$R,5,FALSE)</f>
        <v>#N/A</v>
      </c>
      <c r="L760" s="55" t="e">
        <f>VLOOKUP($I760,'Pricing Table - eff 27-Jan-2026'!$A:$K,8,FALSE)</f>
        <v>#N/A</v>
      </c>
      <c r="M760" s="55" t="e">
        <f>VLOOKUP($I760,'Pricing Table - eff 27-Jan-2026'!$A:$K,10,FALSE)</f>
        <v>#N/A</v>
      </c>
      <c r="N760" s="55" t="e">
        <f>VLOOKUP($I760,'Pricing Table - eff 27-Jan-2026'!$A:$R,13,FALSE)&amp;" "&amp;VLOOKUP($I760,'Pricing Table - eff 27-Jan-2026'!$A:$R,12,FALSE)</f>
        <v>#N/A</v>
      </c>
      <c r="O760" s="56"/>
      <c r="P760" s="55" t="e">
        <f>(VLOOKUP($I760,'Pricing Table - eff 27-Jan-2026'!$A:$R,8,FALSE)/1000)*(VLOOKUP($I760,'Pricing Table - eff 27-Jan-2026'!$A:$R,10,FALSE)/1000)*Q760</f>
        <v>#N/A</v>
      </c>
      <c r="Q760" s="55" t="e">
        <f>ROUND(('Order Details'!$O760*1000)/((VLOOKUP($I760,'Pricing Table - eff 27-Jan-2026'!$A:$Q,7,FALSE)/12)*(VLOOKUP($I760,'Pricing Table - eff 27-Jan-2026'!$A:$Q,9,FALSE)/12))/5,0)*5</f>
        <v>#N/A</v>
      </c>
      <c r="R760" s="71" t="e">
        <f>$Q760/IFERROR(VLOOKUP($F760&amp;RIGHT($K760,8),'Master Data'!$O$5:$P$10,2,FALSE),'Master Data'!$P$4)</f>
        <v>#N/A</v>
      </c>
      <c r="S760" s="57" t="e">
        <f>VLOOKUP($I760,'Pricing Table - eff 27-Jan-2026'!$A:$Q,16,FALSE)</f>
        <v>#N/A</v>
      </c>
      <c r="T760" s="57" t="e">
        <f>VLOOKUP(I760,'Pricing Table - eff 27-Jan-2026'!$A:$O,15,FALSE)</f>
        <v>#N/A</v>
      </c>
      <c r="U760" s="57" t="e">
        <f t="shared" si="33"/>
        <v>#N/A</v>
      </c>
      <c r="V760" s="111" t="e">
        <f t="shared" si="32"/>
        <v>#N/A</v>
      </c>
      <c r="W760" s="55" t="e">
        <f>VLOOKUP($I760,'Pricing Table - eff 27-Jan-2026'!$A:$R,18,FALSE)</f>
        <v>#N/A</v>
      </c>
    </row>
    <row r="761" spans="1:23" hidden="1" x14ac:dyDescent="0.3">
      <c r="A761" s="55"/>
      <c r="B761" s="55"/>
      <c r="C761" s="55">
        <f>VLOOKUP(A761&amp;"-"&amp;B761,'Order Summary'!$D:$E,2,FALSE)</f>
        <v>0</v>
      </c>
      <c r="D761" s="216" t="str">
        <f>IF($A761="","",VLOOKUP($A761&amp;"-"&amp;$B761,'Order Summary'!$D:$U,3,FALSE))</f>
        <v/>
      </c>
      <c r="E761" s="55" t="str">
        <f>VLOOKUP(A761&amp;"-"&amp;B761,'Order Summary'!$D:$G,4,FALSE)</f>
        <v>Yes</v>
      </c>
      <c r="F761" s="55" t="e">
        <f>VLOOKUP($A761,'Order Summary'!$B:$I,8,FALSE)</f>
        <v>#N/A</v>
      </c>
      <c r="G761" s="216" t="str">
        <f>IF($A761="","",VLOOKUP($A761&amp;"-"&amp;$B761,'Order Summary'!$D:$U,18,FALSE))</f>
        <v/>
      </c>
      <c r="H761" s="55"/>
      <c r="I761" s="55"/>
      <c r="J761" s="55" t="e">
        <f>VLOOKUP($I761,'Pricing Table - eff 27-Jan-2026'!$A:$R,2,FALSE)</f>
        <v>#N/A</v>
      </c>
      <c r="K761" s="55" t="e">
        <f>VLOOKUP($I761,'Pricing Table - eff 27-Jan-2026'!$A:$R,6,FALSE)&amp;" "&amp;VLOOKUP($I761,'Pricing Table - eff 27-Jan-2026'!$A:$R,7,FALSE)&amp;""" x "&amp;VLOOKUP($I761,'Pricing Table - eff 27-Jan-2026'!$A:$R,9,FALSE)&amp;""" "&amp;VLOOKUP($I761,'Pricing Table - eff 27-Jan-2026'!$A:$R,5,FALSE)</f>
        <v>#N/A</v>
      </c>
      <c r="L761" s="55" t="e">
        <f>VLOOKUP($I761,'Pricing Table - eff 27-Jan-2026'!$A:$K,8,FALSE)</f>
        <v>#N/A</v>
      </c>
      <c r="M761" s="55" t="e">
        <f>VLOOKUP($I761,'Pricing Table - eff 27-Jan-2026'!$A:$K,10,FALSE)</f>
        <v>#N/A</v>
      </c>
      <c r="N761" s="55" t="e">
        <f>VLOOKUP($I761,'Pricing Table - eff 27-Jan-2026'!$A:$R,13,FALSE)&amp;" "&amp;VLOOKUP($I761,'Pricing Table - eff 27-Jan-2026'!$A:$R,12,FALSE)</f>
        <v>#N/A</v>
      </c>
      <c r="O761" s="56"/>
      <c r="P761" s="55" t="e">
        <f>(VLOOKUP($I761,'Pricing Table - eff 27-Jan-2026'!$A:$R,8,FALSE)/1000)*(VLOOKUP($I761,'Pricing Table - eff 27-Jan-2026'!$A:$R,10,FALSE)/1000)*Q761</f>
        <v>#N/A</v>
      </c>
      <c r="Q761" s="55" t="e">
        <f>ROUND(('Order Details'!$O761*1000)/((VLOOKUP($I761,'Pricing Table - eff 27-Jan-2026'!$A:$Q,7,FALSE)/12)*(VLOOKUP($I761,'Pricing Table - eff 27-Jan-2026'!$A:$Q,9,FALSE)/12))/5,0)*5</f>
        <v>#N/A</v>
      </c>
      <c r="R761" s="71" t="e">
        <f>$Q761/IFERROR(VLOOKUP($F761&amp;RIGHT($K761,8),'Master Data'!$O$5:$P$10,2,FALSE),'Master Data'!$P$4)</f>
        <v>#N/A</v>
      </c>
      <c r="S761" s="57" t="e">
        <f>VLOOKUP($I761,'Pricing Table - eff 27-Jan-2026'!$A:$Q,16,FALSE)</f>
        <v>#N/A</v>
      </c>
      <c r="T761" s="57" t="e">
        <f>VLOOKUP(I761,'Pricing Table - eff 27-Jan-2026'!$A:$O,15,FALSE)</f>
        <v>#N/A</v>
      </c>
      <c r="U761" s="57" t="e">
        <f t="shared" si="33"/>
        <v>#N/A</v>
      </c>
      <c r="V761" s="111" t="e">
        <f t="shared" si="32"/>
        <v>#N/A</v>
      </c>
      <c r="W761" s="55" t="e">
        <f>VLOOKUP($I761,'Pricing Table - eff 27-Jan-2026'!$A:$R,18,FALSE)</f>
        <v>#N/A</v>
      </c>
    </row>
    <row r="762" spans="1:23" hidden="1" x14ac:dyDescent="0.3">
      <c r="A762" s="55"/>
      <c r="B762" s="55"/>
      <c r="C762" s="55">
        <f>VLOOKUP(A762&amp;"-"&amp;B762,'Order Summary'!$D:$E,2,FALSE)</f>
        <v>0</v>
      </c>
      <c r="D762" s="216" t="str">
        <f>IF($A762="","",VLOOKUP($A762&amp;"-"&amp;$B762,'Order Summary'!$D:$U,3,FALSE))</f>
        <v/>
      </c>
      <c r="E762" s="55" t="str">
        <f>VLOOKUP(A762&amp;"-"&amp;B762,'Order Summary'!$D:$G,4,FALSE)</f>
        <v>Yes</v>
      </c>
      <c r="F762" s="55" t="e">
        <f>VLOOKUP($A762,'Order Summary'!$B:$I,8,FALSE)</f>
        <v>#N/A</v>
      </c>
      <c r="G762" s="216" t="str">
        <f>IF($A762="","",VLOOKUP($A762&amp;"-"&amp;$B762,'Order Summary'!$D:$U,18,FALSE))</f>
        <v/>
      </c>
      <c r="H762" s="55"/>
      <c r="I762" s="55"/>
      <c r="J762" s="55" t="e">
        <f>VLOOKUP($I762,'Pricing Table - eff 27-Jan-2026'!$A:$R,2,FALSE)</f>
        <v>#N/A</v>
      </c>
      <c r="K762" s="55" t="e">
        <f>VLOOKUP($I762,'Pricing Table - eff 27-Jan-2026'!$A:$R,6,FALSE)&amp;" "&amp;VLOOKUP($I762,'Pricing Table - eff 27-Jan-2026'!$A:$R,7,FALSE)&amp;""" x "&amp;VLOOKUP($I762,'Pricing Table - eff 27-Jan-2026'!$A:$R,9,FALSE)&amp;""" "&amp;VLOOKUP($I762,'Pricing Table - eff 27-Jan-2026'!$A:$R,5,FALSE)</f>
        <v>#N/A</v>
      </c>
      <c r="L762" s="55" t="e">
        <f>VLOOKUP($I762,'Pricing Table - eff 27-Jan-2026'!$A:$K,8,FALSE)</f>
        <v>#N/A</v>
      </c>
      <c r="M762" s="55" t="e">
        <f>VLOOKUP($I762,'Pricing Table - eff 27-Jan-2026'!$A:$K,10,FALSE)</f>
        <v>#N/A</v>
      </c>
      <c r="N762" s="55" t="e">
        <f>VLOOKUP($I762,'Pricing Table - eff 27-Jan-2026'!$A:$R,13,FALSE)&amp;" "&amp;VLOOKUP($I762,'Pricing Table - eff 27-Jan-2026'!$A:$R,12,FALSE)</f>
        <v>#N/A</v>
      </c>
      <c r="O762" s="56"/>
      <c r="P762" s="55" t="e">
        <f>(VLOOKUP($I762,'Pricing Table - eff 27-Jan-2026'!$A:$R,8,FALSE)/1000)*(VLOOKUP($I762,'Pricing Table - eff 27-Jan-2026'!$A:$R,10,FALSE)/1000)*Q762</f>
        <v>#N/A</v>
      </c>
      <c r="Q762" s="55" t="e">
        <f>ROUND(('Order Details'!$O762*1000)/((VLOOKUP($I762,'Pricing Table - eff 27-Jan-2026'!$A:$Q,7,FALSE)/12)*(VLOOKUP($I762,'Pricing Table - eff 27-Jan-2026'!$A:$Q,9,FALSE)/12))/5,0)*5</f>
        <v>#N/A</v>
      </c>
      <c r="R762" s="71" t="e">
        <f>$Q762/IFERROR(VLOOKUP($F762&amp;RIGHT($K762,8),'Master Data'!$O$5:$P$10,2,FALSE),'Master Data'!$P$4)</f>
        <v>#N/A</v>
      </c>
      <c r="S762" s="57" t="e">
        <f>VLOOKUP($I762,'Pricing Table - eff 27-Jan-2026'!$A:$Q,16,FALSE)</f>
        <v>#N/A</v>
      </c>
      <c r="T762" s="57" t="e">
        <f>VLOOKUP(I762,'Pricing Table - eff 27-Jan-2026'!$A:$O,15,FALSE)</f>
        <v>#N/A</v>
      </c>
      <c r="U762" s="57" t="e">
        <f t="shared" si="33"/>
        <v>#N/A</v>
      </c>
      <c r="V762" s="111" t="e">
        <f t="shared" si="32"/>
        <v>#N/A</v>
      </c>
      <c r="W762" s="55" t="e">
        <f>VLOOKUP($I762,'Pricing Table - eff 27-Jan-2026'!$A:$R,18,FALSE)</f>
        <v>#N/A</v>
      </c>
    </row>
    <row r="763" spans="1:23" hidden="1" x14ac:dyDescent="0.3">
      <c r="A763" s="55"/>
      <c r="B763" s="55"/>
      <c r="C763" s="55">
        <f>VLOOKUP(A763&amp;"-"&amp;B763,'Order Summary'!$D:$E,2,FALSE)</f>
        <v>0</v>
      </c>
      <c r="D763" s="216" t="str">
        <f>IF($A763="","",VLOOKUP($A763&amp;"-"&amp;$B763,'Order Summary'!$D:$U,3,FALSE))</f>
        <v/>
      </c>
      <c r="E763" s="55" t="str">
        <f>VLOOKUP(A763&amp;"-"&amp;B763,'Order Summary'!$D:$G,4,FALSE)</f>
        <v>Yes</v>
      </c>
      <c r="F763" s="55" t="e">
        <f>VLOOKUP($A763,'Order Summary'!$B:$I,8,FALSE)</f>
        <v>#N/A</v>
      </c>
      <c r="G763" s="216" t="str">
        <f>IF($A763="","",VLOOKUP($A763&amp;"-"&amp;$B763,'Order Summary'!$D:$U,18,FALSE))</f>
        <v/>
      </c>
      <c r="H763" s="55"/>
      <c r="I763" s="55"/>
      <c r="J763" s="55" t="e">
        <f>VLOOKUP($I763,'Pricing Table - eff 27-Jan-2026'!$A:$R,2,FALSE)</f>
        <v>#N/A</v>
      </c>
      <c r="K763" s="55" t="e">
        <f>VLOOKUP($I763,'Pricing Table - eff 27-Jan-2026'!$A:$R,6,FALSE)&amp;" "&amp;VLOOKUP($I763,'Pricing Table - eff 27-Jan-2026'!$A:$R,7,FALSE)&amp;""" x "&amp;VLOOKUP($I763,'Pricing Table - eff 27-Jan-2026'!$A:$R,9,FALSE)&amp;""" "&amp;VLOOKUP($I763,'Pricing Table - eff 27-Jan-2026'!$A:$R,5,FALSE)</f>
        <v>#N/A</v>
      </c>
      <c r="L763" s="55" t="e">
        <f>VLOOKUP($I763,'Pricing Table - eff 27-Jan-2026'!$A:$K,8,FALSE)</f>
        <v>#N/A</v>
      </c>
      <c r="M763" s="55" t="e">
        <f>VLOOKUP($I763,'Pricing Table - eff 27-Jan-2026'!$A:$K,10,FALSE)</f>
        <v>#N/A</v>
      </c>
      <c r="N763" s="55" t="e">
        <f>VLOOKUP($I763,'Pricing Table - eff 27-Jan-2026'!$A:$R,13,FALSE)&amp;" "&amp;VLOOKUP($I763,'Pricing Table - eff 27-Jan-2026'!$A:$R,12,FALSE)</f>
        <v>#N/A</v>
      </c>
      <c r="O763" s="56"/>
      <c r="P763" s="55" t="e">
        <f>(VLOOKUP($I763,'Pricing Table - eff 27-Jan-2026'!$A:$R,8,FALSE)/1000)*(VLOOKUP($I763,'Pricing Table - eff 27-Jan-2026'!$A:$R,10,FALSE)/1000)*Q763</f>
        <v>#N/A</v>
      </c>
      <c r="Q763" s="55" t="e">
        <f>ROUND(('Order Details'!$O763*1000)/((VLOOKUP($I763,'Pricing Table - eff 27-Jan-2026'!$A:$Q,7,FALSE)/12)*(VLOOKUP($I763,'Pricing Table - eff 27-Jan-2026'!$A:$Q,9,FALSE)/12))/5,0)*5</f>
        <v>#N/A</v>
      </c>
      <c r="R763" s="71" t="e">
        <f>$Q763/IFERROR(VLOOKUP($F763&amp;RIGHT($K763,8),'Master Data'!$O$5:$P$10,2,FALSE),'Master Data'!$P$4)</f>
        <v>#N/A</v>
      </c>
      <c r="S763" s="57" t="e">
        <f>VLOOKUP($I763,'Pricing Table - eff 27-Jan-2026'!$A:$Q,16,FALSE)</f>
        <v>#N/A</v>
      </c>
      <c r="T763" s="57" t="e">
        <f>VLOOKUP(I763,'Pricing Table - eff 27-Jan-2026'!$A:$O,15,FALSE)</f>
        <v>#N/A</v>
      </c>
      <c r="U763" s="57" t="e">
        <f t="shared" si="33"/>
        <v>#N/A</v>
      </c>
      <c r="V763" s="111" t="e">
        <f t="shared" si="32"/>
        <v>#N/A</v>
      </c>
      <c r="W763" s="55" t="e">
        <f>VLOOKUP($I763,'Pricing Table - eff 27-Jan-2026'!$A:$R,18,FALSE)</f>
        <v>#N/A</v>
      </c>
    </row>
    <row r="764" spans="1:23" hidden="1" x14ac:dyDescent="0.3">
      <c r="A764" s="55"/>
      <c r="B764" s="55"/>
      <c r="C764" s="55">
        <f>VLOOKUP(A764&amp;"-"&amp;B764,'Order Summary'!$D:$E,2,FALSE)</f>
        <v>0</v>
      </c>
      <c r="D764" s="216" t="str">
        <f>IF($A764="","",VLOOKUP($A764&amp;"-"&amp;$B764,'Order Summary'!$D:$U,3,FALSE))</f>
        <v/>
      </c>
      <c r="E764" s="55" t="str">
        <f>VLOOKUP(A764&amp;"-"&amp;B764,'Order Summary'!$D:$G,4,FALSE)</f>
        <v>Yes</v>
      </c>
      <c r="F764" s="55" t="e">
        <f>VLOOKUP($A764,'Order Summary'!$B:$I,8,FALSE)</f>
        <v>#N/A</v>
      </c>
      <c r="G764" s="216" t="str">
        <f>IF($A764="","",VLOOKUP($A764&amp;"-"&amp;$B764,'Order Summary'!$D:$U,18,FALSE))</f>
        <v/>
      </c>
      <c r="H764" s="55"/>
      <c r="I764" s="55"/>
      <c r="J764" s="55" t="e">
        <f>VLOOKUP($I764,'Pricing Table - eff 27-Jan-2026'!$A:$R,2,FALSE)</f>
        <v>#N/A</v>
      </c>
      <c r="K764" s="55" t="e">
        <f>VLOOKUP($I764,'Pricing Table - eff 27-Jan-2026'!$A:$R,6,FALSE)&amp;" "&amp;VLOOKUP($I764,'Pricing Table - eff 27-Jan-2026'!$A:$R,7,FALSE)&amp;""" x "&amp;VLOOKUP($I764,'Pricing Table - eff 27-Jan-2026'!$A:$R,9,FALSE)&amp;""" "&amp;VLOOKUP($I764,'Pricing Table - eff 27-Jan-2026'!$A:$R,5,FALSE)</f>
        <v>#N/A</v>
      </c>
      <c r="L764" s="55" t="e">
        <f>VLOOKUP($I764,'Pricing Table - eff 27-Jan-2026'!$A:$K,8,FALSE)</f>
        <v>#N/A</v>
      </c>
      <c r="M764" s="55" t="e">
        <f>VLOOKUP($I764,'Pricing Table - eff 27-Jan-2026'!$A:$K,10,FALSE)</f>
        <v>#N/A</v>
      </c>
      <c r="N764" s="55" t="e">
        <f>VLOOKUP($I764,'Pricing Table - eff 27-Jan-2026'!$A:$R,13,FALSE)&amp;" "&amp;VLOOKUP($I764,'Pricing Table - eff 27-Jan-2026'!$A:$R,12,FALSE)</f>
        <v>#N/A</v>
      </c>
      <c r="O764" s="56"/>
      <c r="P764" s="55" t="e">
        <f>(VLOOKUP($I764,'Pricing Table - eff 27-Jan-2026'!$A:$R,8,FALSE)/1000)*(VLOOKUP($I764,'Pricing Table - eff 27-Jan-2026'!$A:$R,10,FALSE)/1000)*Q764</f>
        <v>#N/A</v>
      </c>
      <c r="Q764" s="55" t="e">
        <f>ROUND(('Order Details'!$O764*1000)/((VLOOKUP($I764,'Pricing Table - eff 27-Jan-2026'!$A:$Q,7,FALSE)/12)*(VLOOKUP($I764,'Pricing Table - eff 27-Jan-2026'!$A:$Q,9,FALSE)/12))/5,0)*5</f>
        <v>#N/A</v>
      </c>
      <c r="R764" s="71" t="e">
        <f>$Q764/IFERROR(VLOOKUP($F764&amp;RIGHT($K764,8),'Master Data'!$O$5:$P$10,2,FALSE),'Master Data'!$P$4)</f>
        <v>#N/A</v>
      </c>
      <c r="S764" s="57" t="e">
        <f>VLOOKUP($I764,'Pricing Table - eff 27-Jan-2026'!$A:$Q,16,FALSE)</f>
        <v>#N/A</v>
      </c>
      <c r="T764" s="57" t="e">
        <f>VLOOKUP(I764,'Pricing Table - eff 27-Jan-2026'!$A:$O,15,FALSE)</f>
        <v>#N/A</v>
      </c>
      <c r="U764" s="57" t="e">
        <f t="shared" si="33"/>
        <v>#N/A</v>
      </c>
      <c r="V764" s="111" t="e">
        <f t="shared" si="32"/>
        <v>#N/A</v>
      </c>
      <c r="W764" s="55" t="e">
        <f>VLOOKUP($I764,'Pricing Table - eff 27-Jan-2026'!$A:$R,18,FALSE)</f>
        <v>#N/A</v>
      </c>
    </row>
    <row r="765" spans="1:23" hidden="1" x14ac:dyDescent="0.3">
      <c r="A765" s="55"/>
      <c r="B765" s="55"/>
      <c r="C765" s="55">
        <f>VLOOKUP(A765&amp;"-"&amp;B765,'Order Summary'!$D:$E,2,FALSE)</f>
        <v>0</v>
      </c>
      <c r="D765" s="216" t="str">
        <f>IF($A765="","",VLOOKUP($A765&amp;"-"&amp;$B765,'Order Summary'!$D:$U,3,FALSE))</f>
        <v/>
      </c>
      <c r="E765" s="55" t="str">
        <f>VLOOKUP(A765&amp;"-"&amp;B765,'Order Summary'!$D:$G,4,FALSE)</f>
        <v>Yes</v>
      </c>
      <c r="F765" s="55" t="e">
        <f>VLOOKUP($A765,'Order Summary'!$B:$I,8,FALSE)</f>
        <v>#N/A</v>
      </c>
      <c r="G765" s="216" t="str">
        <f>IF($A765="","",VLOOKUP($A765&amp;"-"&amp;$B765,'Order Summary'!$D:$U,18,FALSE))</f>
        <v/>
      </c>
      <c r="H765" s="55"/>
      <c r="I765" s="55"/>
      <c r="J765" s="55" t="e">
        <f>VLOOKUP($I765,'Pricing Table - eff 27-Jan-2026'!$A:$R,2,FALSE)</f>
        <v>#N/A</v>
      </c>
      <c r="K765" s="55" t="e">
        <f>VLOOKUP($I765,'Pricing Table - eff 27-Jan-2026'!$A:$R,6,FALSE)&amp;" "&amp;VLOOKUP($I765,'Pricing Table - eff 27-Jan-2026'!$A:$R,7,FALSE)&amp;""" x "&amp;VLOOKUP($I765,'Pricing Table - eff 27-Jan-2026'!$A:$R,9,FALSE)&amp;""" "&amp;VLOOKUP($I765,'Pricing Table - eff 27-Jan-2026'!$A:$R,5,FALSE)</f>
        <v>#N/A</v>
      </c>
      <c r="L765" s="55" t="e">
        <f>VLOOKUP($I765,'Pricing Table - eff 27-Jan-2026'!$A:$K,8,FALSE)</f>
        <v>#N/A</v>
      </c>
      <c r="M765" s="55" t="e">
        <f>VLOOKUP($I765,'Pricing Table - eff 27-Jan-2026'!$A:$K,10,FALSE)</f>
        <v>#N/A</v>
      </c>
      <c r="N765" s="55" t="e">
        <f>VLOOKUP($I765,'Pricing Table - eff 27-Jan-2026'!$A:$R,13,FALSE)&amp;" "&amp;VLOOKUP($I765,'Pricing Table - eff 27-Jan-2026'!$A:$R,12,FALSE)</f>
        <v>#N/A</v>
      </c>
      <c r="O765" s="56"/>
      <c r="P765" s="55" t="e">
        <f>(VLOOKUP($I765,'Pricing Table - eff 27-Jan-2026'!$A:$R,8,FALSE)/1000)*(VLOOKUP($I765,'Pricing Table - eff 27-Jan-2026'!$A:$R,10,FALSE)/1000)*Q765</f>
        <v>#N/A</v>
      </c>
      <c r="Q765" s="55" t="e">
        <f>ROUND(('Order Details'!$O765*1000)/((VLOOKUP($I765,'Pricing Table - eff 27-Jan-2026'!$A:$Q,7,FALSE)/12)*(VLOOKUP($I765,'Pricing Table - eff 27-Jan-2026'!$A:$Q,9,FALSE)/12))/5,0)*5</f>
        <v>#N/A</v>
      </c>
      <c r="R765" s="71" t="e">
        <f>$Q765/IFERROR(VLOOKUP($F765&amp;RIGHT($K765,8),'Master Data'!$O$5:$P$10,2,FALSE),'Master Data'!$P$4)</f>
        <v>#N/A</v>
      </c>
      <c r="S765" s="57" t="e">
        <f>VLOOKUP($I765,'Pricing Table - eff 27-Jan-2026'!$A:$Q,16,FALSE)</f>
        <v>#N/A</v>
      </c>
      <c r="T765" s="57" t="e">
        <f>VLOOKUP(I765,'Pricing Table - eff 27-Jan-2026'!$A:$O,15,FALSE)</f>
        <v>#N/A</v>
      </c>
      <c r="U765" s="57" t="e">
        <f t="shared" si="33"/>
        <v>#N/A</v>
      </c>
      <c r="V765" s="111" t="e">
        <f t="shared" si="32"/>
        <v>#N/A</v>
      </c>
      <c r="W765" s="55" t="e">
        <f>VLOOKUP($I765,'Pricing Table - eff 27-Jan-2026'!$A:$R,18,FALSE)</f>
        <v>#N/A</v>
      </c>
    </row>
    <row r="766" spans="1:23" hidden="1" x14ac:dyDescent="0.3">
      <c r="A766" s="55"/>
      <c r="B766" s="55"/>
      <c r="C766" s="55">
        <f>VLOOKUP(A766&amp;"-"&amp;B766,'Order Summary'!$D:$E,2,FALSE)</f>
        <v>0</v>
      </c>
      <c r="D766" s="216" t="str">
        <f>IF($A766="","",VLOOKUP($A766&amp;"-"&amp;$B766,'Order Summary'!$D:$U,3,FALSE))</f>
        <v/>
      </c>
      <c r="E766" s="55" t="str">
        <f>VLOOKUP(A766&amp;"-"&amp;B766,'Order Summary'!$D:$G,4,FALSE)</f>
        <v>Yes</v>
      </c>
      <c r="F766" s="55" t="e">
        <f>VLOOKUP($A766,'Order Summary'!$B:$I,8,FALSE)</f>
        <v>#N/A</v>
      </c>
      <c r="G766" s="216" t="str">
        <f>IF($A766="","",VLOOKUP($A766&amp;"-"&amp;$B766,'Order Summary'!$D:$U,18,FALSE))</f>
        <v/>
      </c>
      <c r="H766" s="55"/>
      <c r="I766" s="55"/>
      <c r="J766" s="55" t="e">
        <f>VLOOKUP($I766,'Pricing Table - eff 27-Jan-2026'!$A:$R,2,FALSE)</f>
        <v>#N/A</v>
      </c>
      <c r="K766" s="55" t="e">
        <f>VLOOKUP($I766,'Pricing Table - eff 27-Jan-2026'!$A:$R,6,FALSE)&amp;" "&amp;VLOOKUP($I766,'Pricing Table - eff 27-Jan-2026'!$A:$R,7,FALSE)&amp;""" x "&amp;VLOOKUP($I766,'Pricing Table - eff 27-Jan-2026'!$A:$R,9,FALSE)&amp;""" "&amp;VLOOKUP($I766,'Pricing Table - eff 27-Jan-2026'!$A:$R,5,FALSE)</f>
        <v>#N/A</v>
      </c>
      <c r="L766" s="55" t="e">
        <f>VLOOKUP($I766,'Pricing Table - eff 27-Jan-2026'!$A:$K,8,FALSE)</f>
        <v>#N/A</v>
      </c>
      <c r="M766" s="55" t="e">
        <f>VLOOKUP($I766,'Pricing Table - eff 27-Jan-2026'!$A:$K,10,FALSE)</f>
        <v>#N/A</v>
      </c>
      <c r="N766" s="55" t="e">
        <f>VLOOKUP($I766,'Pricing Table - eff 27-Jan-2026'!$A:$R,13,FALSE)&amp;" "&amp;VLOOKUP($I766,'Pricing Table - eff 27-Jan-2026'!$A:$R,12,FALSE)</f>
        <v>#N/A</v>
      </c>
      <c r="O766" s="56"/>
      <c r="P766" s="55" t="e">
        <f>(VLOOKUP($I766,'Pricing Table - eff 27-Jan-2026'!$A:$R,8,FALSE)/1000)*(VLOOKUP($I766,'Pricing Table - eff 27-Jan-2026'!$A:$R,10,FALSE)/1000)*Q766</f>
        <v>#N/A</v>
      </c>
      <c r="Q766" s="55" t="e">
        <f>ROUND(('Order Details'!$O766*1000)/((VLOOKUP($I766,'Pricing Table - eff 27-Jan-2026'!$A:$Q,7,FALSE)/12)*(VLOOKUP($I766,'Pricing Table - eff 27-Jan-2026'!$A:$Q,9,FALSE)/12))/5,0)*5</f>
        <v>#N/A</v>
      </c>
      <c r="R766" s="71" t="e">
        <f>$Q766/IFERROR(VLOOKUP($F766&amp;RIGHT($K766,8),'Master Data'!$O$5:$P$10,2,FALSE),'Master Data'!$P$4)</f>
        <v>#N/A</v>
      </c>
      <c r="S766" s="57" t="e">
        <f>VLOOKUP($I766,'Pricing Table - eff 27-Jan-2026'!$A:$Q,16,FALSE)</f>
        <v>#N/A</v>
      </c>
      <c r="T766" s="57" t="e">
        <f>VLOOKUP(I766,'Pricing Table - eff 27-Jan-2026'!$A:$O,15,FALSE)</f>
        <v>#N/A</v>
      </c>
      <c r="U766" s="57" t="e">
        <f t="shared" si="33"/>
        <v>#N/A</v>
      </c>
      <c r="V766" s="111" t="e">
        <f t="shared" ref="V766:V829" si="34">P766*T766</f>
        <v>#N/A</v>
      </c>
      <c r="W766" s="55" t="e">
        <f>VLOOKUP($I766,'Pricing Table - eff 27-Jan-2026'!$A:$R,18,FALSE)</f>
        <v>#N/A</v>
      </c>
    </row>
    <row r="767" spans="1:23" hidden="1" x14ac:dyDescent="0.3">
      <c r="A767" s="55"/>
      <c r="B767" s="55"/>
      <c r="C767" s="55">
        <f>VLOOKUP(A767&amp;"-"&amp;B767,'Order Summary'!$D:$E,2,FALSE)</f>
        <v>0</v>
      </c>
      <c r="D767" s="216" t="str">
        <f>IF($A767="","",VLOOKUP($A767&amp;"-"&amp;$B767,'Order Summary'!$D:$U,3,FALSE))</f>
        <v/>
      </c>
      <c r="E767" s="55" t="str">
        <f>VLOOKUP(A767&amp;"-"&amp;B767,'Order Summary'!$D:$G,4,FALSE)</f>
        <v>Yes</v>
      </c>
      <c r="F767" s="55" t="e">
        <f>VLOOKUP($A767,'Order Summary'!$B:$I,8,FALSE)</f>
        <v>#N/A</v>
      </c>
      <c r="G767" s="216" t="str">
        <f>IF($A767="","",VLOOKUP($A767&amp;"-"&amp;$B767,'Order Summary'!$D:$U,18,FALSE))</f>
        <v/>
      </c>
      <c r="H767" s="55"/>
      <c r="I767" s="55"/>
      <c r="J767" s="55" t="e">
        <f>VLOOKUP($I767,'Pricing Table - eff 27-Jan-2026'!$A:$R,2,FALSE)</f>
        <v>#N/A</v>
      </c>
      <c r="K767" s="55" t="e">
        <f>VLOOKUP($I767,'Pricing Table - eff 27-Jan-2026'!$A:$R,6,FALSE)&amp;" "&amp;VLOOKUP($I767,'Pricing Table - eff 27-Jan-2026'!$A:$R,7,FALSE)&amp;""" x "&amp;VLOOKUP($I767,'Pricing Table - eff 27-Jan-2026'!$A:$R,9,FALSE)&amp;""" "&amp;VLOOKUP($I767,'Pricing Table - eff 27-Jan-2026'!$A:$R,5,FALSE)</f>
        <v>#N/A</v>
      </c>
      <c r="L767" s="55" t="e">
        <f>VLOOKUP($I767,'Pricing Table - eff 27-Jan-2026'!$A:$K,8,FALSE)</f>
        <v>#N/A</v>
      </c>
      <c r="M767" s="55" t="e">
        <f>VLOOKUP($I767,'Pricing Table - eff 27-Jan-2026'!$A:$K,10,FALSE)</f>
        <v>#N/A</v>
      </c>
      <c r="N767" s="55" t="e">
        <f>VLOOKUP($I767,'Pricing Table - eff 27-Jan-2026'!$A:$R,13,FALSE)&amp;" "&amp;VLOOKUP($I767,'Pricing Table - eff 27-Jan-2026'!$A:$R,12,FALSE)</f>
        <v>#N/A</v>
      </c>
      <c r="O767" s="56"/>
      <c r="P767" s="55" t="e">
        <f>(VLOOKUP($I767,'Pricing Table - eff 27-Jan-2026'!$A:$R,8,FALSE)/1000)*(VLOOKUP($I767,'Pricing Table - eff 27-Jan-2026'!$A:$R,10,FALSE)/1000)*Q767</f>
        <v>#N/A</v>
      </c>
      <c r="Q767" s="55" t="e">
        <f>ROUND(('Order Details'!$O767*1000)/((VLOOKUP($I767,'Pricing Table - eff 27-Jan-2026'!$A:$Q,7,FALSE)/12)*(VLOOKUP($I767,'Pricing Table - eff 27-Jan-2026'!$A:$Q,9,FALSE)/12))/5,0)*5</f>
        <v>#N/A</v>
      </c>
      <c r="R767" s="71" t="e">
        <f>$Q767/IFERROR(VLOOKUP($F767&amp;RIGHT($K767,8),'Master Data'!$O$5:$P$10,2,FALSE),'Master Data'!$P$4)</f>
        <v>#N/A</v>
      </c>
      <c r="S767" s="57" t="e">
        <f>VLOOKUP($I767,'Pricing Table - eff 27-Jan-2026'!$A:$Q,16,FALSE)</f>
        <v>#N/A</v>
      </c>
      <c r="T767" s="57" t="e">
        <f>VLOOKUP(I767,'Pricing Table - eff 27-Jan-2026'!$A:$O,15,FALSE)</f>
        <v>#N/A</v>
      </c>
      <c r="U767" s="57" t="e">
        <f t="shared" si="33"/>
        <v>#N/A</v>
      </c>
      <c r="V767" s="111" t="e">
        <f t="shared" si="34"/>
        <v>#N/A</v>
      </c>
      <c r="W767" s="55" t="e">
        <f>VLOOKUP($I767,'Pricing Table - eff 27-Jan-2026'!$A:$R,18,FALSE)</f>
        <v>#N/A</v>
      </c>
    </row>
    <row r="768" spans="1:23" hidden="1" x14ac:dyDescent="0.3">
      <c r="A768" s="55"/>
      <c r="B768" s="55"/>
      <c r="C768" s="55">
        <f>VLOOKUP(A768&amp;"-"&amp;B768,'Order Summary'!$D:$E,2,FALSE)</f>
        <v>0</v>
      </c>
      <c r="D768" s="216" t="str">
        <f>IF($A768="","",VLOOKUP($A768&amp;"-"&amp;$B768,'Order Summary'!$D:$U,3,FALSE))</f>
        <v/>
      </c>
      <c r="E768" s="55" t="str">
        <f>VLOOKUP(A768&amp;"-"&amp;B768,'Order Summary'!$D:$G,4,FALSE)</f>
        <v>Yes</v>
      </c>
      <c r="F768" s="55" t="e">
        <f>VLOOKUP($A768,'Order Summary'!$B:$I,8,FALSE)</f>
        <v>#N/A</v>
      </c>
      <c r="G768" s="216" t="str">
        <f>IF($A768="","",VLOOKUP($A768&amp;"-"&amp;$B768,'Order Summary'!$D:$U,18,FALSE))</f>
        <v/>
      </c>
      <c r="H768" s="55"/>
      <c r="I768" s="55"/>
      <c r="J768" s="55" t="e">
        <f>VLOOKUP($I768,'Pricing Table - eff 27-Jan-2026'!$A:$R,2,FALSE)</f>
        <v>#N/A</v>
      </c>
      <c r="K768" s="55" t="e">
        <f>VLOOKUP($I768,'Pricing Table - eff 27-Jan-2026'!$A:$R,6,FALSE)&amp;" "&amp;VLOOKUP($I768,'Pricing Table - eff 27-Jan-2026'!$A:$R,7,FALSE)&amp;""" x "&amp;VLOOKUP($I768,'Pricing Table - eff 27-Jan-2026'!$A:$R,9,FALSE)&amp;""" "&amp;VLOOKUP($I768,'Pricing Table - eff 27-Jan-2026'!$A:$R,5,FALSE)</f>
        <v>#N/A</v>
      </c>
      <c r="L768" s="55" t="e">
        <f>VLOOKUP($I768,'Pricing Table - eff 27-Jan-2026'!$A:$K,8,FALSE)</f>
        <v>#N/A</v>
      </c>
      <c r="M768" s="55" t="e">
        <f>VLOOKUP($I768,'Pricing Table - eff 27-Jan-2026'!$A:$K,10,FALSE)</f>
        <v>#N/A</v>
      </c>
      <c r="N768" s="55" t="e">
        <f>VLOOKUP($I768,'Pricing Table - eff 27-Jan-2026'!$A:$R,13,FALSE)&amp;" "&amp;VLOOKUP($I768,'Pricing Table - eff 27-Jan-2026'!$A:$R,12,FALSE)</f>
        <v>#N/A</v>
      </c>
      <c r="O768" s="56"/>
      <c r="P768" s="55" t="e">
        <f>(VLOOKUP($I768,'Pricing Table - eff 27-Jan-2026'!$A:$R,8,FALSE)/1000)*(VLOOKUP($I768,'Pricing Table - eff 27-Jan-2026'!$A:$R,10,FALSE)/1000)*Q768</f>
        <v>#N/A</v>
      </c>
      <c r="Q768" s="55" t="e">
        <f>ROUND(('Order Details'!$O768*1000)/((VLOOKUP($I768,'Pricing Table - eff 27-Jan-2026'!$A:$Q,7,FALSE)/12)*(VLOOKUP($I768,'Pricing Table - eff 27-Jan-2026'!$A:$Q,9,FALSE)/12))/5,0)*5</f>
        <v>#N/A</v>
      </c>
      <c r="R768" s="71" t="e">
        <f>$Q768/IFERROR(VLOOKUP($F768&amp;RIGHT($K768,8),'Master Data'!$O$5:$P$10,2,FALSE),'Master Data'!$P$4)</f>
        <v>#N/A</v>
      </c>
      <c r="S768" s="57" t="e">
        <f>VLOOKUP($I768,'Pricing Table - eff 27-Jan-2026'!$A:$Q,16,FALSE)</f>
        <v>#N/A</v>
      </c>
      <c r="T768" s="57" t="e">
        <f>VLOOKUP(I768,'Pricing Table - eff 27-Jan-2026'!$A:$O,15,FALSE)</f>
        <v>#N/A</v>
      </c>
      <c r="U768" s="57" t="e">
        <f t="shared" si="33"/>
        <v>#N/A</v>
      </c>
      <c r="V768" s="111" t="e">
        <f t="shared" si="34"/>
        <v>#N/A</v>
      </c>
      <c r="W768" s="55" t="e">
        <f>VLOOKUP($I768,'Pricing Table - eff 27-Jan-2026'!$A:$R,18,FALSE)</f>
        <v>#N/A</v>
      </c>
    </row>
    <row r="769" spans="1:23" hidden="1" x14ac:dyDescent="0.3">
      <c r="A769" s="55"/>
      <c r="B769" s="55"/>
      <c r="C769" s="55">
        <f>VLOOKUP(A769&amp;"-"&amp;B769,'Order Summary'!$D:$E,2,FALSE)</f>
        <v>0</v>
      </c>
      <c r="D769" s="216" t="str">
        <f>IF($A769="","",VLOOKUP($A769&amp;"-"&amp;$B769,'Order Summary'!$D:$U,3,FALSE))</f>
        <v/>
      </c>
      <c r="E769" s="55" t="str">
        <f>VLOOKUP(A769&amp;"-"&amp;B769,'Order Summary'!$D:$G,4,FALSE)</f>
        <v>Yes</v>
      </c>
      <c r="F769" s="55" t="e">
        <f>VLOOKUP($A769,'Order Summary'!$B:$I,8,FALSE)</f>
        <v>#N/A</v>
      </c>
      <c r="G769" s="216" t="str">
        <f>IF($A769="","",VLOOKUP($A769&amp;"-"&amp;$B769,'Order Summary'!$D:$U,18,FALSE))</f>
        <v/>
      </c>
      <c r="H769" s="55"/>
      <c r="I769" s="55"/>
      <c r="J769" s="55" t="e">
        <f>VLOOKUP($I769,'Pricing Table - eff 27-Jan-2026'!$A:$R,2,FALSE)</f>
        <v>#N/A</v>
      </c>
      <c r="K769" s="55" t="e">
        <f>VLOOKUP($I769,'Pricing Table - eff 27-Jan-2026'!$A:$R,6,FALSE)&amp;" "&amp;VLOOKUP($I769,'Pricing Table - eff 27-Jan-2026'!$A:$R,7,FALSE)&amp;""" x "&amp;VLOOKUP($I769,'Pricing Table - eff 27-Jan-2026'!$A:$R,9,FALSE)&amp;""" "&amp;VLOOKUP($I769,'Pricing Table - eff 27-Jan-2026'!$A:$R,5,FALSE)</f>
        <v>#N/A</v>
      </c>
      <c r="L769" s="55" t="e">
        <f>VLOOKUP($I769,'Pricing Table - eff 27-Jan-2026'!$A:$K,8,FALSE)</f>
        <v>#N/A</v>
      </c>
      <c r="M769" s="55" t="e">
        <f>VLOOKUP($I769,'Pricing Table - eff 27-Jan-2026'!$A:$K,10,FALSE)</f>
        <v>#N/A</v>
      </c>
      <c r="N769" s="55" t="e">
        <f>VLOOKUP($I769,'Pricing Table - eff 27-Jan-2026'!$A:$R,13,FALSE)&amp;" "&amp;VLOOKUP($I769,'Pricing Table - eff 27-Jan-2026'!$A:$R,12,FALSE)</f>
        <v>#N/A</v>
      </c>
      <c r="O769" s="56"/>
      <c r="P769" s="55" t="e">
        <f>(VLOOKUP($I769,'Pricing Table - eff 27-Jan-2026'!$A:$R,8,FALSE)/1000)*(VLOOKUP($I769,'Pricing Table - eff 27-Jan-2026'!$A:$R,10,FALSE)/1000)*Q769</f>
        <v>#N/A</v>
      </c>
      <c r="Q769" s="55" t="e">
        <f>ROUND(('Order Details'!$O769*1000)/((VLOOKUP($I769,'Pricing Table - eff 27-Jan-2026'!$A:$Q,7,FALSE)/12)*(VLOOKUP($I769,'Pricing Table - eff 27-Jan-2026'!$A:$Q,9,FALSE)/12))/5,0)*5</f>
        <v>#N/A</v>
      </c>
      <c r="R769" s="71" t="e">
        <f>$Q769/IFERROR(VLOOKUP($F769&amp;RIGHT($K769,8),'Master Data'!$O$5:$P$10,2,FALSE),'Master Data'!$P$4)</f>
        <v>#N/A</v>
      </c>
      <c r="S769" s="57" t="e">
        <f>VLOOKUP($I769,'Pricing Table - eff 27-Jan-2026'!$A:$Q,16,FALSE)</f>
        <v>#N/A</v>
      </c>
      <c r="T769" s="57" t="e">
        <f>VLOOKUP(I769,'Pricing Table - eff 27-Jan-2026'!$A:$O,15,FALSE)</f>
        <v>#N/A</v>
      </c>
      <c r="U769" s="57" t="e">
        <f t="shared" si="33"/>
        <v>#N/A</v>
      </c>
      <c r="V769" s="111" t="e">
        <f t="shared" si="34"/>
        <v>#N/A</v>
      </c>
      <c r="W769" s="55" t="e">
        <f>VLOOKUP($I769,'Pricing Table - eff 27-Jan-2026'!$A:$R,18,FALSE)</f>
        <v>#N/A</v>
      </c>
    </row>
    <row r="770" spans="1:23" hidden="1" x14ac:dyDescent="0.3">
      <c r="A770" s="55"/>
      <c r="B770" s="55"/>
      <c r="C770" s="55">
        <f>VLOOKUP(A770&amp;"-"&amp;B770,'Order Summary'!$D:$E,2,FALSE)</f>
        <v>0</v>
      </c>
      <c r="D770" s="216" t="str">
        <f>IF($A770="","",VLOOKUP($A770&amp;"-"&amp;$B770,'Order Summary'!$D:$U,3,FALSE))</f>
        <v/>
      </c>
      <c r="E770" s="55" t="str">
        <f>VLOOKUP(A770&amp;"-"&amp;B770,'Order Summary'!$D:$G,4,FALSE)</f>
        <v>Yes</v>
      </c>
      <c r="F770" s="55" t="e">
        <f>VLOOKUP($A770,'Order Summary'!$B:$I,8,FALSE)</f>
        <v>#N/A</v>
      </c>
      <c r="G770" s="216" t="str">
        <f>IF($A770="","",VLOOKUP($A770&amp;"-"&amp;$B770,'Order Summary'!$D:$U,18,FALSE))</f>
        <v/>
      </c>
      <c r="H770" s="55"/>
      <c r="I770" s="55"/>
      <c r="J770" s="55" t="e">
        <f>VLOOKUP($I770,'Pricing Table - eff 27-Jan-2026'!$A:$R,2,FALSE)</f>
        <v>#N/A</v>
      </c>
      <c r="K770" s="55" t="e">
        <f>VLOOKUP($I770,'Pricing Table - eff 27-Jan-2026'!$A:$R,6,FALSE)&amp;" "&amp;VLOOKUP($I770,'Pricing Table - eff 27-Jan-2026'!$A:$R,7,FALSE)&amp;""" x "&amp;VLOOKUP($I770,'Pricing Table - eff 27-Jan-2026'!$A:$R,9,FALSE)&amp;""" "&amp;VLOOKUP($I770,'Pricing Table - eff 27-Jan-2026'!$A:$R,5,FALSE)</f>
        <v>#N/A</v>
      </c>
      <c r="L770" s="55" t="e">
        <f>VLOOKUP($I770,'Pricing Table - eff 27-Jan-2026'!$A:$K,8,FALSE)</f>
        <v>#N/A</v>
      </c>
      <c r="M770" s="55" t="e">
        <f>VLOOKUP($I770,'Pricing Table - eff 27-Jan-2026'!$A:$K,10,FALSE)</f>
        <v>#N/A</v>
      </c>
      <c r="N770" s="55" t="e">
        <f>VLOOKUP($I770,'Pricing Table - eff 27-Jan-2026'!$A:$R,13,FALSE)&amp;" "&amp;VLOOKUP($I770,'Pricing Table - eff 27-Jan-2026'!$A:$R,12,FALSE)</f>
        <v>#N/A</v>
      </c>
      <c r="O770" s="56"/>
      <c r="P770" s="55" t="e">
        <f>(VLOOKUP($I770,'Pricing Table - eff 27-Jan-2026'!$A:$R,8,FALSE)/1000)*(VLOOKUP($I770,'Pricing Table - eff 27-Jan-2026'!$A:$R,10,FALSE)/1000)*Q770</f>
        <v>#N/A</v>
      </c>
      <c r="Q770" s="55" t="e">
        <f>ROUND(('Order Details'!$O770*1000)/((VLOOKUP($I770,'Pricing Table - eff 27-Jan-2026'!$A:$Q,7,FALSE)/12)*(VLOOKUP($I770,'Pricing Table - eff 27-Jan-2026'!$A:$Q,9,FALSE)/12))/5,0)*5</f>
        <v>#N/A</v>
      </c>
      <c r="R770" s="71" t="e">
        <f>$Q770/IFERROR(VLOOKUP($F770&amp;RIGHT($K770,8),'Master Data'!$O$5:$P$10,2,FALSE),'Master Data'!$P$4)</f>
        <v>#N/A</v>
      </c>
      <c r="S770" s="57" t="e">
        <f>VLOOKUP($I770,'Pricing Table - eff 27-Jan-2026'!$A:$Q,16,FALSE)</f>
        <v>#N/A</v>
      </c>
      <c r="T770" s="57" t="e">
        <f>VLOOKUP(I770,'Pricing Table - eff 27-Jan-2026'!$A:$O,15,FALSE)</f>
        <v>#N/A</v>
      </c>
      <c r="U770" s="57" t="e">
        <f t="shared" si="33"/>
        <v>#N/A</v>
      </c>
      <c r="V770" s="111" t="e">
        <f t="shared" si="34"/>
        <v>#N/A</v>
      </c>
      <c r="W770" s="55" t="e">
        <f>VLOOKUP($I770,'Pricing Table - eff 27-Jan-2026'!$A:$R,18,FALSE)</f>
        <v>#N/A</v>
      </c>
    </row>
    <row r="771" spans="1:23" hidden="1" x14ac:dyDescent="0.3">
      <c r="A771" s="55"/>
      <c r="B771" s="55"/>
      <c r="C771" s="55">
        <f>VLOOKUP(A771&amp;"-"&amp;B771,'Order Summary'!$D:$E,2,FALSE)</f>
        <v>0</v>
      </c>
      <c r="D771" s="216" t="str">
        <f>IF($A771="","",VLOOKUP($A771&amp;"-"&amp;$B771,'Order Summary'!$D:$U,3,FALSE))</f>
        <v/>
      </c>
      <c r="E771" s="55" t="str">
        <f>VLOOKUP(A771&amp;"-"&amp;B771,'Order Summary'!$D:$G,4,FALSE)</f>
        <v>Yes</v>
      </c>
      <c r="F771" s="55" t="e">
        <f>VLOOKUP($A771,'Order Summary'!$B:$I,8,FALSE)</f>
        <v>#N/A</v>
      </c>
      <c r="G771" s="216" t="str">
        <f>IF($A771="","",VLOOKUP($A771&amp;"-"&amp;$B771,'Order Summary'!$D:$U,18,FALSE))</f>
        <v/>
      </c>
      <c r="H771" s="55"/>
      <c r="I771" s="55"/>
      <c r="J771" s="55" t="e">
        <f>VLOOKUP($I771,'Pricing Table - eff 27-Jan-2026'!$A:$R,2,FALSE)</f>
        <v>#N/A</v>
      </c>
      <c r="K771" s="55" t="e">
        <f>VLOOKUP($I771,'Pricing Table - eff 27-Jan-2026'!$A:$R,6,FALSE)&amp;" "&amp;VLOOKUP($I771,'Pricing Table - eff 27-Jan-2026'!$A:$R,7,FALSE)&amp;""" x "&amp;VLOOKUP($I771,'Pricing Table - eff 27-Jan-2026'!$A:$R,9,FALSE)&amp;""" "&amp;VLOOKUP($I771,'Pricing Table - eff 27-Jan-2026'!$A:$R,5,FALSE)</f>
        <v>#N/A</v>
      </c>
      <c r="L771" s="55" t="e">
        <f>VLOOKUP($I771,'Pricing Table - eff 27-Jan-2026'!$A:$K,8,FALSE)</f>
        <v>#N/A</v>
      </c>
      <c r="M771" s="55" t="e">
        <f>VLOOKUP($I771,'Pricing Table - eff 27-Jan-2026'!$A:$K,10,FALSE)</f>
        <v>#N/A</v>
      </c>
      <c r="N771" s="55" t="e">
        <f>VLOOKUP($I771,'Pricing Table - eff 27-Jan-2026'!$A:$R,13,FALSE)&amp;" "&amp;VLOOKUP($I771,'Pricing Table - eff 27-Jan-2026'!$A:$R,12,FALSE)</f>
        <v>#N/A</v>
      </c>
      <c r="O771" s="56"/>
      <c r="P771" s="55" t="e">
        <f>(VLOOKUP($I771,'Pricing Table - eff 27-Jan-2026'!$A:$R,8,FALSE)/1000)*(VLOOKUP($I771,'Pricing Table - eff 27-Jan-2026'!$A:$R,10,FALSE)/1000)*Q771</f>
        <v>#N/A</v>
      </c>
      <c r="Q771" s="55" t="e">
        <f>ROUND(('Order Details'!$O771*1000)/((VLOOKUP($I771,'Pricing Table - eff 27-Jan-2026'!$A:$Q,7,FALSE)/12)*(VLOOKUP($I771,'Pricing Table - eff 27-Jan-2026'!$A:$Q,9,FALSE)/12))/5,0)*5</f>
        <v>#N/A</v>
      </c>
      <c r="R771" s="71" t="e">
        <f>$Q771/IFERROR(VLOOKUP($F771&amp;RIGHT($K771,8),'Master Data'!$O$5:$P$10,2,FALSE),'Master Data'!$P$4)</f>
        <v>#N/A</v>
      </c>
      <c r="S771" s="57" t="e">
        <f>VLOOKUP($I771,'Pricing Table - eff 27-Jan-2026'!$A:$Q,16,FALSE)</f>
        <v>#N/A</v>
      </c>
      <c r="T771" s="57" t="e">
        <f>VLOOKUP(I771,'Pricing Table - eff 27-Jan-2026'!$A:$O,15,FALSE)</f>
        <v>#N/A</v>
      </c>
      <c r="U771" s="57" t="e">
        <f t="shared" si="33"/>
        <v>#N/A</v>
      </c>
      <c r="V771" s="111" t="e">
        <f t="shared" si="34"/>
        <v>#N/A</v>
      </c>
      <c r="W771" s="55" t="e">
        <f>VLOOKUP($I771,'Pricing Table - eff 27-Jan-2026'!$A:$R,18,FALSE)</f>
        <v>#N/A</v>
      </c>
    </row>
    <row r="772" spans="1:23" hidden="1" x14ac:dyDescent="0.3">
      <c r="A772" s="55"/>
      <c r="B772" s="55"/>
      <c r="C772" s="55">
        <f>VLOOKUP(A772&amp;"-"&amp;B772,'Order Summary'!$D:$E,2,FALSE)</f>
        <v>0</v>
      </c>
      <c r="D772" s="216" t="str">
        <f>IF($A772="","",VLOOKUP($A772&amp;"-"&amp;$B772,'Order Summary'!$D:$U,3,FALSE))</f>
        <v/>
      </c>
      <c r="E772" s="55" t="str">
        <f>VLOOKUP(A772&amp;"-"&amp;B772,'Order Summary'!$D:$G,4,FALSE)</f>
        <v>Yes</v>
      </c>
      <c r="F772" s="55" t="e">
        <f>VLOOKUP($A772,'Order Summary'!$B:$I,8,FALSE)</f>
        <v>#N/A</v>
      </c>
      <c r="G772" s="216" t="str">
        <f>IF($A772="","",VLOOKUP($A772&amp;"-"&amp;$B772,'Order Summary'!$D:$U,18,FALSE))</f>
        <v/>
      </c>
      <c r="H772" s="55"/>
      <c r="I772" s="55"/>
      <c r="J772" s="55" t="e">
        <f>VLOOKUP($I772,'Pricing Table - eff 27-Jan-2026'!$A:$R,2,FALSE)</f>
        <v>#N/A</v>
      </c>
      <c r="K772" s="55" t="e">
        <f>VLOOKUP($I772,'Pricing Table - eff 27-Jan-2026'!$A:$R,6,FALSE)&amp;" "&amp;VLOOKUP($I772,'Pricing Table - eff 27-Jan-2026'!$A:$R,7,FALSE)&amp;""" x "&amp;VLOOKUP($I772,'Pricing Table - eff 27-Jan-2026'!$A:$R,9,FALSE)&amp;""" "&amp;VLOOKUP($I772,'Pricing Table - eff 27-Jan-2026'!$A:$R,5,FALSE)</f>
        <v>#N/A</v>
      </c>
      <c r="L772" s="55" t="e">
        <f>VLOOKUP($I772,'Pricing Table - eff 27-Jan-2026'!$A:$K,8,FALSE)</f>
        <v>#N/A</v>
      </c>
      <c r="M772" s="55" t="e">
        <f>VLOOKUP($I772,'Pricing Table - eff 27-Jan-2026'!$A:$K,10,FALSE)</f>
        <v>#N/A</v>
      </c>
      <c r="N772" s="55" t="e">
        <f>VLOOKUP($I772,'Pricing Table - eff 27-Jan-2026'!$A:$R,13,FALSE)&amp;" "&amp;VLOOKUP($I772,'Pricing Table - eff 27-Jan-2026'!$A:$R,12,FALSE)</f>
        <v>#N/A</v>
      </c>
      <c r="O772" s="56"/>
      <c r="P772" s="55" t="e">
        <f>(VLOOKUP($I772,'Pricing Table - eff 27-Jan-2026'!$A:$R,8,FALSE)/1000)*(VLOOKUP($I772,'Pricing Table - eff 27-Jan-2026'!$A:$R,10,FALSE)/1000)*Q772</f>
        <v>#N/A</v>
      </c>
      <c r="Q772" s="55" t="e">
        <f>ROUND(('Order Details'!$O772*1000)/((VLOOKUP($I772,'Pricing Table - eff 27-Jan-2026'!$A:$Q,7,FALSE)/12)*(VLOOKUP($I772,'Pricing Table - eff 27-Jan-2026'!$A:$Q,9,FALSE)/12))/5,0)*5</f>
        <v>#N/A</v>
      </c>
      <c r="R772" s="71" t="e">
        <f>$Q772/IFERROR(VLOOKUP($F772&amp;RIGHT($K772,8),'Master Data'!$O$5:$P$10,2,FALSE),'Master Data'!$P$4)</f>
        <v>#N/A</v>
      </c>
      <c r="S772" s="57" t="e">
        <f>VLOOKUP($I772,'Pricing Table - eff 27-Jan-2026'!$A:$Q,16,FALSE)</f>
        <v>#N/A</v>
      </c>
      <c r="T772" s="57" t="e">
        <f>VLOOKUP(I772,'Pricing Table - eff 27-Jan-2026'!$A:$O,15,FALSE)</f>
        <v>#N/A</v>
      </c>
      <c r="U772" s="57" t="e">
        <f t="shared" si="33"/>
        <v>#N/A</v>
      </c>
      <c r="V772" s="111" t="e">
        <f t="shared" si="34"/>
        <v>#N/A</v>
      </c>
      <c r="W772" s="55" t="e">
        <f>VLOOKUP($I772,'Pricing Table - eff 27-Jan-2026'!$A:$R,18,FALSE)</f>
        <v>#N/A</v>
      </c>
    </row>
    <row r="773" spans="1:23" hidden="1" x14ac:dyDescent="0.3">
      <c r="A773" s="55"/>
      <c r="B773" s="55"/>
      <c r="C773" s="55">
        <f>VLOOKUP(A773&amp;"-"&amp;B773,'Order Summary'!$D:$E,2,FALSE)</f>
        <v>0</v>
      </c>
      <c r="D773" s="216" t="str">
        <f>IF($A773="","",VLOOKUP($A773&amp;"-"&amp;$B773,'Order Summary'!$D:$U,3,FALSE))</f>
        <v/>
      </c>
      <c r="E773" s="55" t="str">
        <f>VLOOKUP(A773&amp;"-"&amp;B773,'Order Summary'!$D:$G,4,FALSE)</f>
        <v>Yes</v>
      </c>
      <c r="F773" s="55" t="e">
        <f>VLOOKUP($A773,'Order Summary'!$B:$I,8,FALSE)</f>
        <v>#N/A</v>
      </c>
      <c r="G773" s="216" t="str">
        <f>IF($A773="","",VLOOKUP($A773&amp;"-"&amp;$B773,'Order Summary'!$D:$U,18,FALSE))</f>
        <v/>
      </c>
      <c r="H773" s="55"/>
      <c r="I773" s="55"/>
      <c r="J773" s="55" t="e">
        <f>VLOOKUP($I773,'Pricing Table - eff 27-Jan-2026'!$A:$R,2,FALSE)</f>
        <v>#N/A</v>
      </c>
      <c r="K773" s="55" t="e">
        <f>VLOOKUP($I773,'Pricing Table - eff 27-Jan-2026'!$A:$R,6,FALSE)&amp;" "&amp;VLOOKUP($I773,'Pricing Table - eff 27-Jan-2026'!$A:$R,7,FALSE)&amp;""" x "&amp;VLOOKUP($I773,'Pricing Table - eff 27-Jan-2026'!$A:$R,9,FALSE)&amp;""" "&amp;VLOOKUP($I773,'Pricing Table - eff 27-Jan-2026'!$A:$R,5,FALSE)</f>
        <v>#N/A</v>
      </c>
      <c r="L773" s="55" t="e">
        <f>VLOOKUP($I773,'Pricing Table - eff 27-Jan-2026'!$A:$K,8,FALSE)</f>
        <v>#N/A</v>
      </c>
      <c r="M773" s="55" t="e">
        <f>VLOOKUP($I773,'Pricing Table - eff 27-Jan-2026'!$A:$K,10,FALSE)</f>
        <v>#N/A</v>
      </c>
      <c r="N773" s="55" t="e">
        <f>VLOOKUP($I773,'Pricing Table - eff 27-Jan-2026'!$A:$R,13,FALSE)&amp;" "&amp;VLOOKUP($I773,'Pricing Table - eff 27-Jan-2026'!$A:$R,12,FALSE)</f>
        <v>#N/A</v>
      </c>
      <c r="O773" s="56"/>
      <c r="P773" s="55" t="e">
        <f>(VLOOKUP($I773,'Pricing Table - eff 27-Jan-2026'!$A:$R,8,FALSE)/1000)*(VLOOKUP($I773,'Pricing Table - eff 27-Jan-2026'!$A:$R,10,FALSE)/1000)*Q773</f>
        <v>#N/A</v>
      </c>
      <c r="Q773" s="55" t="e">
        <f>ROUND(('Order Details'!$O773*1000)/((VLOOKUP($I773,'Pricing Table - eff 27-Jan-2026'!$A:$Q,7,FALSE)/12)*(VLOOKUP($I773,'Pricing Table - eff 27-Jan-2026'!$A:$Q,9,FALSE)/12))/5,0)*5</f>
        <v>#N/A</v>
      </c>
      <c r="R773" s="71" t="e">
        <f>$Q773/IFERROR(VLOOKUP($F773&amp;RIGHT($K773,8),'Master Data'!$O$5:$P$10,2,FALSE),'Master Data'!$P$4)</f>
        <v>#N/A</v>
      </c>
      <c r="S773" s="57" t="e">
        <f>VLOOKUP($I773,'Pricing Table - eff 27-Jan-2026'!$A:$Q,16,FALSE)</f>
        <v>#N/A</v>
      </c>
      <c r="T773" s="57" t="e">
        <f>VLOOKUP(I773,'Pricing Table - eff 27-Jan-2026'!$A:$O,15,FALSE)</f>
        <v>#N/A</v>
      </c>
      <c r="U773" s="57" t="e">
        <f t="shared" si="33"/>
        <v>#N/A</v>
      </c>
      <c r="V773" s="111" t="e">
        <f t="shared" si="34"/>
        <v>#N/A</v>
      </c>
      <c r="W773" s="55" t="e">
        <f>VLOOKUP($I773,'Pricing Table - eff 27-Jan-2026'!$A:$R,18,FALSE)</f>
        <v>#N/A</v>
      </c>
    </row>
    <row r="774" spans="1:23" hidden="1" x14ac:dyDescent="0.3">
      <c r="A774" s="55"/>
      <c r="B774" s="55"/>
      <c r="C774" s="55">
        <f>VLOOKUP(A774&amp;"-"&amp;B774,'Order Summary'!$D:$E,2,FALSE)</f>
        <v>0</v>
      </c>
      <c r="D774" s="216" t="str">
        <f>IF($A774="","",VLOOKUP($A774&amp;"-"&amp;$B774,'Order Summary'!$D:$U,3,FALSE))</f>
        <v/>
      </c>
      <c r="E774" s="55" t="str">
        <f>VLOOKUP(A774&amp;"-"&amp;B774,'Order Summary'!$D:$G,4,FALSE)</f>
        <v>Yes</v>
      </c>
      <c r="F774" s="55" t="e">
        <f>VLOOKUP($A774,'Order Summary'!$B:$I,8,FALSE)</f>
        <v>#N/A</v>
      </c>
      <c r="G774" s="216" t="str">
        <f>IF($A774="","",VLOOKUP($A774&amp;"-"&amp;$B774,'Order Summary'!$D:$U,18,FALSE))</f>
        <v/>
      </c>
      <c r="H774" s="55"/>
      <c r="I774" s="55"/>
      <c r="J774" s="55" t="e">
        <f>VLOOKUP($I774,'Pricing Table - eff 27-Jan-2026'!$A:$R,2,FALSE)</f>
        <v>#N/A</v>
      </c>
      <c r="K774" s="55" t="e">
        <f>VLOOKUP($I774,'Pricing Table - eff 27-Jan-2026'!$A:$R,6,FALSE)&amp;" "&amp;VLOOKUP($I774,'Pricing Table - eff 27-Jan-2026'!$A:$R,7,FALSE)&amp;""" x "&amp;VLOOKUP($I774,'Pricing Table - eff 27-Jan-2026'!$A:$R,9,FALSE)&amp;""" "&amp;VLOOKUP($I774,'Pricing Table - eff 27-Jan-2026'!$A:$R,5,FALSE)</f>
        <v>#N/A</v>
      </c>
      <c r="L774" s="55" t="e">
        <f>VLOOKUP($I774,'Pricing Table - eff 27-Jan-2026'!$A:$K,8,FALSE)</f>
        <v>#N/A</v>
      </c>
      <c r="M774" s="55" t="e">
        <f>VLOOKUP($I774,'Pricing Table - eff 27-Jan-2026'!$A:$K,10,FALSE)</f>
        <v>#N/A</v>
      </c>
      <c r="N774" s="55" t="e">
        <f>VLOOKUP($I774,'Pricing Table - eff 27-Jan-2026'!$A:$R,13,FALSE)&amp;" "&amp;VLOOKUP($I774,'Pricing Table - eff 27-Jan-2026'!$A:$R,12,FALSE)</f>
        <v>#N/A</v>
      </c>
      <c r="O774" s="56"/>
      <c r="P774" s="55" t="e">
        <f>(VLOOKUP($I774,'Pricing Table - eff 27-Jan-2026'!$A:$R,8,FALSE)/1000)*(VLOOKUP($I774,'Pricing Table - eff 27-Jan-2026'!$A:$R,10,FALSE)/1000)*Q774</f>
        <v>#N/A</v>
      </c>
      <c r="Q774" s="55" t="e">
        <f>ROUND(('Order Details'!$O774*1000)/((VLOOKUP($I774,'Pricing Table - eff 27-Jan-2026'!$A:$Q,7,FALSE)/12)*(VLOOKUP($I774,'Pricing Table - eff 27-Jan-2026'!$A:$Q,9,FALSE)/12))/5,0)*5</f>
        <v>#N/A</v>
      </c>
      <c r="R774" s="71" t="e">
        <f>$Q774/IFERROR(VLOOKUP($F774&amp;RIGHT($K774,8),'Master Data'!$O$5:$P$10,2,FALSE),'Master Data'!$P$4)</f>
        <v>#N/A</v>
      </c>
      <c r="S774" s="57" t="e">
        <f>VLOOKUP($I774,'Pricing Table - eff 27-Jan-2026'!$A:$Q,16,FALSE)</f>
        <v>#N/A</v>
      </c>
      <c r="T774" s="57" t="e">
        <f>VLOOKUP(I774,'Pricing Table - eff 27-Jan-2026'!$A:$O,15,FALSE)</f>
        <v>#N/A</v>
      </c>
      <c r="U774" s="57" t="e">
        <f t="shared" si="33"/>
        <v>#N/A</v>
      </c>
      <c r="V774" s="111" t="e">
        <f t="shared" si="34"/>
        <v>#N/A</v>
      </c>
      <c r="W774" s="55" t="e">
        <f>VLOOKUP($I774,'Pricing Table - eff 27-Jan-2026'!$A:$R,18,FALSE)</f>
        <v>#N/A</v>
      </c>
    </row>
    <row r="775" spans="1:23" hidden="1" x14ac:dyDescent="0.3">
      <c r="A775" s="55"/>
      <c r="B775" s="55"/>
      <c r="C775" s="55">
        <f>VLOOKUP(A775&amp;"-"&amp;B775,'Order Summary'!$D:$E,2,FALSE)</f>
        <v>0</v>
      </c>
      <c r="D775" s="216" t="str">
        <f>IF($A775="","",VLOOKUP($A775&amp;"-"&amp;$B775,'Order Summary'!$D:$U,3,FALSE))</f>
        <v/>
      </c>
      <c r="E775" s="55" t="str">
        <f>VLOOKUP(A775&amp;"-"&amp;B775,'Order Summary'!$D:$G,4,FALSE)</f>
        <v>Yes</v>
      </c>
      <c r="F775" s="55" t="e">
        <f>VLOOKUP($A775,'Order Summary'!$B:$I,8,FALSE)</f>
        <v>#N/A</v>
      </c>
      <c r="G775" s="216" t="str">
        <f>IF($A775="","",VLOOKUP($A775&amp;"-"&amp;$B775,'Order Summary'!$D:$U,18,FALSE))</f>
        <v/>
      </c>
      <c r="H775" s="55"/>
      <c r="I775" s="55"/>
      <c r="J775" s="55" t="e">
        <f>VLOOKUP($I775,'Pricing Table - eff 27-Jan-2026'!$A:$R,2,FALSE)</f>
        <v>#N/A</v>
      </c>
      <c r="K775" s="55" t="e">
        <f>VLOOKUP($I775,'Pricing Table - eff 27-Jan-2026'!$A:$R,6,FALSE)&amp;" "&amp;VLOOKUP($I775,'Pricing Table - eff 27-Jan-2026'!$A:$R,7,FALSE)&amp;""" x "&amp;VLOOKUP($I775,'Pricing Table - eff 27-Jan-2026'!$A:$R,9,FALSE)&amp;""" "&amp;VLOOKUP($I775,'Pricing Table - eff 27-Jan-2026'!$A:$R,5,FALSE)</f>
        <v>#N/A</v>
      </c>
      <c r="L775" s="55" t="e">
        <f>VLOOKUP($I775,'Pricing Table - eff 27-Jan-2026'!$A:$K,8,FALSE)</f>
        <v>#N/A</v>
      </c>
      <c r="M775" s="55" t="e">
        <f>VLOOKUP($I775,'Pricing Table - eff 27-Jan-2026'!$A:$K,10,FALSE)</f>
        <v>#N/A</v>
      </c>
      <c r="N775" s="55" t="e">
        <f>VLOOKUP($I775,'Pricing Table - eff 27-Jan-2026'!$A:$R,13,FALSE)&amp;" "&amp;VLOOKUP($I775,'Pricing Table - eff 27-Jan-2026'!$A:$R,12,FALSE)</f>
        <v>#N/A</v>
      </c>
      <c r="O775" s="56"/>
      <c r="P775" s="55" t="e">
        <f>(VLOOKUP($I775,'Pricing Table - eff 27-Jan-2026'!$A:$R,8,FALSE)/1000)*(VLOOKUP($I775,'Pricing Table - eff 27-Jan-2026'!$A:$R,10,FALSE)/1000)*Q775</f>
        <v>#N/A</v>
      </c>
      <c r="Q775" s="55" t="e">
        <f>ROUND(('Order Details'!$O775*1000)/((VLOOKUP($I775,'Pricing Table - eff 27-Jan-2026'!$A:$Q,7,FALSE)/12)*(VLOOKUP($I775,'Pricing Table - eff 27-Jan-2026'!$A:$Q,9,FALSE)/12))/5,0)*5</f>
        <v>#N/A</v>
      </c>
      <c r="R775" s="71" t="e">
        <f>$Q775/IFERROR(VLOOKUP($F775&amp;RIGHT($K775,8),'Master Data'!$O$5:$P$10,2,FALSE),'Master Data'!$P$4)</f>
        <v>#N/A</v>
      </c>
      <c r="S775" s="57" t="e">
        <f>VLOOKUP($I775,'Pricing Table - eff 27-Jan-2026'!$A:$Q,16,FALSE)</f>
        <v>#N/A</v>
      </c>
      <c r="T775" s="57" t="e">
        <f>VLOOKUP(I775,'Pricing Table - eff 27-Jan-2026'!$A:$O,15,FALSE)</f>
        <v>#N/A</v>
      </c>
      <c r="U775" s="57" t="e">
        <f t="shared" si="33"/>
        <v>#N/A</v>
      </c>
      <c r="V775" s="111" t="e">
        <f t="shared" si="34"/>
        <v>#N/A</v>
      </c>
      <c r="W775" s="55" t="e">
        <f>VLOOKUP($I775,'Pricing Table - eff 27-Jan-2026'!$A:$R,18,FALSE)</f>
        <v>#N/A</v>
      </c>
    </row>
    <row r="776" spans="1:23" hidden="1" x14ac:dyDescent="0.3">
      <c r="A776" s="55"/>
      <c r="B776" s="55"/>
      <c r="C776" s="55">
        <f>VLOOKUP(A776&amp;"-"&amp;B776,'Order Summary'!$D:$E,2,FALSE)</f>
        <v>0</v>
      </c>
      <c r="D776" s="216" t="str">
        <f>IF($A776="","",VLOOKUP($A776&amp;"-"&amp;$B776,'Order Summary'!$D:$U,3,FALSE))</f>
        <v/>
      </c>
      <c r="E776" s="55" t="str">
        <f>VLOOKUP(A776&amp;"-"&amp;B776,'Order Summary'!$D:$G,4,FALSE)</f>
        <v>Yes</v>
      </c>
      <c r="F776" s="55" t="e">
        <f>VLOOKUP($A776,'Order Summary'!$B:$I,8,FALSE)</f>
        <v>#N/A</v>
      </c>
      <c r="G776" s="216" t="str">
        <f>IF($A776="","",VLOOKUP($A776&amp;"-"&amp;$B776,'Order Summary'!$D:$U,18,FALSE))</f>
        <v/>
      </c>
      <c r="H776" s="55"/>
      <c r="I776" s="55"/>
      <c r="J776" s="55" t="e">
        <f>VLOOKUP($I776,'Pricing Table - eff 27-Jan-2026'!$A:$R,2,FALSE)</f>
        <v>#N/A</v>
      </c>
      <c r="K776" s="55" t="e">
        <f>VLOOKUP($I776,'Pricing Table - eff 27-Jan-2026'!$A:$R,6,FALSE)&amp;" "&amp;VLOOKUP($I776,'Pricing Table - eff 27-Jan-2026'!$A:$R,7,FALSE)&amp;""" x "&amp;VLOOKUP($I776,'Pricing Table - eff 27-Jan-2026'!$A:$R,9,FALSE)&amp;""" "&amp;VLOOKUP($I776,'Pricing Table - eff 27-Jan-2026'!$A:$R,5,FALSE)</f>
        <v>#N/A</v>
      </c>
      <c r="L776" s="55" t="e">
        <f>VLOOKUP($I776,'Pricing Table - eff 27-Jan-2026'!$A:$K,8,FALSE)</f>
        <v>#N/A</v>
      </c>
      <c r="M776" s="55" t="e">
        <f>VLOOKUP($I776,'Pricing Table - eff 27-Jan-2026'!$A:$K,10,FALSE)</f>
        <v>#N/A</v>
      </c>
      <c r="N776" s="55" t="e">
        <f>VLOOKUP($I776,'Pricing Table - eff 27-Jan-2026'!$A:$R,13,FALSE)&amp;" "&amp;VLOOKUP($I776,'Pricing Table - eff 27-Jan-2026'!$A:$R,12,FALSE)</f>
        <v>#N/A</v>
      </c>
      <c r="O776" s="56"/>
      <c r="P776" s="55" t="e">
        <f>(VLOOKUP($I776,'Pricing Table - eff 27-Jan-2026'!$A:$R,8,FALSE)/1000)*(VLOOKUP($I776,'Pricing Table - eff 27-Jan-2026'!$A:$R,10,FALSE)/1000)*Q776</f>
        <v>#N/A</v>
      </c>
      <c r="Q776" s="55" t="e">
        <f>ROUND(('Order Details'!$O776*1000)/((VLOOKUP($I776,'Pricing Table - eff 27-Jan-2026'!$A:$Q,7,FALSE)/12)*(VLOOKUP($I776,'Pricing Table - eff 27-Jan-2026'!$A:$Q,9,FALSE)/12))/5,0)*5</f>
        <v>#N/A</v>
      </c>
      <c r="R776" s="71" t="e">
        <f>$Q776/IFERROR(VLOOKUP($F776&amp;RIGHT($K776,8),'Master Data'!$O$5:$P$10,2,FALSE),'Master Data'!$P$4)</f>
        <v>#N/A</v>
      </c>
      <c r="S776" s="57" t="e">
        <f>VLOOKUP($I776,'Pricing Table - eff 27-Jan-2026'!$A:$Q,16,FALSE)</f>
        <v>#N/A</v>
      </c>
      <c r="T776" s="57" t="e">
        <f>VLOOKUP(I776,'Pricing Table - eff 27-Jan-2026'!$A:$O,15,FALSE)</f>
        <v>#N/A</v>
      </c>
      <c r="U776" s="57" t="e">
        <f t="shared" si="33"/>
        <v>#N/A</v>
      </c>
      <c r="V776" s="111" t="e">
        <f t="shared" si="34"/>
        <v>#N/A</v>
      </c>
      <c r="W776" s="55" t="e">
        <f>VLOOKUP($I776,'Pricing Table - eff 27-Jan-2026'!$A:$R,18,FALSE)</f>
        <v>#N/A</v>
      </c>
    </row>
    <row r="777" spans="1:23" hidden="1" x14ac:dyDescent="0.3">
      <c r="A777" s="55"/>
      <c r="B777" s="55"/>
      <c r="C777" s="55">
        <f>VLOOKUP(A777&amp;"-"&amp;B777,'Order Summary'!$D:$E,2,FALSE)</f>
        <v>0</v>
      </c>
      <c r="D777" s="216" t="str">
        <f>IF($A777="","",VLOOKUP($A777&amp;"-"&amp;$B777,'Order Summary'!$D:$U,3,FALSE))</f>
        <v/>
      </c>
      <c r="E777" s="55" t="str">
        <f>VLOOKUP(A777&amp;"-"&amp;B777,'Order Summary'!$D:$G,4,FALSE)</f>
        <v>Yes</v>
      </c>
      <c r="F777" s="55" t="e">
        <f>VLOOKUP($A777,'Order Summary'!$B:$I,8,FALSE)</f>
        <v>#N/A</v>
      </c>
      <c r="G777" s="216" t="str">
        <f>IF($A777="","",VLOOKUP($A777&amp;"-"&amp;$B777,'Order Summary'!$D:$U,18,FALSE))</f>
        <v/>
      </c>
      <c r="H777" s="55"/>
      <c r="I777" s="55"/>
      <c r="J777" s="55" t="e">
        <f>VLOOKUP($I777,'Pricing Table - eff 27-Jan-2026'!$A:$R,2,FALSE)</f>
        <v>#N/A</v>
      </c>
      <c r="K777" s="55" t="e">
        <f>VLOOKUP($I777,'Pricing Table - eff 27-Jan-2026'!$A:$R,6,FALSE)&amp;" "&amp;VLOOKUP($I777,'Pricing Table - eff 27-Jan-2026'!$A:$R,7,FALSE)&amp;""" x "&amp;VLOOKUP($I777,'Pricing Table - eff 27-Jan-2026'!$A:$R,9,FALSE)&amp;""" "&amp;VLOOKUP($I777,'Pricing Table - eff 27-Jan-2026'!$A:$R,5,FALSE)</f>
        <v>#N/A</v>
      </c>
      <c r="L777" s="55" t="e">
        <f>VLOOKUP($I777,'Pricing Table - eff 27-Jan-2026'!$A:$K,8,FALSE)</f>
        <v>#N/A</v>
      </c>
      <c r="M777" s="55" t="e">
        <f>VLOOKUP($I777,'Pricing Table - eff 27-Jan-2026'!$A:$K,10,FALSE)</f>
        <v>#N/A</v>
      </c>
      <c r="N777" s="55" t="e">
        <f>VLOOKUP($I777,'Pricing Table - eff 27-Jan-2026'!$A:$R,13,FALSE)&amp;" "&amp;VLOOKUP($I777,'Pricing Table - eff 27-Jan-2026'!$A:$R,12,FALSE)</f>
        <v>#N/A</v>
      </c>
      <c r="O777" s="56"/>
      <c r="P777" s="55" t="e">
        <f>(VLOOKUP($I777,'Pricing Table - eff 27-Jan-2026'!$A:$R,8,FALSE)/1000)*(VLOOKUP($I777,'Pricing Table - eff 27-Jan-2026'!$A:$R,10,FALSE)/1000)*Q777</f>
        <v>#N/A</v>
      </c>
      <c r="Q777" s="55" t="e">
        <f>ROUND(('Order Details'!$O777*1000)/((VLOOKUP($I777,'Pricing Table - eff 27-Jan-2026'!$A:$Q,7,FALSE)/12)*(VLOOKUP($I777,'Pricing Table - eff 27-Jan-2026'!$A:$Q,9,FALSE)/12))/5,0)*5</f>
        <v>#N/A</v>
      </c>
      <c r="R777" s="71" t="e">
        <f>$Q777/IFERROR(VLOOKUP($F777&amp;RIGHT($K777,8),'Master Data'!$O$5:$P$10,2,FALSE),'Master Data'!$P$4)</f>
        <v>#N/A</v>
      </c>
      <c r="S777" s="57" t="e">
        <f>VLOOKUP($I777,'Pricing Table - eff 27-Jan-2026'!$A:$Q,16,FALSE)</f>
        <v>#N/A</v>
      </c>
      <c r="T777" s="57" t="e">
        <f>VLOOKUP(I777,'Pricing Table - eff 27-Jan-2026'!$A:$O,15,FALSE)</f>
        <v>#N/A</v>
      </c>
      <c r="U777" s="57" t="e">
        <f t="shared" si="33"/>
        <v>#N/A</v>
      </c>
      <c r="V777" s="111" t="e">
        <f t="shared" si="34"/>
        <v>#N/A</v>
      </c>
      <c r="W777" s="55" t="e">
        <f>VLOOKUP($I777,'Pricing Table - eff 27-Jan-2026'!$A:$R,18,FALSE)</f>
        <v>#N/A</v>
      </c>
    </row>
    <row r="778" spans="1:23" hidden="1" x14ac:dyDescent="0.3">
      <c r="A778" s="55"/>
      <c r="B778" s="55"/>
      <c r="C778" s="55">
        <f>VLOOKUP(A778&amp;"-"&amp;B778,'Order Summary'!$D:$E,2,FALSE)</f>
        <v>0</v>
      </c>
      <c r="D778" s="216" t="str">
        <f>IF($A778="","",VLOOKUP($A778&amp;"-"&amp;$B778,'Order Summary'!$D:$U,3,FALSE))</f>
        <v/>
      </c>
      <c r="E778" s="55" t="str">
        <f>VLOOKUP(A778&amp;"-"&amp;B778,'Order Summary'!$D:$G,4,FALSE)</f>
        <v>Yes</v>
      </c>
      <c r="F778" s="55" t="e">
        <f>VLOOKUP($A778,'Order Summary'!$B:$I,8,FALSE)</f>
        <v>#N/A</v>
      </c>
      <c r="G778" s="216" t="str">
        <f>IF($A778="","",VLOOKUP($A778&amp;"-"&amp;$B778,'Order Summary'!$D:$U,18,FALSE))</f>
        <v/>
      </c>
      <c r="H778" s="55"/>
      <c r="I778" s="55"/>
      <c r="J778" s="55" t="e">
        <f>VLOOKUP($I778,'Pricing Table - eff 27-Jan-2026'!$A:$R,2,FALSE)</f>
        <v>#N/A</v>
      </c>
      <c r="K778" s="55" t="e">
        <f>VLOOKUP($I778,'Pricing Table - eff 27-Jan-2026'!$A:$R,6,FALSE)&amp;" "&amp;VLOOKUP($I778,'Pricing Table - eff 27-Jan-2026'!$A:$R,7,FALSE)&amp;""" x "&amp;VLOOKUP($I778,'Pricing Table - eff 27-Jan-2026'!$A:$R,9,FALSE)&amp;""" "&amp;VLOOKUP($I778,'Pricing Table - eff 27-Jan-2026'!$A:$R,5,FALSE)</f>
        <v>#N/A</v>
      </c>
      <c r="L778" s="55" t="e">
        <f>VLOOKUP($I778,'Pricing Table - eff 27-Jan-2026'!$A:$K,8,FALSE)</f>
        <v>#N/A</v>
      </c>
      <c r="M778" s="55" t="e">
        <f>VLOOKUP($I778,'Pricing Table - eff 27-Jan-2026'!$A:$K,10,FALSE)</f>
        <v>#N/A</v>
      </c>
      <c r="N778" s="55" t="e">
        <f>VLOOKUP($I778,'Pricing Table - eff 27-Jan-2026'!$A:$R,13,FALSE)&amp;" "&amp;VLOOKUP($I778,'Pricing Table - eff 27-Jan-2026'!$A:$R,12,FALSE)</f>
        <v>#N/A</v>
      </c>
      <c r="O778" s="56"/>
      <c r="P778" s="55" t="e">
        <f>(VLOOKUP($I778,'Pricing Table - eff 27-Jan-2026'!$A:$R,8,FALSE)/1000)*(VLOOKUP($I778,'Pricing Table - eff 27-Jan-2026'!$A:$R,10,FALSE)/1000)*Q778</f>
        <v>#N/A</v>
      </c>
      <c r="Q778" s="55" t="e">
        <f>ROUND(('Order Details'!$O778*1000)/((VLOOKUP($I778,'Pricing Table - eff 27-Jan-2026'!$A:$Q,7,FALSE)/12)*(VLOOKUP($I778,'Pricing Table - eff 27-Jan-2026'!$A:$Q,9,FALSE)/12))/5,0)*5</f>
        <v>#N/A</v>
      </c>
      <c r="R778" s="71" t="e">
        <f>$Q778/IFERROR(VLOOKUP($F778&amp;RIGHT($K778,8),'Master Data'!$O$5:$P$10,2,FALSE),'Master Data'!$P$4)</f>
        <v>#N/A</v>
      </c>
      <c r="S778" s="57" t="e">
        <f>VLOOKUP($I778,'Pricing Table - eff 27-Jan-2026'!$A:$Q,16,FALSE)</f>
        <v>#N/A</v>
      </c>
      <c r="T778" s="57" t="e">
        <f>VLOOKUP(I778,'Pricing Table - eff 27-Jan-2026'!$A:$O,15,FALSE)</f>
        <v>#N/A</v>
      </c>
      <c r="U778" s="57" t="e">
        <f t="shared" si="33"/>
        <v>#N/A</v>
      </c>
      <c r="V778" s="111" t="e">
        <f t="shared" si="34"/>
        <v>#N/A</v>
      </c>
      <c r="W778" s="55" t="e">
        <f>VLOOKUP($I778,'Pricing Table - eff 27-Jan-2026'!$A:$R,18,FALSE)</f>
        <v>#N/A</v>
      </c>
    </row>
    <row r="779" spans="1:23" hidden="1" x14ac:dyDescent="0.3">
      <c r="A779" s="55"/>
      <c r="B779" s="55"/>
      <c r="C779" s="55">
        <f>VLOOKUP(A779&amp;"-"&amp;B779,'Order Summary'!$D:$E,2,FALSE)</f>
        <v>0</v>
      </c>
      <c r="D779" s="216" t="str">
        <f>IF($A779="","",VLOOKUP($A779&amp;"-"&amp;$B779,'Order Summary'!$D:$U,3,FALSE))</f>
        <v/>
      </c>
      <c r="E779" s="55" t="str">
        <f>VLOOKUP(A779&amp;"-"&amp;B779,'Order Summary'!$D:$G,4,FALSE)</f>
        <v>Yes</v>
      </c>
      <c r="F779" s="55" t="e">
        <f>VLOOKUP($A779,'Order Summary'!$B:$I,8,FALSE)</f>
        <v>#N/A</v>
      </c>
      <c r="G779" s="216" t="str">
        <f>IF($A779="","",VLOOKUP($A779&amp;"-"&amp;$B779,'Order Summary'!$D:$U,18,FALSE))</f>
        <v/>
      </c>
      <c r="H779" s="55"/>
      <c r="I779" s="55"/>
      <c r="J779" s="55" t="e">
        <f>VLOOKUP($I779,'Pricing Table - eff 27-Jan-2026'!$A:$R,2,FALSE)</f>
        <v>#N/A</v>
      </c>
      <c r="K779" s="55" t="e">
        <f>VLOOKUP($I779,'Pricing Table - eff 27-Jan-2026'!$A:$R,6,FALSE)&amp;" "&amp;VLOOKUP($I779,'Pricing Table - eff 27-Jan-2026'!$A:$R,7,FALSE)&amp;""" x "&amp;VLOOKUP($I779,'Pricing Table - eff 27-Jan-2026'!$A:$R,9,FALSE)&amp;""" "&amp;VLOOKUP($I779,'Pricing Table - eff 27-Jan-2026'!$A:$R,5,FALSE)</f>
        <v>#N/A</v>
      </c>
      <c r="L779" s="55" t="e">
        <f>VLOOKUP($I779,'Pricing Table - eff 27-Jan-2026'!$A:$K,8,FALSE)</f>
        <v>#N/A</v>
      </c>
      <c r="M779" s="55" t="e">
        <f>VLOOKUP($I779,'Pricing Table - eff 27-Jan-2026'!$A:$K,10,FALSE)</f>
        <v>#N/A</v>
      </c>
      <c r="N779" s="55" t="e">
        <f>VLOOKUP($I779,'Pricing Table - eff 27-Jan-2026'!$A:$R,13,FALSE)&amp;" "&amp;VLOOKUP($I779,'Pricing Table - eff 27-Jan-2026'!$A:$R,12,FALSE)</f>
        <v>#N/A</v>
      </c>
      <c r="O779" s="56"/>
      <c r="P779" s="55" t="e">
        <f>(VLOOKUP($I779,'Pricing Table - eff 27-Jan-2026'!$A:$R,8,FALSE)/1000)*(VLOOKUP($I779,'Pricing Table - eff 27-Jan-2026'!$A:$R,10,FALSE)/1000)*Q779</f>
        <v>#N/A</v>
      </c>
      <c r="Q779" s="55" t="e">
        <f>ROUND(('Order Details'!$O779*1000)/((VLOOKUP($I779,'Pricing Table - eff 27-Jan-2026'!$A:$Q,7,FALSE)/12)*(VLOOKUP($I779,'Pricing Table - eff 27-Jan-2026'!$A:$Q,9,FALSE)/12))/5,0)*5</f>
        <v>#N/A</v>
      </c>
      <c r="R779" s="71" t="e">
        <f>$Q779/IFERROR(VLOOKUP($F779&amp;RIGHT($K779,8),'Master Data'!$O$5:$P$10,2,FALSE),'Master Data'!$P$4)</f>
        <v>#N/A</v>
      </c>
      <c r="S779" s="57" t="e">
        <f>VLOOKUP($I779,'Pricing Table - eff 27-Jan-2026'!$A:$Q,16,FALSE)</f>
        <v>#N/A</v>
      </c>
      <c r="T779" s="57" t="e">
        <f>VLOOKUP(I779,'Pricing Table - eff 27-Jan-2026'!$A:$O,15,FALSE)</f>
        <v>#N/A</v>
      </c>
      <c r="U779" s="57" t="e">
        <f t="shared" si="33"/>
        <v>#N/A</v>
      </c>
      <c r="V779" s="111" t="e">
        <f t="shared" si="34"/>
        <v>#N/A</v>
      </c>
      <c r="W779" s="55" t="e">
        <f>VLOOKUP($I779,'Pricing Table - eff 27-Jan-2026'!$A:$R,18,FALSE)</f>
        <v>#N/A</v>
      </c>
    </row>
    <row r="780" spans="1:23" hidden="1" x14ac:dyDescent="0.3">
      <c r="A780" s="55"/>
      <c r="B780" s="55"/>
      <c r="C780" s="55">
        <f>VLOOKUP(A780&amp;"-"&amp;B780,'Order Summary'!$D:$E,2,FALSE)</f>
        <v>0</v>
      </c>
      <c r="D780" s="216" t="str">
        <f>IF($A780="","",VLOOKUP($A780&amp;"-"&amp;$B780,'Order Summary'!$D:$U,3,FALSE))</f>
        <v/>
      </c>
      <c r="E780" s="55" t="str">
        <f>VLOOKUP(A780&amp;"-"&amp;B780,'Order Summary'!$D:$G,4,FALSE)</f>
        <v>Yes</v>
      </c>
      <c r="F780" s="55" t="e">
        <f>VLOOKUP($A780,'Order Summary'!$B:$I,8,FALSE)</f>
        <v>#N/A</v>
      </c>
      <c r="G780" s="216" t="str">
        <f>IF($A780="","",VLOOKUP($A780&amp;"-"&amp;$B780,'Order Summary'!$D:$U,18,FALSE))</f>
        <v/>
      </c>
      <c r="H780" s="55"/>
      <c r="I780" s="55"/>
      <c r="J780" s="55" t="e">
        <f>VLOOKUP($I780,'Pricing Table - eff 27-Jan-2026'!$A:$R,2,FALSE)</f>
        <v>#N/A</v>
      </c>
      <c r="K780" s="55" t="e">
        <f>VLOOKUP($I780,'Pricing Table - eff 27-Jan-2026'!$A:$R,6,FALSE)&amp;" "&amp;VLOOKUP($I780,'Pricing Table - eff 27-Jan-2026'!$A:$R,7,FALSE)&amp;""" x "&amp;VLOOKUP($I780,'Pricing Table - eff 27-Jan-2026'!$A:$R,9,FALSE)&amp;""" "&amp;VLOOKUP($I780,'Pricing Table - eff 27-Jan-2026'!$A:$R,5,FALSE)</f>
        <v>#N/A</v>
      </c>
      <c r="L780" s="55" t="e">
        <f>VLOOKUP($I780,'Pricing Table - eff 27-Jan-2026'!$A:$K,8,FALSE)</f>
        <v>#N/A</v>
      </c>
      <c r="M780" s="55" t="e">
        <f>VLOOKUP($I780,'Pricing Table - eff 27-Jan-2026'!$A:$K,10,FALSE)</f>
        <v>#N/A</v>
      </c>
      <c r="N780" s="55" t="e">
        <f>VLOOKUP($I780,'Pricing Table - eff 27-Jan-2026'!$A:$R,13,FALSE)&amp;" "&amp;VLOOKUP($I780,'Pricing Table - eff 27-Jan-2026'!$A:$R,12,FALSE)</f>
        <v>#N/A</v>
      </c>
      <c r="O780" s="56"/>
      <c r="P780" s="55" t="e">
        <f>(VLOOKUP($I780,'Pricing Table - eff 27-Jan-2026'!$A:$R,8,FALSE)/1000)*(VLOOKUP($I780,'Pricing Table - eff 27-Jan-2026'!$A:$R,10,FALSE)/1000)*Q780</f>
        <v>#N/A</v>
      </c>
      <c r="Q780" s="55" t="e">
        <f>ROUND(('Order Details'!$O780*1000)/((VLOOKUP($I780,'Pricing Table - eff 27-Jan-2026'!$A:$Q,7,FALSE)/12)*(VLOOKUP($I780,'Pricing Table - eff 27-Jan-2026'!$A:$Q,9,FALSE)/12))/5,0)*5</f>
        <v>#N/A</v>
      </c>
      <c r="R780" s="71" t="e">
        <f>$Q780/IFERROR(VLOOKUP($F780&amp;RIGHT($K780,8),'Master Data'!$O$5:$P$10,2,FALSE),'Master Data'!$P$4)</f>
        <v>#N/A</v>
      </c>
      <c r="S780" s="57" t="e">
        <f>VLOOKUP($I780,'Pricing Table - eff 27-Jan-2026'!$A:$Q,16,FALSE)</f>
        <v>#N/A</v>
      </c>
      <c r="T780" s="57" t="e">
        <f>VLOOKUP(I780,'Pricing Table - eff 27-Jan-2026'!$A:$O,15,FALSE)</f>
        <v>#N/A</v>
      </c>
      <c r="U780" s="57" t="e">
        <f t="shared" si="33"/>
        <v>#N/A</v>
      </c>
      <c r="V780" s="111" t="e">
        <f t="shared" si="34"/>
        <v>#N/A</v>
      </c>
      <c r="W780" s="55" t="e">
        <f>VLOOKUP($I780,'Pricing Table - eff 27-Jan-2026'!$A:$R,18,FALSE)</f>
        <v>#N/A</v>
      </c>
    </row>
    <row r="781" spans="1:23" hidden="1" x14ac:dyDescent="0.3">
      <c r="A781" s="55"/>
      <c r="B781" s="55"/>
      <c r="C781" s="55">
        <f>VLOOKUP(A781&amp;"-"&amp;B781,'Order Summary'!$D:$E,2,FALSE)</f>
        <v>0</v>
      </c>
      <c r="D781" s="216" t="str">
        <f>IF($A781="","",VLOOKUP($A781&amp;"-"&amp;$B781,'Order Summary'!$D:$U,3,FALSE))</f>
        <v/>
      </c>
      <c r="E781" s="55" t="str">
        <f>VLOOKUP(A781&amp;"-"&amp;B781,'Order Summary'!$D:$G,4,FALSE)</f>
        <v>Yes</v>
      </c>
      <c r="F781" s="55" t="e">
        <f>VLOOKUP($A781,'Order Summary'!$B:$I,8,FALSE)</f>
        <v>#N/A</v>
      </c>
      <c r="G781" s="216" t="str">
        <f>IF($A781="","",VLOOKUP($A781&amp;"-"&amp;$B781,'Order Summary'!$D:$U,18,FALSE))</f>
        <v/>
      </c>
      <c r="H781" s="55"/>
      <c r="I781" s="55"/>
      <c r="J781" s="55" t="e">
        <f>VLOOKUP($I781,'Pricing Table - eff 27-Jan-2026'!$A:$R,2,FALSE)</f>
        <v>#N/A</v>
      </c>
      <c r="K781" s="55" t="e">
        <f>VLOOKUP($I781,'Pricing Table - eff 27-Jan-2026'!$A:$R,6,FALSE)&amp;" "&amp;VLOOKUP($I781,'Pricing Table - eff 27-Jan-2026'!$A:$R,7,FALSE)&amp;""" x "&amp;VLOOKUP($I781,'Pricing Table - eff 27-Jan-2026'!$A:$R,9,FALSE)&amp;""" "&amp;VLOOKUP($I781,'Pricing Table - eff 27-Jan-2026'!$A:$R,5,FALSE)</f>
        <v>#N/A</v>
      </c>
      <c r="L781" s="55" t="e">
        <f>VLOOKUP($I781,'Pricing Table - eff 27-Jan-2026'!$A:$K,8,FALSE)</f>
        <v>#N/A</v>
      </c>
      <c r="M781" s="55" t="e">
        <f>VLOOKUP($I781,'Pricing Table - eff 27-Jan-2026'!$A:$K,10,FALSE)</f>
        <v>#N/A</v>
      </c>
      <c r="N781" s="55" t="e">
        <f>VLOOKUP($I781,'Pricing Table - eff 27-Jan-2026'!$A:$R,13,FALSE)&amp;" "&amp;VLOOKUP($I781,'Pricing Table - eff 27-Jan-2026'!$A:$R,12,FALSE)</f>
        <v>#N/A</v>
      </c>
      <c r="O781" s="56"/>
      <c r="P781" s="55" t="e">
        <f>(VLOOKUP($I781,'Pricing Table - eff 27-Jan-2026'!$A:$R,8,FALSE)/1000)*(VLOOKUP($I781,'Pricing Table - eff 27-Jan-2026'!$A:$R,10,FALSE)/1000)*Q781</f>
        <v>#N/A</v>
      </c>
      <c r="Q781" s="55" t="e">
        <f>ROUND(('Order Details'!$O781*1000)/((VLOOKUP($I781,'Pricing Table - eff 27-Jan-2026'!$A:$Q,7,FALSE)/12)*(VLOOKUP($I781,'Pricing Table - eff 27-Jan-2026'!$A:$Q,9,FALSE)/12))/5,0)*5</f>
        <v>#N/A</v>
      </c>
      <c r="R781" s="71" t="e">
        <f>$Q781/IFERROR(VLOOKUP($F781&amp;RIGHT($K781,8),'Master Data'!$O$5:$P$10,2,FALSE),'Master Data'!$P$4)</f>
        <v>#N/A</v>
      </c>
      <c r="S781" s="57" t="e">
        <f>VLOOKUP($I781,'Pricing Table - eff 27-Jan-2026'!$A:$Q,16,FALSE)</f>
        <v>#N/A</v>
      </c>
      <c r="T781" s="57" t="e">
        <f>VLOOKUP(I781,'Pricing Table - eff 27-Jan-2026'!$A:$O,15,FALSE)</f>
        <v>#N/A</v>
      </c>
      <c r="U781" s="57" t="e">
        <f t="shared" si="33"/>
        <v>#N/A</v>
      </c>
      <c r="V781" s="111" t="e">
        <f t="shared" si="34"/>
        <v>#N/A</v>
      </c>
      <c r="W781" s="55" t="e">
        <f>VLOOKUP($I781,'Pricing Table - eff 27-Jan-2026'!$A:$R,18,FALSE)</f>
        <v>#N/A</v>
      </c>
    </row>
    <row r="782" spans="1:23" hidden="1" x14ac:dyDescent="0.3">
      <c r="A782" s="55"/>
      <c r="B782" s="55"/>
      <c r="C782" s="55">
        <f>VLOOKUP(A782&amp;"-"&amp;B782,'Order Summary'!$D:$E,2,FALSE)</f>
        <v>0</v>
      </c>
      <c r="D782" s="216" t="str">
        <f>IF($A782="","",VLOOKUP($A782&amp;"-"&amp;$B782,'Order Summary'!$D:$U,3,FALSE))</f>
        <v/>
      </c>
      <c r="E782" s="55" t="str">
        <f>VLOOKUP(A782&amp;"-"&amp;B782,'Order Summary'!$D:$G,4,FALSE)</f>
        <v>Yes</v>
      </c>
      <c r="F782" s="55" t="e">
        <f>VLOOKUP($A782,'Order Summary'!$B:$I,8,FALSE)</f>
        <v>#N/A</v>
      </c>
      <c r="G782" s="216" t="str">
        <f>IF($A782="","",VLOOKUP($A782&amp;"-"&amp;$B782,'Order Summary'!$D:$U,18,FALSE))</f>
        <v/>
      </c>
      <c r="H782" s="55"/>
      <c r="I782" s="55"/>
      <c r="J782" s="55" t="e">
        <f>VLOOKUP($I782,'Pricing Table - eff 27-Jan-2026'!$A:$R,2,FALSE)</f>
        <v>#N/A</v>
      </c>
      <c r="K782" s="55" t="e">
        <f>VLOOKUP($I782,'Pricing Table - eff 27-Jan-2026'!$A:$R,6,FALSE)&amp;" "&amp;VLOOKUP($I782,'Pricing Table - eff 27-Jan-2026'!$A:$R,7,FALSE)&amp;""" x "&amp;VLOOKUP($I782,'Pricing Table - eff 27-Jan-2026'!$A:$R,9,FALSE)&amp;""" "&amp;VLOOKUP($I782,'Pricing Table - eff 27-Jan-2026'!$A:$R,5,FALSE)</f>
        <v>#N/A</v>
      </c>
      <c r="L782" s="55" t="e">
        <f>VLOOKUP($I782,'Pricing Table - eff 27-Jan-2026'!$A:$K,8,FALSE)</f>
        <v>#N/A</v>
      </c>
      <c r="M782" s="55" t="e">
        <f>VLOOKUP($I782,'Pricing Table - eff 27-Jan-2026'!$A:$K,10,FALSE)</f>
        <v>#N/A</v>
      </c>
      <c r="N782" s="55" t="e">
        <f>VLOOKUP($I782,'Pricing Table - eff 27-Jan-2026'!$A:$R,13,FALSE)&amp;" "&amp;VLOOKUP($I782,'Pricing Table - eff 27-Jan-2026'!$A:$R,12,FALSE)</f>
        <v>#N/A</v>
      </c>
      <c r="O782" s="56"/>
      <c r="P782" s="55" t="e">
        <f>(VLOOKUP($I782,'Pricing Table - eff 27-Jan-2026'!$A:$R,8,FALSE)/1000)*(VLOOKUP($I782,'Pricing Table - eff 27-Jan-2026'!$A:$R,10,FALSE)/1000)*Q782</f>
        <v>#N/A</v>
      </c>
      <c r="Q782" s="55" t="e">
        <f>ROUND(('Order Details'!$O782*1000)/((VLOOKUP($I782,'Pricing Table - eff 27-Jan-2026'!$A:$Q,7,FALSE)/12)*(VLOOKUP($I782,'Pricing Table - eff 27-Jan-2026'!$A:$Q,9,FALSE)/12))/5,0)*5</f>
        <v>#N/A</v>
      </c>
      <c r="R782" s="71" t="e">
        <f>$Q782/IFERROR(VLOOKUP($F782&amp;RIGHT($K782,8),'Master Data'!$O$5:$P$10,2,FALSE),'Master Data'!$P$4)</f>
        <v>#N/A</v>
      </c>
      <c r="S782" s="57" t="e">
        <f>VLOOKUP($I782,'Pricing Table - eff 27-Jan-2026'!$A:$Q,16,FALSE)</f>
        <v>#N/A</v>
      </c>
      <c r="T782" s="57" t="e">
        <f>VLOOKUP(I782,'Pricing Table - eff 27-Jan-2026'!$A:$O,15,FALSE)</f>
        <v>#N/A</v>
      </c>
      <c r="U782" s="57" t="e">
        <f t="shared" si="33"/>
        <v>#N/A</v>
      </c>
      <c r="V782" s="111" t="e">
        <f t="shared" si="34"/>
        <v>#N/A</v>
      </c>
      <c r="W782" s="55" t="e">
        <f>VLOOKUP($I782,'Pricing Table - eff 27-Jan-2026'!$A:$R,18,FALSE)</f>
        <v>#N/A</v>
      </c>
    </row>
    <row r="783" spans="1:23" hidden="1" x14ac:dyDescent="0.3">
      <c r="A783" s="55"/>
      <c r="B783" s="55"/>
      <c r="C783" s="55">
        <f>VLOOKUP(A783&amp;"-"&amp;B783,'Order Summary'!$D:$E,2,FALSE)</f>
        <v>0</v>
      </c>
      <c r="D783" s="216" t="str">
        <f>IF($A783="","",VLOOKUP($A783&amp;"-"&amp;$B783,'Order Summary'!$D:$U,3,FALSE))</f>
        <v/>
      </c>
      <c r="E783" s="55" t="str">
        <f>VLOOKUP(A783&amp;"-"&amp;B783,'Order Summary'!$D:$G,4,FALSE)</f>
        <v>Yes</v>
      </c>
      <c r="F783" s="55" t="e">
        <f>VLOOKUP($A783,'Order Summary'!$B:$I,8,FALSE)</f>
        <v>#N/A</v>
      </c>
      <c r="G783" s="216" t="str">
        <f>IF($A783="","",VLOOKUP($A783&amp;"-"&amp;$B783,'Order Summary'!$D:$U,18,FALSE))</f>
        <v/>
      </c>
      <c r="H783" s="55"/>
      <c r="I783" s="55"/>
      <c r="J783" s="55" t="e">
        <f>VLOOKUP($I783,'Pricing Table - eff 27-Jan-2026'!$A:$R,2,FALSE)</f>
        <v>#N/A</v>
      </c>
      <c r="K783" s="55" t="e">
        <f>VLOOKUP($I783,'Pricing Table - eff 27-Jan-2026'!$A:$R,6,FALSE)&amp;" "&amp;VLOOKUP($I783,'Pricing Table - eff 27-Jan-2026'!$A:$R,7,FALSE)&amp;""" x "&amp;VLOOKUP($I783,'Pricing Table - eff 27-Jan-2026'!$A:$R,9,FALSE)&amp;""" "&amp;VLOOKUP($I783,'Pricing Table - eff 27-Jan-2026'!$A:$R,5,FALSE)</f>
        <v>#N/A</v>
      </c>
      <c r="L783" s="55" t="e">
        <f>VLOOKUP($I783,'Pricing Table - eff 27-Jan-2026'!$A:$K,8,FALSE)</f>
        <v>#N/A</v>
      </c>
      <c r="M783" s="55" t="e">
        <f>VLOOKUP($I783,'Pricing Table - eff 27-Jan-2026'!$A:$K,10,FALSE)</f>
        <v>#N/A</v>
      </c>
      <c r="N783" s="55" t="e">
        <f>VLOOKUP($I783,'Pricing Table - eff 27-Jan-2026'!$A:$R,13,FALSE)&amp;" "&amp;VLOOKUP($I783,'Pricing Table - eff 27-Jan-2026'!$A:$R,12,FALSE)</f>
        <v>#N/A</v>
      </c>
      <c r="O783" s="56"/>
      <c r="P783" s="55" t="e">
        <f>(VLOOKUP($I783,'Pricing Table - eff 27-Jan-2026'!$A:$R,8,FALSE)/1000)*(VLOOKUP($I783,'Pricing Table - eff 27-Jan-2026'!$A:$R,10,FALSE)/1000)*Q783</f>
        <v>#N/A</v>
      </c>
      <c r="Q783" s="55" t="e">
        <f>ROUND(('Order Details'!$O783*1000)/((VLOOKUP($I783,'Pricing Table - eff 27-Jan-2026'!$A:$Q,7,FALSE)/12)*(VLOOKUP($I783,'Pricing Table - eff 27-Jan-2026'!$A:$Q,9,FALSE)/12))/5,0)*5</f>
        <v>#N/A</v>
      </c>
      <c r="R783" s="71" t="e">
        <f>$Q783/IFERROR(VLOOKUP($F783&amp;RIGHT($K783,8),'Master Data'!$O$5:$P$10,2,FALSE),'Master Data'!$P$4)</f>
        <v>#N/A</v>
      </c>
      <c r="S783" s="57" t="e">
        <f>VLOOKUP($I783,'Pricing Table - eff 27-Jan-2026'!$A:$Q,16,FALSE)</f>
        <v>#N/A</v>
      </c>
      <c r="T783" s="57" t="e">
        <f>VLOOKUP(I783,'Pricing Table - eff 27-Jan-2026'!$A:$O,15,FALSE)</f>
        <v>#N/A</v>
      </c>
      <c r="U783" s="57" t="e">
        <f t="shared" si="33"/>
        <v>#N/A</v>
      </c>
      <c r="V783" s="111" t="e">
        <f t="shared" si="34"/>
        <v>#N/A</v>
      </c>
      <c r="W783" s="55" t="e">
        <f>VLOOKUP($I783,'Pricing Table - eff 27-Jan-2026'!$A:$R,18,FALSE)</f>
        <v>#N/A</v>
      </c>
    </row>
    <row r="784" spans="1:23" hidden="1" x14ac:dyDescent="0.3">
      <c r="A784" s="55"/>
      <c r="B784" s="55"/>
      <c r="C784" s="55">
        <f>VLOOKUP(A784&amp;"-"&amp;B784,'Order Summary'!$D:$E,2,FALSE)</f>
        <v>0</v>
      </c>
      <c r="D784" s="216" t="str">
        <f>IF($A784="","",VLOOKUP($A784&amp;"-"&amp;$B784,'Order Summary'!$D:$U,3,FALSE))</f>
        <v/>
      </c>
      <c r="E784" s="55" t="str">
        <f>VLOOKUP(A784&amp;"-"&amp;B784,'Order Summary'!$D:$G,4,FALSE)</f>
        <v>Yes</v>
      </c>
      <c r="F784" s="55" t="e">
        <f>VLOOKUP($A784,'Order Summary'!$B:$I,8,FALSE)</f>
        <v>#N/A</v>
      </c>
      <c r="G784" s="216" t="str">
        <f>IF($A784="","",VLOOKUP($A784&amp;"-"&amp;$B784,'Order Summary'!$D:$U,18,FALSE))</f>
        <v/>
      </c>
      <c r="H784" s="55"/>
      <c r="I784" s="55"/>
      <c r="J784" s="55" t="e">
        <f>VLOOKUP($I784,'Pricing Table - eff 27-Jan-2026'!$A:$R,2,FALSE)</f>
        <v>#N/A</v>
      </c>
      <c r="K784" s="55" t="e">
        <f>VLOOKUP($I784,'Pricing Table - eff 27-Jan-2026'!$A:$R,6,FALSE)&amp;" "&amp;VLOOKUP($I784,'Pricing Table - eff 27-Jan-2026'!$A:$R,7,FALSE)&amp;""" x "&amp;VLOOKUP($I784,'Pricing Table - eff 27-Jan-2026'!$A:$R,9,FALSE)&amp;""" "&amp;VLOOKUP($I784,'Pricing Table - eff 27-Jan-2026'!$A:$R,5,FALSE)</f>
        <v>#N/A</v>
      </c>
      <c r="L784" s="55" t="e">
        <f>VLOOKUP($I784,'Pricing Table - eff 27-Jan-2026'!$A:$K,8,FALSE)</f>
        <v>#N/A</v>
      </c>
      <c r="M784" s="55" t="e">
        <f>VLOOKUP($I784,'Pricing Table - eff 27-Jan-2026'!$A:$K,10,FALSE)</f>
        <v>#N/A</v>
      </c>
      <c r="N784" s="55" t="e">
        <f>VLOOKUP($I784,'Pricing Table - eff 27-Jan-2026'!$A:$R,13,FALSE)&amp;" "&amp;VLOOKUP($I784,'Pricing Table - eff 27-Jan-2026'!$A:$R,12,FALSE)</f>
        <v>#N/A</v>
      </c>
      <c r="O784" s="56"/>
      <c r="P784" s="55" t="e">
        <f>(VLOOKUP($I784,'Pricing Table - eff 27-Jan-2026'!$A:$R,8,FALSE)/1000)*(VLOOKUP($I784,'Pricing Table - eff 27-Jan-2026'!$A:$R,10,FALSE)/1000)*Q784</f>
        <v>#N/A</v>
      </c>
      <c r="Q784" s="55" t="e">
        <f>ROUND(('Order Details'!$O784*1000)/((VLOOKUP($I784,'Pricing Table - eff 27-Jan-2026'!$A:$Q,7,FALSE)/12)*(VLOOKUP($I784,'Pricing Table - eff 27-Jan-2026'!$A:$Q,9,FALSE)/12))/5,0)*5</f>
        <v>#N/A</v>
      </c>
      <c r="R784" s="71" t="e">
        <f>$Q784/IFERROR(VLOOKUP($F784&amp;RIGHT($K784,8),'Master Data'!$O$5:$P$10,2,FALSE),'Master Data'!$P$4)</f>
        <v>#N/A</v>
      </c>
      <c r="S784" s="57" t="e">
        <f>VLOOKUP($I784,'Pricing Table - eff 27-Jan-2026'!$A:$Q,16,FALSE)</f>
        <v>#N/A</v>
      </c>
      <c r="T784" s="57" t="e">
        <f>VLOOKUP(I784,'Pricing Table - eff 27-Jan-2026'!$A:$O,15,FALSE)</f>
        <v>#N/A</v>
      </c>
      <c r="U784" s="57" t="e">
        <f t="shared" si="33"/>
        <v>#N/A</v>
      </c>
      <c r="V784" s="111" t="e">
        <f t="shared" si="34"/>
        <v>#N/A</v>
      </c>
      <c r="W784" s="55" t="e">
        <f>VLOOKUP($I784,'Pricing Table - eff 27-Jan-2026'!$A:$R,18,FALSE)</f>
        <v>#N/A</v>
      </c>
    </row>
    <row r="785" spans="1:23" hidden="1" x14ac:dyDescent="0.3">
      <c r="A785" s="55"/>
      <c r="B785" s="55"/>
      <c r="C785" s="55">
        <f>VLOOKUP(A785&amp;"-"&amp;B785,'Order Summary'!$D:$E,2,FALSE)</f>
        <v>0</v>
      </c>
      <c r="D785" s="216" t="str">
        <f>IF($A785="","",VLOOKUP($A785&amp;"-"&amp;$B785,'Order Summary'!$D:$U,3,FALSE))</f>
        <v/>
      </c>
      <c r="E785" s="55" t="str">
        <f>VLOOKUP(A785&amp;"-"&amp;B785,'Order Summary'!$D:$G,4,FALSE)</f>
        <v>Yes</v>
      </c>
      <c r="F785" s="55" t="e">
        <f>VLOOKUP($A785,'Order Summary'!$B:$I,8,FALSE)</f>
        <v>#N/A</v>
      </c>
      <c r="G785" s="216" t="str">
        <f>IF($A785="","",VLOOKUP($A785&amp;"-"&amp;$B785,'Order Summary'!$D:$U,18,FALSE))</f>
        <v/>
      </c>
      <c r="H785" s="55"/>
      <c r="I785" s="55"/>
      <c r="J785" s="55" t="e">
        <f>VLOOKUP($I785,'Pricing Table - eff 27-Jan-2026'!$A:$R,2,FALSE)</f>
        <v>#N/A</v>
      </c>
      <c r="K785" s="55" t="e">
        <f>VLOOKUP($I785,'Pricing Table - eff 27-Jan-2026'!$A:$R,6,FALSE)&amp;" "&amp;VLOOKUP($I785,'Pricing Table - eff 27-Jan-2026'!$A:$R,7,FALSE)&amp;""" x "&amp;VLOOKUP($I785,'Pricing Table - eff 27-Jan-2026'!$A:$R,9,FALSE)&amp;""" "&amp;VLOOKUP($I785,'Pricing Table - eff 27-Jan-2026'!$A:$R,5,FALSE)</f>
        <v>#N/A</v>
      </c>
      <c r="L785" s="55" t="e">
        <f>VLOOKUP($I785,'Pricing Table - eff 27-Jan-2026'!$A:$K,8,FALSE)</f>
        <v>#N/A</v>
      </c>
      <c r="M785" s="55" t="e">
        <f>VLOOKUP($I785,'Pricing Table - eff 27-Jan-2026'!$A:$K,10,FALSE)</f>
        <v>#N/A</v>
      </c>
      <c r="N785" s="55" t="e">
        <f>VLOOKUP($I785,'Pricing Table - eff 27-Jan-2026'!$A:$R,13,FALSE)&amp;" "&amp;VLOOKUP($I785,'Pricing Table - eff 27-Jan-2026'!$A:$R,12,FALSE)</f>
        <v>#N/A</v>
      </c>
      <c r="O785" s="56"/>
      <c r="P785" s="55" t="e">
        <f>(VLOOKUP($I785,'Pricing Table - eff 27-Jan-2026'!$A:$R,8,FALSE)/1000)*(VLOOKUP($I785,'Pricing Table - eff 27-Jan-2026'!$A:$R,10,FALSE)/1000)*Q785</f>
        <v>#N/A</v>
      </c>
      <c r="Q785" s="55" t="e">
        <f>ROUND(('Order Details'!$O785*1000)/((VLOOKUP($I785,'Pricing Table - eff 27-Jan-2026'!$A:$Q,7,FALSE)/12)*(VLOOKUP($I785,'Pricing Table - eff 27-Jan-2026'!$A:$Q,9,FALSE)/12))/5,0)*5</f>
        <v>#N/A</v>
      </c>
      <c r="R785" s="71" t="e">
        <f>$Q785/IFERROR(VLOOKUP($F785&amp;RIGHT($K785,8),'Master Data'!$O$5:$P$10,2,FALSE),'Master Data'!$P$4)</f>
        <v>#N/A</v>
      </c>
      <c r="S785" s="57" t="e">
        <f>VLOOKUP($I785,'Pricing Table - eff 27-Jan-2026'!$A:$Q,16,FALSE)</f>
        <v>#N/A</v>
      </c>
      <c r="T785" s="57" t="e">
        <f>VLOOKUP(I785,'Pricing Table - eff 27-Jan-2026'!$A:$O,15,FALSE)</f>
        <v>#N/A</v>
      </c>
      <c r="U785" s="57" t="e">
        <f t="shared" si="33"/>
        <v>#N/A</v>
      </c>
      <c r="V785" s="111" t="e">
        <f t="shared" si="34"/>
        <v>#N/A</v>
      </c>
      <c r="W785" s="55" t="e">
        <f>VLOOKUP($I785,'Pricing Table - eff 27-Jan-2026'!$A:$R,18,FALSE)</f>
        <v>#N/A</v>
      </c>
    </row>
    <row r="786" spans="1:23" hidden="1" x14ac:dyDescent="0.3">
      <c r="A786" s="55"/>
      <c r="B786" s="55"/>
      <c r="C786" s="55">
        <f>VLOOKUP(A786&amp;"-"&amp;B786,'Order Summary'!$D:$E,2,FALSE)</f>
        <v>0</v>
      </c>
      <c r="D786" s="216" t="str">
        <f>IF($A786="","",VLOOKUP($A786&amp;"-"&amp;$B786,'Order Summary'!$D:$U,3,FALSE))</f>
        <v/>
      </c>
      <c r="E786" s="55" t="str">
        <f>VLOOKUP(A786&amp;"-"&amp;B786,'Order Summary'!$D:$G,4,FALSE)</f>
        <v>Yes</v>
      </c>
      <c r="F786" s="55" t="e">
        <f>VLOOKUP($A786,'Order Summary'!$B:$I,8,FALSE)</f>
        <v>#N/A</v>
      </c>
      <c r="G786" s="216" t="str">
        <f>IF($A786="","",VLOOKUP($A786&amp;"-"&amp;$B786,'Order Summary'!$D:$U,18,FALSE))</f>
        <v/>
      </c>
      <c r="H786" s="55"/>
      <c r="I786" s="55"/>
      <c r="J786" s="55" t="e">
        <f>VLOOKUP($I786,'Pricing Table - eff 27-Jan-2026'!$A:$R,2,FALSE)</f>
        <v>#N/A</v>
      </c>
      <c r="K786" s="55" t="e">
        <f>VLOOKUP($I786,'Pricing Table - eff 27-Jan-2026'!$A:$R,6,FALSE)&amp;" "&amp;VLOOKUP($I786,'Pricing Table - eff 27-Jan-2026'!$A:$R,7,FALSE)&amp;""" x "&amp;VLOOKUP($I786,'Pricing Table - eff 27-Jan-2026'!$A:$R,9,FALSE)&amp;""" "&amp;VLOOKUP($I786,'Pricing Table - eff 27-Jan-2026'!$A:$R,5,FALSE)</f>
        <v>#N/A</v>
      </c>
      <c r="L786" s="55" t="e">
        <f>VLOOKUP($I786,'Pricing Table - eff 27-Jan-2026'!$A:$K,8,FALSE)</f>
        <v>#N/A</v>
      </c>
      <c r="M786" s="55" t="e">
        <f>VLOOKUP($I786,'Pricing Table - eff 27-Jan-2026'!$A:$K,10,FALSE)</f>
        <v>#N/A</v>
      </c>
      <c r="N786" s="55" t="e">
        <f>VLOOKUP($I786,'Pricing Table - eff 27-Jan-2026'!$A:$R,13,FALSE)&amp;" "&amp;VLOOKUP($I786,'Pricing Table - eff 27-Jan-2026'!$A:$R,12,FALSE)</f>
        <v>#N/A</v>
      </c>
      <c r="O786" s="56"/>
      <c r="P786" s="55" t="e">
        <f>(VLOOKUP($I786,'Pricing Table - eff 27-Jan-2026'!$A:$R,8,FALSE)/1000)*(VLOOKUP($I786,'Pricing Table - eff 27-Jan-2026'!$A:$R,10,FALSE)/1000)*Q786</f>
        <v>#N/A</v>
      </c>
      <c r="Q786" s="55" t="e">
        <f>ROUND(('Order Details'!$O786*1000)/((VLOOKUP($I786,'Pricing Table - eff 27-Jan-2026'!$A:$Q,7,FALSE)/12)*(VLOOKUP($I786,'Pricing Table - eff 27-Jan-2026'!$A:$Q,9,FALSE)/12))/5,0)*5</f>
        <v>#N/A</v>
      </c>
      <c r="R786" s="71" t="e">
        <f>$Q786/IFERROR(VLOOKUP($F786&amp;RIGHT($K786,8),'Master Data'!$O$5:$P$10,2,FALSE),'Master Data'!$P$4)</f>
        <v>#N/A</v>
      </c>
      <c r="S786" s="57" t="e">
        <f>VLOOKUP($I786,'Pricing Table - eff 27-Jan-2026'!$A:$Q,16,FALSE)</f>
        <v>#N/A</v>
      </c>
      <c r="T786" s="57" t="e">
        <f>VLOOKUP(I786,'Pricing Table - eff 27-Jan-2026'!$A:$O,15,FALSE)</f>
        <v>#N/A</v>
      </c>
      <c r="U786" s="57" t="e">
        <f t="shared" si="33"/>
        <v>#N/A</v>
      </c>
      <c r="V786" s="111" t="e">
        <f t="shared" si="34"/>
        <v>#N/A</v>
      </c>
      <c r="W786" s="55" t="e">
        <f>VLOOKUP($I786,'Pricing Table - eff 27-Jan-2026'!$A:$R,18,FALSE)</f>
        <v>#N/A</v>
      </c>
    </row>
    <row r="787" spans="1:23" hidden="1" x14ac:dyDescent="0.3">
      <c r="A787" s="55"/>
      <c r="B787" s="55"/>
      <c r="C787" s="55">
        <f>VLOOKUP(A787&amp;"-"&amp;B787,'Order Summary'!$D:$E,2,FALSE)</f>
        <v>0</v>
      </c>
      <c r="D787" s="216" t="str">
        <f>IF($A787="","",VLOOKUP($A787&amp;"-"&amp;$B787,'Order Summary'!$D:$U,3,FALSE))</f>
        <v/>
      </c>
      <c r="E787" s="55" t="str">
        <f>VLOOKUP(A787&amp;"-"&amp;B787,'Order Summary'!$D:$G,4,FALSE)</f>
        <v>Yes</v>
      </c>
      <c r="F787" s="55" t="e">
        <f>VLOOKUP($A787,'Order Summary'!$B:$I,8,FALSE)</f>
        <v>#N/A</v>
      </c>
      <c r="G787" s="216" t="str">
        <f>IF($A787="","",VLOOKUP($A787&amp;"-"&amp;$B787,'Order Summary'!$D:$U,18,FALSE))</f>
        <v/>
      </c>
      <c r="H787" s="55"/>
      <c r="I787" s="55"/>
      <c r="J787" s="55" t="e">
        <f>VLOOKUP($I787,'Pricing Table - eff 27-Jan-2026'!$A:$R,2,FALSE)</f>
        <v>#N/A</v>
      </c>
      <c r="K787" s="55" t="e">
        <f>VLOOKUP($I787,'Pricing Table - eff 27-Jan-2026'!$A:$R,6,FALSE)&amp;" "&amp;VLOOKUP($I787,'Pricing Table - eff 27-Jan-2026'!$A:$R,7,FALSE)&amp;""" x "&amp;VLOOKUP($I787,'Pricing Table - eff 27-Jan-2026'!$A:$R,9,FALSE)&amp;""" "&amp;VLOOKUP($I787,'Pricing Table - eff 27-Jan-2026'!$A:$R,5,FALSE)</f>
        <v>#N/A</v>
      </c>
      <c r="L787" s="55" t="e">
        <f>VLOOKUP($I787,'Pricing Table - eff 27-Jan-2026'!$A:$K,8,FALSE)</f>
        <v>#N/A</v>
      </c>
      <c r="M787" s="55" t="e">
        <f>VLOOKUP($I787,'Pricing Table - eff 27-Jan-2026'!$A:$K,10,FALSE)</f>
        <v>#N/A</v>
      </c>
      <c r="N787" s="55" t="e">
        <f>VLOOKUP($I787,'Pricing Table - eff 27-Jan-2026'!$A:$R,13,FALSE)&amp;" "&amp;VLOOKUP($I787,'Pricing Table - eff 27-Jan-2026'!$A:$R,12,FALSE)</f>
        <v>#N/A</v>
      </c>
      <c r="O787" s="56"/>
      <c r="P787" s="55" t="e">
        <f>(VLOOKUP($I787,'Pricing Table - eff 27-Jan-2026'!$A:$R,8,FALSE)/1000)*(VLOOKUP($I787,'Pricing Table - eff 27-Jan-2026'!$A:$R,10,FALSE)/1000)*Q787</f>
        <v>#N/A</v>
      </c>
      <c r="Q787" s="55" t="e">
        <f>ROUND(('Order Details'!$O787*1000)/((VLOOKUP($I787,'Pricing Table - eff 27-Jan-2026'!$A:$Q,7,FALSE)/12)*(VLOOKUP($I787,'Pricing Table - eff 27-Jan-2026'!$A:$Q,9,FALSE)/12))/5,0)*5</f>
        <v>#N/A</v>
      </c>
      <c r="R787" s="71" t="e">
        <f>$Q787/IFERROR(VLOOKUP($F787&amp;RIGHT($K787,8),'Master Data'!$O$5:$P$10,2,FALSE),'Master Data'!$P$4)</f>
        <v>#N/A</v>
      </c>
      <c r="S787" s="57" t="e">
        <f>VLOOKUP($I787,'Pricing Table - eff 27-Jan-2026'!$A:$Q,16,FALSE)</f>
        <v>#N/A</v>
      </c>
      <c r="T787" s="57" t="e">
        <f>VLOOKUP(I787,'Pricing Table - eff 27-Jan-2026'!$A:$O,15,FALSE)</f>
        <v>#N/A</v>
      </c>
      <c r="U787" s="57" t="e">
        <f t="shared" si="33"/>
        <v>#N/A</v>
      </c>
      <c r="V787" s="111" t="e">
        <f t="shared" si="34"/>
        <v>#N/A</v>
      </c>
      <c r="W787" s="55" t="e">
        <f>VLOOKUP($I787,'Pricing Table - eff 27-Jan-2026'!$A:$R,18,FALSE)</f>
        <v>#N/A</v>
      </c>
    </row>
    <row r="788" spans="1:23" hidden="1" x14ac:dyDescent="0.3">
      <c r="A788" s="55"/>
      <c r="B788" s="55"/>
      <c r="C788" s="55">
        <f>VLOOKUP(A788&amp;"-"&amp;B788,'Order Summary'!$D:$E,2,FALSE)</f>
        <v>0</v>
      </c>
      <c r="D788" s="216" t="str">
        <f>IF($A788="","",VLOOKUP($A788&amp;"-"&amp;$B788,'Order Summary'!$D:$U,3,FALSE))</f>
        <v/>
      </c>
      <c r="E788" s="55" t="str">
        <f>VLOOKUP(A788&amp;"-"&amp;B788,'Order Summary'!$D:$G,4,FALSE)</f>
        <v>Yes</v>
      </c>
      <c r="F788" s="55" t="e">
        <f>VLOOKUP($A788,'Order Summary'!$B:$I,8,FALSE)</f>
        <v>#N/A</v>
      </c>
      <c r="G788" s="216" t="str">
        <f>IF($A788="","",VLOOKUP($A788&amp;"-"&amp;$B788,'Order Summary'!$D:$U,18,FALSE))</f>
        <v/>
      </c>
      <c r="H788" s="55"/>
      <c r="I788" s="55"/>
      <c r="J788" s="55" t="e">
        <f>VLOOKUP($I788,'Pricing Table - eff 27-Jan-2026'!$A:$R,2,FALSE)</f>
        <v>#N/A</v>
      </c>
      <c r="K788" s="55" t="e">
        <f>VLOOKUP($I788,'Pricing Table - eff 27-Jan-2026'!$A:$R,6,FALSE)&amp;" "&amp;VLOOKUP($I788,'Pricing Table - eff 27-Jan-2026'!$A:$R,7,FALSE)&amp;""" x "&amp;VLOOKUP($I788,'Pricing Table - eff 27-Jan-2026'!$A:$R,9,FALSE)&amp;""" "&amp;VLOOKUP($I788,'Pricing Table - eff 27-Jan-2026'!$A:$R,5,FALSE)</f>
        <v>#N/A</v>
      </c>
      <c r="L788" s="55" t="e">
        <f>VLOOKUP($I788,'Pricing Table - eff 27-Jan-2026'!$A:$K,8,FALSE)</f>
        <v>#N/A</v>
      </c>
      <c r="M788" s="55" t="e">
        <f>VLOOKUP($I788,'Pricing Table - eff 27-Jan-2026'!$A:$K,10,FALSE)</f>
        <v>#N/A</v>
      </c>
      <c r="N788" s="55" t="e">
        <f>VLOOKUP($I788,'Pricing Table - eff 27-Jan-2026'!$A:$R,13,FALSE)&amp;" "&amp;VLOOKUP($I788,'Pricing Table - eff 27-Jan-2026'!$A:$R,12,FALSE)</f>
        <v>#N/A</v>
      </c>
      <c r="O788" s="56"/>
      <c r="P788" s="55" t="e">
        <f>(VLOOKUP($I788,'Pricing Table - eff 27-Jan-2026'!$A:$R,8,FALSE)/1000)*(VLOOKUP($I788,'Pricing Table - eff 27-Jan-2026'!$A:$R,10,FALSE)/1000)*Q788</f>
        <v>#N/A</v>
      </c>
      <c r="Q788" s="55" t="e">
        <f>ROUND(('Order Details'!$O788*1000)/((VLOOKUP($I788,'Pricing Table - eff 27-Jan-2026'!$A:$Q,7,FALSE)/12)*(VLOOKUP($I788,'Pricing Table - eff 27-Jan-2026'!$A:$Q,9,FALSE)/12))/5,0)*5</f>
        <v>#N/A</v>
      </c>
      <c r="R788" s="71" t="e">
        <f>$Q788/IFERROR(VLOOKUP($F788&amp;RIGHT($K788,8),'Master Data'!$O$5:$P$10,2,FALSE),'Master Data'!$P$4)</f>
        <v>#N/A</v>
      </c>
      <c r="S788" s="57" t="e">
        <f>VLOOKUP($I788,'Pricing Table - eff 27-Jan-2026'!$A:$Q,16,FALSE)</f>
        <v>#N/A</v>
      </c>
      <c r="T788" s="57" t="e">
        <f>VLOOKUP(I788,'Pricing Table - eff 27-Jan-2026'!$A:$O,15,FALSE)</f>
        <v>#N/A</v>
      </c>
      <c r="U788" s="57" t="e">
        <f t="shared" si="33"/>
        <v>#N/A</v>
      </c>
      <c r="V788" s="111" t="e">
        <f t="shared" si="34"/>
        <v>#N/A</v>
      </c>
      <c r="W788" s="55" t="e">
        <f>VLOOKUP($I788,'Pricing Table - eff 27-Jan-2026'!$A:$R,18,FALSE)</f>
        <v>#N/A</v>
      </c>
    </row>
    <row r="789" spans="1:23" hidden="1" x14ac:dyDescent="0.3">
      <c r="A789" s="55"/>
      <c r="B789" s="55"/>
      <c r="C789" s="55">
        <f>VLOOKUP(A789&amp;"-"&amp;B789,'Order Summary'!$D:$E,2,FALSE)</f>
        <v>0</v>
      </c>
      <c r="D789" s="216" t="str">
        <f>IF($A789="","",VLOOKUP($A789&amp;"-"&amp;$B789,'Order Summary'!$D:$U,3,FALSE))</f>
        <v/>
      </c>
      <c r="E789" s="55" t="str">
        <f>VLOOKUP(A789&amp;"-"&amp;B789,'Order Summary'!$D:$G,4,FALSE)</f>
        <v>Yes</v>
      </c>
      <c r="F789" s="55" t="e">
        <f>VLOOKUP($A789,'Order Summary'!$B:$I,8,FALSE)</f>
        <v>#N/A</v>
      </c>
      <c r="G789" s="216" t="str">
        <f>IF($A789="","",VLOOKUP($A789&amp;"-"&amp;$B789,'Order Summary'!$D:$U,18,FALSE))</f>
        <v/>
      </c>
      <c r="H789" s="55"/>
      <c r="I789" s="55"/>
      <c r="J789" s="55" t="e">
        <f>VLOOKUP($I789,'Pricing Table - eff 27-Jan-2026'!$A:$R,2,FALSE)</f>
        <v>#N/A</v>
      </c>
      <c r="K789" s="55" t="e">
        <f>VLOOKUP($I789,'Pricing Table - eff 27-Jan-2026'!$A:$R,6,FALSE)&amp;" "&amp;VLOOKUP($I789,'Pricing Table - eff 27-Jan-2026'!$A:$R,7,FALSE)&amp;""" x "&amp;VLOOKUP($I789,'Pricing Table - eff 27-Jan-2026'!$A:$R,9,FALSE)&amp;""" "&amp;VLOOKUP($I789,'Pricing Table - eff 27-Jan-2026'!$A:$R,5,FALSE)</f>
        <v>#N/A</v>
      </c>
      <c r="L789" s="55" t="e">
        <f>VLOOKUP($I789,'Pricing Table - eff 27-Jan-2026'!$A:$K,8,FALSE)</f>
        <v>#N/A</v>
      </c>
      <c r="M789" s="55" t="e">
        <f>VLOOKUP($I789,'Pricing Table - eff 27-Jan-2026'!$A:$K,10,FALSE)</f>
        <v>#N/A</v>
      </c>
      <c r="N789" s="55" t="e">
        <f>VLOOKUP($I789,'Pricing Table - eff 27-Jan-2026'!$A:$R,13,FALSE)&amp;" "&amp;VLOOKUP($I789,'Pricing Table - eff 27-Jan-2026'!$A:$R,12,FALSE)</f>
        <v>#N/A</v>
      </c>
      <c r="O789" s="56"/>
      <c r="P789" s="55" t="e">
        <f>(VLOOKUP($I789,'Pricing Table - eff 27-Jan-2026'!$A:$R,8,FALSE)/1000)*(VLOOKUP($I789,'Pricing Table - eff 27-Jan-2026'!$A:$R,10,FALSE)/1000)*Q789</f>
        <v>#N/A</v>
      </c>
      <c r="Q789" s="55" t="e">
        <f>ROUND(('Order Details'!$O789*1000)/((VLOOKUP($I789,'Pricing Table - eff 27-Jan-2026'!$A:$Q,7,FALSE)/12)*(VLOOKUP($I789,'Pricing Table - eff 27-Jan-2026'!$A:$Q,9,FALSE)/12))/5,0)*5</f>
        <v>#N/A</v>
      </c>
      <c r="R789" s="71" t="e">
        <f>$Q789/IFERROR(VLOOKUP($F789&amp;RIGHT($K789,8),'Master Data'!$O$5:$P$10,2,FALSE),'Master Data'!$P$4)</f>
        <v>#N/A</v>
      </c>
      <c r="S789" s="57" t="e">
        <f>VLOOKUP($I789,'Pricing Table - eff 27-Jan-2026'!$A:$Q,16,FALSE)</f>
        <v>#N/A</v>
      </c>
      <c r="T789" s="57" t="e">
        <f>VLOOKUP(I789,'Pricing Table - eff 27-Jan-2026'!$A:$O,15,FALSE)</f>
        <v>#N/A</v>
      </c>
      <c r="U789" s="57" t="e">
        <f t="shared" si="33"/>
        <v>#N/A</v>
      </c>
      <c r="V789" s="111" t="e">
        <f t="shared" si="34"/>
        <v>#N/A</v>
      </c>
      <c r="W789" s="55" t="e">
        <f>VLOOKUP($I789,'Pricing Table - eff 27-Jan-2026'!$A:$R,18,FALSE)</f>
        <v>#N/A</v>
      </c>
    </row>
    <row r="790" spans="1:23" hidden="1" x14ac:dyDescent="0.3">
      <c r="A790" s="55"/>
      <c r="B790" s="55"/>
      <c r="C790" s="55">
        <f>VLOOKUP(A790&amp;"-"&amp;B790,'Order Summary'!$D:$E,2,FALSE)</f>
        <v>0</v>
      </c>
      <c r="D790" s="216" t="str">
        <f>IF($A790="","",VLOOKUP($A790&amp;"-"&amp;$B790,'Order Summary'!$D:$U,3,FALSE))</f>
        <v/>
      </c>
      <c r="E790" s="55" t="str">
        <f>VLOOKUP(A790&amp;"-"&amp;B790,'Order Summary'!$D:$G,4,FALSE)</f>
        <v>Yes</v>
      </c>
      <c r="F790" s="55" t="e">
        <f>VLOOKUP($A790,'Order Summary'!$B:$I,8,FALSE)</f>
        <v>#N/A</v>
      </c>
      <c r="G790" s="216" t="str">
        <f>IF($A790="","",VLOOKUP($A790&amp;"-"&amp;$B790,'Order Summary'!$D:$U,18,FALSE))</f>
        <v/>
      </c>
      <c r="H790" s="55"/>
      <c r="I790" s="55"/>
      <c r="J790" s="55" t="e">
        <f>VLOOKUP($I790,'Pricing Table - eff 27-Jan-2026'!$A:$R,2,FALSE)</f>
        <v>#N/A</v>
      </c>
      <c r="K790" s="55" t="e">
        <f>VLOOKUP($I790,'Pricing Table - eff 27-Jan-2026'!$A:$R,6,FALSE)&amp;" "&amp;VLOOKUP($I790,'Pricing Table - eff 27-Jan-2026'!$A:$R,7,FALSE)&amp;""" x "&amp;VLOOKUP($I790,'Pricing Table - eff 27-Jan-2026'!$A:$R,9,FALSE)&amp;""" "&amp;VLOOKUP($I790,'Pricing Table - eff 27-Jan-2026'!$A:$R,5,FALSE)</f>
        <v>#N/A</v>
      </c>
      <c r="L790" s="55" t="e">
        <f>VLOOKUP($I790,'Pricing Table - eff 27-Jan-2026'!$A:$K,8,FALSE)</f>
        <v>#N/A</v>
      </c>
      <c r="M790" s="55" t="e">
        <f>VLOOKUP($I790,'Pricing Table - eff 27-Jan-2026'!$A:$K,10,FALSE)</f>
        <v>#N/A</v>
      </c>
      <c r="N790" s="55" t="e">
        <f>VLOOKUP($I790,'Pricing Table - eff 27-Jan-2026'!$A:$R,13,FALSE)&amp;" "&amp;VLOOKUP($I790,'Pricing Table - eff 27-Jan-2026'!$A:$R,12,FALSE)</f>
        <v>#N/A</v>
      </c>
      <c r="O790" s="56"/>
      <c r="P790" s="55" t="e">
        <f>(VLOOKUP($I790,'Pricing Table - eff 27-Jan-2026'!$A:$R,8,FALSE)/1000)*(VLOOKUP($I790,'Pricing Table - eff 27-Jan-2026'!$A:$R,10,FALSE)/1000)*Q790</f>
        <v>#N/A</v>
      </c>
      <c r="Q790" s="55" t="e">
        <f>ROUND(('Order Details'!$O790*1000)/((VLOOKUP($I790,'Pricing Table - eff 27-Jan-2026'!$A:$Q,7,FALSE)/12)*(VLOOKUP($I790,'Pricing Table - eff 27-Jan-2026'!$A:$Q,9,FALSE)/12))/5,0)*5</f>
        <v>#N/A</v>
      </c>
      <c r="R790" s="71" t="e">
        <f>$Q790/IFERROR(VLOOKUP($F790&amp;RIGHT($K790,8),'Master Data'!$O$5:$P$10,2,FALSE),'Master Data'!$P$4)</f>
        <v>#N/A</v>
      </c>
      <c r="S790" s="57" t="e">
        <f>VLOOKUP($I790,'Pricing Table - eff 27-Jan-2026'!$A:$Q,16,FALSE)</f>
        <v>#N/A</v>
      </c>
      <c r="T790" s="57" t="e">
        <f>VLOOKUP(I790,'Pricing Table - eff 27-Jan-2026'!$A:$O,15,FALSE)</f>
        <v>#N/A</v>
      </c>
      <c r="U790" s="57" t="e">
        <f t="shared" si="33"/>
        <v>#N/A</v>
      </c>
      <c r="V790" s="111" t="e">
        <f t="shared" si="34"/>
        <v>#N/A</v>
      </c>
      <c r="W790" s="55" t="e">
        <f>VLOOKUP($I790,'Pricing Table - eff 27-Jan-2026'!$A:$R,18,FALSE)</f>
        <v>#N/A</v>
      </c>
    </row>
    <row r="791" spans="1:23" hidden="1" x14ac:dyDescent="0.3">
      <c r="A791" s="55"/>
      <c r="B791" s="55"/>
      <c r="C791" s="55">
        <f>VLOOKUP(A791&amp;"-"&amp;B791,'Order Summary'!$D:$E,2,FALSE)</f>
        <v>0</v>
      </c>
      <c r="D791" s="216" t="str">
        <f>IF($A791="","",VLOOKUP($A791&amp;"-"&amp;$B791,'Order Summary'!$D:$U,3,FALSE))</f>
        <v/>
      </c>
      <c r="E791" s="55" t="str">
        <f>VLOOKUP(A791&amp;"-"&amp;B791,'Order Summary'!$D:$G,4,FALSE)</f>
        <v>Yes</v>
      </c>
      <c r="F791" s="55" t="e">
        <f>VLOOKUP($A791,'Order Summary'!$B:$I,8,FALSE)</f>
        <v>#N/A</v>
      </c>
      <c r="G791" s="216" t="str">
        <f>IF($A791="","",VLOOKUP($A791&amp;"-"&amp;$B791,'Order Summary'!$D:$U,18,FALSE))</f>
        <v/>
      </c>
      <c r="H791" s="55"/>
      <c r="I791" s="55"/>
      <c r="J791" s="55" t="e">
        <f>VLOOKUP($I791,'Pricing Table - eff 27-Jan-2026'!$A:$R,2,FALSE)</f>
        <v>#N/A</v>
      </c>
      <c r="K791" s="55" t="e">
        <f>VLOOKUP($I791,'Pricing Table - eff 27-Jan-2026'!$A:$R,6,FALSE)&amp;" "&amp;VLOOKUP($I791,'Pricing Table - eff 27-Jan-2026'!$A:$R,7,FALSE)&amp;""" x "&amp;VLOOKUP($I791,'Pricing Table - eff 27-Jan-2026'!$A:$R,9,FALSE)&amp;""" "&amp;VLOOKUP($I791,'Pricing Table - eff 27-Jan-2026'!$A:$R,5,FALSE)</f>
        <v>#N/A</v>
      </c>
      <c r="L791" s="55" t="e">
        <f>VLOOKUP($I791,'Pricing Table - eff 27-Jan-2026'!$A:$K,8,FALSE)</f>
        <v>#N/A</v>
      </c>
      <c r="M791" s="55" t="e">
        <f>VLOOKUP($I791,'Pricing Table - eff 27-Jan-2026'!$A:$K,10,FALSE)</f>
        <v>#N/A</v>
      </c>
      <c r="N791" s="55" t="e">
        <f>VLOOKUP($I791,'Pricing Table - eff 27-Jan-2026'!$A:$R,13,FALSE)&amp;" "&amp;VLOOKUP($I791,'Pricing Table - eff 27-Jan-2026'!$A:$R,12,FALSE)</f>
        <v>#N/A</v>
      </c>
      <c r="O791" s="56"/>
      <c r="P791" s="55" t="e">
        <f>(VLOOKUP($I791,'Pricing Table - eff 27-Jan-2026'!$A:$R,8,FALSE)/1000)*(VLOOKUP($I791,'Pricing Table - eff 27-Jan-2026'!$A:$R,10,FALSE)/1000)*Q791</f>
        <v>#N/A</v>
      </c>
      <c r="Q791" s="55" t="e">
        <f>ROUND(('Order Details'!$O791*1000)/((VLOOKUP($I791,'Pricing Table - eff 27-Jan-2026'!$A:$Q,7,FALSE)/12)*(VLOOKUP($I791,'Pricing Table - eff 27-Jan-2026'!$A:$Q,9,FALSE)/12))/5,0)*5</f>
        <v>#N/A</v>
      </c>
      <c r="R791" s="71" t="e">
        <f>$Q791/IFERROR(VLOOKUP($F791&amp;RIGHT($K791,8),'Master Data'!$O$5:$P$10,2,FALSE),'Master Data'!$P$4)</f>
        <v>#N/A</v>
      </c>
      <c r="S791" s="57" t="e">
        <f>VLOOKUP($I791,'Pricing Table - eff 27-Jan-2026'!$A:$Q,16,FALSE)</f>
        <v>#N/A</v>
      </c>
      <c r="T791" s="57" t="e">
        <f>VLOOKUP(I791,'Pricing Table - eff 27-Jan-2026'!$A:$O,15,FALSE)</f>
        <v>#N/A</v>
      </c>
      <c r="U791" s="57" t="e">
        <f t="shared" si="33"/>
        <v>#N/A</v>
      </c>
      <c r="V791" s="111" t="e">
        <f t="shared" si="34"/>
        <v>#N/A</v>
      </c>
      <c r="W791" s="55" t="e">
        <f>VLOOKUP($I791,'Pricing Table - eff 27-Jan-2026'!$A:$R,18,FALSE)</f>
        <v>#N/A</v>
      </c>
    </row>
    <row r="792" spans="1:23" hidden="1" x14ac:dyDescent="0.3">
      <c r="A792" s="55"/>
      <c r="B792" s="55"/>
      <c r="C792" s="55">
        <f>VLOOKUP(A792&amp;"-"&amp;B792,'Order Summary'!$D:$E,2,FALSE)</f>
        <v>0</v>
      </c>
      <c r="D792" s="216" t="str">
        <f>IF($A792="","",VLOOKUP($A792&amp;"-"&amp;$B792,'Order Summary'!$D:$U,3,FALSE))</f>
        <v/>
      </c>
      <c r="E792" s="55" t="str">
        <f>VLOOKUP(A792&amp;"-"&amp;B792,'Order Summary'!$D:$G,4,FALSE)</f>
        <v>Yes</v>
      </c>
      <c r="F792" s="55" t="e">
        <f>VLOOKUP($A792,'Order Summary'!$B:$I,8,FALSE)</f>
        <v>#N/A</v>
      </c>
      <c r="G792" s="216" t="str">
        <f>IF($A792="","",VLOOKUP($A792&amp;"-"&amp;$B792,'Order Summary'!$D:$U,18,FALSE))</f>
        <v/>
      </c>
      <c r="H792" s="55"/>
      <c r="I792" s="55"/>
      <c r="J792" s="55" t="e">
        <f>VLOOKUP($I792,'Pricing Table - eff 27-Jan-2026'!$A:$R,2,FALSE)</f>
        <v>#N/A</v>
      </c>
      <c r="K792" s="55" t="e">
        <f>VLOOKUP($I792,'Pricing Table - eff 27-Jan-2026'!$A:$R,6,FALSE)&amp;" "&amp;VLOOKUP($I792,'Pricing Table - eff 27-Jan-2026'!$A:$R,7,FALSE)&amp;""" x "&amp;VLOOKUP($I792,'Pricing Table - eff 27-Jan-2026'!$A:$R,9,FALSE)&amp;""" "&amp;VLOOKUP($I792,'Pricing Table - eff 27-Jan-2026'!$A:$R,5,FALSE)</f>
        <v>#N/A</v>
      </c>
      <c r="L792" s="55" t="e">
        <f>VLOOKUP($I792,'Pricing Table - eff 27-Jan-2026'!$A:$K,8,FALSE)</f>
        <v>#N/A</v>
      </c>
      <c r="M792" s="55" t="e">
        <f>VLOOKUP($I792,'Pricing Table - eff 27-Jan-2026'!$A:$K,10,FALSE)</f>
        <v>#N/A</v>
      </c>
      <c r="N792" s="55" t="e">
        <f>VLOOKUP($I792,'Pricing Table - eff 27-Jan-2026'!$A:$R,13,FALSE)&amp;" "&amp;VLOOKUP($I792,'Pricing Table - eff 27-Jan-2026'!$A:$R,12,FALSE)</f>
        <v>#N/A</v>
      </c>
      <c r="O792" s="56"/>
      <c r="P792" s="55" t="e">
        <f>(VLOOKUP($I792,'Pricing Table - eff 27-Jan-2026'!$A:$R,8,FALSE)/1000)*(VLOOKUP($I792,'Pricing Table - eff 27-Jan-2026'!$A:$R,10,FALSE)/1000)*Q792</f>
        <v>#N/A</v>
      </c>
      <c r="Q792" s="55" t="e">
        <f>ROUND(('Order Details'!$O792*1000)/((VLOOKUP($I792,'Pricing Table - eff 27-Jan-2026'!$A:$Q,7,FALSE)/12)*(VLOOKUP($I792,'Pricing Table - eff 27-Jan-2026'!$A:$Q,9,FALSE)/12))/5,0)*5</f>
        <v>#N/A</v>
      </c>
      <c r="R792" s="71" t="e">
        <f>$Q792/IFERROR(VLOOKUP($F792&amp;RIGHT($K792,8),'Master Data'!$O$5:$P$10,2,FALSE),'Master Data'!$P$4)</f>
        <v>#N/A</v>
      </c>
      <c r="S792" s="57" t="e">
        <f>VLOOKUP($I792,'Pricing Table - eff 27-Jan-2026'!$A:$Q,16,FALSE)</f>
        <v>#N/A</v>
      </c>
      <c r="T792" s="57" t="e">
        <f>VLOOKUP(I792,'Pricing Table - eff 27-Jan-2026'!$A:$O,15,FALSE)</f>
        <v>#N/A</v>
      </c>
      <c r="U792" s="57" t="e">
        <f t="shared" si="33"/>
        <v>#N/A</v>
      </c>
      <c r="V792" s="111" t="e">
        <f t="shared" si="34"/>
        <v>#N/A</v>
      </c>
      <c r="W792" s="55" t="e">
        <f>VLOOKUP($I792,'Pricing Table - eff 27-Jan-2026'!$A:$R,18,FALSE)</f>
        <v>#N/A</v>
      </c>
    </row>
    <row r="793" spans="1:23" hidden="1" x14ac:dyDescent="0.3">
      <c r="A793" s="55"/>
      <c r="B793" s="55"/>
      <c r="C793" s="55">
        <f>VLOOKUP(A793&amp;"-"&amp;B793,'Order Summary'!$D:$E,2,FALSE)</f>
        <v>0</v>
      </c>
      <c r="D793" s="216" t="str">
        <f>IF($A793="","",VLOOKUP($A793&amp;"-"&amp;$B793,'Order Summary'!$D:$U,3,FALSE))</f>
        <v/>
      </c>
      <c r="E793" s="55" t="str">
        <f>VLOOKUP(A793&amp;"-"&amp;B793,'Order Summary'!$D:$G,4,FALSE)</f>
        <v>Yes</v>
      </c>
      <c r="F793" s="55" t="e">
        <f>VLOOKUP($A793,'Order Summary'!$B:$I,8,FALSE)</f>
        <v>#N/A</v>
      </c>
      <c r="G793" s="216" t="str">
        <f>IF($A793="","",VLOOKUP($A793&amp;"-"&amp;$B793,'Order Summary'!$D:$U,18,FALSE))</f>
        <v/>
      </c>
      <c r="H793" s="55"/>
      <c r="I793" s="55"/>
      <c r="J793" s="55" t="e">
        <f>VLOOKUP($I793,'Pricing Table - eff 27-Jan-2026'!$A:$R,2,FALSE)</f>
        <v>#N/A</v>
      </c>
      <c r="K793" s="55" t="e">
        <f>VLOOKUP($I793,'Pricing Table - eff 27-Jan-2026'!$A:$R,6,FALSE)&amp;" "&amp;VLOOKUP($I793,'Pricing Table - eff 27-Jan-2026'!$A:$R,7,FALSE)&amp;""" x "&amp;VLOOKUP($I793,'Pricing Table - eff 27-Jan-2026'!$A:$R,9,FALSE)&amp;""" "&amp;VLOOKUP($I793,'Pricing Table - eff 27-Jan-2026'!$A:$R,5,FALSE)</f>
        <v>#N/A</v>
      </c>
      <c r="L793" s="55" t="e">
        <f>VLOOKUP($I793,'Pricing Table - eff 27-Jan-2026'!$A:$K,8,FALSE)</f>
        <v>#N/A</v>
      </c>
      <c r="M793" s="55" t="e">
        <f>VLOOKUP($I793,'Pricing Table - eff 27-Jan-2026'!$A:$K,10,FALSE)</f>
        <v>#N/A</v>
      </c>
      <c r="N793" s="55" t="e">
        <f>VLOOKUP($I793,'Pricing Table - eff 27-Jan-2026'!$A:$R,13,FALSE)&amp;" "&amp;VLOOKUP($I793,'Pricing Table - eff 27-Jan-2026'!$A:$R,12,FALSE)</f>
        <v>#N/A</v>
      </c>
      <c r="O793" s="56"/>
      <c r="P793" s="55" t="e">
        <f>(VLOOKUP($I793,'Pricing Table - eff 27-Jan-2026'!$A:$R,8,FALSE)/1000)*(VLOOKUP($I793,'Pricing Table - eff 27-Jan-2026'!$A:$R,10,FALSE)/1000)*Q793</f>
        <v>#N/A</v>
      </c>
      <c r="Q793" s="55" t="e">
        <f>ROUND(('Order Details'!$O793*1000)/((VLOOKUP($I793,'Pricing Table - eff 27-Jan-2026'!$A:$Q,7,FALSE)/12)*(VLOOKUP($I793,'Pricing Table - eff 27-Jan-2026'!$A:$Q,9,FALSE)/12))/5,0)*5</f>
        <v>#N/A</v>
      </c>
      <c r="R793" s="71" t="e">
        <f>$Q793/IFERROR(VLOOKUP($F793&amp;RIGHT($K793,8),'Master Data'!$O$5:$P$10,2,FALSE),'Master Data'!$P$4)</f>
        <v>#N/A</v>
      </c>
      <c r="S793" s="57" t="e">
        <f>VLOOKUP($I793,'Pricing Table - eff 27-Jan-2026'!$A:$Q,16,FALSE)</f>
        <v>#N/A</v>
      </c>
      <c r="T793" s="57" t="e">
        <f>VLOOKUP(I793,'Pricing Table - eff 27-Jan-2026'!$A:$O,15,FALSE)</f>
        <v>#N/A</v>
      </c>
      <c r="U793" s="57" t="e">
        <f t="shared" si="33"/>
        <v>#N/A</v>
      </c>
      <c r="V793" s="111" t="e">
        <f t="shared" si="34"/>
        <v>#N/A</v>
      </c>
      <c r="W793" s="55" t="e">
        <f>VLOOKUP($I793,'Pricing Table - eff 27-Jan-2026'!$A:$R,18,FALSE)</f>
        <v>#N/A</v>
      </c>
    </row>
    <row r="794" spans="1:23" hidden="1" x14ac:dyDescent="0.3">
      <c r="A794" s="55"/>
      <c r="B794" s="55"/>
      <c r="C794" s="55">
        <f>VLOOKUP(A794&amp;"-"&amp;B794,'Order Summary'!$D:$E,2,FALSE)</f>
        <v>0</v>
      </c>
      <c r="D794" s="216" t="str">
        <f>IF($A794="","",VLOOKUP($A794&amp;"-"&amp;$B794,'Order Summary'!$D:$U,3,FALSE))</f>
        <v/>
      </c>
      <c r="E794" s="55" t="str">
        <f>VLOOKUP(A794&amp;"-"&amp;B794,'Order Summary'!$D:$G,4,FALSE)</f>
        <v>Yes</v>
      </c>
      <c r="F794" s="55" t="e">
        <f>VLOOKUP($A794,'Order Summary'!$B:$I,8,FALSE)</f>
        <v>#N/A</v>
      </c>
      <c r="G794" s="216" t="str">
        <f>IF($A794="","",VLOOKUP($A794&amp;"-"&amp;$B794,'Order Summary'!$D:$U,18,FALSE))</f>
        <v/>
      </c>
      <c r="H794" s="55"/>
      <c r="I794" s="55"/>
      <c r="J794" s="55" t="e">
        <f>VLOOKUP($I794,'Pricing Table - eff 27-Jan-2026'!$A:$R,2,FALSE)</f>
        <v>#N/A</v>
      </c>
      <c r="K794" s="55" t="e">
        <f>VLOOKUP($I794,'Pricing Table - eff 27-Jan-2026'!$A:$R,6,FALSE)&amp;" "&amp;VLOOKUP($I794,'Pricing Table - eff 27-Jan-2026'!$A:$R,7,FALSE)&amp;""" x "&amp;VLOOKUP($I794,'Pricing Table - eff 27-Jan-2026'!$A:$R,9,FALSE)&amp;""" "&amp;VLOOKUP($I794,'Pricing Table - eff 27-Jan-2026'!$A:$R,5,FALSE)</f>
        <v>#N/A</v>
      </c>
      <c r="L794" s="55" t="e">
        <f>VLOOKUP($I794,'Pricing Table - eff 27-Jan-2026'!$A:$K,8,FALSE)</f>
        <v>#N/A</v>
      </c>
      <c r="M794" s="55" t="e">
        <f>VLOOKUP($I794,'Pricing Table - eff 27-Jan-2026'!$A:$K,10,FALSE)</f>
        <v>#N/A</v>
      </c>
      <c r="N794" s="55" t="e">
        <f>VLOOKUP($I794,'Pricing Table - eff 27-Jan-2026'!$A:$R,13,FALSE)&amp;" "&amp;VLOOKUP($I794,'Pricing Table - eff 27-Jan-2026'!$A:$R,12,FALSE)</f>
        <v>#N/A</v>
      </c>
      <c r="O794" s="56"/>
      <c r="P794" s="55" t="e">
        <f>(VLOOKUP($I794,'Pricing Table - eff 27-Jan-2026'!$A:$R,8,FALSE)/1000)*(VLOOKUP($I794,'Pricing Table - eff 27-Jan-2026'!$A:$R,10,FALSE)/1000)*Q794</f>
        <v>#N/A</v>
      </c>
      <c r="Q794" s="55" t="e">
        <f>ROUND(('Order Details'!$O794*1000)/((VLOOKUP($I794,'Pricing Table - eff 27-Jan-2026'!$A:$Q,7,FALSE)/12)*(VLOOKUP($I794,'Pricing Table - eff 27-Jan-2026'!$A:$Q,9,FALSE)/12))/5,0)*5</f>
        <v>#N/A</v>
      </c>
      <c r="R794" s="71" t="e">
        <f>$Q794/IFERROR(VLOOKUP($F794&amp;RIGHT($K794,8),'Master Data'!$O$5:$P$10,2,FALSE),'Master Data'!$P$4)</f>
        <v>#N/A</v>
      </c>
      <c r="S794" s="57" t="e">
        <f>VLOOKUP($I794,'Pricing Table - eff 27-Jan-2026'!$A:$Q,16,FALSE)</f>
        <v>#N/A</v>
      </c>
      <c r="T794" s="57" t="e">
        <f>VLOOKUP(I794,'Pricing Table - eff 27-Jan-2026'!$A:$O,15,FALSE)</f>
        <v>#N/A</v>
      </c>
      <c r="U794" s="57" t="e">
        <f t="shared" si="33"/>
        <v>#N/A</v>
      </c>
      <c r="V794" s="111" t="e">
        <f t="shared" si="34"/>
        <v>#N/A</v>
      </c>
      <c r="W794" s="55" t="e">
        <f>VLOOKUP($I794,'Pricing Table - eff 27-Jan-2026'!$A:$R,18,FALSE)</f>
        <v>#N/A</v>
      </c>
    </row>
    <row r="795" spans="1:23" hidden="1" x14ac:dyDescent="0.3">
      <c r="A795" s="55"/>
      <c r="B795" s="55"/>
      <c r="C795" s="55">
        <f>VLOOKUP(A795&amp;"-"&amp;B795,'Order Summary'!$D:$E,2,FALSE)</f>
        <v>0</v>
      </c>
      <c r="D795" s="216" t="str">
        <f>IF($A795="","",VLOOKUP($A795&amp;"-"&amp;$B795,'Order Summary'!$D:$U,3,FALSE))</f>
        <v/>
      </c>
      <c r="E795" s="55" t="str">
        <f>VLOOKUP(A795&amp;"-"&amp;B795,'Order Summary'!$D:$G,4,FALSE)</f>
        <v>Yes</v>
      </c>
      <c r="F795" s="55" t="e">
        <f>VLOOKUP($A795,'Order Summary'!$B:$I,8,FALSE)</f>
        <v>#N/A</v>
      </c>
      <c r="G795" s="216" t="str">
        <f>IF($A795="","",VLOOKUP($A795&amp;"-"&amp;$B795,'Order Summary'!$D:$U,18,FALSE))</f>
        <v/>
      </c>
      <c r="H795" s="55"/>
      <c r="I795" s="55"/>
      <c r="J795" s="55" t="e">
        <f>VLOOKUP($I795,'Pricing Table - eff 27-Jan-2026'!$A:$R,2,FALSE)</f>
        <v>#N/A</v>
      </c>
      <c r="K795" s="55" t="e">
        <f>VLOOKUP($I795,'Pricing Table - eff 27-Jan-2026'!$A:$R,6,FALSE)&amp;" "&amp;VLOOKUP($I795,'Pricing Table - eff 27-Jan-2026'!$A:$R,7,FALSE)&amp;""" x "&amp;VLOOKUP($I795,'Pricing Table - eff 27-Jan-2026'!$A:$R,9,FALSE)&amp;""" "&amp;VLOOKUP($I795,'Pricing Table - eff 27-Jan-2026'!$A:$R,5,FALSE)</f>
        <v>#N/A</v>
      </c>
      <c r="L795" s="55" t="e">
        <f>VLOOKUP($I795,'Pricing Table - eff 27-Jan-2026'!$A:$K,8,FALSE)</f>
        <v>#N/A</v>
      </c>
      <c r="M795" s="55" t="e">
        <f>VLOOKUP($I795,'Pricing Table - eff 27-Jan-2026'!$A:$K,10,FALSE)</f>
        <v>#N/A</v>
      </c>
      <c r="N795" s="55" t="e">
        <f>VLOOKUP($I795,'Pricing Table - eff 27-Jan-2026'!$A:$R,13,FALSE)&amp;" "&amp;VLOOKUP($I795,'Pricing Table - eff 27-Jan-2026'!$A:$R,12,FALSE)</f>
        <v>#N/A</v>
      </c>
      <c r="O795" s="56"/>
      <c r="P795" s="55" t="e">
        <f>(VLOOKUP($I795,'Pricing Table - eff 27-Jan-2026'!$A:$R,8,FALSE)/1000)*(VLOOKUP($I795,'Pricing Table - eff 27-Jan-2026'!$A:$R,10,FALSE)/1000)*Q795</f>
        <v>#N/A</v>
      </c>
      <c r="Q795" s="55" t="e">
        <f>ROUND(('Order Details'!$O795*1000)/((VLOOKUP($I795,'Pricing Table - eff 27-Jan-2026'!$A:$Q,7,FALSE)/12)*(VLOOKUP($I795,'Pricing Table - eff 27-Jan-2026'!$A:$Q,9,FALSE)/12))/5,0)*5</f>
        <v>#N/A</v>
      </c>
      <c r="R795" s="71" t="e">
        <f>$Q795/IFERROR(VLOOKUP($F795&amp;RIGHT($K795,8),'Master Data'!$O$5:$P$10,2,FALSE),'Master Data'!$P$4)</f>
        <v>#N/A</v>
      </c>
      <c r="S795" s="57" t="e">
        <f>VLOOKUP($I795,'Pricing Table - eff 27-Jan-2026'!$A:$Q,16,FALSE)</f>
        <v>#N/A</v>
      </c>
      <c r="T795" s="57" t="e">
        <f>VLOOKUP(I795,'Pricing Table - eff 27-Jan-2026'!$A:$O,15,FALSE)</f>
        <v>#N/A</v>
      </c>
      <c r="U795" s="57" t="e">
        <f t="shared" si="33"/>
        <v>#N/A</v>
      </c>
      <c r="V795" s="111" t="e">
        <f t="shared" si="34"/>
        <v>#N/A</v>
      </c>
      <c r="W795" s="55" t="e">
        <f>VLOOKUP($I795,'Pricing Table - eff 27-Jan-2026'!$A:$R,18,FALSE)</f>
        <v>#N/A</v>
      </c>
    </row>
    <row r="796" spans="1:23" hidden="1" x14ac:dyDescent="0.3">
      <c r="A796" s="55"/>
      <c r="B796" s="55"/>
      <c r="C796" s="55">
        <f>VLOOKUP(A796&amp;"-"&amp;B796,'Order Summary'!$D:$E,2,FALSE)</f>
        <v>0</v>
      </c>
      <c r="D796" s="216" t="str">
        <f>IF($A796="","",VLOOKUP($A796&amp;"-"&amp;$B796,'Order Summary'!$D:$U,3,FALSE))</f>
        <v/>
      </c>
      <c r="E796" s="55" t="str">
        <f>VLOOKUP(A796&amp;"-"&amp;B796,'Order Summary'!$D:$G,4,FALSE)</f>
        <v>Yes</v>
      </c>
      <c r="F796" s="55" t="e">
        <f>VLOOKUP($A796,'Order Summary'!$B:$I,8,FALSE)</f>
        <v>#N/A</v>
      </c>
      <c r="G796" s="216" t="str">
        <f>IF($A796="","",VLOOKUP($A796&amp;"-"&amp;$B796,'Order Summary'!$D:$U,18,FALSE))</f>
        <v/>
      </c>
      <c r="H796" s="55"/>
      <c r="I796" s="55"/>
      <c r="J796" s="55" t="e">
        <f>VLOOKUP($I796,'Pricing Table - eff 27-Jan-2026'!$A:$R,2,FALSE)</f>
        <v>#N/A</v>
      </c>
      <c r="K796" s="55" t="e">
        <f>VLOOKUP($I796,'Pricing Table - eff 27-Jan-2026'!$A:$R,6,FALSE)&amp;" "&amp;VLOOKUP($I796,'Pricing Table - eff 27-Jan-2026'!$A:$R,7,FALSE)&amp;""" x "&amp;VLOOKUP($I796,'Pricing Table - eff 27-Jan-2026'!$A:$R,9,FALSE)&amp;""" "&amp;VLOOKUP($I796,'Pricing Table - eff 27-Jan-2026'!$A:$R,5,FALSE)</f>
        <v>#N/A</v>
      </c>
      <c r="L796" s="55" t="e">
        <f>VLOOKUP($I796,'Pricing Table - eff 27-Jan-2026'!$A:$K,8,FALSE)</f>
        <v>#N/A</v>
      </c>
      <c r="M796" s="55" t="e">
        <f>VLOOKUP($I796,'Pricing Table - eff 27-Jan-2026'!$A:$K,10,FALSE)</f>
        <v>#N/A</v>
      </c>
      <c r="N796" s="55" t="e">
        <f>VLOOKUP($I796,'Pricing Table - eff 27-Jan-2026'!$A:$R,13,FALSE)&amp;" "&amp;VLOOKUP($I796,'Pricing Table - eff 27-Jan-2026'!$A:$R,12,FALSE)</f>
        <v>#N/A</v>
      </c>
      <c r="O796" s="56"/>
      <c r="P796" s="55" t="e">
        <f>(VLOOKUP($I796,'Pricing Table - eff 27-Jan-2026'!$A:$R,8,FALSE)/1000)*(VLOOKUP($I796,'Pricing Table - eff 27-Jan-2026'!$A:$R,10,FALSE)/1000)*Q796</f>
        <v>#N/A</v>
      </c>
      <c r="Q796" s="55" t="e">
        <f>ROUND(('Order Details'!$O796*1000)/((VLOOKUP($I796,'Pricing Table - eff 27-Jan-2026'!$A:$Q,7,FALSE)/12)*(VLOOKUP($I796,'Pricing Table - eff 27-Jan-2026'!$A:$Q,9,FALSE)/12))/5,0)*5</f>
        <v>#N/A</v>
      </c>
      <c r="R796" s="71" t="e">
        <f>$Q796/IFERROR(VLOOKUP($F796&amp;RIGHT($K796,8),'Master Data'!$O$5:$P$10,2,FALSE),'Master Data'!$P$4)</f>
        <v>#N/A</v>
      </c>
      <c r="S796" s="57" t="e">
        <f>VLOOKUP($I796,'Pricing Table - eff 27-Jan-2026'!$A:$Q,16,FALSE)</f>
        <v>#N/A</v>
      </c>
      <c r="T796" s="57" t="e">
        <f>VLOOKUP(I796,'Pricing Table - eff 27-Jan-2026'!$A:$O,15,FALSE)</f>
        <v>#N/A</v>
      </c>
      <c r="U796" s="57" t="e">
        <f t="shared" si="33"/>
        <v>#N/A</v>
      </c>
      <c r="V796" s="111" t="e">
        <f t="shared" si="34"/>
        <v>#N/A</v>
      </c>
      <c r="W796" s="55" t="e">
        <f>VLOOKUP($I796,'Pricing Table - eff 27-Jan-2026'!$A:$R,18,FALSE)</f>
        <v>#N/A</v>
      </c>
    </row>
    <row r="797" spans="1:23" hidden="1" x14ac:dyDescent="0.3">
      <c r="A797" s="55"/>
      <c r="B797" s="55"/>
      <c r="C797" s="55">
        <f>VLOOKUP(A797&amp;"-"&amp;B797,'Order Summary'!$D:$E,2,FALSE)</f>
        <v>0</v>
      </c>
      <c r="D797" s="216" t="str">
        <f>IF($A797="","",VLOOKUP($A797&amp;"-"&amp;$B797,'Order Summary'!$D:$U,3,FALSE))</f>
        <v/>
      </c>
      <c r="E797" s="55" t="str">
        <f>VLOOKUP(A797&amp;"-"&amp;B797,'Order Summary'!$D:$G,4,FALSE)</f>
        <v>Yes</v>
      </c>
      <c r="F797" s="55" t="e">
        <f>VLOOKUP($A797,'Order Summary'!$B:$I,8,FALSE)</f>
        <v>#N/A</v>
      </c>
      <c r="G797" s="216" t="str">
        <f>IF($A797="","",VLOOKUP($A797&amp;"-"&amp;$B797,'Order Summary'!$D:$U,18,FALSE))</f>
        <v/>
      </c>
      <c r="H797" s="55"/>
      <c r="I797" s="55"/>
      <c r="J797" s="55" t="e">
        <f>VLOOKUP($I797,'Pricing Table - eff 27-Jan-2026'!$A:$R,2,FALSE)</f>
        <v>#N/A</v>
      </c>
      <c r="K797" s="55" t="e">
        <f>VLOOKUP($I797,'Pricing Table - eff 27-Jan-2026'!$A:$R,6,FALSE)&amp;" "&amp;VLOOKUP($I797,'Pricing Table - eff 27-Jan-2026'!$A:$R,7,FALSE)&amp;""" x "&amp;VLOOKUP($I797,'Pricing Table - eff 27-Jan-2026'!$A:$R,9,FALSE)&amp;""" "&amp;VLOOKUP($I797,'Pricing Table - eff 27-Jan-2026'!$A:$R,5,FALSE)</f>
        <v>#N/A</v>
      </c>
      <c r="L797" s="55" t="e">
        <f>VLOOKUP($I797,'Pricing Table - eff 27-Jan-2026'!$A:$K,8,FALSE)</f>
        <v>#N/A</v>
      </c>
      <c r="M797" s="55" t="e">
        <f>VLOOKUP($I797,'Pricing Table - eff 27-Jan-2026'!$A:$K,10,FALSE)</f>
        <v>#N/A</v>
      </c>
      <c r="N797" s="55" t="e">
        <f>VLOOKUP($I797,'Pricing Table - eff 27-Jan-2026'!$A:$R,13,FALSE)&amp;" "&amp;VLOOKUP($I797,'Pricing Table - eff 27-Jan-2026'!$A:$R,12,FALSE)</f>
        <v>#N/A</v>
      </c>
      <c r="O797" s="56"/>
      <c r="P797" s="55" t="e">
        <f>(VLOOKUP($I797,'Pricing Table - eff 27-Jan-2026'!$A:$R,8,FALSE)/1000)*(VLOOKUP($I797,'Pricing Table - eff 27-Jan-2026'!$A:$R,10,FALSE)/1000)*Q797</f>
        <v>#N/A</v>
      </c>
      <c r="Q797" s="55" t="e">
        <f>ROUND(('Order Details'!$O797*1000)/((VLOOKUP($I797,'Pricing Table - eff 27-Jan-2026'!$A:$Q,7,FALSE)/12)*(VLOOKUP($I797,'Pricing Table - eff 27-Jan-2026'!$A:$Q,9,FALSE)/12))/5,0)*5</f>
        <v>#N/A</v>
      </c>
      <c r="R797" s="71" t="e">
        <f>$Q797/IFERROR(VLOOKUP($F797&amp;RIGHT($K797,8),'Master Data'!$O$5:$P$10,2,FALSE),'Master Data'!$P$4)</f>
        <v>#N/A</v>
      </c>
      <c r="S797" s="57" t="e">
        <f>VLOOKUP($I797,'Pricing Table - eff 27-Jan-2026'!$A:$Q,16,FALSE)</f>
        <v>#N/A</v>
      </c>
      <c r="T797" s="57" t="e">
        <f>VLOOKUP(I797,'Pricing Table - eff 27-Jan-2026'!$A:$O,15,FALSE)</f>
        <v>#N/A</v>
      </c>
      <c r="U797" s="57" t="e">
        <f t="shared" si="33"/>
        <v>#N/A</v>
      </c>
      <c r="V797" s="111" t="e">
        <f t="shared" si="34"/>
        <v>#N/A</v>
      </c>
      <c r="W797" s="55" t="e">
        <f>VLOOKUP($I797,'Pricing Table - eff 27-Jan-2026'!$A:$R,18,FALSE)</f>
        <v>#N/A</v>
      </c>
    </row>
    <row r="798" spans="1:23" hidden="1" x14ac:dyDescent="0.3">
      <c r="A798" s="55"/>
      <c r="B798" s="55"/>
      <c r="C798" s="55">
        <f>VLOOKUP(A798&amp;"-"&amp;B798,'Order Summary'!$D:$E,2,FALSE)</f>
        <v>0</v>
      </c>
      <c r="D798" s="216" t="str">
        <f>IF($A798="","",VLOOKUP($A798&amp;"-"&amp;$B798,'Order Summary'!$D:$U,3,FALSE))</f>
        <v/>
      </c>
      <c r="E798" s="55" t="str">
        <f>VLOOKUP(A798&amp;"-"&amp;B798,'Order Summary'!$D:$G,4,FALSE)</f>
        <v>Yes</v>
      </c>
      <c r="F798" s="55" t="e">
        <f>VLOOKUP($A798,'Order Summary'!$B:$I,8,FALSE)</f>
        <v>#N/A</v>
      </c>
      <c r="G798" s="216" t="str">
        <f>IF($A798="","",VLOOKUP($A798&amp;"-"&amp;$B798,'Order Summary'!$D:$U,18,FALSE))</f>
        <v/>
      </c>
      <c r="H798" s="55"/>
      <c r="I798" s="55"/>
      <c r="J798" s="55" t="e">
        <f>VLOOKUP($I798,'Pricing Table - eff 27-Jan-2026'!$A:$R,2,FALSE)</f>
        <v>#N/A</v>
      </c>
      <c r="K798" s="55" t="e">
        <f>VLOOKUP($I798,'Pricing Table - eff 27-Jan-2026'!$A:$R,6,FALSE)&amp;" "&amp;VLOOKUP($I798,'Pricing Table - eff 27-Jan-2026'!$A:$R,7,FALSE)&amp;""" x "&amp;VLOOKUP($I798,'Pricing Table - eff 27-Jan-2026'!$A:$R,9,FALSE)&amp;""" "&amp;VLOOKUP($I798,'Pricing Table - eff 27-Jan-2026'!$A:$R,5,FALSE)</f>
        <v>#N/A</v>
      </c>
      <c r="L798" s="55" t="e">
        <f>VLOOKUP($I798,'Pricing Table - eff 27-Jan-2026'!$A:$K,8,FALSE)</f>
        <v>#N/A</v>
      </c>
      <c r="M798" s="55" t="e">
        <f>VLOOKUP($I798,'Pricing Table - eff 27-Jan-2026'!$A:$K,10,FALSE)</f>
        <v>#N/A</v>
      </c>
      <c r="N798" s="55" t="e">
        <f>VLOOKUP($I798,'Pricing Table - eff 27-Jan-2026'!$A:$R,13,FALSE)&amp;" "&amp;VLOOKUP($I798,'Pricing Table - eff 27-Jan-2026'!$A:$R,12,FALSE)</f>
        <v>#N/A</v>
      </c>
      <c r="O798" s="56"/>
      <c r="P798" s="55" t="e">
        <f>(VLOOKUP($I798,'Pricing Table - eff 27-Jan-2026'!$A:$R,8,FALSE)/1000)*(VLOOKUP($I798,'Pricing Table - eff 27-Jan-2026'!$A:$R,10,FALSE)/1000)*Q798</f>
        <v>#N/A</v>
      </c>
      <c r="Q798" s="55" t="e">
        <f>ROUND(('Order Details'!$O798*1000)/((VLOOKUP($I798,'Pricing Table - eff 27-Jan-2026'!$A:$Q,7,FALSE)/12)*(VLOOKUP($I798,'Pricing Table - eff 27-Jan-2026'!$A:$Q,9,FALSE)/12))/5,0)*5</f>
        <v>#N/A</v>
      </c>
      <c r="R798" s="71" t="e">
        <f>$Q798/IFERROR(VLOOKUP($F798&amp;RIGHT($K798,8),'Master Data'!$O$5:$P$10,2,FALSE),'Master Data'!$P$4)</f>
        <v>#N/A</v>
      </c>
      <c r="S798" s="57" t="e">
        <f>VLOOKUP($I798,'Pricing Table - eff 27-Jan-2026'!$A:$Q,16,FALSE)</f>
        <v>#N/A</v>
      </c>
      <c r="T798" s="57" t="e">
        <f>VLOOKUP(I798,'Pricing Table - eff 27-Jan-2026'!$A:$O,15,FALSE)</f>
        <v>#N/A</v>
      </c>
      <c r="U798" s="57" t="e">
        <f t="shared" si="33"/>
        <v>#N/A</v>
      </c>
      <c r="V798" s="111" t="e">
        <f t="shared" si="34"/>
        <v>#N/A</v>
      </c>
      <c r="W798" s="55" t="e">
        <f>VLOOKUP($I798,'Pricing Table - eff 27-Jan-2026'!$A:$R,18,FALSE)</f>
        <v>#N/A</v>
      </c>
    </row>
    <row r="799" spans="1:23" hidden="1" x14ac:dyDescent="0.3">
      <c r="A799" s="55"/>
      <c r="B799" s="55"/>
      <c r="C799" s="55">
        <f>VLOOKUP(A799&amp;"-"&amp;B799,'Order Summary'!$D:$E,2,FALSE)</f>
        <v>0</v>
      </c>
      <c r="D799" s="216" t="str">
        <f>IF($A799="","",VLOOKUP($A799&amp;"-"&amp;$B799,'Order Summary'!$D:$U,3,FALSE))</f>
        <v/>
      </c>
      <c r="E799" s="55" t="str">
        <f>VLOOKUP(A799&amp;"-"&amp;B799,'Order Summary'!$D:$G,4,FALSE)</f>
        <v>Yes</v>
      </c>
      <c r="F799" s="55" t="e">
        <f>VLOOKUP($A799,'Order Summary'!$B:$I,8,FALSE)</f>
        <v>#N/A</v>
      </c>
      <c r="G799" s="216" t="str">
        <f>IF($A799="","",VLOOKUP($A799&amp;"-"&amp;$B799,'Order Summary'!$D:$U,18,FALSE))</f>
        <v/>
      </c>
      <c r="H799" s="55"/>
      <c r="I799" s="55"/>
      <c r="J799" s="55" t="e">
        <f>VLOOKUP($I799,'Pricing Table - eff 27-Jan-2026'!$A:$R,2,FALSE)</f>
        <v>#N/A</v>
      </c>
      <c r="K799" s="55" t="e">
        <f>VLOOKUP($I799,'Pricing Table - eff 27-Jan-2026'!$A:$R,6,FALSE)&amp;" "&amp;VLOOKUP($I799,'Pricing Table - eff 27-Jan-2026'!$A:$R,7,FALSE)&amp;""" x "&amp;VLOOKUP($I799,'Pricing Table - eff 27-Jan-2026'!$A:$R,9,FALSE)&amp;""" "&amp;VLOOKUP($I799,'Pricing Table - eff 27-Jan-2026'!$A:$R,5,FALSE)</f>
        <v>#N/A</v>
      </c>
      <c r="L799" s="55" t="e">
        <f>VLOOKUP($I799,'Pricing Table - eff 27-Jan-2026'!$A:$K,8,FALSE)</f>
        <v>#N/A</v>
      </c>
      <c r="M799" s="55" t="e">
        <f>VLOOKUP($I799,'Pricing Table - eff 27-Jan-2026'!$A:$K,10,FALSE)</f>
        <v>#N/A</v>
      </c>
      <c r="N799" s="55" t="e">
        <f>VLOOKUP($I799,'Pricing Table - eff 27-Jan-2026'!$A:$R,13,FALSE)&amp;" "&amp;VLOOKUP($I799,'Pricing Table - eff 27-Jan-2026'!$A:$R,12,FALSE)</f>
        <v>#N/A</v>
      </c>
      <c r="O799" s="56"/>
      <c r="P799" s="55" t="e">
        <f>(VLOOKUP($I799,'Pricing Table - eff 27-Jan-2026'!$A:$R,8,FALSE)/1000)*(VLOOKUP($I799,'Pricing Table - eff 27-Jan-2026'!$A:$R,10,FALSE)/1000)*Q799</f>
        <v>#N/A</v>
      </c>
      <c r="Q799" s="55" t="e">
        <f>ROUND(('Order Details'!$O799*1000)/((VLOOKUP($I799,'Pricing Table - eff 27-Jan-2026'!$A:$Q,7,FALSE)/12)*(VLOOKUP($I799,'Pricing Table - eff 27-Jan-2026'!$A:$Q,9,FALSE)/12))/5,0)*5</f>
        <v>#N/A</v>
      </c>
      <c r="R799" s="71" t="e">
        <f>$Q799/IFERROR(VLOOKUP($F799&amp;RIGHT($K799,8),'Master Data'!$O$5:$P$10,2,FALSE),'Master Data'!$P$4)</f>
        <v>#N/A</v>
      </c>
      <c r="S799" s="57" t="e">
        <f>VLOOKUP($I799,'Pricing Table - eff 27-Jan-2026'!$A:$Q,16,FALSE)</f>
        <v>#N/A</v>
      </c>
      <c r="T799" s="57" t="e">
        <f>VLOOKUP(I799,'Pricing Table - eff 27-Jan-2026'!$A:$O,15,FALSE)</f>
        <v>#N/A</v>
      </c>
      <c r="U799" s="57" t="e">
        <f t="shared" si="33"/>
        <v>#N/A</v>
      </c>
      <c r="V799" s="111" t="e">
        <f t="shared" si="34"/>
        <v>#N/A</v>
      </c>
      <c r="W799" s="55" t="e">
        <f>VLOOKUP($I799,'Pricing Table - eff 27-Jan-2026'!$A:$R,18,FALSE)</f>
        <v>#N/A</v>
      </c>
    </row>
    <row r="800" spans="1:23" hidden="1" x14ac:dyDescent="0.3">
      <c r="A800" s="55"/>
      <c r="B800" s="55"/>
      <c r="C800" s="55">
        <f>VLOOKUP(A800&amp;"-"&amp;B800,'Order Summary'!$D:$E,2,FALSE)</f>
        <v>0</v>
      </c>
      <c r="D800" s="216" t="str">
        <f>IF($A800="","",VLOOKUP($A800&amp;"-"&amp;$B800,'Order Summary'!$D:$U,3,FALSE))</f>
        <v/>
      </c>
      <c r="E800" s="55" t="str">
        <f>VLOOKUP(A800&amp;"-"&amp;B800,'Order Summary'!$D:$G,4,FALSE)</f>
        <v>Yes</v>
      </c>
      <c r="F800" s="55" t="e">
        <f>VLOOKUP($A800,'Order Summary'!$B:$I,8,FALSE)</f>
        <v>#N/A</v>
      </c>
      <c r="G800" s="216" t="str">
        <f>IF($A800="","",VLOOKUP($A800&amp;"-"&amp;$B800,'Order Summary'!$D:$U,18,FALSE))</f>
        <v/>
      </c>
      <c r="H800" s="55"/>
      <c r="I800" s="55"/>
      <c r="J800" s="55" t="e">
        <f>VLOOKUP($I800,'Pricing Table - eff 27-Jan-2026'!$A:$R,2,FALSE)</f>
        <v>#N/A</v>
      </c>
      <c r="K800" s="55" t="e">
        <f>VLOOKUP($I800,'Pricing Table - eff 27-Jan-2026'!$A:$R,6,FALSE)&amp;" "&amp;VLOOKUP($I800,'Pricing Table - eff 27-Jan-2026'!$A:$R,7,FALSE)&amp;""" x "&amp;VLOOKUP($I800,'Pricing Table - eff 27-Jan-2026'!$A:$R,9,FALSE)&amp;""" "&amp;VLOOKUP($I800,'Pricing Table - eff 27-Jan-2026'!$A:$R,5,FALSE)</f>
        <v>#N/A</v>
      </c>
      <c r="L800" s="55" t="e">
        <f>VLOOKUP($I800,'Pricing Table - eff 27-Jan-2026'!$A:$K,8,FALSE)</f>
        <v>#N/A</v>
      </c>
      <c r="M800" s="55" t="e">
        <f>VLOOKUP($I800,'Pricing Table - eff 27-Jan-2026'!$A:$K,10,FALSE)</f>
        <v>#N/A</v>
      </c>
      <c r="N800" s="55" t="e">
        <f>VLOOKUP($I800,'Pricing Table - eff 27-Jan-2026'!$A:$R,13,FALSE)&amp;" "&amp;VLOOKUP($I800,'Pricing Table - eff 27-Jan-2026'!$A:$R,12,FALSE)</f>
        <v>#N/A</v>
      </c>
      <c r="O800" s="56"/>
      <c r="P800" s="55" t="e">
        <f>(VLOOKUP($I800,'Pricing Table - eff 27-Jan-2026'!$A:$R,8,FALSE)/1000)*(VLOOKUP($I800,'Pricing Table - eff 27-Jan-2026'!$A:$R,10,FALSE)/1000)*Q800</f>
        <v>#N/A</v>
      </c>
      <c r="Q800" s="55" t="e">
        <f>ROUND(('Order Details'!$O800*1000)/((VLOOKUP($I800,'Pricing Table - eff 27-Jan-2026'!$A:$Q,7,FALSE)/12)*(VLOOKUP($I800,'Pricing Table - eff 27-Jan-2026'!$A:$Q,9,FALSE)/12))/5,0)*5</f>
        <v>#N/A</v>
      </c>
      <c r="R800" s="71" t="e">
        <f>$Q800/IFERROR(VLOOKUP($F800&amp;RIGHT($K800,8),'Master Data'!$O$5:$P$10,2,FALSE),'Master Data'!$P$4)</f>
        <v>#N/A</v>
      </c>
      <c r="S800" s="57" t="e">
        <f>VLOOKUP($I800,'Pricing Table - eff 27-Jan-2026'!$A:$Q,16,FALSE)</f>
        <v>#N/A</v>
      </c>
      <c r="T800" s="57" t="e">
        <f>VLOOKUP(I800,'Pricing Table - eff 27-Jan-2026'!$A:$O,15,FALSE)</f>
        <v>#N/A</v>
      </c>
      <c r="U800" s="57" t="e">
        <f t="shared" si="33"/>
        <v>#N/A</v>
      </c>
      <c r="V800" s="111" t="e">
        <f t="shared" si="34"/>
        <v>#N/A</v>
      </c>
      <c r="W800" s="55" t="e">
        <f>VLOOKUP($I800,'Pricing Table - eff 27-Jan-2026'!$A:$R,18,FALSE)</f>
        <v>#N/A</v>
      </c>
    </row>
    <row r="801" spans="1:23" hidden="1" x14ac:dyDescent="0.3">
      <c r="A801" s="55"/>
      <c r="B801" s="55"/>
      <c r="C801" s="55">
        <f>VLOOKUP(A801&amp;"-"&amp;B801,'Order Summary'!$D:$E,2,FALSE)</f>
        <v>0</v>
      </c>
      <c r="D801" s="216" t="str">
        <f>IF($A801="","",VLOOKUP($A801&amp;"-"&amp;$B801,'Order Summary'!$D:$U,3,FALSE))</f>
        <v/>
      </c>
      <c r="E801" s="55" t="str">
        <f>VLOOKUP(A801&amp;"-"&amp;B801,'Order Summary'!$D:$G,4,FALSE)</f>
        <v>Yes</v>
      </c>
      <c r="F801" s="55" t="e">
        <f>VLOOKUP($A801,'Order Summary'!$B:$I,8,FALSE)</f>
        <v>#N/A</v>
      </c>
      <c r="G801" s="216" t="str">
        <f>IF($A801="","",VLOOKUP($A801&amp;"-"&amp;$B801,'Order Summary'!$D:$U,18,FALSE))</f>
        <v/>
      </c>
      <c r="H801" s="55"/>
      <c r="I801" s="55"/>
      <c r="J801" s="55" t="e">
        <f>VLOOKUP($I801,'Pricing Table - eff 27-Jan-2026'!$A:$R,2,FALSE)</f>
        <v>#N/A</v>
      </c>
      <c r="K801" s="55" t="e">
        <f>VLOOKUP($I801,'Pricing Table - eff 27-Jan-2026'!$A:$R,6,FALSE)&amp;" "&amp;VLOOKUP($I801,'Pricing Table - eff 27-Jan-2026'!$A:$R,7,FALSE)&amp;""" x "&amp;VLOOKUP($I801,'Pricing Table - eff 27-Jan-2026'!$A:$R,9,FALSE)&amp;""" "&amp;VLOOKUP($I801,'Pricing Table - eff 27-Jan-2026'!$A:$R,5,FALSE)</f>
        <v>#N/A</v>
      </c>
      <c r="L801" s="55" t="e">
        <f>VLOOKUP($I801,'Pricing Table - eff 27-Jan-2026'!$A:$K,8,FALSE)</f>
        <v>#N/A</v>
      </c>
      <c r="M801" s="55" t="e">
        <f>VLOOKUP($I801,'Pricing Table - eff 27-Jan-2026'!$A:$K,10,FALSE)</f>
        <v>#N/A</v>
      </c>
      <c r="N801" s="55" t="e">
        <f>VLOOKUP($I801,'Pricing Table - eff 27-Jan-2026'!$A:$R,13,FALSE)&amp;" "&amp;VLOOKUP($I801,'Pricing Table - eff 27-Jan-2026'!$A:$R,12,FALSE)</f>
        <v>#N/A</v>
      </c>
      <c r="O801" s="56"/>
      <c r="P801" s="55" t="e">
        <f>(VLOOKUP($I801,'Pricing Table - eff 27-Jan-2026'!$A:$R,8,FALSE)/1000)*(VLOOKUP($I801,'Pricing Table - eff 27-Jan-2026'!$A:$R,10,FALSE)/1000)*Q801</f>
        <v>#N/A</v>
      </c>
      <c r="Q801" s="55" t="e">
        <f>ROUND(('Order Details'!$O801*1000)/((VLOOKUP($I801,'Pricing Table - eff 27-Jan-2026'!$A:$Q,7,FALSE)/12)*(VLOOKUP($I801,'Pricing Table - eff 27-Jan-2026'!$A:$Q,9,FALSE)/12))/5,0)*5</f>
        <v>#N/A</v>
      </c>
      <c r="R801" s="71" t="e">
        <f>$Q801/IFERROR(VLOOKUP($F801&amp;RIGHT($K801,8),'Master Data'!$O$5:$P$10,2,FALSE),'Master Data'!$P$4)</f>
        <v>#N/A</v>
      </c>
      <c r="S801" s="57" t="e">
        <f>VLOOKUP($I801,'Pricing Table - eff 27-Jan-2026'!$A:$Q,16,FALSE)</f>
        <v>#N/A</v>
      </c>
      <c r="T801" s="57" t="e">
        <f>VLOOKUP(I801,'Pricing Table - eff 27-Jan-2026'!$A:$O,15,FALSE)</f>
        <v>#N/A</v>
      </c>
      <c r="U801" s="57" t="e">
        <f t="shared" si="33"/>
        <v>#N/A</v>
      </c>
      <c r="V801" s="111" t="e">
        <f t="shared" si="34"/>
        <v>#N/A</v>
      </c>
      <c r="W801" s="55" t="e">
        <f>VLOOKUP($I801,'Pricing Table - eff 27-Jan-2026'!$A:$R,18,FALSE)</f>
        <v>#N/A</v>
      </c>
    </row>
    <row r="802" spans="1:23" hidden="1" x14ac:dyDescent="0.3">
      <c r="A802" s="55"/>
      <c r="B802" s="55"/>
      <c r="C802" s="55">
        <f>VLOOKUP(A802&amp;"-"&amp;B802,'Order Summary'!$D:$E,2,FALSE)</f>
        <v>0</v>
      </c>
      <c r="D802" s="216" t="str">
        <f>IF($A802="","",VLOOKUP($A802&amp;"-"&amp;$B802,'Order Summary'!$D:$U,3,FALSE))</f>
        <v/>
      </c>
      <c r="E802" s="55" t="str">
        <f>VLOOKUP(A802&amp;"-"&amp;B802,'Order Summary'!$D:$G,4,FALSE)</f>
        <v>Yes</v>
      </c>
      <c r="F802" s="55" t="e">
        <f>VLOOKUP($A802,'Order Summary'!$B:$I,8,FALSE)</f>
        <v>#N/A</v>
      </c>
      <c r="G802" s="216" t="str">
        <f>IF($A802="","",VLOOKUP($A802&amp;"-"&amp;$B802,'Order Summary'!$D:$U,18,FALSE))</f>
        <v/>
      </c>
      <c r="H802" s="55"/>
      <c r="I802" s="55"/>
      <c r="J802" s="55" t="e">
        <f>VLOOKUP($I802,'Pricing Table - eff 27-Jan-2026'!$A:$R,2,FALSE)</f>
        <v>#N/A</v>
      </c>
      <c r="K802" s="55" t="e">
        <f>VLOOKUP($I802,'Pricing Table - eff 27-Jan-2026'!$A:$R,6,FALSE)&amp;" "&amp;VLOOKUP($I802,'Pricing Table - eff 27-Jan-2026'!$A:$R,7,FALSE)&amp;""" x "&amp;VLOOKUP($I802,'Pricing Table - eff 27-Jan-2026'!$A:$R,9,FALSE)&amp;""" "&amp;VLOOKUP($I802,'Pricing Table - eff 27-Jan-2026'!$A:$R,5,FALSE)</f>
        <v>#N/A</v>
      </c>
      <c r="L802" s="55" t="e">
        <f>VLOOKUP($I802,'Pricing Table - eff 27-Jan-2026'!$A:$K,8,FALSE)</f>
        <v>#N/A</v>
      </c>
      <c r="M802" s="55" t="e">
        <f>VLOOKUP($I802,'Pricing Table - eff 27-Jan-2026'!$A:$K,10,FALSE)</f>
        <v>#N/A</v>
      </c>
      <c r="N802" s="55" t="e">
        <f>VLOOKUP($I802,'Pricing Table - eff 27-Jan-2026'!$A:$R,13,FALSE)&amp;" "&amp;VLOOKUP($I802,'Pricing Table - eff 27-Jan-2026'!$A:$R,12,FALSE)</f>
        <v>#N/A</v>
      </c>
      <c r="O802" s="56"/>
      <c r="P802" s="55" t="e">
        <f>(VLOOKUP($I802,'Pricing Table - eff 27-Jan-2026'!$A:$R,8,FALSE)/1000)*(VLOOKUP($I802,'Pricing Table - eff 27-Jan-2026'!$A:$R,10,FALSE)/1000)*Q802</f>
        <v>#N/A</v>
      </c>
      <c r="Q802" s="55" t="e">
        <f>ROUND(('Order Details'!$O802*1000)/((VLOOKUP($I802,'Pricing Table - eff 27-Jan-2026'!$A:$Q,7,FALSE)/12)*(VLOOKUP($I802,'Pricing Table - eff 27-Jan-2026'!$A:$Q,9,FALSE)/12))/5,0)*5</f>
        <v>#N/A</v>
      </c>
      <c r="R802" s="71" t="e">
        <f>$Q802/IFERROR(VLOOKUP($F802&amp;RIGHT($K802,8),'Master Data'!$O$5:$P$10,2,FALSE),'Master Data'!$P$4)</f>
        <v>#N/A</v>
      </c>
      <c r="S802" s="57" t="e">
        <f>VLOOKUP($I802,'Pricing Table - eff 27-Jan-2026'!$A:$Q,16,FALSE)</f>
        <v>#N/A</v>
      </c>
      <c r="T802" s="57" t="e">
        <f>VLOOKUP(I802,'Pricing Table - eff 27-Jan-2026'!$A:$O,15,FALSE)</f>
        <v>#N/A</v>
      </c>
      <c r="U802" s="57" t="e">
        <f t="shared" si="33"/>
        <v>#N/A</v>
      </c>
      <c r="V802" s="111" t="e">
        <f t="shared" si="34"/>
        <v>#N/A</v>
      </c>
      <c r="W802" s="55" t="e">
        <f>VLOOKUP($I802,'Pricing Table - eff 27-Jan-2026'!$A:$R,18,FALSE)</f>
        <v>#N/A</v>
      </c>
    </row>
    <row r="803" spans="1:23" hidden="1" x14ac:dyDescent="0.3">
      <c r="A803" s="55"/>
      <c r="B803" s="55"/>
      <c r="C803" s="55">
        <f>VLOOKUP(A803&amp;"-"&amp;B803,'Order Summary'!$D:$E,2,FALSE)</f>
        <v>0</v>
      </c>
      <c r="D803" s="216" t="str">
        <f>IF($A803="","",VLOOKUP($A803&amp;"-"&amp;$B803,'Order Summary'!$D:$U,3,FALSE))</f>
        <v/>
      </c>
      <c r="E803" s="55" t="str">
        <f>VLOOKUP(A803&amp;"-"&amp;B803,'Order Summary'!$D:$G,4,FALSE)</f>
        <v>Yes</v>
      </c>
      <c r="F803" s="55" t="e">
        <f>VLOOKUP($A803,'Order Summary'!$B:$I,8,FALSE)</f>
        <v>#N/A</v>
      </c>
      <c r="G803" s="216" t="str">
        <f>IF($A803="","",VLOOKUP($A803&amp;"-"&amp;$B803,'Order Summary'!$D:$U,18,FALSE))</f>
        <v/>
      </c>
      <c r="H803" s="55"/>
      <c r="I803" s="55"/>
      <c r="J803" s="55" t="e">
        <f>VLOOKUP($I803,'Pricing Table - eff 27-Jan-2026'!$A:$R,2,FALSE)</f>
        <v>#N/A</v>
      </c>
      <c r="K803" s="55" t="e">
        <f>VLOOKUP($I803,'Pricing Table - eff 27-Jan-2026'!$A:$R,6,FALSE)&amp;" "&amp;VLOOKUP($I803,'Pricing Table - eff 27-Jan-2026'!$A:$R,7,FALSE)&amp;""" x "&amp;VLOOKUP($I803,'Pricing Table - eff 27-Jan-2026'!$A:$R,9,FALSE)&amp;""" "&amp;VLOOKUP($I803,'Pricing Table - eff 27-Jan-2026'!$A:$R,5,FALSE)</f>
        <v>#N/A</v>
      </c>
      <c r="L803" s="55" t="e">
        <f>VLOOKUP($I803,'Pricing Table - eff 27-Jan-2026'!$A:$K,8,FALSE)</f>
        <v>#N/A</v>
      </c>
      <c r="M803" s="55" t="e">
        <f>VLOOKUP($I803,'Pricing Table - eff 27-Jan-2026'!$A:$K,10,FALSE)</f>
        <v>#N/A</v>
      </c>
      <c r="N803" s="55" t="e">
        <f>VLOOKUP($I803,'Pricing Table - eff 27-Jan-2026'!$A:$R,13,FALSE)&amp;" "&amp;VLOOKUP($I803,'Pricing Table - eff 27-Jan-2026'!$A:$R,12,FALSE)</f>
        <v>#N/A</v>
      </c>
      <c r="O803" s="56"/>
      <c r="P803" s="55" t="e">
        <f>(VLOOKUP($I803,'Pricing Table - eff 27-Jan-2026'!$A:$R,8,FALSE)/1000)*(VLOOKUP($I803,'Pricing Table - eff 27-Jan-2026'!$A:$R,10,FALSE)/1000)*Q803</f>
        <v>#N/A</v>
      </c>
      <c r="Q803" s="55" t="e">
        <f>ROUND(('Order Details'!$O803*1000)/((VLOOKUP($I803,'Pricing Table - eff 27-Jan-2026'!$A:$Q,7,FALSE)/12)*(VLOOKUP($I803,'Pricing Table - eff 27-Jan-2026'!$A:$Q,9,FALSE)/12))/5,0)*5</f>
        <v>#N/A</v>
      </c>
      <c r="R803" s="71" t="e">
        <f>$Q803/IFERROR(VLOOKUP($F803&amp;RIGHT($K803,8),'Master Data'!$O$5:$P$10,2,FALSE),'Master Data'!$P$4)</f>
        <v>#N/A</v>
      </c>
      <c r="S803" s="57" t="e">
        <f>VLOOKUP($I803,'Pricing Table - eff 27-Jan-2026'!$A:$Q,16,FALSE)</f>
        <v>#N/A</v>
      </c>
      <c r="T803" s="57" t="e">
        <f>VLOOKUP(I803,'Pricing Table - eff 27-Jan-2026'!$A:$O,15,FALSE)</f>
        <v>#N/A</v>
      </c>
      <c r="U803" s="57" t="e">
        <f t="shared" si="33"/>
        <v>#N/A</v>
      </c>
      <c r="V803" s="111" t="e">
        <f t="shared" si="34"/>
        <v>#N/A</v>
      </c>
      <c r="W803" s="55" t="e">
        <f>VLOOKUP($I803,'Pricing Table - eff 27-Jan-2026'!$A:$R,18,FALSE)</f>
        <v>#N/A</v>
      </c>
    </row>
    <row r="804" spans="1:23" hidden="1" x14ac:dyDescent="0.3">
      <c r="A804" s="55"/>
      <c r="B804" s="55"/>
      <c r="C804" s="55">
        <f>VLOOKUP(A804&amp;"-"&amp;B804,'Order Summary'!$D:$E,2,FALSE)</f>
        <v>0</v>
      </c>
      <c r="D804" s="216" t="str">
        <f>IF($A804="","",VLOOKUP($A804&amp;"-"&amp;$B804,'Order Summary'!$D:$U,3,FALSE))</f>
        <v/>
      </c>
      <c r="E804" s="55" t="str">
        <f>VLOOKUP(A804&amp;"-"&amp;B804,'Order Summary'!$D:$G,4,FALSE)</f>
        <v>Yes</v>
      </c>
      <c r="F804" s="55" t="e">
        <f>VLOOKUP($A804,'Order Summary'!$B:$I,8,FALSE)</f>
        <v>#N/A</v>
      </c>
      <c r="G804" s="216" t="str">
        <f>IF($A804="","",VLOOKUP($A804&amp;"-"&amp;$B804,'Order Summary'!$D:$U,18,FALSE))</f>
        <v/>
      </c>
      <c r="H804" s="55"/>
      <c r="I804" s="55"/>
      <c r="J804" s="55" t="e">
        <f>VLOOKUP($I804,'Pricing Table - eff 27-Jan-2026'!$A:$R,2,FALSE)</f>
        <v>#N/A</v>
      </c>
      <c r="K804" s="55" t="e">
        <f>VLOOKUP($I804,'Pricing Table - eff 27-Jan-2026'!$A:$R,6,FALSE)&amp;" "&amp;VLOOKUP($I804,'Pricing Table - eff 27-Jan-2026'!$A:$R,7,FALSE)&amp;""" x "&amp;VLOOKUP($I804,'Pricing Table - eff 27-Jan-2026'!$A:$R,9,FALSE)&amp;""" "&amp;VLOOKUP($I804,'Pricing Table - eff 27-Jan-2026'!$A:$R,5,FALSE)</f>
        <v>#N/A</v>
      </c>
      <c r="L804" s="55" t="e">
        <f>VLOOKUP($I804,'Pricing Table - eff 27-Jan-2026'!$A:$K,8,FALSE)</f>
        <v>#N/A</v>
      </c>
      <c r="M804" s="55" t="e">
        <f>VLOOKUP($I804,'Pricing Table - eff 27-Jan-2026'!$A:$K,10,FALSE)</f>
        <v>#N/A</v>
      </c>
      <c r="N804" s="55" t="e">
        <f>VLOOKUP($I804,'Pricing Table - eff 27-Jan-2026'!$A:$R,13,FALSE)&amp;" "&amp;VLOOKUP($I804,'Pricing Table - eff 27-Jan-2026'!$A:$R,12,FALSE)</f>
        <v>#N/A</v>
      </c>
      <c r="O804" s="56"/>
      <c r="P804" s="55" t="e">
        <f>(VLOOKUP($I804,'Pricing Table - eff 27-Jan-2026'!$A:$R,8,FALSE)/1000)*(VLOOKUP($I804,'Pricing Table - eff 27-Jan-2026'!$A:$R,10,FALSE)/1000)*Q804</f>
        <v>#N/A</v>
      </c>
      <c r="Q804" s="55" t="e">
        <f>ROUND(('Order Details'!$O804*1000)/((VLOOKUP($I804,'Pricing Table - eff 27-Jan-2026'!$A:$Q,7,FALSE)/12)*(VLOOKUP($I804,'Pricing Table - eff 27-Jan-2026'!$A:$Q,9,FALSE)/12))/5,0)*5</f>
        <v>#N/A</v>
      </c>
      <c r="R804" s="71" t="e">
        <f>$Q804/IFERROR(VLOOKUP($F804&amp;RIGHT($K804,8),'Master Data'!$O$5:$P$10,2,FALSE),'Master Data'!$P$4)</f>
        <v>#N/A</v>
      </c>
      <c r="S804" s="57" t="e">
        <f>VLOOKUP($I804,'Pricing Table - eff 27-Jan-2026'!$A:$Q,16,FALSE)</f>
        <v>#N/A</v>
      </c>
      <c r="T804" s="57" t="e">
        <f>VLOOKUP(I804,'Pricing Table - eff 27-Jan-2026'!$A:$O,15,FALSE)</f>
        <v>#N/A</v>
      </c>
      <c r="U804" s="57" t="e">
        <f t="shared" si="33"/>
        <v>#N/A</v>
      </c>
      <c r="V804" s="111" t="e">
        <f t="shared" si="34"/>
        <v>#N/A</v>
      </c>
      <c r="W804" s="55" t="e">
        <f>VLOOKUP($I804,'Pricing Table - eff 27-Jan-2026'!$A:$R,18,FALSE)</f>
        <v>#N/A</v>
      </c>
    </row>
    <row r="805" spans="1:23" hidden="1" x14ac:dyDescent="0.3">
      <c r="A805" s="55"/>
      <c r="B805" s="55"/>
      <c r="C805" s="55">
        <f>VLOOKUP(A805&amp;"-"&amp;B805,'Order Summary'!$D:$E,2,FALSE)</f>
        <v>0</v>
      </c>
      <c r="D805" s="216" t="str">
        <f>IF($A805="","",VLOOKUP($A805&amp;"-"&amp;$B805,'Order Summary'!$D:$U,3,FALSE))</f>
        <v/>
      </c>
      <c r="E805" s="55" t="str">
        <f>VLOOKUP(A805&amp;"-"&amp;B805,'Order Summary'!$D:$G,4,FALSE)</f>
        <v>Yes</v>
      </c>
      <c r="F805" s="55" t="e">
        <f>VLOOKUP($A805,'Order Summary'!$B:$I,8,FALSE)</f>
        <v>#N/A</v>
      </c>
      <c r="G805" s="216" t="str">
        <f>IF($A805="","",VLOOKUP($A805&amp;"-"&amp;$B805,'Order Summary'!$D:$U,18,FALSE))</f>
        <v/>
      </c>
      <c r="H805" s="55"/>
      <c r="I805" s="55"/>
      <c r="J805" s="55" t="e">
        <f>VLOOKUP($I805,'Pricing Table - eff 27-Jan-2026'!$A:$R,2,FALSE)</f>
        <v>#N/A</v>
      </c>
      <c r="K805" s="55" t="e">
        <f>VLOOKUP($I805,'Pricing Table - eff 27-Jan-2026'!$A:$R,6,FALSE)&amp;" "&amp;VLOOKUP($I805,'Pricing Table - eff 27-Jan-2026'!$A:$R,7,FALSE)&amp;""" x "&amp;VLOOKUP($I805,'Pricing Table - eff 27-Jan-2026'!$A:$R,9,FALSE)&amp;""" "&amp;VLOOKUP($I805,'Pricing Table - eff 27-Jan-2026'!$A:$R,5,FALSE)</f>
        <v>#N/A</v>
      </c>
      <c r="L805" s="55" t="e">
        <f>VLOOKUP($I805,'Pricing Table - eff 27-Jan-2026'!$A:$K,8,FALSE)</f>
        <v>#N/A</v>
      </c>
      <c r="M805" s="55" t="e">
        <f>VLOOKUP($I805,'Pricing Table - eff 27-Jan-2026'!$A:$K,10,FALSE)</f>
        <v>#N/A</v>
      </c>
      <c r="N805" s="55" t="e">
        <f>VLOOKUP($I805,'Pricing Table - eff 27-Jan-2026'!$A:$R,13,FALSE)&amp;" "&amp;VLOOKUP($I805,'Pricing Table - eff 27-Jan-2026'!$A:$R,12,FALSE)</f>
        <v>#N/A</v>
      </c>
      <c r="O805" s="56"/>
      <c r="P805" s="55" t="e">
        <f>(VLOOKUP($I805,'Pricing Table - eff 27-Jan-2026'!$A:$R,8,FALSE)/1000)*(VLOOKUP($I805,'Pricing Table - eff 27-Jan-2026'!$A:$R,10,FALSE)/1000)*Q805</f>
        <v>#N/A</v>
      </c>
      <c r="Q805" s="55" t="e">
        <f>ROUND(('Order Details'!$O805*1000)/((VLOOKUP($I805,'Pricing Table - eff 27-Jan-2026'!$A:$Q,7,FALSE)/12)*(VLOOKUP($I805,'Pricing Table - eff 27-Jan-2026'!$A:$Q,9,FALSE)/12))/5,0)*5</f>
        <v>#N/A</v>
      </c>
      <c r="R805" s="71" t="e">
        <f>$Q805/IFERROR(VLOOKUP($F805&amp;RIGHT($K805,8),'Master Data'!$O$5:$P$10,2,FALSE),'Master Data'!$P$4)</f>
        <v>#N/A</v>
      </c>
      <c r="S805" s="57" t="e">
        <f>VLOOKUP($I805,'Pricing Table - eff 27-Jan-2026'!$A:$Q,16,FALSE)</f>
        <v>#N/A</v>
      </c>
      <c r="T805" s="57" t="e">
        <f>VLOOKUP(I805,'Pricing Table - eff 27-Jan-2026'!$A:$O,15,FALSE)</f>
        <v>#N/A</v>
      </c>
      <c r="U805" s="57" t="e">
        <f t="shared" si="33"/>
        <v>#N/A</v>
      </c>
      <c r="V805" s="111" t="e">
        <f t="shared" si="34"/>
        <v>#N/A</v>
      </c>
      <c r="W805" s="55" t="e">
        <f>VLOOKUP($I805,'Pricing Table - eff 27-Jan-2026'!$A:$R,18,FALSE)</f>
        <v>#N/A</v>
      </c>
    </row>
    <row r="806" spans="1:23" hidden="1" x14ac:dyDescent="0.3">
      <c r="A806" s="55"/>
      <c r="B806" s="55"/>
      <c r="C806" s="55">
        <f>VLOOKUP(A806&amp;"-"&amp;B806,'Order Summary'!$D:$E,2,FALSE)</f>
        <v>0</v>
      </c>
      <c r="D806" s="216" t="str">
        <f>IF($A806="","",VLOOKUP($A806&amp;"-"&amp;$B806,'Order Summary'!$D:$U,3,FALSE))</f>
        <v/>
      </c>
      <c r="E806" s="55" t="str">
        <f>VLOOKUP(A806&amp;"-"&amp;B806,'Order Summary'!$D:$G,4,FALSE)</f>
        <v>Yes</v>
      </c>
      <c r="F806" s="55" t="e">
        <f>VLOOKUP($A806,'Order Summary'!$B:$I,8,FALSE)</f>
        <v>#N/A</v>
      </c>
      <c r="G806" s="216" t="str">
        <f>IF($A806="","",VLOOKUP($A806&amp;"-"&amp;$B806,'Order Summary'!$D:$U,18,FALSE))</f>
        <v/>
      </c>
      <c r="H806" s="55"/>
      <c r="I806" s="55"/>
      <c r="J806" s="55" t="e">
        <f>VLOOKUP($I806,'Pricing Table - eff 27-Jan-2026'!$A:$R,2,FALSE)</f>
        <v>#N/A</v>
      </c>
      <c r="K806" s="55" t="e">
        <f>VLOOKUP($I806,'Pricing Table - eff 27-Jan-2026'!$A:$R,6,FALSE)&amp;" "&amp;VLOOKUP($I806,'Pricing Table - eff 27-Jan-2026'!$A:$R,7,FALSE)&amp;""" x "&amp;VLOOKUP($I806,'Pricing Table - eff 27-Jan-2026'!$A:$R,9,FALSE)&amp;""" "&amp;VLOOKUP($I806,'Pricing Table - eff 27-Jan-2026'!$A:$R,5,FALSE)</f>
        <v>#N/A</v>
      </c>
      <c r="L806" s="55" t="e">
        <f>VLOOKUP($I806,'Pricing Table - eff 27-Jan-2026'!$A:$K,8,FALSE)</f>
        <v>#N/A</v>
      </c>
      <c r="M806" s="55" t="e">
        <f>VLOOKUP($I806,'Pricing Table - eff 27-Jan-2026'!$A:$K,10,FALSE)</f>
        <v>#N/A</v>
      </c>
      <c r="N806" s="55" t="e">
        <f>VLOOKUP($I806,'Pricing Table - eff 27-Jan-2026'!$A:$R,13,FALSE)&amp;" "&amp;VLOOKUP($I806,'Pricing Table - eff 27-Jan-2026'!$A:$R,12,FALSE)</f>
        <v>#N/A</v>
      </c>
      <c r="O806" s="56"/>
      <c r="P806" s="55" t="e">
        <f>(VLOOKUP($I806,'Pricing Table - eff 27-Jan-2026'!$A:$R,8,FALSE)/1000)*(VLOOKUP($I806,'Pricing Table - eff 27-Jan-2026'!$A:$R,10,FALSE)/1000)*Q806</f>
        <v>#N/A</v>
      </c>
      <c r="Q806" s="55" t="e">
        <f>ROUND(('Order Details'!$O806*1000)/((VLOOKUP($I806,'Pricing Table - eff 27-Jan-2026'!$A:$Q,7,FALSE)/12)*(VLOOKUP($I806,'Pricing Table - eff 27-Jan-2026'!$A:$Q,9,FALSE)/12))/5,0)*5</f>
        <v>#N/A</v>
      </c>
      <c r="R806" s="71" t="e">
        <f>$Q806/IFERROR(VLOOKUP($F806&amp;RIGHT($K806,8),'Master Data'!$O$5:$P$10,2,FALSE),'Master Data'!$P$4)</f>
        <v>#N/A</v>
      </c>
      <c r="S806" s="57" t="e">
        <f>VLOOKUP($I806,'Pricing Table - eff 27-Jan-2026'!$A:$Q,16,FALSE)</f>
        <v>#N/A</v>
      </c>
      <c r="T806" s="57" t="e">
        <f>VLOOKUP(I806,'Pricing Table - eff 27-Jan-2026'!$A:$O,15,FALSE)</f>
        <v>#N/A</v>
      </c>
      <c r="U806" s="57" t="e">
        <f t="shared" si="33"/>
        <v>#N/A</v>
      </c>
      <c r="V806" s="111" t="e">
        <f t="shared" si="34"/>
        <v>#N/A</v>
      </c>
      <c r="W806" s="55" t="e">
        <f>VLOOKUP($I806,'Pricing Table - eff 27-Jan-2026'!$A:$R,18,FALSE)</f>
        <v>#N/A</v>
      </c>
    </row>
    <row r="807" spans="1:23" hidden="1" x14ac:dyDescent="0.3">
      <c r="A807" s="55"/>
      <c r="B807" s="55"/>
      <c r="C807" s="55">
        <f>VLOOKUP(A807&amp;"-"&amp;B807,'Order Summary'!$D:$E,2,FALSE)</f>
        <v>0</v>
      </c>
      <c r="D807" s="216" t="str">
        <f>IF($A807="","",VLOOKUP($A807&amp;"-"&amp;$B807,'Order Summary'!$D:$U,3,FALSE))</f>
        <v/>
      </c>
      <c r="E807" s="55" t="str">
        <f>VLOOKUP(A807&amp;"-"&amp;B807,'Order Summary'!$D:$G,4,FALSE)</f>
        <v>Yes</v>
      </c>
      <c r="F807" s="55" t="e">
        <f>VLOOKUP($A807,'Order Summary'!$B:$I,8,FALSE)</f>
        <v>#N/A</v>
      </c>
      <c r="G807" s="216" t="str">
        <f>IF($A807="","",VLOOKUP($A807&amp;"-"&amp;$B807,'Order Summary'!$D:$U,18,FALSE))</f>
        <v/>
      </c>
      <c r="H807" s="55"/>
      <c r="I807" s="55"/>
      <c r="J807" s="55" t="e">
        <f>VLOOKUP($I807,'Pricing Table - eff 27-Jan-2026'!$A:$R,2,FALSE)</f>
        <v>#N/A</v>
      </c>
      <c r="K807" s="55" t="e">
        <f>VLOOKUP($I807,'Pricing Table - eff 27-Jan-2026'!$A:$R,6,FALSE)&amp;" "&amp;VLOOKUP($I807,'Pricing Table - eff 27-Jan-2026'!$A:$R,7,FALSE)&amp;""" x "&amp;VLOOKUP($I807,'Pricing Table - eff 27-Jan-2026'!$A:$R,9,FALSE)&amp;""" "&amp;VLOOKUP($I807,'Pricing Table - eff 27-Jan-2026'!$A:$R,5,FALSE)</f>
        <v>#N/A</v>
      </c>
      <c r="L807" s="55" t="e">
        <f>VLOOKUP($I807,'Pricing Table - eff 27-Jan-2026'!$A:$K,8,FALSE)</f>
        <v>#N/A</v>
      </c>
      <c r="M807" s="55" t="e">
        <f>VLOOKUP($I807,'Pricing Table - eff 27-Jan-2026'!$A:$K,10,FALSE)</f>
        <v>#N/A</v>
      </c>
      <c r="N807" s="55" t="e">
        <f>VLOOKUP($I807,'Pricing Table - eff 27-Jan-2026'!$A:$R,13,FALSE)&amp;" "&amp;VLOOKUP($I807,'Pricing Table - eff 27-Jan-2026'!$A:$R,12,FALSE)</f>
        <v>#N/A</v>
      </c>
      <c r="O807" s="56"/>
      <c r="P807" s="55" t="e">
        <f>(VLOOKUP($I807,'Pricing Table - eff 27-Jan-2026'!$A:$R,8,FALSE)/1000)*(VLOOKUP($I807,'Pricing Table - eff 27-Jan-2026'!$A:$R,10,FALSE)/1000)*Q807</f>
        <v>#N/A</v>
      </c>
      <c r="Q807" s="55" t="e">
        <f>ROUND(('Order Details'!$O807*1000)/((VLOOKUP($I807,'Pricing Table - eff 27-Jan-2026'!$A:$Q,7,FALSE)/12)*(VLOOKUP($I807,'Pricing Table - eff 27-Jan-2026'!$A:$Q,9,FALSE)/12))/5,0)*5</f>
        <v>#N/A</v>
      </c>
      <c r="R807" s="71" t="e">
        <f>$Q807/IFERROR(VLOOKUP($F807&amp;RIGHT($K807,8),'Master Data'!$O$5:$P$10,2,FALSE),'Master Data'!$P$4)</f>
        <v>#N/A</v>
      </c>
      <c r="S807" s="57" t="e">
        <f>VLOOKUP($I807,'Pricing Table - eff 27-Jan-2026'!$A:$Q,16,FALSE)</f>
        <v>#N/A</v>
      </c>
      <c r="T807" s="57" t="e">
        <f>VLOOKUP(I807,'Pricing Table - eff 27-Jan-2026'!$A:$O,15,FALSE)</f>
        <v>#N/A</v>
      </c>
      <c r="U807" s="57" t="e">
        <f t="shared" ref="U807:U870" si="35">O807*S807</f>
        <v>#N/A</v>
      </c>
      <c r="V807" s="111" t="e">
        <f t="shared" si="34"/>
        <v>#N/A</v>
      </c>
      <c r="W807" s="55" t="e">
        <f>VLOOKUP($I807,'Pricing Table - eff 27-Jan-2026'!$A:$R,18,FALSE)</f>
        <v>#N/A</v>
      </c>
    </row>
    <row r="808" spans="1:23" hidden="1" x14ac:dyDescent="0.3">
      <c r="A808" s="55"/>
      <c r="B808" s="55"/>
      <c r="C808" s="55">
        <f>VLOOKUP(A808&amp;"-"&amp;B808,'Order Summary'!$D:$E,2,FALSE)</f>
        <v>0</v>
      </c>
      <c r="D808" s="216" t="str">
        <f>IF($A808="","",VLOOKUP($A808&amp;"-"&amp;$B808,'Order Summary'!$D:$U,3,FALSE))</f>
        <v/>
      </c>
      <c r="E808" s="55" t="str">
        <f>VLOOKUP(A808&amp;"-"&amp;B808,'Order Summary'!$D:$G,4,FALSE)</f>
        <v>Yes</v>
      </c>
      <c r="F808" s="55" t="e">
        <f>VLOOKUP($A808,'Order Summary'!$B:$I,8,FALSE)</f>
        <v>#N/A</v>
      </c>
      <c r="G808" s="216" t="str">
        <f>IF($A808="","",VLOOKUP($A808&amp;"-"&amp;$B808,'Order Summary'!$D:$U,18,FALSE))</f>
        <v/>
      </c>
      <c r="H808" s="55"/>
      <c r="I808" s="55"/>
      <c r="J808" s="55" t="e">
        <f>VLOOKUP($I808,'Pricing Table - eff 27-Jan-2026'!$A:$R,2,FALSE)</f>
        <v>#N/A</v>
      </c>
      <c r="K808" s="55" t="e">
        <f>VLOOKUP($I808,'Pricing Table - eff 27-Jan-2026'!$A:$R,6,FALSE)&amp;" "&amp;VLOOKUP($I808,'Pricing Table - eff 27-Jan-2026'!$A:$R,7,FALSE)&amp;""" x "&amp;VLOOKUP($I808,'Pricing Table - eff 27-Jan-2026'!$A:$R,9,FALSE)&amp;""" "&amp;VLOOKUP($I808,'Pricing Table - eff 27-Jan-2026'!$A:$R,5,FALSE)</f>
        <v>#N/A</v>
      </c>
      <c r="L808" s="55" t="e">
        <f>VLOOKUP($I808,'Pricing Table - eff 27-Jan-2026'!$A:$K,8,FALSE)</f>
        <v>#N/A</v>
      </c>
      <c r="M808" s="55" t="e">
        <f>VLOOKUP($I808,'Pricing Table - eff 27-Jan-2026'!$A:$K,10,FALSE)</f>
        <v>#N/A</v>
      </c>
      <c r="N808" s="55" t="e">
        <f>VLOOKUP($I808,'Pricing Table - eff 27-Jan-2026'!$A:$R,13,FALSE)&amp;" "&amp;VLOOKUP($I808,'Pricing Table - eff 27-Jan-2026'!$A:$R,12,FALSE)</f>
        <v>#N/A</v>
      </c>
      <c r="O808" s="56"/>
      <c r="P808" s="55" t="e">
        <f>(VLOOKUP($I808,'Pricing Table - eff 27-Jan-2026'!$A:$R,8,FALSE)/1000)*(VLOOKUP($I808,'Pricing Table - eff 27-Jan-2026'!$A:$R,10,FALSE)/1000)*Q808</f>
        <v>#N/A</v>
      </c>
      <c r="Q808" s="55" t="e">
        <f>ROUND(('Order Details'!$O808*1000)/((VLOOKUP($I808,'Pricing Table - eff 27-Jan-2026'!$A:$Q,7,FALSE)/12)*(VLOOKUP($I808,'Pricing Table - eff 27-Jan-2026'!$A:$Q,9,FALSE)/12))/5,0)*5</f>
        <v>#N/A</v>
      </c>
      <c r="R808" s="71" t="e">
        <f>$Q808/IFERROR(VLOOKUP($F808&amp;RIGHT($K808,8),'Master Data'!$O$5:$P$10,2,FALSE),'Master Data'!$P$4)</f>
        <v>#N/A</v>
      </c>
      <c r="S808" s="57" t="e">
        <f>VLOOKUP($I808,'Pricing Table - eff 27-Jan-2026'!$A:$Q,16,FALSE)</f>
        <v>#N/A</v>
      </c>
      <c r="T808" s="57" t="e">
        <f>VLOOKUP(I808,'Pricing Table - eff 27-Jan-2026'!$A:$O,15,FALSE)</f>
        <v>#N/A</v>
      </c>
      <c r="U808" s="57" t="e">
        <f t="shared" si="35"/>
        <v>#N/A</v>
      </c>
      <c r="V808" s="111" t="e">
        <f t="shared" si="34"/>
        <v>#N/A</v>
      </c>
      <c r="W808" s="55" t="e">
        <f>VLOOKUP($I808,'Pricing Table - eff 27-Jan-2026'!$A:$R,18,FALSE)</f>
        <v>#N/A</v>
      </c>
    </row>
    <row r="809" spans="1:23" hidden="1" x14ac:dyDescent="0.3">
      <c r="A809" s="55"/>
      <c r="B809" s="55"/>
      <c r="C809" s="55">
        <f>VLOOKUP(A809&amp;"-"&amp;B809,'Order Summary'!$D:$E,2,FALSE)</f>
        <v>0</v>
      </c>
      <c r="D809" s="216" t="str">
        <f>IF($A809="","",VLOOKUP($A809&amp;"-"&amp;$B809,'Order Summary'!$D:$U,3,FALSE))</f>
        <v/>
      </c>
      <c r="E809" s="55" t="str">
        <f>VLOOKUP(A809&amp;"-"&amp;B809,'Order Summary'!$D:$G,4,FALSE)</f>
        <v>Yes</v>
      </c>
      <c r="F809" s="55" t="e">
        <f>VLOOKUP($A809,'Order Summary'!$B:$I,8,FALSE)</f>
        <v>#N/A</v>
      </c>
      <c r="G809" s="216" t="str">
        <f>IF($A809="","",VLOOKUP($A809&amp;"-"&amp;$B809,'Order Summary'!$D:$U,18,FALSE))</f>
        <v/>
      </c>
      <c r="H809" s="55"/>
      <c r="I809" s="55"/>
      <c r="J809" s="55" t="e">
        <f>VLOOKUP($I809,'Pricing Table - eff 27-Jan-2026'!$A:$R,2,FALSE)</f>
        <v>#N/A</v>
      </c>
      <c r="K809" s="55" t="e">
        <f>VLOOKUP($I809,'Pricing Table - eff 27-Jan-2026'!$A:$R,6,FALSE)&amp;" "&amp;VLOOKUP($I809,'Pricing Table - eff 27-Jan-2026'!$A:$R,7,FALSE)&amp;""" x "&amp;VLOOKUP($I809,'Pricing Table - eff 27-Jan-2026'!$A:$R,9,FALSE)&amp;""" "&amp;VLOOKUP($I809,'Pricing Table - eff 27-Jan-2026'!$A:$R,5,FALSE)</f>
        <v>#N/A</v>
      </c>
      <c r="L809" s="55" t="e">
        <f>VLOOKUP($I809,'Pricing Table - eff 27-Jan-2026'!$A:$K,8,FALSE)</f>
        <v>#N/A</v>
      </c>
      <c r="M809" s="55" t="e">
        <f>VLOOKUP($I809,'Pricing Table - eff 27-Jan-2026'!$A:$K,10,FALSE)</f>
        <v>#N/A</v>
      </c>
      <c r="N809" s="55" t="e">
        <f>VLOOKUP($I809,'Pricing Table - eff 27-Jan-2026'!$A:$R,13,FALSE)&amp;" "&amp;VLOOKUP($I809,'Pricing Table - eff 27-Jan-2026'!$A:$R,12,FALSE)</f>
        <v>#N/A</v>
      </c>
      <c r="O809" s="56"/>
      <c r="P809" s="55" t="e">
        <f>(VLOOKUP($I809,'Pricing Table - eff 27-Jan-2026'!$A:$R,8,FALSE)/1000)*(VLOOKUP($I809,'Pricing Table - eff 27-Jan-2026'!$A:$R,10,FALSE)/1000)*Q809</f>
        <v>#N/A</v>
      </c>
      <c r="Q809" s="55" t="e">
        <f>ROUND(('Order Details'!$O809*1000)/((VLOOKUP($I809,'Pricing Table - eff 27-Jan-2026'!$A:$Q,7,FALSE)/12)*(VLOOKUP($I809,'Pricing Table - eff 27-Jan-2026'!$A:$Q,9,FALSE)/12))/5,0)*5</f>
        <v>#N/A</v>
      </c>
      <c r="R809" s="71" t="e">
        <f>$Q809/IFERROR(VLOOKUP($F809&amp;RIGHT($K809,8),'Master Data'!$O$5:$P$10,2,FALSE),'Master Data'!$P$4)</f>
        <v>#N/A</v>
      </c>
      <c r="S809" s="57" t="e">
        <f>VLOOKUP($I809,'Pricing Table - eff 27-Jan-2026'!$A:$Q,16,FALSE)</f>
        <v>#N/A</v>
      </c>
      <c r="T809" s="57" t="e">
        <f>VLOOKUP(I809,'Pricing Table - eff 27-Jan-2026'!$A:$O,15,FALSE)</f>
        <v>#N/A</v>
      </c>
      <c r="U809" s="57" t="e">
        <f t="shared" si="35"/>
        <v>#N/A</v>
      </c>
      <c r="V809" s="111" t="e">
        <f t="shared" si="34"/>
        <v>#N/A</v>
      </c>
      <c r="W809" s="55" t="e">
        <f>VLOOKUP($I809,'Pricing Table - eff 27-Jan-2026'!$A:$R,18,FALSE)</f>
        <v>#N/A</v>
      </c>
    </row>
    <row r="810" spans="1:23" hidden="1" x14ac:dyDescent="0.3">
      <c r="A810" s="55"/>
      <c r="B810" s="55"/>
      <c r="C810" s="55">
        <f>VLOOKUP(A810&amp;"-"&amp;B810,'Order Summary'!$D:$E,2,FALSE)</f>
        <v>0</v>
      </c>
      <c r="D810" s="216" t="str">
        <f>IF($A810="","",VLOOKUP($A810&amp;"-"&amp;$B810,'Order Summary'!$D:$U,3,FALSE))</f>
        <v/>
      </c>
      <c r="E810" s="55" t="str">
        <f>VLOOKUP(A810&amp;"-"&amp;B810,'Order Summary'!$D:$G,4,FALSE)</f>
        <v>Yes</v>
      </c>
      <c r="F810" s="55" t="e">
        <f>VLOOKUP($A810,'Order Summary'!$B:$I,8,FALSE)</f>
        <v>#N/A</v>
      </c>
      <c r="G810" s="216" t="str">
        <f>IF($A810="","",VLOOKUP($A810&amp;"-"&amp;$B810,'Order Summary'!$D:$U,18,FALSE))</f>
        <v/>
      </c>
      <c r="H810" s="55"/>
      <c r="I810" s="55"/>
      <c r="J810" s="55" t="e">
        <f>VLOOKUP($I810,'Pricing Table - eff 27-Jan-2026'!$A:$R,2,FALSE)</f>
        <v>#N/A</v>
      </c>
      <c r="K810" s="55" t="e">
        <f>VLOOKUP($I810,'Pricing Table - eff 27-Jan-2026'!$A:$R,6,FALSE)&amp;" "&amp;VLOOKUP($I810,'Pricing Table - eff 27-Jan-2026'!$A:$R,7,FALSE)&amp;""" x "&amp;VLOOKUP($I810,'Pricing Table - eff 27-Jan-2026'!$A:$R,9,FALSE)&amp;""" "&amp;VLOOKUP($I810,'Pricing Table - eff 27-Jan-2026'!$A:$R,5,FALSE)</f>
        <v>#N/A</v>
      </c>
      <c r="L810" s="55" t="e">
        <f>VLOOKUP($I810,'Pricing Table - eff 27-Jan-2026'!$A:$K,8,FALSE)</f>
        <v>#N/A</v>
      </c>
      <c r="M810" s="55" t="e">
        <f>VLOOKUP($I810,'Pricing Table - eff 27-Jan-2026'!$A:$K,10,FALSE)</f>
        <v>#N/A</v>
      </c>
      <c r="N810" s="55" t="e">
        <f>VLOOKUP($I810,'Pricing Table - eff 27-Jan-2026'!$A:$R,13,FALSE)&amp;" "&amp;VLOOKUP($I810,'Pricing Table - eff 27-Jan-2026'!$A:$R,12,FALSE)</f>
        <v>#N/A</v>
      </c>
      <c r="O810" s="56"/>
      <c r="P810" s="55" t="e">
        <f>(VLOOKUP($I810,'Pricing Table - eff 27-Jan-2026'!$A:$R,8,FALSE)/1000)*(VLOOKUP($I810,'Pricing Table - eff 27-Jan-2026'!$A:$R,10,FALSE)/1000)*Q810</f>
        <v>#N/A</v>
      </c>
      <c r="Q810" s="55" t="e">
        <f>ROUND(('Order Details'!$O810*1000)/((VLOOKUP($I810,'Pricing Table - eff 27-Jan-2026'!$A:$Q,7,FALSE)/12)*(VLOOKUP($I810,'Pricing Table - eff 27-Jan-2026'!$A:$Q,9,FALSE)/12))/5,0)*5</f>
        <v>#N/A</v>
      </c>
      <c r="R810" s="71" t="e">
        <f>$Q810/IFERROR(VLOOKUP($F810&amp;RIGHT($K810,8),'Master Data'!$O$5:$P$10,2,FALSE),'Master Data'!$P$4)</f>
        <v>#N/A</v>
      </c>
      <c r="S810" s="57" t="e">
        <f>VLOOKUP($I810,'Pricing Table - eff 27-Jan-2026'!$A:$Q,16,FALSE)</f>
        <v>#N/A</v>
      </c>
      <c r="T810" s="57" t="e">
        <f>VLOOKUP(I810,'Pricing Table - eff 27-Jan-2026'!$A:$O,15,FALSE)</f>
        <v>#N/A</v>
      </c>
      <c r="U810" s="57" t="e">
        <f t="shared" si="35"/>
        <v>#N/A</v>
      </c>
      <c r="V810" s="111" t="e">
        <f t="shared" si="34"/>
        <v>#N/A</v>
      </c>
      <c r="W810" s="55" t="e">
        <f>VLOOKUP($I810,'Pricing Table - eff 27-Jan-2026'!$A:$R,18,FALSE)</f>
        <v>#N/A</v>
      </c>
    </row>
    <row r="811" spans="1:23" hidden="1" x14ac:dyDescent="0.3">
      <c r="A811" s="55"/>
      <c r="B811" s="55"/>
      <c r="C811" s="55">
        <f>VLOOKUP(A811&amp;"-"&amp;B811,'Order Summary'!$D:$E,2,FALSE)</f>
        <v>0</v>
      </c>
      <c r="D811" s="216" t="str">
        <f>IF($A811="","",VLOOKUP($A811&amp;"-"&amp;$B811,'Order Summary'!$D:$U,3,FALSE))</f>
        <v/>
      </c>
      <c r="E811" s="55" t="str">
        <f>VLOOKUP(A811&amp;"-"&amp;B811,'Order Summary'!$D:$G,4,FALSE)</f>
        <v>Yes</v>
      </c>
      <c r="F811" s="55" t="e">
        <f>VLOOKUP($A811,'Order Summary'!$B:$I,8,FALSE)</f>
        <v>#N/A</v>
      </c>
      <c r="G811" s="216" t="str">
        <f>IF($A811="","",VLOOKUP($A811&amp;"-"&amp;$B811,'Order Summary'!$D:$U,18,FALSE))</f>
        <v/>
      </c>
      <c r="H811" s="55"/>
      <c r="I811" s="55"/>
      <c r="J811" s="55" t="e">
        <f>VLOOKUP($I811,'Pricing Table - eff 27-Jan-2026'!$A:$R,2,FALSE)</f>
        <v>#N/A</v>
      </c>
      <c r="K811" s="55" t="e">
        <f>VLOOKUP($I811,'Pricing Table - eff 27-Jan-2026'!$A:$R,6,FALSE)&amp;" "&amp;VLOOKUP($I811,'Pricing Table - eff 27-Jan-2026'!$A:$R,7,FALSE)&amp;""" x "&amp;VLOOKUP($I811,'Pricing Table - eff 27-Jan-2026'!$A:$R,9,FALSE)&amp;""" "&amp;VLOOKUP($I811,'Pricing Table - eff 27-Jan-2026'!$A:$R,5,FALSE)</f>
        <v>#N/A</v>
      </c>
      <c r="L811" s="55" t="e">
        <f>VLOOKUP($I811,'Pricing Table - eff 27-Jan-2026'!$A:$K,8,FALSE)</f>
        <v>#N/A</v>
      </c>
      <c r="M811" s="55" t="e">
        <f>VLOOKUP($I811,'Pricing Table - eff 27-Jan-2026'!$A:$K,10,FALSE)</f>
        <v>#N/A</v>
      </c>
      <c r="N811" s="55" t="e">
        <f>VLOOKUP($I811,'Pricing Table - eff 27-Jan-2026'!$A:$R,13,FALSE)&amp;" "&amp;VLOOKUP($I811,'Pricing Table - eff 27-Jan-2026'!$A:$R,12,FALSE)</f>
        <v>#N/A</v>
      </c>
      <c r="O811" s="56"/>
      <c r="P811" s="55" t="e">
        <f>(VLOOKUP($I811,'Pricing Table - eff 27-Jan-2026'!$A:$R,8,FALSE)/1000)*(VLOOKUP($I811,'Pricing Table - eff 27-Jan-2026'!$A:$R,10,FALSE)/1000)*Q811</f>
        <v>#N/A</v>
      </c>
      <c r="Q811" s="55" t="e">
        <f>ROUND(('Order Details'!$O811*1000)/((VLOOKUP($I811,'Pricing Table - eff 27-Jan-2026'!$A:$Q,7,FALSE)/12)*(VLOOKUP($I811,'Pricing Table - eff 27-Jan-2026'!$A:$Q,9,FALSE)/12))/5,0)*5</f>
        <v>#N/A</v>
      </c>
      <c r="R811" s="71" t="e">
        <f>$Q811/IFERROR(VLOOKUP($F811&amp;RIGHT($K811,8),'Master Data'!$O$5:$P$10,2,FALSE),'Master Data'!$P$4)</f>
        <v>#N/A</v>
      </c>
      <c r="S811" s="57" t="e">
        <f>VLOOKUP($I811,'Pricing Table - eff 27-Jan-2026'!$A:$Q,16,FALSE)</f>
        <v>#N/A</v>
      </c>
      <c r="T811" s="57" t="e">
        <f>VLOOKUP(I811,'Pricing Table - eff 27-Jan-2026'!$A:$O,15,FALSE)</f>
        <v>#N/A</v>
      </c>
      <c r="U811" s="57" t="e">
        <f t="shared" si="35"/>
        <v>#N/A</v>
      </c>
      <c r="V811" s="111" t="e">
        <f t="shared" si="34"/>
        <v>#N/A</v>
      </c>
      <c r="W811" s="55" t="e">
        <f>VLOOKUP($I811,'Pricing Table - eff 27-Jan-2026'!$A:$R,18,FALSE)</f>
        <v>#N/A</v>
      </c>
    </row>
    <row r="812" spans="1:23" hidden="1" x14ac:dyDescent="0.3">
      <c r="A812" s="55"/>
      <c r="B812" s="55"/>
      <c r="C812" s="55">
        <f>VLOOKUP(A812&amp;"-"&amp;B812,'Order Summary'!$D:$E,2,FALSE)</f>
        <v>0</v>
      </c>
      <c r="D812" s="216" t="str">
        <f>IF($A812="","",VLOOKUP($A812&amp;"-"&amp;$B812,'Order Summary'!$D:$U,3,FALSE))</f>
        <v/>
      </c>
      <c r="E812" s="55" t="str">
        <f>VLOOKUP(A812&amp;"-"&amp;B812,'Order Summary'!$D:$G,4,FALSE)</f>
        <v>Yes</v>
      </c>
      <c r="F812" s="55" t="e">
        <f>VLOOKUP($A812,'Order Summary'!$B:$I,8,FALSE)</f>
        <v>#N/A</v>
      </c>
      <c r="G812" s="216" t="str">
        <f>IF($A812="","",VLOOKUP($A812&amp;"-"&amp;$B812,'Order Summary'!$D:$U,18,FALSE))</f>
        <v/>
      </c>
      <c r="H812" s="55"/>
      <c r="I812" s="55"/>
      <c r="J812" s="55" t="e">
        <f>VLOOKUP($I812,'Pricing Table - eff 27-Jan-2026'!$A:$R,2,FALSE)</f>
        <v>#N/A</v>
      </c>
      <c r="K812" s="55" t="e">
        <f>VLOOKUP($I812,'Pricing Table - eff 27-Jan-2026'!$A:$R,6,FALSE)&amp;" "&amp;VLOOKUP($I812,'Pricing Table - eff 27-Jan-2026'!$A:$R,7,FALSE)&amp;""" x "&amp;VLOOKUP($I812,'Pricing Table - eff 27-Jan-2026'!$A:$R,9,FALSE)&amp;""" "&amp;VLOOKUP($I812,'Pricing Table - eff 27-Jan-2026'!$A:$R,5,FALSE)</f>
        <v>#N/A</v>
      </c>
      <c r="L812" s="55" t="e">
        <f>VLOOKUP($I812,'Pricing Table - eff 27-Jan-2026'!$A:$K,8,FALSE)</f>
        <v>#N/A</v>
      </c>
      <c r="M812" s="55" t="e">
        <f>VLOOKUP($I812,'Pricing Table - eff 27-Jan-2026'!$A:$K,10,FALSE)</f>
        <v>#N/A</v>
      </c>
      <c r="N812" s="55" t="e">
        <f>VLOOKUP($I812,'Pricing Table - eff 27-Jan-2026'!$A:$R,13,FALSE)&amp;" "&amp;VLOOKUP($I812,'Pricing Table - eff 27-Jan-2026'!$A:$R,12,FALSE)</f>
        <v>#N/A</v>
      </c>
      <c r="O812" s="56"/>
      <c r="P812" s="55" t="e">
        <f>(VLOOKUP($I812,'Pricing Table - eff 27-Jan-2026'!$A:$R,8,FALSE)/1000)*(VLOOKUP($I812,'Pricing Table - eff 27-Jan-2026'!$A:$R,10,FALSE)/1000)*Q812</f>
        <v>#N/A</v>
      </c>
      <c r="Q812" s="55" t="e">
        <f>ROUND(('Order Details'!$O812*1000)/((VLOOKUP($I812,'Pricing Table - eff 27-Jan-2026'!$A:$Q,7,FALSE)/12)*(VLOOKUP($I812,'Pricing Table - eff 27-Jan-2026'!$A:$Q,9,FALSE)/12))/5,0)*5</f>
        <v>#N/A</v>
      </c>
      <c r="R812" s="71" t="e">
        <f>$Q812/IFERROR(VLOOKUP($F812&amp;RIGHT($K812,8),'Master Data'!$O$5:$P$10,2,FALSE),'Master Data'!$P$4)</f>
        <v>#N/A</v>
      </c>
      <c r="S812" s="57" t="e">
        <f>VLOOKUP($I812,'Pricing Table - eff 27-Jan-2026'!$A:$Q,16,FALSE)</f>
        <v>#N/A</v>
      </c>
      <c r="T812" s="57" t="e">
        <f>VLOOKUP(I812,'Pricing Table - eff 27-Jan-2026'!$A:$O,15,FALSE)</f>
        <v>#N/A</v>
      </c>
      <c r="U812" s="57" t="e">
        <f t="shared" si="35"/>
        <v>#N/A</v>
      </c>
      <c r="V812" s="111" t="e">
        <f t="shared" si="34"/>
        <v>#N/A</v>
      </c>
      <c r="W812" s="55" t="e">
        <f>VLOOKUP($I812,'Pricing Table - eff 27-Jan-2026'!$A:$R,18,FALSE)</f>
        <v>#N/A</v>
      </c>
    </row>
    <row r="813" spans="1:23" hidden="1" x14ac:dyDescent="0.3">
      <c r="A813" s="55"/>
      <c r="B813" s="55"/>
      <c r="C813" s="55">
        <f>VLOOKUP(A813&amp;"-"&amp;B813,'Order Summary'!$D:$E,2,FALSE)</f>
        <v>0</v>
      </c>
      <c r="D813" s="216" t="str">
        <f>IF($A813="","",VLOOKUP($A813&amp;"-"&amp;$B813,'Order Summary'!$D:$U,3,FALSE))</f>
        <v/>
      </c>
      <c r="E813" s="55" t="str">
        <f>VLOOKUP(A813&amp;"-"&amp;B813,'Order Summary'!$D:$G,4,FALSE)</f>
        <v>Yes</v>
      </c>
      <c r="F813" s="55" t="e">
        <f>VLOOKUP($A813,'Order Summary'!$B:$I,8,FALSE)</f>
        <v>#N/A</v>
      </c>
      <c r="G813" s="216" t="str">
        <f>IF($A813="","",VLOOKUP($A813&amp;"-"&amp;$B813,'Order Summary'!$D:$U,18,FALSE))</f>
        <v/>
      </c>
      <c r="H813" s="55"/>
      <c r="I813" s="55"/>
      <c r="J813" s="55" t="e">
        <f>VLOOKUP($I813,'Pricing Table - eff 27-Jan-2026'!$A:$R,2,FALSE)</f>
        <v>#N/A</v>
      </c>
      <c r="K813" s="55" t="e">
        <f>VLOOKUP($I813,'Pricing Table - eff 27-Jan-2026'!$A:$R,6,FALSE)&amp;" "&amp;VLOOKUP($I813,'Pricing Table - eff 27-Jan-2026'!$A:$R,7,FALSE)&amp;""" x "&amp;VLOOKUP($I813,'Pricing Table - eff 27-Jan-2026'!$A:$R,9,FALSE)&amp;""" "&amp;VLOOKUP($I813,'Pricing Table - eff 27-Jan-2026'!$A:$R,5,FALSE)</f>
        <v>#N/A</v>
      </c>
      <c r="L813" s="55" t="e">
        <f>VLOOKUP($I813,'Pricing Table - eff 27-Jan-2026'!$A:$K,8,FALSE)</f>
        <v>#N/A</v>
      </c>
      <c r="M813" s="55" t="e">
        <f>VLOOKUP($I813,'Pricing Table - eff 27-Jan-2026'!$A:$K,10,FALSE)</f>
        <v>#N/A</v>
      </c>
      <c r="N813" s="55" t="e">
        <f>VLOOKUP($I813,'Pricing Table - eff 27-Jan-2026'!$A:$R,13,FALSE)&amp;" "&amp;VLOOKUP($I813,'Pricing Table - eff 27-Jan-2026'!$A:$R,12,FALSE)</f>
        <v>#N/A</v>
      </c>
      <c r="O813" s="56"/>
      <c r="P813" s="55" t="e">
        <f>(VLOOKUP($I813,'Pricing Table - eff 27-Jan-2026'!$A:$R,8,FALSE)/1000)*(VLOOKUP($I813,'Pricing Table - eff 27-Jan-2026'!$A:$R,10,FALSE)/1000)*Q813</f>
        <v>#N/A</v>
      </c>
      <c r="Q813" s="55" t="e">
        <f>ROUND(('Order Details'!$O813*1000)/((VLOOKUP($I813,'Pricing Table - eff 27-Jan-2026'!$A:$Q,7,FALSE)/12)*(VLOOKUP($I813,'Pricing Table - eff 27-Jan-2026'!$A:$Q,9,FALSE)/12))/5,0)*5</f>
        <v>#N/A</v>
      </c>
      <c r="R813" s="71" t="e">
        <f>$Q813/IFERROR(VLOOKUP($F813&amp;RIGHT($K813,8),'Master Data'!$O$5:$P$10,2,FALSE),'Master Data'!$P$4)</f>
        <v>#N/A</v>
      </c>
      <c r="S813" s="57" t="e">
        <f>VLOOKUP($I813,'Pricing Table - eff 27-Jan-2026'!$A:$Q,16,FALSE)</f>
        <v>#N/A</v>
      </c>
      <c r="T813" s="57" t="e">
        <f>VLOOKUP(I813,'Pricing Table - eff 27-Jan-2026'!$A:$O,15,FALSE)</f>
        <v>#N/A</v>
      </c>
      <c r="U813" s="57" t="e">
        <f t="shared" si="35"/>
        <v>#N/A</v>
      </c>
      <c r="V813" s="111" t="e">
        <f t="shared" si="34"/>
        <v>#N/A</v>
      </c>
      <c r="W813" s="55" t="e">
        <f>VLOOKUP($I813,'Pricing Table - eff 27-Jan-2026'!$A:$R,18,FALSE)</f>
        <v>#N/A</v>
      </c>
    </row>
    <row r="814" spans="1:23" hidden="1" x14ac:dyDescent="0.3">
      <c r="A814" s="55"/>
      <c r="B814" s="55"/>
      <c r="C814" s="55">
        <f>VLOOKUP(A814&amp;"-"&amp;B814,'Order Summary'!$D:$E,2,FALSE)</f>
        <v>0</v>
      </c>
      <c r="D814" s="216" t="str">
        <f>IF($A814="","",VLOOKUP($A814&amp;"-"&amp;$B814,'Order Summary'!$D:$U,3,FALSE))</f>
        <v/>
      </c>
      <c r="E814" s="55" t="str">
        <f>VLOOKUP(A814&amp;"-"&amp;B814,'Order Summary'!$D:$G,4,FALSE)</f>
        <v>Yes</v>
      </c>
      <c r="F814" s="55" t="e">
        <f>VLOOKUP($A814,'Order Summary'!$B:$I,8,FALSE)</f>
        <v>#N/A</v>
      </c>
      <c r="G814" s="216" t="str">
        <f>IF($A814="","",VLOOKUP($A814&amp;"-"&amp;$B814,'Order Summary'!$D:$U,18,FALSE))</f>
        <v/>
      </c>
      <c r="H814" s="55"/>
      <c r="I814" s="55"/>
      <c r="J814" s="55" t="e">
        <f>VLOOKUP($I814,'Pricing Table - eff 27-Jan-2026'!$A:$R,2,FALSE)</f>
        <v>#N/A</v>
      </c>
      <c r="K814" s="55" t="e">
        <f>VLOOKUP($I814,'Pricing Table - eff 27-Jan-2026'!$A:$R,6,FALSE)&amp;" "&amp;VLOOKUP($I814,'Pricing Table - eff 27-Jan-2026'!$A:$R,7,FALSE)&amp;""" x "&amp;VLOOKUP($I814,'Pricing Table - eff 27-Jan-2026'!$A:$R,9,FALSE)&amp;""" "&amp;VLOOKUP($I814,'Pricing Table - eff 27-Jan-2026'!$A:$R,5,FALSE)</f>
        <v>#N/A</v>
      </c>
      <c r="L814" s="55" t="e">
        <f>VLOOKUP($I814,'Pricing Table - eff 27-Jan-2026'!$A:$K,8,FALSE)</f>
        <v>#N/A</v>
      </c>
      <c r="M814" s="55" t="e">
        <f>VLOOKUP($I814,'Pricing Table - eff 27-Jan-2026'!$A:$K,10,FALSE)</f>
        <v>#N/A</v>
      </c>
      <c r="N814" s="55" t="e">
        <f>VLOOKUP($I814,'Pricing Table - eff 27-Jan-2026'!$A:$R,13,FALSE)&amp;" "&amp;VLOOKUP($I814,'Pricing Table - eff 27-Jan-2026'!$A:$R,12,FALSE)</f>
        <v>#N/A</v>
      </c>
      <c r="O814" s="56"/>
      <c r="P814" s="55" t="e">
        <f>(VLOOKUP($I814,'Pricing Table - eff 27-Jan-2026'!$A:$R,8,FALSE)/1000)*(VLOOKUP($I814,'Pricing Table - eff 27-Jan-2026'!$A:$R,10,FALSE)/1000)*Q814</f>
        <v>#N/A</v>
      </c>
      <c r="Q814" s="55" t="e">
        <f>ROUND(('Order Details'!$O814*1000)/((VLOOKUP($I814,'Pricing Table - eff 27-Jan-2026'!$A:$Q,7,FALSE)/12)*(VLOOKUP($I814,'Pricing Table - eff 27-Jan-2026'!$A:$Q,9,FALSE)/12))/5,0)*5</f>
        <v>#N/A</v>
      </c>
      <c r="R814" s="71" t="e">
        <f>$Q814/IFERROR(VLOOKUP($F814&amp;RIGHT($K814,8),'Master Data'!$O$5:$P$10,2,FALSE),'Master Data'!$P$4)</f>
        <v>#N/A</v>
      </c>
      <c r="S814" s="57" t="e">
        <f>VLOOKUP($I814,'Pricing Table - eff 27-Jan-2026'!$A:$Q,16,FALSE)</f>
        <v>#N/A</v>
      </c>
      <c r="T814" s="57" t="e">
        <f>VLOOKUP(I814,'Pricing Table - eff 27-Jan-2026'!$A:$O,15,FALSE)</f>
        <v>#N/A</v>
      </c>
      <c r="U814" s="57" t="e">
        <f t="shared" si="35"/>
        <v>#N/A</v>
      </c>
      <c r="V814" s="111" t="e">
        <f t="shared" si="34"/>
        <v>#N/A</v>
      </c>
      <c r="W814" s="55" t="e">
        <f>VLOOKUP($I814,'Pricing Table - eff 27-Jan-2026'!$A:$R,18,FALSE)</f>
        <v>#N/A</v>
      </c>
    </row>
    <row r="815" spans="1:23" hidden="1" x14ac:dyDescent="0.3">
      <c r="A815" s="55"/>
      <c r="B815" s="55"/>
      <c r="C815" s="55">
        <f>VLOOKUP(A815&amp;"-"&amp;B815,'Order Summary'!$D:$E,2,FALSE)</f>
        <v>0</v>
      </c>
      <c r="D815" s="216" t="str">
        <f>IF($A815="","",VLOOKUP($A815&amp;"-"&amp;$B815,'Order Summary'!$D:$U,3,FALSE))</f>
        <v/>
      </c>
      <c r="E815" s="55" t="str">
        <f>VLOOKUP(A815&amp;"-"&amp;B815,'Order Summary'!$D:$G,4,FALSE)</f>
        <v>Yes</v>
      </c>
      <c r="F815" s="55" t="e">
        <f>VLOOKUP($A815,'Order Summary'!$B:$I,8,FALSE)</f>
        <v>#N/A</v>
      </c>
      <c r="G815" s="216" t="str">
        <f>IF($A815="","",VLOOKUP($A815&amp;"-"&amp;$B815,'Order Summary'!$D:$U,18,FALSE))</f>
        <v/>
      </c>
      <c r="H815" s="55"/>
      <c r="I815" s="55"/>
      <c r="J815" s="55" t="e">
        <f>VLOOKUP($I815,'Pricing Table - eff 27-Jan-2026'!$A:$R,2,FALSE)</f>
        <v>#N/A</v>
      </c>
      <c r="K815" s="55" t="e">
        <f>VLOOKUP($I815,'Pricing Table - eff 27-Jan-2026'!$A:$R,6,FALSE)&amp;" "&amp;VLOOKUP($I815,'Pricing Table - eff 27-Jan-2026'!$A:$R,7,FALSE)&amp;""" x "&amp;VLOOKUP($I815,'Pricing Table - eff 27-Jan-2026'!$A:$R,9,FALSE)&amp;""" "&amp;VLOOKUP($I815,'Pricing Table - eff 27-Jan-2026'!$A:$R,5,FALSE)</f>
        <v>#N/A</v>
      </c>
      <c r="L815" s="55" t="e">
        <f>VLOOKUP($I815,'Pricing Table - eff 27-Jan-2026'!$A:$K,8,FALSE)</f>
        <v>#N/A</v>
      </c>
      <c r="M815" s="55" t="e">
        <f>VLOOKUP($I815,'Pricing Table - eff 27-Jan-2026'!$A:$K,10,FALSE)</f>
        <v>#N/A</v>
      </c>
      <c r="N815" s="55" t="e">
        <f>VLOOKUP($I815,'Pricing Table - eff 27-Jan-2026'!$A:$R,13,FALSE)&amp;" "&amp;VLOOKUP($I815,'Pricing Table - eff 27-Jan-2026'!$A:$R,12,FALSE)</f>
        <v>#N/A</v>
      </c>
      <c r="O815" s="56"/>
      <c r="P815" s="55" t="e">
        <f>(VLOOKUP($I815,'Pricing Table - eff 27-Jan-2026'!$A:$R,8,FALSE)/1000)*(VLOOKUP($I815,'Pricing Table - eff 27-Jan-2026'!$A:$R,10,FALSE)/1000)*Q815</f>
        <v>#N/A</v>
      </c>
      <c r="Q815" s="55" t="e">
        <f>ROUND(('Order Details'!$O815*1000)/((VLOOKUP($I815,'Pricing Table - eff 27-Jan-2026'!$A:$Q,7,FALSE)/12)*(VLOOKUP($I815,'Pricing Table - eff 27-Jan-2026'!$A:$Q,9,FALSE)/12))/5,0)*5</f>
        <v>#N/A</v>
      </c>
      <c r="R815" s="71" t="e">
        <f>$Q815/IFERROR(VLOOKUP($F815&amp;RIGHT($K815,8),'Master Data'!$O$5:$P$10,2,FALSE),'Master Data'!$P$4)</f>
        <v>#N/A</v>
      </c>
      <c r="S815" s="57" t="e">
        <f>VLOOKUP($I815,'Pricing Table - eff 27-Jan-2026'!$A:$Q,16,FALSE)</f>
        <v>#N/A</v>
      </c>
      <c r="T815" s="57" t="e">
        <f>VLOOKUP(I815,'Pricing Table - eff 27-Jan-2026'!$A:$O,15,FALSE)</f>
        <v>#N/A</v>
      </c>
      <c r="U815" s="57" t="e">
        <f t="shared" si="35"/>
        <v>#N/A</v>
      </c>
      <c r="V815" s="111" t="e">
        <f t="shared" si="34"/>
        <v>#N/A</v>
      </c>
      <c r="W815" s="55" t="e">
        <f>VLOOKUP($I815,'Pricing Table - eff 27-Jan-2026'!$A:$R,18,FALSE)</f>
        <v>#N/A</v>
      </c>
    </row>
    <row r="816" spans="1:23" hidden="1" x14ac:dyDescent="0.3">
      <c r="A816" s="55"/>
      <c r="B816" s="55"/>
      <c r="C816" s="55">
        <f>VLOOKUP(A816&amp;"-"&amp;B816,'Order Summary'!$D:$E,2,FALSE)</f>
        <v>0</v>
      </c>
      <c r="D816" s="216" t="str">
        <f>IF($A816="","",VLOOKUP($A816&amp;"-"&amp;$B816,'Order Summary'!$D:$U,3,FALSE))</f>
        <v/>
      </c>
      <c r="E816" s="55" t="str">
        <f>VLOOKUP(A816&amp;"-"&amp;B816,'Order Summary'!$D:$G,4,FALSE)</f>
        <v>Yes</v>
      </c>
      <c r="F816" s="55" t="e">
        <f>VLOOKUP($A816,'Order Summary'!$B:$I,8,FALSE)</f>
        <v>#N/A</v>
      </c>
      <c r="G816" s="216" t="str">
        <f>IF($A816="","",VLOOKUP($A816&amp;"-"&amp;$B816,'Order Summary'!$D:$U,18,FALSE))</f>
        <v/>
      </c>
      <c r="H816" s="55"/>
      <c r="I816" s="55"/>
      <c r="J816" s="55" t="e">
        <f>VLOOKUP($I816,'Pricing Table - eff 27-Jan-2026'!$A:$R,2,FALSE)</f>
        <v>#N/A</v>
      </c>
      <c r="K816" s="55" t="e">
        <f>VLOOKUP($I816,'Pricing Table - eff 27-Jan-2026'!$A:$R,6,FALSE)&amp;" "&amp;VLOOKUP($I816,'Pricing Table - eff 27-Jan-2026'!$A:$R,7,FALSE)&amp;""" x "&amp;VLOOKUP($I816,'Pricing Table - eff 27-Jan-2026'!$A:$R,9,FALSE)&amp;""" "&amp;VLOOKUP($I816,'Pricing Table - eff 27-Jan-2026'!$A:$R,5,FALSE)</f>
        <v>#N/A</v>
      </c>
      <c r="L816" s="55" t="e">
        <f>VLOOKUP($I816,'Pricing Table - eff 27-Jan-2026'!$A:$K,8,FALSE)</f>
        <v>#N/A</v>
      </c>
      <c r="M816" s="55" t="e">
        <f>VLOOKUP($I816,'Pricing Table - eff 27-Jan-2026'!$A:$K,10,FALSE)</f>
        <v>#N/A</v>
      </c>
      <c r="N816" s="55" t="e">
        <f>VLOOKUP($I816,'Pricing Table - eff 27-Jan-2026'!$A:$R,13,FALSE)&amp;" "&amp;VLOOKUP($I816,'Pricing Table - eff 27-Jan-2026'!$A:$R,12,FALSE)</f>
        <v>#N/A</v>
      </c>
      <c r="O816" s="56"/>
      <c r="P816" s="55" t="e">
        <f>(VLOOKUP($I816,'Pricing Table - eff 27-Jan-2026'!$A:$R,8,FALSE)/1000)*(VLOOKUP($I816,'Pricing Table - eff 27-Jan-2026'!$A:$R,10,FALSE)/1000)*Q816</f>
        <v>#N/A</v>
      </c>
      <c r="Q816" s="55" t="e">
        <f>ROUND(('Order Details'!$O816*1000)/((VLOOKUP($I816,'Pricing Table - eff 27-Jan-2026'!$A:$Q,7,FALSE)/12)*(VLOOKUP($I816,'Pricing Table - eff 27-Jan-2026'!$A:$Q,9,FALSE)/12))/5,0)*5</f>
        <v>#N/A</v>
      </c>
      <c r="R816" s="71" t="e">
        <f>$Q816/IFERROR(VLOOKUP($F816&amp;RIGHT($K816,8),'Master Data'!$O$5:$P$10,2,FALSE),'Master Data'!$P$4)</f>
        <v>#N/A</v>
      </c>
      <c r="S816" s="57" t="e">
        <f>VLOOKUP($I816,'Pricing Table - eff 27-Jan-2026'!$A:$Q,16,FALSE)</f>
        <v>#N/A</v>
      </c>
      <c r="T816" s="57" t="e">
        <f>VLOOKUP(I816,'Pricing Table - eff 27-Jan-2026'!$A:$O,15,FALSE)</f>
        <v>#N/A</v>
      </c>
      <c r="U816" s="57" t="e">
        <f t="shared" si="35"/>
        <v>#N/A</v>
      </c>
      <c r="V816" s="111" t="e">
        <f t="shared" si="34"/>
        <v>#N/A</v>
      </c>
      <c r="W816" s="55" t="e">
        <f>VLOOKUP($I816,'Pricing Table - eff 27-Jan-2026'!$A:$R,18,FALSE)</f>
        <v>#N/A</v>
      </c>
    </row>
    <row r="817" spans="1:23" hidden="1" x14ac:dyDescent="0.3">
      <c r="A817" s="55"/>
      <c r="B817" s="55"/>
      <c r="C817" s="55">
        <f>VLOOKUP(A817&amp;"-"&amp;B817,'Order Summary'!$D:$E,2,FALSE)</f>
        <v>0</v>
      </c>
      <c r="D817" s="216" t="str">
        <f>IF($A817="","",VLOOKUP($A817&amp;"-"&amp;$B817,'Order Summary'!$D:$U,3,FALSE))</f>
        <v/>
      </c>
      <c r="E817" s="55" t="str">
        <f>VLOOKUP(A817&amp;"-"&amp;B817,'Order Summary'!$D:$G,4,FALSE)</f>
        <v>Yes</v>
      </c>
      <c r="F817" s="55" t="e">
        <f>VLOOKUP($A817,'Order Summary'!$B:$I,8,FALSE)</f>
        <v>#N/A</v>
      </c>
      <c r="G817" s="216" t="str">
        <f>IF($A817="","",VLOOKUP($A817&amp;"-"&amp;$B817,'Order Summary'!$D:$U,18,FALSE))</f>
        <v/>
      </c>
      <c r="H817" s="55"/>
      <c r="I817" s="55"/>
      <c r="J817" s="55" t="e">
        <f>VLOOKUP($I817,'Pricing Table - eff 27-Jan-2026'!$A:$R,2,FALSE)</f>
        <v>#N/A</v>
      </c>
      <c r="K817" s="55" t="e">
        <f>VLOOKUP($I817,'Pricing Table - eff 27-Jan-2026'!$A:$R,6,FALSE)&amp;" "&amp;VLOOKUP($I817,'Pricing Table - eff 27-Jan-2026'!$A:$R,7,FALSE)&amp;""" x "&amp;VLOOKUP($I817,'Pricing Table - eff 27-Jan-2026'!$A:$R,9,FALSE)&amp;""" "&amp;VLOOKUP($I817,'Pricing Table - eff 27-Jan-2026'!$A:$R,5,FALSE)</f>
        <v>#N/A</v>
      </c>
      <c r="L817" s="55" t="e">
        <f>VLOOKUP($I817,'Pricing Table - eff 27-Jan-2026'!$A:$K,8,FALSE)</f>
        <v>#N/A</v>
      </c>
      <c r="M817" s="55" t="e">
        <f>VLOOKUP($I817,'Pricing Table - eff 27-Jan-2026'!$A:$K,10,FALSE)</f>
        <v>#N/A</v>
      </c>
      <c r="N817" s="55" t="e">
        <f>VLOOKUP($I817,'Pricing Table - eff 27-Jan-2026'!$A:$R,13,FALSE)&amp;" "&amp;VLOOKUP($I817,'Pricing Table - eff 27-Jan-2026'!$A:$R,12,FALSE)</f>
        <v>#N/A</v>
      </c>
      <c r="O817" s="56"/>
      <c r="P817" s="55" t="e">
        <f>(VLOOKUP($I817,'Pricing Table - eff 27-Jan-2026'!$A:$R,8,FALSE)/1000)*(VLOOKUP($I817,'Pricing Table - eff 27-Jan-2026'!$A:$R,10,FALSE)/1000)*Q817</f>
        <v>#N/A</v>
      </c>
      <c r="Q817" s="55" t="e">
        <f>ROUND(('Order Details'!$O817*1000)/((VLOOKUP($I817,'Pricing Table - eff 27-Jan-2026'!$A:$Q,7,FALSE)/12)*(VLOOKUP($I817,'Pricing Table - eff 27-Jan-2026'!$A:$Q,9,FALSE)/12))/5,0)*5</f>
        <v>#N/A</v>
      </c>
      <c r="R817" s="71" t="e">
        <f>$Q817/IFERROR(VLOOKUP($F817&amp;RIGHT($K817,8),'Master Data'!$O$5:$P$10,2,FALSE),'Master Data'!$P$4)</f>
        <v>#N/A</v>
      </c>
      <c r="S817" s="57" t="e">
        <f>VLOOKUP($I817,'Pricing Table - eff 27-Jan-2026'!$A:$Q,16,FALSE)</f>
        <v>#N/A</v>
      </c>
      <c r="T817" s="57" t="e">
        <f>VLOOKUP(I817,'Pricing Table - eff 27-Jan-2026'!$A:$O,15,FALSE)</f>
        <v>#N/A</v>
      </c>
      <c r="U817" s="57" t="e">
        <f t="shared" si="35"/>
        <v>#N/A</v>
      </c>
      <c r="V817" s="111" t="e">
        <f t="shared" si="34"/>
        <v>#N/A</v>
      </c>
      <c r="W817" s="55" t="e">
        <f>VLOOKUP($I817,'Pricing Table - eff 27-Jan-2026'!$A:$R,18,FALSE)</f>
        <v>#N/A</v>
      </c>
    </row>
    <row r="818" spans="1:23" hidden="1" x14ac:dyDescent="0.3">
      <c r="A818" s="55"/>
      <c r="B818" s="55"/>
      <c r="C818" s="55">
        <f>VLOOKUP(A818&amp;"-"&amp;B818,'Order Summary'!$D:$E,2,FALSE)</f>
        <v>0</v>
      </c>
      <c r="D818" s="216" t="str">
        <f>IF($A818="","",VLOOKUP($A818&amp;"-"&amp;$B818,'Order Summary'!$D:$U,3,FALSE))</f>
        <v/>
      </c>
      <c r="E818" s="55" t="str">
        <f>VLOOKUP(A818&amp;"-"&amp;B818,'Order Summary'!$D:$G,4,FALSE)</f>
        <v>Yes</v>
      </c>
      <c r="F818" s="55" t="e">
        <f>VLOOKUP($A818,'Order Summary'!$B:$I,8,FALSE)</f>
        <v>#N/A</v>
      </c>
      <c r="G818" s="216" t="str">
        <f>IF($A818="","",VLOOKUP($A818&amp;"-"&amp;$B818,'Order Summary'!$D:$U,18,FALSE))</f>
        <v/>
      </c>
      <c r="H818" s="55"/>
      <c r="I818" s="55"/>
      <c r="J818" s="55" t="e">
        <f>VLOOKUP($I818,'Pricing Table - eff 27-Jan-2026'!$A:$R,2,FALSE)</f>
        <v>#N/A</v>
      </c>
      <c r="K818" s="55" t="e">
        <f>VLOOKUP($I818,'Pricing Table - eff 27-Jan-2026'!$A:$R,6,FALSE)&amp;" "&amp;VLOOKUP($I818,'Pricing Table - eff 27-Jan-2026'!$A:$R,7,FALSE)&amp;""" x "&amp;VLOOKUP($I818,'Pricing Table - eff 27-Jan-2026'!$A:$R,9,FALSE)&amp;""" "&amp;VLOOKUP($I818,'Pricing Table - eff 27-Jan-2026'!$A:$R,5,FALSE)</f>
        <v>#N/A</v>
      </c>
      <c r="L818" s="55" t="e">
        <f>VLOOKUP($I818,'Pricing Table - eff 27-Jan-2026'!$A:$K,8,FALSE)</f>
        <v>#N/A</v>
      </c>
      <c r="M818" s="55" t="e">
        <f>VLOOKUP($I818,'Pricing Table - eff 27-Jan-2026'!$A:$K,10,FALSE)</f>
        <v>#N/A</v>
      </c>
      <c r="N818" s="55" t="e">
        <f>VLOOKUP($I818,'Pricing Table - eff 27-Jan-2026'!$A:$R,13,FALSE)&amp;" "&amp;VLOOKUP($I818,'Pricing Table - eff 27-Jan-2026'!$A:$R,12,FALSE)</f>
        <v>#N/A</v>
      </c>
      <c r="O818" s="56"/>
      <c r="P818" s="55" t="e">
        <f>(VLOOKUP($I818,'Pricing Table - eff 27-Jan-2026'!$A:$R,8,FALSE)/1000)*(VLOOKUP($I818,'Pricing Table - eff 27-Jan-2026'!$A:$R,10,FALSE)/1000)*Q818</f>
        <v>#N/A</v>
      </c>
      <c r="Q818" s="55" t="e">
        <f>ROUND(('Order Details'!$O818*1000)/((VLOOKUP($I818,'Pricing Table - eff 27-Jan-2026'!$A:$Q,7,FALSE)/12)*(VLOOKUP($I818,'Pricing Table - eff 27-Jan-2026'!$A:$Q,9,FALSE)/12))/5,0)*5</f>
        <v>#N/A</v>
      </c>
      <c r="R818" s="71" t="e">
        <f>$Q818/IFERROR(VLOOKUP($F818&amp;RIGHT($K818,8),'Master Data'!$O$5:$P$10,2,FALSE),'Master Data'!$P$4)</f>
        <v>#N/A</v>
      </c>
      <c r="S818" s="57" t="e">
        <f>VLOOKUP($I818,'Pricing Table - eff 27-Jan-2026'!$A:$Q,16,FALSE)</f>
        <v>#N/A</v>
      </c>
      <c r="T818" s="57" t="e">
        <f>VLOOKUP(I818,'Pricing Table - eff 27-Jan-2026'!$A:$O,15,FALSE)</f>
        <v>#N/A</v>
      </c>
      <c r="U818" s="57" t="e">
        <f t="shared" si="35"/>
        <v>#N/A</v>
      </c>
      <c r="V818" s="111" t="e">
        <f t="shared" si="34"/>
        <v>#N/A</v>
      </c>
      <c r="W818" s="55" t="e">
        <f>VLOOKUP($I818,'Pricing Table - eff 27-Jan-2026'!$A:$R,18,FALSE)</f>
        <v>#N/A</v>
      </c>
    </row>
    <row r="819" spans="1:23" hidden="1" x14ac:dyDescent="0.3">
      <c r="A819" s="55"/>
      <c r="B819" s="55"/>
      <c r="C819" s="55">
        <f>VLOOKUP(A819&amp;"-"&amp;B819,'Order Summary'!$D:$E,2,FALSE)</f>
        <v>0</v>
      </c>
      <c r="D819" s="216" t="str">
        <f>IF($A819="","",VLOOKUP($A819&amp;"-"&amp;$B819,'Order Summary'!$D:$U,3,FALSE))</f>
        <v/>
      </c>
      <c r="E819" s="55" t="str">
        <f>VLOOKUP(A819&amp;"-"&amp;B819,'Order Summary'!$D:$G,4,FALSE)</f>
        <v>Yes</v>
      </c>
      <c r="F819" s="55" t="e">
        <f>VLOOKUP($A819,'Order Summary'!$B:$I,8,FALSE)</f>
        <v>#N/A</v>
      </c>
      <c r="G819" s="216" t="str">
        <f>IF($A819="","",VLOOKUP($A819&amp;"-"&amp;$B819,'Order Summary'!$D:$U,18,FALSE))</f>
        <v/>
      </c>
      <c r="H819" s="55"/>
      <c r="I819" s="55"/>
      <c r="J819" s="55" t="e">
        <f>VLOOKUP($I819,'Pricing Table - eff 27-Jan-2026'!$A:$R,2,FALSE)</f>
        <v>#N/A</v>
      </c>
      <c r="K819" s="55" t="e">
        <f>VLOOKUP($I819,'Pricing Table - eff 27-Jan-2026'!$A:$R,6,FALSE)&amp;" "&amp;VLOOKUP($I819,'Pricing Table - eff 27-Jan-2026'!$A:$R,7,FALSE)&amp;""" x "&amp;VLOOKUP($I819,'Pricing Table - eff 27-Jan-2026'!$A:$R,9,FALSE)&amp;""" "&amp;VLOOKUP($I819,'Pricing Table - eff 27-Jan-2026'!$A:$R,5,FALSE)</f>
        <v>#N/A</v>
      </c>
      <c r="L819" s="55" t="e">
        <f>VLOOKUP($I819,'Pricing Table - eff 27-Jan-2026'!$A:$K,8,FALSE)</f>
        <v>#N/A</v>
      </c>
      <c r="M819" s="55" t="e">
        <f>VLOOKUP($I819,'Pricing Table - eff 27-Jan-2026'!$A:$K,10,FALSE)</f>
        <v>#N/A</v>
      </c>
      <c r="N819" s="55" t="e">
        <f>VLOOKUP($I819,'Pricing Table - eff 27-Jan-2026'!$A:$R,13,FALSE)&amp;" "&amp;VLOOKUP($I819,'Pricing Table - eff 27-Jan-2026'!$A:$R,12,FALSE)</f>
        <v>#N/A</v>
      </c>
      <c r="O819" s="56"/>
      <c r="P819" s="55" t="e">
        <f>(VLOOKUP($I819,'Pricing Table - eff 27-Jan-2026'!$A:$R,8,FALSE)/1000)*(VLOOKUP($I819,'Pricing Table - eff 27-Jan-2026'!$A:$R,10,FALSE)/1000)*Q819</f>
        <v>#N/A</v>
      </c>
      <c r="Q819" s="55" t="e">
        <f>ROUND(('Order Details'!$O819*1000)/((VLOOKUP($I819,'Pricing Table - eff 27-Jan-2026'!$A:$Q,7,FALSE)/12)*(VLOOKUP($I819,'Pricing Table - eff 27-Jan-2026'!$A:$Q,9,FALSE)/12))/5,0)*5</f>
        <v>#N/A</v>
      </c>
      <c r="R819" s="71" t="e">
        <f>$Q819/IFERROR(VLOOKUP($F819&amp;RIGHT($K819,8),'Master Data'!$O$5:$P$10,2,FALSE),'Master Data'!$P$4)</f>
        <v>#N/A</v>
      </c>
      <c r="S819" s="57" t="e">
        <f>VLOOKUP($I819,'Pricing Table - eff 27-Jan-2026'!$A:$Q,16,FALSE)</f>
        <v>#N/A</v>
      </c>
      <c r="T819" s="57" t="e">
        <f>VLOOKUP(I819,'Pricing Table - eff 27-Jan-2026'!$A:$O,15,FALSE)</f>
        <v>#N/A</v>
      </c>
      <c r="U819" s="57" t="e">
        <f t="shared" si="35"/>
        <v>#N/A</v>
      </c>
      <c r="V819" s="111" t="e">
        <f t="shared" si="34"/>
        <v>#N/A</v>
      </c>
      <c r="W819" s="55" t="e">
        <f>VLOOKUP($I819,'Pricing Table - eff 27-Jan-2026'!$A:$R,18,FALSE)</f>
        <v>#N/A</v>
      </c>
    </row>
    <row r="820" spans="1:23" hidden="1" x14ac:dyDescent="0.3">
      <c r="A820" s="55"/>
      <c r="B820" s="55"/>
      <c r="C820" s="55">
        <f>VLOOKUP(A820&amp;"-"&amp;B820,'Order Summary'!$D:$E,2,FALSE)</f>
        <v>0</v>
      </c>
      <c r="D820" s="216" t="str">
        <f>IF($A820="","",VLOOKUP($A820&amp;"-"&amp;$B820,'Order Summary'!$D:$U,3,FALSE))</f>
        <v/>
      </c>
      <c r="E820" s="55" t="str">
        <f>VLOOKUP(A820&amp;"-"&amp;B820,'Order Summary'!$D:$G,4,FALSE)</f>
        <v>Yes</v>
      </c>
      <c r="F820" s="55" t="e">
        <f>VLOOKUP($A820,'Order Summary'!$B:$I,8,FALSE)</f>
        <v>#N/A</v>
      </c>
      <c r="G820" s="216" t="str">
        <f>IF($A820="","",VLOOKUP($A820&amp;"-"&amp;$B820,'Order Summary'!$D:$U,18,FALSE))</f>
        <v/>
      </c>
      <c r="H820" s="55"/>
      <c r="I820" s="55"/>
      <c r="J820" s="55" t="e">
        <f>VLOOKUP($I820,'Pricing Table - eff 27-Jan-2026'!$A:$R,2,FALSE)</f>
        <v>#N/A</v>
      </c>
      <c r="K820" s="55" t="e">
        <f>VLOOKUP($I820,'Pricing Table - eff 27-Jan-2026'!$A:$R,6,FALSE)&amp;" "&amp;VLOOKUP($I820,'Pricing Table - eff 27-Jan-2026'!$A:$R,7,FALSE)&amp;""" x "&amp;VLOOKUP($I820,'Pricing Table - eff 27-Jan-2026'!$A:$R,9,FALSE)&amp;""" "&amp;VLOOKUP($I820,'Pricing Table - eff 27-Jan-2026'!$A:$R,5,FALSE)</f>
        <v>#N/A</v>
      </c>
      <c r="L820" s="55" t="e">
        <f>VLOOKUP($I820,'Pricing Table - eff 27-Jan-2026'!$A:$K,8,FALSE)</f>
        <v>#N/A</v>
      </c>
      <c r="M820" s="55" t="e">
        <f>VLOOKUP($I820,'Pricing Table - eff 27-Jan-2026'!$A:$K,10,FALSE)</f>
        <v>#N/A</v>
      </c>
      <c r="N820" s="55" t="e">
        <f>VLOOKUP($I820,'Pricing Table - eff 27-Jan-2026'!$A:$R,13,FALSE)&amp;" "&amp;VLOOKUP($I820,'Pricing Table - eff 27-Jan-2026'!$A:$R,12,FALSE)</f>
        <v>#N/A</v>
      </c>
      <c r="O820" s="56"/>
      <c r="P820" s="55" t="e">
        <f>(VLOOKUP($I820,'Pricing Table - eff 27-Jan-2026'!$A:$R,8,FALSE)/1000)*(VLOOKUP($I820,'Pricing Table - eff 27-Jan-2026'!$A:$R,10,FALSE)/1000)*Q820</f>
        <v>#N/A</v>
      </c>
      <c r="Q820" s="55" t="e">
        <f>ROUND(('Order Details'!$O820*1000)/((VLOOKUP($I820,'Pricing Table - eff 27-Jan-2026'!$A:$Q,7,FALSE)/12)*(VLOOKUP($I820,'Pricing Table - eff 27-Jan-2026'!$A:$Q,9,FALSE)/12))/5,0)*5</f>
        <v>#N/A</v>
      </c>
      <c r="R820" s="71" t="e">
        <f>$Q820/IFERROR(VLOOKUP($F820&amp;RIGHT($K820,8),'Master Data'!$O$5:$P$10,2,FALSE),'Master Data'!$P$4)</f>
        <v>#N/A</v>
      </c>
      <c r="S820" s="57" t="e">
        <f>VLOOKUP($I820,'Pricing Table - eff 27-Jan-2026'!$A:$Q,16,FALSE)</f>
        <v>#N/A</v>
      </c>
      <c r="T820" s="57" t="e">
        <f>VLOOKUP(I820,'Pricing Table - eff 27-Jan-2026'!$A:$O,15,FALSE)</f>
        <v>#N/A</v>
      </c>
      <c r="U820" s="57" t="e">
        <f t="shared" si="35"/>
        <v>#N/A</v>
      </c>
      <c r="V820" s="111" t="e">
        <f t="shared" si="34"/>
        <v>#N/A</v>
      </c>
      <c r="W820" s="55" t="e">
        <f>VLOOKUP($I820,'Pricing Table - eff 27-Jan-2026'!$A:$R,18,FALSE)</f>
        <v>#N/A</v>
      </c>
    </row>
    <row r="821" spans="1:23" hidden="1" x14ac:dyDescent="0.3">
      <c r="A821" s="55"/>
      <c r="B821" s="55"/>
      <c r="C821" s="55">
        <f>VLOOKUP(A821&amp;"-"&amp;B821,'Order Summary'!$D:$E,2,FALSE)</f>
        <v>0</v>
      </c>
      <c r="D821" s="216" t="str">
        <f>IF($A821="","",VLOOKUP($A821&amp;"-"&amp;$B821,'Order Summary'!$D:$U,3,FALSE))</f>
        <v/>
      </c>
      <c r="E821" s="55" t="str">
        <f>VLOOKUP(A821&amp;"-"&amp;B821,'Order Summary'!$D:$G,4,FALSE)</f>
        <v>Yes</v>
      </c>
      <c r="F821" s="55" t="e">
        <f>VLOOKUP($A821,'Order Summary'!$B:$I,8,FALSE)</f>
        <v>#N/A</v>
      </c>
      <c r="G821" s="216" t="str">
        <f>IF($A821="","",VLOOKUP($A821&amp;"-"&amp;$B821,'Order Summary'!$D:$U,18,FALSE))</f>
        <v/>
      </c>
      <c r="H821" s="55"/>
      <c r="I821" s="55"/>
      <c r="J821" s="55" t="e">
        <f>VLOOKUP($I821,'Pricing Table - eff 27-Jan-2026'!$A:$R,2,FALSE)</f>
        <v>#N/A</v>
      </c>
      <c r="K821" s="55" t="e">
        <f>VLOOKUP($I821,'Pricing Table - eff 27-Jan-2026'!$A:$R,6,FALSE)&amp;" "&amp;VLOOKUP($I821,'Pricing Table - eff 27-Jan-2026'!$A:$R,7,FALSE)&amp;""" x "&amp;VLOOKUP($I821,'Pricing Table - eff 27-Jan-2026'!$A:$R,9,FALSE)&amp;""" "&amp;VLOOKUP($I821,'Pricing Table - eff 27-Jan-2026'!$A:$R,5,FALSE)</f>
        <v>#N/A</v>
      </c>
      <c r="L821" s="55" t="e">
        <f>VLOOKUP($I821,'Pricing Table - eff 27-Jan-2026'!$A:$K,8,FALSE)</f>
        <v>#N/A</v>
      </c>
      <c r="M821" s="55" t="e">
        <f>VLOOKUP($I821,'Pricing Table - eff 27-Jan-2026'!$A:$K,10,FALSE)</f>
        <v>#N/A</v>
      </c>
      <c r="N821" s="55" t="e">
        <f>VLOOKUP($I821,'Pricing Table - eff 27-Jan-2026'!$A:$R,13,FALSE)&amp;" "&amp;VLOOKUP($I821,'Pricing Table - eff 27-Jan-2026'!$A:$R,12,FALSE)</f>
        <v>#N/A</v>
      </c>
      <c r="O821" s="56"/>
      <c r="P821" s="55" t="e">
        <f>(VLOOKUP($I821,'Pricing Table - eff 27-Jan-2026'!$A:$R,8,FALSE)/1000)*(VLOOKUP($I821,'Pricing Table - eff 27-Jan-2026'!$A:$R,10,FALSE)/1000)*Q821</f>
        <v>#N/A</v>
      </c>
      <c r="Q821" s="55" t="e">
        <f>ROUND(('Order Details'!$O821*1000)/((VLOOKUP($I821,'Pricing Table - eff 27-Jan-2026'!$A:$Q,7,FALSE)/12)*(VLOOKUP($I821,'Pricing Table - eff 27-Jan-2026'!$A:$Q,9,FALSE)/12))/5,0)*5</f>
        <v>#N/A</v>
      </c>
      <c r="R821" s="71" t="e">
        <f>$Q821/IFERROR(VLOOKUP($F821&amp;RIGHT($K821,8),'Master Data'!$O$5:$P$10,2,FALSE),'Master Data'!$P$4)</f>
        <v>#N/A</v>
      </c>
      <c r="S821" s="57" t="e">
        <f>VLOOKUP($I821,'Pricing Table - eff 27-Jan-2026'!$A:$Q,16,FALSE)</f>
        <v>#N/A</v>
      </c>
      <c r="T821" s="57" t="e">
        <f>VLOOKUP(I821,'Pricing Table - eff 27-Jan-2026'!$A:$O,15,FALSE)</f>
        <v>#N/A</v>
      </c>
      <c r="U821" s="57" t="e">
        <f t="shared" si="35"/>
        <v>#N/A</v>
      </c>
      <c r="V821" s="111" t="e">
        <f t="shared" si="34"/>
        <v>#N/A</v>
      </c>
      <c r="W821" s="55" t="e">
        <f>VLOOKUP($I821,'Pricing Table - eff 27-Jan-2026'!$A:$R,18,FALSE)</f>
        <v>#N/A</v>
      </c>
    </row>
    <row r="822" spans="1:23" hidden="1" x14ac:dyDescent="0.3">
      <c r="A822" s="55"/>
      <c r="B822" s="55"/>
      <c r="C822" s="55">
        <f>VLOOKUP(A822&amp;"-"&amp;B822,'Order Summary'!$D:$E,2,FALSE)</f>
        <v>0</v>
      </c>
      <c r="D822" s="216" t="str">
        <f>IF($A822="","",VLOOKUP($A822&amp;"-"&amp;$B822,'Order Summary'!$D:$U,3,FALSE))</f>
        <v/>
      </c>
      <c r="E822" s="55" t="str">
        <f>VLOOKUP(A822&amp;"-"&amp;B822,'Order Summary'!$D:$G,4,FALSE)</f>
        <v>Yes</v>
      </c>
      <c r="F822" s="55" t="e">
        <f>VLOOKUP($A822,'Order Summary'!$B:$I,8,FALSE)</f>
        <v>#N/A</v>
      </c>
      <c r="G822" s="216" t="str">
        <f>IF($A822="","",VLOOKUP($A822&amp;"-"&amp;$B822,'Order Summary'!$D:$U,18,FALSE))</f>
        <v/>
      </c>
      <c r="H822" s="55"/>
      <c r="I822" s="55"/>
      <c r="J822" s="55" t="e">
        <f>VLOOKUP($I822,'Pricing Table - eff 27-Jan-2026'!$A:$R,2,FALSE)</f>
        <v>#N/A</v>
      </c>
      <c r="K822" s="55" t="e">
        <f>VLOOKUP($I822,'Pricing Table - eff 27-Jan-2026'!$A:$R,6,FALSE)&amp;" "&amp;VLOOKUP($I822,'Pricing Table - eff 27-Jan-2026'!$A:$R,7,FALSE)&amp;""" x "&amp;VLOOKUP($I822,'Pricing Table - eff 27-Jan-2026'!$A:$R,9,FALSE)&amp;""" "&amp;VLOOKUP($I822,'Pricing Table - eff 27-Jan-2026'!$A:$R,5,FALSE)</f>
        <v>#N/A</v>
      </c>
      <c r="L822" s="55" t="e">
        <f>VLOOKUP($I822,'Pricing Table - eff 27-Jan-2026'!$A:$K,8,FALSE)</f>
        <v>#N/A</v>
      </c>
      <c r="M822" s="55" t="e">
        <f>VLOOKUP($I822,'Pricing Table - eff 27-Jan-2026'!$A:$K,10,FALSE)</f>
        <v>#N/A</v>
      </c>
      <c r="N822" s="55" t="e">
        <f>VLOOKUP($I822,'Pricing Table - eff 27-Jan-2026'!$A:$R,13,FALSE)&amp;" "&amp;VLOOKUP($I822,'Pricing Table - eff 27-Jan-2026'!$A:$R,12,FALSE)</f>
        <v>#N/A</v>
      </c>
      <c r="O822" s="56"/>
      <c r="P822" s="55" t="e">
        <f>(VLOOKUP($I822,'Pricing Table - eff 27-Jan-2026'!$A:$R,8,FALSE)/1000)*(VLOOKUP($I822,'Pricing Table - eff 27-Jan-2026'!$A:$R,10,FALSE)/1000)*Q822</f>
        <v>#N/A</v>
      </c>
      <c r="Q822" s="55" t="e">
        <f>ROUND(('Order Details'!$O822*1000)/((VLOOKUP($I822,'Pricing Table - eff 27-Jan-2026'!$A:$Q,7,FALSE)/12)*(VLOOKUP($I822,'Pricing Table - eff 27-Jan-2026'!$A:$Q,9,FALSE)/12))/5,0)*5</f>
        <v>#N/A</v>
      </c>
      <c r="R822" s="71" t="e">
        <f>$Q822/IFERROR(VLOOKUP($F822&amp;RIGHT($K822,8),'Master Data'!$O$5:$P$10,2,FALSE),'Master Data'!$P$4)</f>
        <v>#N/A</v>
      </c>
      <c r="S822" s="57" t="e">
        <f>VLOOKUP($I822,'Pricing Table - eff 27-Jan-2026'!$A:$Q,16,FALSE)</f>
        <v>#N/A</v>
      </c>
      <c r="T822" s="57" t="e">
        <f>VLOOKUP(I822,'Pricing Table - eff 27-Jan-2026'!$A:$O,15,FALSE)</f>
        <v>#N/A</v>
      </c>
      <c r="U822" s="57" t="e">
        <f t="shared" si="35"/>
        <v>#N/A</v>
      </c>
      <c r="V822" s="111" t="e">
        <f t="shared" si="34"/>
        <v>#N/A</v>
      </c>
      <c r="W822" s="55" t="e">
        <f>VLOOKUP($I822,'Pricing Table - eff 27-Jan-2026'!$A:$R,18,FALSE)</f>
        <v>#N/A</v>
      </c>
    </row>
    <row r="823" spans="1:23" hidden="1" x14ac:dyDescent="0.3">
      <c r="A823" s="55"/>
      <c r="B823" s="55"/>
      <c r="C823" s="55">
        <f>VLOOKUP(A823&amp;"-"&amp;B823,'Order Summary'!$D:$E,2,FALSE)</f>
        <v>0</v>
      </c>
      <c r="D823" s="216" t="str">
        <f>IF($A823="","",VLOOKUP($A823&amp;"-"&amp;$B823,'Order Summary'!$D:$U,3,FALSE))</f>
        <v/>
      </c>
      <c r="E823" s="55" t="str">
        <f>VLOOKUP(A823&amp;"-"&amp;B823,'Order Summary'!$D:$G,4,FALSE)</f>
        <v>Yes</v>
      </c>
      <c r="F823" s="55" t="e">
        <f>VLOOKUP($A823,'Order Summary'!$B:$I,8,FALSE)</f>
        <v>#N/A</v>
      </c>
      <c r="G823" s="216" t="str">
        <f>IF($A823="","",VLOOKUP($A823&amp;"-"&amp;$B823,'Order Summary'!$D:$U,18,FALSE))</f>
        <v/>
      </c>
      <c r="H823" s="55"/>
      <c r="I823" s="55"/>
      <c r="J823" s="55" t="e">
        <f>VLOOKUP($I823,'Pricing Table - eff 27-Jan-2026'!$A:$R,2,FALSE)</f>
        <v>#N/A</v>
      </c>
      <c r="K823" s="55" t="e">
        <f>VLOOKUP($I823,'Pricing Table - eff 27-Jan-2026'!$A:$R,6,FALSE)&amp;" "&amp;VLOOKUP($I823,'Pricing Table - eff 27-Jan-2026'!$A:$R,7,FALSE)&amp;""" x "&amp;VLOOKUP($I823,'Pricing Table - eff 27-Jan-2026'!$A:$R,9,FALSE)&amp;""" "&amp;VLOOKUP($I823,'Pricing Table - eff 27-Jan-2026'!$A:$R,5,FALSE)</f>
        <v>#N/A</v>
      </c>
      <c r="L823" s="55" t="e">
        <f>VLOOKUP($I823,'Pricing Table - eff 27-Jan-2026'!$A:$K,8,FALSE)</f>
        <v>#N/A</v>
      </c>
      <c r="M823" s="55" t="e">
        <f>VLOOKUP($I823,'Pricing Table - eff 27-Jan-2026'!$A:$K,10,FALSE)</f>
        <v>#N/A</v>
      </c>
      <c r="N823" s="55" t="e">
        <f>VLOOKUP($I823,'Pricing Table - eff 27-Jan-2026'!$A:$R,13,FALSE)&amp;" "&amp;VLOOKUP($I823,'Pricing Table - eff 27-Jan-2026'!$A:$R,12,FALSE)</f>
        <v>#N/A</v>
      </c>
      <c r="O823" s="56"/>
      <c r="P823" s="55" t="e">
        <f>(VLOOKUP($I823,'Pricing Table - eff 27-Jan-2026'!$A:$R,8,FALSE)/1000)*(VLOOKUP($I823,'Pricing Table - eff 27-Jan-2026'!$A:$R,10,FALSE)/1000)*Q823</f>
        <v>#N/A</v>
      </c>
      <c r="Q823" s="55" t="e">
        <f>ROUND(('Order Details'!$O823*1000)/((VLOOKUP($I823,'Pricing Table - eff 27-Jan-2026'!$A:$Q,7,FALSE)/12)*(VLOOKUP($I823,'Pricing Table - eff 27-Jan-2026'!$A:$Q,9,FALSE)/12))/5,0)*5</f>
        <v>#N/A</v>
      </c>
      <c r="R823" s="71" t="e">
        <f>$Q823/IFERROR(VLOOKUP($F823&amp;RIGHT($K823,8),'Master Data'!$O$5:$P$10,2,FALSE),'Master Data'!$P$4)</f>
        <v>#N/A</v>
      </c>
      <c r="S823" s="57" t="e">
        <f>VLOOKUP($I823,'Pricing Table - eff 27-Jan-2026'!$A:$Q,16,FALSE)</f>
        <v>#N/A</v>
      </c>
      <c r="T823" s="57" t="e">
        <f>VLOOKUP(I823,'Pricing Table - eff 27-Jan-2026'!$A:$O,15,FALSE)</f>
        <v>#N/A</v>
      </c>
      <c r="U823" s="57" t="e">
        <f t="shared" si="35"/>
        <v>#N/A</v>
      </c>
      <c r="V823" s="111" t="e">
        <f t="shared" si="34"/>
        <v>#N/A</v>
      </c>
      <c r="W823" s="55" t="e">
        <f>VLOOKUP($I823,'Pricing Table - eff 27-Jan-2026'!$A:$R,18,FALSE)</f>
        <v>#N/A</v>
      </c>
    </row>
    <row r="824" spans="1:23" hidden="1" x14ac:dyDescent="0.3">
      <c r="A824" s="55"/>
      <c r="B824" s="55"/>
      <c r="C824" s="55">
        <f>VLOOKUP(A824&amp;"-"&amp;B824,'Order Summary'!$D:$E,2,FALSE)</f>
        <v>0</v>
      </c>
      <c r="D824" s="216" t="str">
        <f>IF($A824="","",VLOOKUP($A824&amp;"-"&amp;$B824,'Order Summary'!$D:$U,3,FALSE))</f>
        <v/>
      </c>
      <c r="E824" s="55" t="str">
        <f>VLOOKUP(A824&amp;"-"&amp;B824,'Order Summary'!$D:$G,4,FALSE)</f>
        <v>Yes</v>
      </c>
      <c r="F824" s="55" t="e">
        <f>VLOOKUP($A824,'Order Summary'!$B:$I,8,FALSE)</f>
        <v>#N/A</v>
      </c>
      <c r="G824" s="216" t="str">
        <f>IF($A824="","",VLOOKUP($A824&amp;"-"&amp;$B824,'Order Summary'!$D:$U,18,FALSE))</f>
        <v/>
      </c>
      <c r="H824" s="55"/>
      <c r="I824" s="55"/>
      <c r="J824" s="55" t="e">
        <f>VLOOKUP($I824,'Pricing Table - eff 27-Jan-2026'!$A:$R,2,FALSE)</f>
        <v>#N/A</v>
      </c>
      <c r="K824" s="55" t="e">
        <f>VLOOKUP($I824,'Pricing Table - eff 27-Jan-2026'!$A:$R,6,FALSE)&amp;" "&amp;VLOOKUP($I824,'Pricing Table - eff 27-Jan-2026'!$A:$R,7,FALSE)&amp;""" x "&amp;VLOOKUP($I824,'Pricing Table - eff 27-Jan-2026'!$A:$R,9,FALSE)&amp;""" "&amp;VLOOKUP($I824,'Pricing Table - eff 27-Jan-2026'!$A:$R,5,FALSE)</f>
        <v>#N/A</v>
      </c>
      <c r="L824" s="55" t="e">
        <f>VLOOKUP($I824,'Pricing Table - eff 27-Jan-2026'!$A:$K,8,FALSE)</f>
        <v>#N/A</v>
      </c>
      <c r="M824" s="55" t="e">
        <f>VLOOKUP($I824,'Pricing Table - eff 27-Jan-2026'!$A:$K,10,FALSE)</f>
        <v>#N/A</v>
      </c>
      <c r="N824" s="55" t="e">
        <f>VLOOKUP($I824,'Pricing Table - eff 27-Jan-2026'!$A:$R,13,FALSE)&amp;" "&amp;VLOOKUP($I824,'Pricing Table - eff 27-Jan-2026'!$A:$R,12,FALSE)</f>
        <v>#N/A</v>
      </c>
      <c r="O824" s="56"/>
      <c r="P824" s="55" t="e">
        <f>(VLOOKUP($I824,'Pricing Table - eff 27-Jan-2026'!$A:$R,8,FALSE)/1000)*(VLOOKUP($I824,'Pricing Table - eff 27-Jan-2026'!$A:$R,10,FALSE)/1000)*Q824</f>
        <v>#N/A</v>
      </c>
      <c r="Q824" s="55" t="e">
        <f>ROUND(('Order Details'!$O824*1000)/((VLOOKUP($I824,'Pricing Table - eff 27-Jan-2026'!$A:$Q,7,FALSE)/12)*(VLOOKUP($I824,'Pricing Table - eff 27-Jan-2026'!$A:$Q,9,FALSE)/12))/5,0)*5</f>
        <v>#N/A</v>
      </c>
      <c r="R824" s="71" t="e">
        <f>$Q824/IFERROR(VLOOKUP($F824&amp;RIGHT($K824,8),'Master Data'!$O$5:$P$10,2,FALSE),'Master Data'!$P$4)</f>
        <v>#N/A</v>
      </c>
      <c r="S824" s="57" t="e">
        <f>VLOOKUP($I824,'Pricing Table - eff 27-Jan-2026'!$A:$Q,16,FALSE)</f>
        <v>#N/A</v>
      </c>
      <c r="T824" s="57" t="e">
        <f>VLOOKUP(I824,'Pricing Table - eff 27-Jan-2026'!$A:$O,15,FALSE)</f>
        <v>#N/A</v>
      </c>
      <c r="U824" s="57" t="e">
        <f t="shared" si="35"/>
        <v>#N/A</v>
      </c>
      <c r="V824" s="111" t="e">
        <f t="shared" si="34"/>
        <v>#N/A</v>
      </c>
      <c r="W824" s="55" t="e">
        <f>VLOOKUP($I824,'Pricing Table - eff 27-Jan-2026'!$A:$R,18,FALSE)</f>
        <v>#N/A</v>
      </c>
    </row>
    <row r="825" spans="1:23" hidden="1" x14ac:dyDescent="0.3">
      <c r="A825" s="55"/>
      <c r="B825" s="55"/>
      <c r="C825" s="55">
        <f>VLOOKUP(A825&amp;"-"&amp;B825,'Order Summary'!$D:$E,2,FALSE)</f>
        <v>0</v>
      </c>
      <c r="D825" s="216" t="str">
        <f>IF($A825="","",VLOOKUP($A825&amp;"-"&amp;$B825,'Order Summary'!$D:$U,3,FALSE))</f>
        <v/>
      </c>
      <c r="E825" s="55" t="str">
        <f>VLOOKUP(A825&amp;"-"&amp;B825,'Order Summary'!$D:$G,4,FALSE)</f>
        <v>Yes</v>
      </c>
      <c r="F825" s="55" t="e">
        <f>VLOOKUP($A825,'Order Summary'!$B:$I,8,FALSE)</f>
        <v>#N/A</v>
      </c>
      <c r="G825" s="216" t="str">
        <f>IF($A825="","",VLOOKUP($A825&amp;"-"&amp;$B825,'Order Summary'!$D:$U,18,FALSE))</f>
        <v/>
      </c>
      <c r="H825" s="55"/>
      <c r="I825" s="55"/>
      <c r="J825" s="55" t="e">
        <f>VLOOKUP($I825,'Pricing Table - eff 27-Jan-2026'!$A:$R,2,FALSE)</f>
        <v>#N/A</v>
      </c>
      <c r="K825" s="55" t="e">
        <f>VLOOKUP($I825,'Pricing Table - eff 27-Jan-2026'!$A:$R,6,FALSE)&amp;" "&amp;VLOOKUP($I825,'Pricing Table - eff 27-Jan-2026'!$A:$R,7,FALSE)&amp;""" x "&amp;VLOOKUP($I825,'Pricing Table - eff 27-Jan-2026'!$A:$R,9,FALSE)&amp;""" "&amp;VLOOKUP($I825,'Pricing Table - eff 27-Jan-2026'!$A:$R,5,FALSE)</f>
        <v>#N/A</v>
      </c>
      <c r="L825" s="55" t="e">
        <f>VLOOKUP($I825,'Pricing Table - eff 27-Jan-2026'!$A:$K,8,FALSE)</f>
        <v>#N/A</v>
      </c>
      <c r="M825" s="55" t="e">
        <f>VLOOKUP($I825,'Pricing Table - eff 27-Jan-2026'!$A:$K,10,FALSE)</f>
        <v>#N/A</v>
      </c>
      <c r="N825" s="55" t="e">
        <f>VLOOKUP($I825,'Pricing Table - eff 27-Jan-2026'!$A:$R,13,FALSE)&amp;" "&amp;VLOOKUP($I825,'Pricing Table - eff 27-Jan-2026'!$A:$R,12,FALSE)</f>
        <v>#N/A</v>
      </c>
      <c r="O825" s="56"/>
      <c r="P825" s="55" t="e">
        <f>(VLOOKUP($I825,'Pricing Table - eff 27-Jan-2026'!$A:$R,8,FALSE)/1000)*(VLOOKUP($I825,'Pricing Table - eff 27-Jan-2026'!$A:$R,10,FALSE)/1000)*Q825</f>
        <v>#N/A</v>
      </c>
      <c r="Q825" s="55" t="e">
        <f>ROUND(('Order Details'!$O825*1000)/((VLOOKUP($I825,'Pricing Table - eff 27-Jan-2026'!$A:$Q,7,FALSE)/12)*(VLOOKUP($I825,'Pricing Table - eff 27-Jan-2026'!$A:$Q,9,FALSE)/12))/5,0)*5</f>
        <v>#N/A</v>
      </c>
      <c r="R825" s="71" t="e">
        <f>$Q825/IFERROR(VLOOKUP($F825&amp;RIGHT($K825,8),'Master Data'!$O$5:$P$10,2,FALSE),'Master Data'!$P$4)</f>
        <v>#N/A</v>
      </c>
      <c r="S825" s="57" t="e">
        <f>VLOOKUP($I825,'Pricing Table - eff 27-Jan-2026'!$A:$Q,16,FALSE)</f>
        <v>#N/A</v>
      </c>
      <c r="T825" s="57" t="e">
        <f>VLOOKUP(I825,'Pricing Table - eff 27-Jan-2026'!$A:$O,15,FALSE)</f>
        <v>#N/A</v>
      </c>
      <c r="U825" s="57" t="e">
        <f t="shared" si="35"/>
        <v>#N/A</v>
      </c>
      <c r="V825" s="111" t="e">
        <f t="shared" si="34"/>
        <v>#N/A</v>
      </c>
      <c r="W825" s="55" t="e">
        <f>VLOOKUP($I825,'Pricing Table - eff 27-Jan-2026'!$A:$R,18,FALSE)</f>
        <v>#N/A</v>
      </c>
    </row>
    <row r="826" spans="1:23" hidden="1" x14ac:dyDescent="0.3">
      <c r="A826" s="55"/>
      <c r="B826" s="55"/>
      <c r="C826" s="55">
        <f>VLOOKUP(A826&amp;"-"&amp;B826,'Order Summary'!$D:$E,2,FALSE)</f>
        <v>0</v>
      </c>
      <c r="D826" s="216" t="str">
        <f>IF($A826="","",VLOOKUP($A826&amp;"-"&amp;$B826,'Order Summary'!$D:$U,3,FALSE))</f>
        <v/>
      </c>
      <c r="E826" s="55" t="str">
        <f>VLOOKUP(A826&amp;"-"&amp;B826,'Order Summary'!$D:$G,4,FALSE)</f>
        <v>Yes</v>
      </c>
      <c r="F826" s="55" t="e">
        <f>VLOOKUP($A826,'Order Summary'!$B:$I,8,FALSE)</f>
        <v>#N/A</v>
      </c>
      <c r="G826" s="216" t="str">
        <f>IF($A826="","",VLOOKUP($A826&amp;"-"&amp;$B826,'Order Summary'!$D:$U,18,FALSE))</f>
        <v/>
      </c>
      <c r="H826" s="55"/>
      <c r="I826" s="55"/>
      <c r="J826" s="55" t="e">
        <f>VLOOKUP($I826,'Pricing Table - eff 27-Jan-2026'!$A:$R,2,FALSE)</f>
        <v>#N/A</v>
      </c>
      <c r="K826" s="55" t="e">
        <f>VLOOKUP($I826,'Pricing Table - eff 27-Jan-2026'!$A:$R,6,FALSE)&amp;" "&amp;VLOOKUP($I826,'Pricing Table - eff 27-Jan-2026'!$A:$R,7,FALSE)&amp;""" x "&amp;VLOOKUP($I826,'Pricing Table - eff 27-Jan-2026'!$A:$R,9,FALSE)&amp;""" "&amp;VLOOKUP($I826,'Pricing Table - eff 27-Jan-2026'!$A:$R,5,FALSE)</f>
        <v>#N/A</v>
      </c>
      <c r="L826" s="55" t="e">
        <f>VLOOKUP($I826,'Pricing Table - eff 27-Jan-2026'!$A:$K,8,FALSE)</f>
        <v>#N/A</v>
      </c>
      <c r="M826" s="55" t="e">
        <f>VLOOKUP($I826,'Pricing Table - eff 27-Jan-2026'!$A:$K,10,FALSE)</f>
        <v>#N/A</v>
      </c>
      <c r="N826" s="55" t="e">
        <f>VLOOKUP($I826,'Pricing Table - eff 27-Jan-2026'!$A:$R,13,FALSE)&amp;" "&amp;VLOOKUP($I826,'Pricing Table - eff 27-Jan-2026'!$A:$R,12,FALSE)</f>
        <v>#N/A</v>
      </c>
      <c r="O826" s="56"/>
      <c r="P826" s="55" t="e">
        <f>(VLOOKUP($I826,'Pricing Table - eff 27-Jan-2026'!$A:$R,8,FALSE)/1000)*(VLOOKUP($I826,'Pricing Table - eff 27-Jan-2026'!$A:$R,10,FALSE)/1000)*Q826</f>
        <v>#N/A</v>
      </c>
      <c r="Q826" s="55" t="e">
        <f>ROUND(('Order Details'!$O826*1000)/((VLOOKUP($I826,'Pricing Table - eff 27-Jan-2026'!$A:$Q,7,FALSE)/12)*(VLOOKUP($I826,'Pricing Table - eff 27-Jan-2026'!$A:$Q,9,FALSE)/12))/5,0)*5</f>
        <v>#N/A</v>
      </c>
      <c r="R826" s="71" t="e">
        <f>$Q826/IFERROR(VLOOKUP($F826&amp;RIGHT($K826,8),'Master Data'!$O$5:$P$10,2,FALSE),'Master Data'!$P$4)</f>
        <v>#N/A</v>
      </c>
      <c r="S826" s="57" t="e">
        <f>VLOOKUP($I826,'Pricing Table - eff 27-Jan-2026'!$A:$Q,16,FALSE)</f>
        <v>#N/A</v>
      </c>
      <c r="T826" s="57" t="e">
        <f>VLOOKUP(I826,'Pricing Table - eff 27-Jan-2026'!$A:$O,15,FALSE)</f>
        <v>#N/A</v>
      </c>
      <c r="U826" s="57" t="e">
        <f t="shared" si="35"/>
        <v>#N/A</v>
      </c>
      <c r="V826" s="111" t="e">
        <f t="shared" si="34"/>
        <v>#N/A</v>
      </c>
      <c r="W826" s="55" t="e">
        <f>VLOOKUP($I826,'Pricing Table - eff 27-Jan-2026'!$A:$R,18,FALSE)</f>
        <v>#N/A</v>
      </c>
    </row>
    <row r="827" spans="1:23" hidden="1" x14ac:dyDescent="0.3">
      <c r="A827" s="55"/>
      <c r="B827" s="55"/>
      <c r="C827" s="55">
        <f>VLOOKUP(A827&amp;"-"&amp;B827,'Order Summary'!$D:$E,2,FALSE)</f>
        <v>0</v>
      </c>
      <c r="D827" s="216" t="str">
        <f>IF($A827="","",VLOOKUP($A827&amp;"-"&amp;$B827,'Order Summary'!$D:$U,3,FALSE))</f>
        <v/>
      </c>
      <c r="E827" s="55" t="str">
        <f>VLOOKUP(A827&amp;"-"&amp;B827,'Order Summary'!$D:$G,4,FALSE)</f>
        <v>Yes</v>
      </c>
      <c r="F827" s="55" t="e">
        <f>VLOOKUP($A827,'Order Summary'!$B:$I,8,FALSE)</f>
        <v>#N/A</v>
      </c>
      <c r="G827" s="216" t="str">
        <f>IF($A827="","",VLOOKUP($A827&amp;"-"&amp;$B827,'Order Summary'!$D:$U,18,FALSE))</f>
        <v/>
      </c>
      <c r="H827" s="55"/>
      <c r="I827" s="55"/>
      <c r="J827" s="55" t="e">
        <f>VLOOKUP($I827,'Pricing Table - eff 27-Jan-2026'!$A:$R,2,FALSE)</f>
        <v>#N/A</v>
      </c>
      <c r="K827" s="55" t="e">
        <f>VLOOKUP($I827,'Pricing Table - eff 27-Jan-2026'!$A:$R,6,FALSE)&amp;" "&amp;VLOOKUP($I827,'Pricing Table - eff 27-Jan-2026'!$A:$R,7,FALSE)&amp;""" x "&amp;VLOOKUP($I827,'Pricing Table - eff 27-Jan-2026'!$A:$R,9,FALSE)&amp;""" "&amp;VLOOKUP($I827,'Pricing Table - eff 27-Jan-2026'!$A:$R,5,FALSE)</f>
        <v>#N/A</v>
      </c>
      <c r="L827" s="55" t="e">
        <f>VLOOKUP($I827,'Pricing Table - eff 27-Jan-2026'!$A:$K,8,FALSE)</f>
        <v>#N/A</v>
      </c>
      <c r="M827" s="55" t="e">
        <f>VLOOKUP($I827,'Pricing Table - eff 27-Jan-2026'!$A:$K,10,FALSE)</f>
        <v>#N/A</v>
      </c>
      <c r="N827" s="55" t="e">
        <f>VLOOKUP($I827,'Pricing Table - eff 27-Jan-2026'!$A:$R,13,FALSE)&amp;" "&amp;VLOOKUP($I827,'Pricing Table - eff 27-Jan-2026'!$A:$R,12,FALSE)</f>
        <v>#N/A</v>
      </c>
      <c r="O827" s="56"/>
      <c r="P827" s="55" t="e">
        <f>(VLOOKUP($I827,'Pricing Table - eff 27-Jan-2026'!$A:$R,8,FALSE)/1000)*(VLOOKUP($I827,'Pricing Table - eff 27-Jan-2026'!$A:$R,10,FALSE)/1000)*Q827</f>
        <v>#N/A</v>
      </c>
      <c r="Q827" s="55" t="e">
        <f>ROUND(('Order Details'!$O827*1000)/((VLOOKUP($I827,'Pricing Table - eff 27-Jan-2026'!$A:$Q,7,FALSE)/12)*(VLOOKUP($I827,'Pricing Table - eff 27-Jan-2026'!$A:$Q,9,FALSE)/12))/5,0)*5</f>
        <v>#N/A</v>
      </c>
      <c r="R827" s="71" t="e">
        <f>$Q827/IFERROR(VLOOKUP($F827&amp;RIGHT($K827,8),'Master Data'!$O$5:$P$10,2,FALSE),'Master Data'!$P$4)</f>
        <v>#N/A</v>
      </c>
      <c r="S827" s="57" t="e">
        <f>VLOOKUP($I827,'Pricing Table - eff 27-Jan-2026'!$A:$Q,16,FALSE)</f>
        <v>#N/A</v>
      </c>
      <c r="T827" s="57" t="e">
        <f>VLOOKUP(I827,'Pricing Table - eff 27-Jan-2026'!$A:$O,15,FALSE)</f>
        <v>#N/A</v>
      </c>
      <c r="U827" s="57" t="e">
        <f t="shared" si="35"/>
        <v>#N/A</v>
      </c>
      <c r="V827" s="111" t="e">
        <f t="shared" si="34"/>
        <v>#N/A</v>
      </c>
      <c r="W827" s="55" t="e">
        <f>VLOOKUP($I827,'Pricing Table - eff 27-Jan-2026'!$A:$R,18,FALSE)</f>
        <v>#N/A</v>
      </c>
    </row>
    <row r="828" spans="1:23" hidden="1" x14ac:dyDescent="0.3">
      <c r="A828" s="55"/>
      <c r="B828" s="55"/>
      <c r="C828" s="55">
        <f>VLOOKUP(A828&amp;"-"&amp;B828,'Order Summary'!$D:$E,2,FALSE)</f>
        <v>0</v>
      </c>
      <c r="D828" s="216" t="str">
        <f>IF($A828="","",VLOOKUP($A828&amp;"-"&amp;$B828,'Order Summary'!$D:$U,3,FALSE))</f>
        <v/>
      </c>
      <c r="E828" s="55" t="str">
        <f>VLOOKUP(A828&amp;"-"&amp;B828,'Order Summary'!$D:$G,4,FALSE)</f>
        <v>Yes</v>
      </c>
      <c r="F828" s="55" t="e">
        <f>VLOOKUP($A828,'Order Summary'!$B:$I,8,FALSE)</f>
        <v>#N/A</v>
      </c>
      <c r="G828" s="216" t="str">
        <f>IF($A828="","",VLOOKUP($A828&amp;"-"&amp;$B828,'Order Summary'!$D:$U,18,FALSE))</f>
        <v/>
      </c>
      <c r="H828" s="55"/>
      <c r="I828" s="55"/>
      <c r="J828" s="55" t="e">
        <f>VLOOKUP($I828,'Pricing Table - eff 27-Jan-2026'!$A:$R,2,FALSE)</f>
        <v>#N/A</v>
      </c>
      <c r="K828" s="55" t="e">
        <f>VLOOKUP($I828,'Pricing Table - eff 27-Jan-2026'!$A:$R,6,FALSE)&amp;" "&amp;VLOOKUP($I828,'Pricing Table - eff 27-Jan-2026'!$A:$R,7,FALSE)&amp;""" x "&amp;VLOOKUP($I828,'Pricing Table - eff 27-Jan-2026'!$A:$R,9,FALSE)&amp;""" "&amp;VLOOKUP($I828,'Pricing Table - eff 27-Jan-2026'!$A:$R,5,FALSE)</f>
        <v>#N/A</v>
      </c>
      <c r="L828" s="55" t="e">
        <f>VLOOKUP($I828,'Pricing Table - eff 27-Jan-2026'!$A:$K,8,FALSE)</f>
        <v>#N/A</v>
      </c>
      <c r="M828" s="55" t="e">
        <f>VLOOKUP($I828,'Pricing Table - eff 27-Jan-2026'!$A:$K,10,FALSE)</f>
        <v>#N/A</v>
      </c>
      <c r="N828" s="55" t="e">
        <f>VLOOKUP($I828,'Pricing Table - eff 27-Jan-2026'!$A:$R,13,FALSE)&amp;" "&amp;VLOOKUP($I828,'Pricing Table - eff 27-Jan-2026'!$A:$R,12,FALSE)</f>
        <v>#N/A</v>
      </c>
      <c r="O828" s="56"/>
      <c r="P828" s="55" t="e">
        <f>(VLOOKUP($I828,'Pricing Table - eff 27-Jan-2026'!$A:$R,8,FALSE)/1000)*(VLOOKUP($I828,'Pricing Table - eff 27-Jan-2026'!$A:$R,10,FALSE)/1000)*Q828</f>
        <v>#N/A</v>
      </c>
      <c r="Q828" s="55" t="e">
        <f>ROUND(('Order Details'!$O828*1000)/((VLOOKUP($I828,'Pricing Table - eff 27-Jan-2026'!$A:$Q,7,FALSE)/12)*(VLOOKUP($I828,'Pricing Table - eff 27-Jan-2026'!$A:$Q,9,FALSE)/12))/5,0)*5</f>
        <v>#N/A</v>
      </c>
      <c r="R828" s="71" t="e">
        <f>$Q828/IFERROR(VLOOKUP($F828&amp;RIGHT($K828,8),'Master Data'!$O$5:$P$10,2,FALSE),'Master Data'!$P$4)</f>
        <v>#N/A</v>
      </c>
      <c r="S828" s="57" t="e">
        <f>VLOOKUP($I828,'Pricing Table - eff 27-Jan-2026'!$A:$Q,16,FALSE)</f>
        <v>#N/A</v>
      </c>
      <c r="T828" s="57" t="e">
        <f>VLOOKUP(I828,'Pricing Table - eff 27-Jan-2026'!$A:$O,15,FALSE)</f>
        <v>#N/A</v>
      </c>
      <c r="U828" s="57" t="e">
        <f t="shared" si="35"/>
        <v>#N/A</v>
      </c>
      <c r="V828" s="111" t="e">
        <f t="shared" si="34"/>
        <v>#N/A</v>
      </c>
      <c r="W828" s="55" t="e">
        <f>VLOOKUP($I828,'Pricing Table - eff 27-Jan-2026'!$A:$R,18,FALSE)</f>
        <v>#N/A</v>
      </c>
    </row>
    <row r="829" spans="1:23" hidden="1" x14ac:dyDescent="0.3">
      <c r="A829" s="55"/>
      <c r="B829" s="55"/>
      <c r="C829" s="55">
        <f>VLOOKUP(A829&amp;"-"&amp;B829,'Order Summary'!$D:$E,2,FALSE)</f>
        <v>0</v>
      </c>
      <c r="D829" s="216" t="str">
        <f>IF($A829="","",VLOOKUP($A829&amp;"-"&amp;$B829,'Order Summary'!$D:$U,3,FALSE))</f>
        <v/>
      </c>
      <c r="E829" s="55" t="str">
        <f>VLOOKUP(A829&amp;"-"&amp;B829,'Order Summary'!$D:$G,4,FALSE)</f>
        <v>Yes</v>
      </c>
      <c r="F829" s="55" t="e">
        <f>VLOOKUP($A829,'Order Summary'!$B:$I,8,FALSE)</f>
        <v>#N/A</v>
      </c>
      <c r="G829" s="216" t="str">
        <f>IF($A829="","",VLOOKUP($A829&amp;"-"&amp;$B829,'Order Summary'!$D:$U,18,FALSE))</f>
        <v/>
      </c>
      <c r="H829" s="55"/>
      <c r="I829" s="55"/>
      <c r="J829" s="55" t="e">
        <f>VLOOKUP($I829,'Pricing Table - eff 27-Jan-2026'!$A:$R,2,FALSE)</f>
        <v>#N/A</v>
      </c>
      <c r="K829" s="55" t="e">
        <f>VLOOKUP($I829,'Pricing Table - eff 27-Jan-2026'!$A:$R,6,FALSE)&amp;" "&amp;VLOOKUP($I829,'Pricing Table - eff 27-Jan-2026'!$A:$R,7,FALSE)&amp;""" x "&amp;VLOOKUP($I829,'Pricing Table - eff 27-Jan-2026'!$A:$R,9,FALSE)&amp;""" "&amp;VLOOKUP($I829,'Pricing Table - eff 27-Jan-2026'!$A:$R,5,FALSE)</f>
        <v>#N/A</v>
      </c>
      <c r="L829" s="55" t="e">
        <f>VLOOKUP($I829,'Pricing Table - eff 27-Jan-2026'!$A:$K,8,FALSE)</f>
        <v>#N/A</v>
      </c>
      <c r="M829" s="55" t="e">
        <f>VLOOKUP($I829,'Pricing Table - eff 27-Jan-2026'!$A:$K,10,FALSE)</f>
        <v>#N/A</v>
      </c>
      <c r="N829" s="55" t="e">
        <f>VLOOKUP($I829,'Pricing Table - eff 27-Jan-2026'!$A:$R,13,FALSE)&amp;" "&amp;VLOOKUP($I829,'Pricing Table - eff 27-Jan-2026'!$A:$R,12,FALSE)</f>
        <v>#N/A</v>
      </c>
      <c r="O829" s="56"/>
      <c r="P829" s="55" t="e">
        <f>(VLOOKUP($I829,'Pricing Table - eff 27-Jan-2026'!$A:$R,8,FALSE)/1000)*(VLOOKUP($I829,'Pricing Table - eff 27-Jan-2026'!$A:$R,10,FALSE)/1000)*Q829</f>
        <v>#N/A</v>
      </c>
      <c r="Q829" s="55" t="e">
        <f>ROUND(('Order Details'!$O829*1000)/((VLOOKUP($I829,'Pricing Table - eff 27-Jan-2026'!$A:$Q,7,FALSE)/12)*(VLOOKUP($I829,'Pricing Table - eff 27-Jan-2026'!$A:$Q,9,FALSE)/12))/5,0)*5</f>
        <v>#N/A</v>
      </c>
      <c r="R829" s="71" t="e">
        <f>$Q829/IFERROR(VLOOKUP($F829&amp;RIGHT($K829,8),'Master Data'!$O$5:$P$10,2,FALSE),'Master Data'!$P$4)</f>
        <v>#N/A</v>
      </c>
      <c r="S829" s="57" t="e">
        <f>VLOOKUP($I829,'Pricing Table - eff 27-Jan-2026'!$A:$Q,16,FALSE)</f>
        <v>#N/A</v>
      </c>
      <c r="T829" s="57" t="e">
        <f>VLOOKUP(I829,'Pricing Table - eff 27-Jan-2026'!$A:$O,15,FALSE)</f>
        <v>#N/A</v>
      </c>
      <c r="U829" s="57" t="e">
        <f t="shared" si="35"/>
        <v>#N/A</v>
      </c>
      <c r="V829" s="111" t="e">
        <f t="shared" si="34"/>
        <v>#N/A</v>
      </c>
      <c r="W829" s="55" t="e">
        <f>VLOOKUP($I829,'Pricing Table - eff 27-Jan-2026'!$A:$R,18,FALSE)</f>
        <v>#N/A</v>
      </c>
    </row>
    <row r="830" spans="1:23" hidden="1" x14ac:dyDescent="0.3">
      <c r="A830" s="55"/>
      <c r="B830" s="55"/>
      <c r="C830" s="55">
        <f>VLOOKUP(A830&amp;"-"&amp;B830,'Order Summary'!$D:$E,2,FALSE)</f>
        <v>0</v>
      </c>
      <c r="D830" s="216" t="str">
        <f>IF($A830="","",VLOOKUP($A830&amp;"-"&amp;$B830,'Order Summary'!$D:$U,3,FALSE))</f>
        <v/>
      </c>
      <c r="E830" s="55" t="str">
        <f>VLOOKUP(A830&amp;"-"&amp;B830,'Order Summary'!$D:$G,4,FALSE)</f>
        <v>Yes</v>
      </c>
      <c r="F830" s="55" t="e">
        <f>VLOOKUP($A830,'Order Summary'!$B:$I,8,FALSE)</f>
        <v>#N/A</v>
      </c>
      <c r="G830" s="216" t="str">
        <f>IF($A830="","",VLOOKUP($A830&amp;"-"&amp;$B830,'Order Summary'!$D:$U,18,FALSE))</f>
        <v/>
      </c>
      <c r="H830" s="55"/>
      <c r="I830" s="55"/>
      <c r="J830" s="55" t="e">
        <f>VLOOKUP($I830,'Pricing Table - eff 27-Jan-2026'!$A:$R,2,FALSE)</f>
        <v>#N/A</v>
      </c>
      <c r="K830" s="55" t="e">
        <f>VLOOKUP($I830,'Pricing Table - eff 27-Jan-2026'!$A:$R,6,FALSE)&amp;" "&amp;VLOOKUP($I830,'Pricing Table - eff 27-Jan-2026'!$A:$R,7,FALSE)&amp;""" x "&amp;VLOOKUP($I830,'Pricing Table - eff 27-Jan-2026'!$A:$R,9,FALSE)&amp;""" "&amp;VLOOKUP($I830,'Pricing Table - eff 27-Jan-2026'!$A:$R,5,FALSE)</f>
        <v>#N/A</v>
      </c>
      <c r="L830" s="55" t="e">
        <f>VLOOKUP($I830,'Pricing Table - eff 27-Jan-2026'!$A:$K,8,FALSE)</f>
        <v>#N/A</v>
      </c>
      <c r="M830" s="55" t="e">
        <f>VLOOKUP($I830,'Pricing Table - eff 27-Jan-2026'!$A:$K,10,FALSE)</f>
        <v>#N/A</v>
      </c>
      <c r="N830" s="55" t="e">
        <f>VLOOKUP($I830,'Pricing Table - eff 27-Jan-2026'!$A:$R,13,FALSE)&amp;" "&amp;VLOOKUP($I830,'Pricing Table - eff 27-Jan-2026'!$A:$R,12,FALSE)</f>
        <v>#N/A</v>
      </c>
      <c r="O830" s="56"/>
      <c r="P830" s="55" t="e">
        <f>(VLOOKUP($I830,'Pricing Table - eff 27-Jan-2026'!$A:$R,8,FALSE)/1000)*(VLOOKUP($I830,'Pricing Table - eff 27-Jan-2026'!$A:$R,10,FALSE)/1000)*Q830</f>
        <v>#N/A</v>
      </c>
      <c r="Q830" s="55" t="e">
        <f>ROUND(('Order Details'!$O830*1000)/((VLOOKUP($I830,'Pricing Table - eff 27-Jan-2026'!$A:$Q,7,FALSE)/12)*(VLOOKUP($I830,'Pricing Table - eff 27-Jan-2026'!$A:$Q,9,FALSE)/12))/5,0)*5</f>
        <v>#N/A</v>
      </c>
      <c r="R830" s="71" t="e">
        <f>$Q830/IFERROR(VLOOKUP($F830&amp;RIGHT($K830,8),'Master Data'!$O$5:$P$10,2,FALSE),'Master Data'!$P$4)</f>
        <v>#N/A</v>
      </c>
      <c r="S830" s="57" t="e">
        <f>VLOOKUP($I830,'Pricing Table - eff 27-Jan-2026'!$A:$Q,16,FALSE)</f>
        <v>#N/A</v>
      </c>
      <c r="T830" s="57" t="e">
        <f>VLOOKUP(I830,'Pricing Table - eff 27-Jan-2026'!$A:$O,15,FALSE)</f>
        <v>#N/A</v>
      </c>
      <c r="U830" s="57" t="e">
        <f t="shared" si="35"/>
        <v>#N/A</v>
      </c>
      <c r="V830" s="111" t="e">
        <f t="shared" ref="V830:V893" si="36">P830*T830</f>
        <v>#N/A</v>
      </c>
      <c r="W830" s="55" t="e">
        <f>VLOOKUP($I830,'Pricing Table - eff 27-Jan-2026'!$A:$R,18,FALSE)</f>
        <v>#N/A</v>
      </c>
    </row>
    <row r="831" spans="1:23" hidden="1" x14ac:dyDescent="0.3">
      <c r="A831" s="55"/>
      <c r="B831" s="55"/>
      <c r="C831" s="55">
        <f>VLOOKUP(A831&amp;"-"&amp;B831,'Order Summary'!$D:$E,2,FALSE)</f>
        <v>0</v>
      </c>
      <c r="D831" s="216" t="str">
        <f>IF($A831="","",VLOOKUP($A831&amp;"-"&amp;$B831,'Order Summary'!$D:$U,3,FALSE))</f>
        <v/>
      </c>
      <c r="E831" s="55" t="str">
        <f>VLOOKUP(A831&amp;"-"&amp;B831,'Order Summary'!$D:$G,4,FALSE)</f>
        <v>Yes</v>
      </c>
      <c r="F831" s="55" t="e">
        <f>VLOOKUP($A831,'Order Summary'!$B:$I,8,FALSE)</f>
        <v>#N/A</v>
      </c>
      <c r="G831" s="216" t="str">
        <f>IF($A831="","",VLOOKUP($A831&amp;"-"&amp;$B831,'Order Summary'!$D:$U,18,FALSE))</f>
        <v/>
      </c>
      <c r="H831" s="55"/>
      <c r="I831" s="55"/>
      <c r="J831" s="55" t="e">
        <f>VLOOKUP($I831,'Pricing Table - eff 27-Jan-2026'!$A:$R,2,FALSE)</f>
        <v>#N/A</v>
      </c>
      <c r="K831" s="55" t="e">
        <f>VLOOKUP($I831,'Pricing Table - eff 27-Jan-2026'!$A:$R,6,FALSE)&amp;" "&amp;VLOOKUP($I831,'Pricing Table - eff 27-Jan-2026'!$A:$R,7,FALSE)&amp;""" x "&amp;VLOOKUP($I831,'Pricing Table - eff 27-Jan-2026'!$A:$R,9,FALSE)&amp;""" "&amp;VLOOKUP($I831,'Pricing Table - eff 27-Jan-2026'!$A:$R,5,FALSE)</f>
        <v>#N/A</v>
      </c>
      <c r="L831" s="55" t="e">
        <f>VLOOKUP($I831,'Pricing Table - eff 27-Jan-2026'!$A:$K,8,FALSE)</f>
        <v>#N/A</v>
      </c>
      <c r="M831" s="55" t="e">
        <f>VLOOKUP($I831,'Pricing Table - eff 27-Jan-2026'!$A:$K,10,FALSE)</f>
        <v>#N/A</v>
      </c>
      <c r="N831" s="55" t="e">
        <f>VLOOKUP($I831,'Pricing Table - eff 27-Jan-2026'!$A:$R,13,FALSE)&amp;" "&amp;VLOOKUP($I831,'Pricing Table - eff 27-Jan-2026'!$A:$R,12,FALSE)</f>
        <v>#N/A</v>
      </c>
      <c r="O831" s="56"/>
      <c r="P831" s="55" t="e">
        <f>(VLOOKUP($I831,'Pricing Table - eff 27-Jan-2026'!$A:$R,8,FALSE)/1000)*(VLOOKUP($I831,'Pricing Table - eff 27-Jan-2026'!$A:$R,10,FALSE)/1000)*Q831</f>
        <v>#N/A</v>
      </c>
      <c r="Q831" s="55" t="e">
        <f>ROUND(('Order Details'!$O831*1000)/((VLOOKUP($I831,'Pricing Table - eff 27-Jan-2026'!$A:$Q,7,FALSE)/12)*(VLOOKUP($I831,'Pricing Table - eff 27-Jan-2026'!$A:$Q,9,FALSE)/12))/5,0)*5</f>
        <v>#N/A</v>
      </c>
      <c r="R831" s="71" t="e">
        <f>$Q831/IFERROR(VLOOKUP($F831&amp;RIGHT($K831,8),'Master Data'!$O$5:$P$10,2,FALSE),'Master Data'!$P$4)</f>
        <v>#N/A</v>
      </c>
      <c r="S831" s="57" t="e">
        <f>VLOOKUP($I831,'Pricing Table - eff 27-Jan-2026'!$A:$Q,16,FALSE)</f>
        <v>#N/A</v>
      </c>
      <c r="T831" s="57" t="e">
        <f>VLOOKUP(I831,'Pricing Table - eff 27-Jan-2026'!$A:$O,15,FALSE)</f>
        <v>#N/A</v>
      </c>
      <c r="U831" s="57" t="e">
        <f t="shared" si="35"/>
        <v>#N/A</v>
      </c>
      <c r="V831" s="111" t="e">
        <f t="shared" si="36"/>
        <v>#N/A</v>
      </c>
      <c r="W831" s="55" t="e">
        <f>VLOOKUP($I831,'Pricing Table - eff 27-Jan-2026'!$A:$R,18,FALSE)</f>
        <v>#N/A</v>
      </c>
    </row>
    <row r="832" spans="1:23" hidden="1" x14ac:dyDescent="0.3">
      <c r="A832" s="55"/>
      <c r="B832" s="55"/>
      <c r="C832" s="55">
        <f>VLOOKUP(A832&amp;"-"&amp;B832,'Order Summary'!$D:$E,2,FALSE)</f>
        <v>0</v>
      </c>
      <c r="D832" s="216" t="str">
        <f>IF($A832="","",VLOOKUP($A832&amp;"-"&amp;$B832,'Order Summary'!$D:$U,3,FALSE))</f>
        <v/>
      </c>
      <c r="E832" s="55" t="str">
        <f>VLOOKUP(A832&amp;"-"&amp;B832,'Order Summary'!$D:$G,4,FALSE)</f>
        <v>Yes</v>
      </c>
      <c r="F832" s="55" t="e">
        <f>VLOOKUP($A832,'Order Summary'!$B:$I,8,FALSE)</f>
        <v>#N/A</v>
      </c>
      <c r="G832" s="216" t="str">
        <f>IF($A832="","",VLOOKUP($A832&amp;"-"&amp;$B832,'Order Summary'!$D:$U,18,FALSE))</f>
        <v/>
      </c>
      <c r="H832" s="55"/>
      <c r="I832" s="55"/>
      <c r="J832" s="55" t="e">
        <f>VLOOKUP($I832,'Pricing Table - eff 27-Jan-2026'!$A:$R,2,FALSE)</f>
        <v>#N/A</v>
      </c>
      <c r="K832" s="55" t="e">
        <f>VLOOKUP($I832,'Pricing Table - eff 27-Jan-2026'!$A:$R,6,FALSE)&amp;" "&amp;VLOOKUP($I832,'Pricing Table - eff 27-Jan-2026'!$A:$R,7,FALSE)&amp;""" x "&amp;VLOOKUP($I832,'Pricing Table - eff 27-Jan-2026'!$A:$R,9,FALSE)&amp;""" "&amp;VLOOKUP($I832,'Pricing Table - eff 27-Jan-2026'!$A:$R,5,FALSE)</f>
        <v>#N/A</v>
      </c>
      <c r="L832" s="55" t="e">
        <f>VLOOKUP($I832,'Pricing Table - eff 27-Jan-2026'!$A:$K,8,FALSE)</f>
        <v>#N/A</v>
      </c>
      <c r="M832" s="55" t="e">
        <f>VLOOKUP($I832,'Pricing Table - eff 27-Jan-2026'!$A:$K,10,FALSE)</f>
        <v>#N/A</v>
      </c>
      <c r="N832" s="55" t="e">
        <f>VLOOKUP($I832,'Pricing Table - eff 27-Jan-2026'!$A:$R,13,FALSE)&amp;" "&amp;VLOOKUP($I832,'Pricing Table - eff 27-Jan-2026'!$A:$R,12,FALSE)</f>
        <v>#N/A</v>
      </c>
      <c r="O832" s="56"/>
      <c r="P832" s="55" t="e">
        <f>(VLOOKUP($I832,'Pricing Table - eff 27-Jan-2026'!$A:$R,8,FALSE)/1000)*(VLOOKUP($I832,'Pricing Table - eff 27-Jan-2026'!$A:$R,10,FALSE)/1000)*Q832</f>
        <v>#N/A</v>
      </c>
      <c r="Q832" s="55" t="e">
        <f>ROUND(('Order Details'!$O832*1000)/((VLOOKUP($I832,'Pricing Table - eff 27-Jan-2026'!$A:$Q,7,FALSE)/12)*(VLOOKUP($I832,'Pricing Table - eff 27-Jan-2026'!$A:$Q,9,FALSE)/12))/5,0)*5</f>
        <v>#N/A</v>
      </c>
      <c r="R832" s="71" t="e">
        <f>$Q832/IFERROR(VLOOKUP($F832&amp;RIGHT($K832,8),'Master Data'!$O$5:$P$10,2,FALSE),'Master Data'!$P$4)</f>
        <v>#N/A</v>
      </c>
      <c r="S832" s="57" t="e">
        <f>VLOOKUP($I832,'Pricing Table - eff 27-Jan-2026'!$A:$Q,16,FALSE)</f>
        <v>#N/A</v>
      </c>
      <c r="T832" s="57" t="e">
        <f>VLOOKUP(I832,'Pricing Table - eff 27-Jan-2026'!$A:$O,15,FALSE)</f>
        <v>#N/A</v>
      </c>
      <c r="U832" s="57" t="e">
        <f t="shared" si="35"/>
        <v>#N/A</v>
      </c>
      <c r="V832" s="111" t="e">
        <f t="shared" si="36"/>
        <v>#N/A</v>
      </c>
      <c r="W832" s="55" t="e">
        <f>VLOOKUP($I832,'Pricing Table - eff 27-Jan-2026'!$A:$R,18,FALSE)</f>
        <v>#N/A</v>
      </c>
    </row>
    <row r="833" spans="1:23" hidden="1" x14ac:dyDescent="0.3">
      <c r="A833" s="55"/>
      <c r="B833" s="55"/>
      <c r="C833" s="55">
        <f>VLOOKUP(A833&amp;"-"&amp;B833,'Order Summary'!$D:$E,2,FALSE)</f>
        <v>0</v>
      </c>
      <c r="D833" s="216" t="str">
        <f>IF($A833="","",VLOOKUP($A833&amp;"-"&amp;$B833,'Order Summary'!$D:$U,3,FALSE))</f>
        <v/>
      </c>
      <c r="E833" s="55" t="str">
        <f>VLOOKUP(A833&amp;"-"&amp;B833,'Order Summary'!$D:$G,4,FALSE)</f>
        <v>Yes</v>
      </c>
      <c r="F833" s="55" t="e">
        <f>VLOOKUP($A833,'Order Summary'!$B:$I,8,FALSE)</f>
        <v>#N/A</v>
      </c>
      <c r="G833" s="216" t="str">
        <f>IF($A833="","",VLOOKUP($A833&amp;"-"&amp;$B833,'Order Summary'!$D:$U,18,FALSE))</f>
        <v/>
      </c>
      <c r="H833" s="55"/>
      <c r="I833" s="55"/>
      <c r="J833" s="55" t="e">
        <f>VLOOKUP($I833,'Pricing Table - eff 27-Jan-2026'!$A:$R,2,FALSE)</f>
        <v>#N/A</v>
      </c>
      <c r="K833" s="55" t="e">
        <f>VLOOKUP($I833,'Pricing Table - eff 27-Jan-2026'!$A:$R,6,FALSE)&amp;" "&amp;VLOOKUP($I833,'Pricing Table - eff 27-Jan-2026'!$A:$R,7,FALSE)&amp;""" x "&amp;VLOOKUP($I833,'Pricing Table - eff 27-Jan-2026'!$A:$R,9,FALSE)&amp;""" "&amp;VLOOKUP($I833,'Pricing Table - eff 27-Jan-2026'!$A:$R,5,FALSE)</f>
        <v>#N/A</v>
      </c>
      <c r="L833" s="55" t="e">
        <f>VLOOKUP($I833,'Pricing Table - eff 27-Jan-2026'!$A:$K,8,FALSE)</f>
        <v>#N/A</v>
      </c>
      <c r="M833" s="55" t="e">
        <f>VLOOKUP($I833,'Pricing Table - eff 27-Jan-2026'!$A:$K,10,FALSE)</f>
        <v>#N/A</v>
      </c>
      <c r="N833" s="55" t="e">
        <f>VLOOKUP($I833,'Pricing Table - eff 27-Jan-2026'!$A:$R,13,FALSE)&amp;" "&amp;VLOOKUP($I833,'Pricing Table - eff 27-Jan-2026'!$A:$R,12,FALSE)</f>
        <v>#N/A</v>
      </c>
      <c r="O833" s="56"/>
      <c r="P833" s="55" t="e">
        <f>(VLOOKUP($I833,'Pricing Table - eff 27-Jan-2026'!$A:$R,8,FALSE)/1000)*(VLOOKUP($I833,'Pricing Table - eff 27-Jan-2026'!$A:$R,10,FALSE)/1000)*Q833</f>
        <v>#N/A</v>
      </c>
      <c r="Q833" s="55" t="e">
        <f>ROUND(('Order Details'!$O833*1000)/((VLOOKUP($I833,'Pricing Table - eff 27-Jan-2026'!$A:$Q,7,FALSE)/12)*(VLOOKUP($I833,'Pricing Table - eff 27-Jan-2026'!$A:$Q,9,FALSE)/12))/5,0)*5</f>
        <v>#N/A</v>
      </c>
      <c r="R833" s="71" t="e">
        <f>$Q833/IFERROR(VLOOKUP($F833&amp;RIGHT($K833,8),'Master Data'!$O$5:$P$10,2,FALSE),'Master Data'!$P$4)</f>
        <v>#N/A</v>
      </c>
      <c r="S833" s="57" t="e">
        <f>VLOOKUP($I833,'Pricing Table - eff 27-Jan-2026'!$A:$Q,16,FALSE)</f>
        <v>#N/A</v>
      </c>
      <c r="T833" s="57" t="e">
        <f>VLOOKUP(I833,'Pricing Table - eff 27-Jan-2026'!$A:$O,15,FALSE)</f>
        <v>#N/A</v>
      </c>
      <c r="U833" s="57" t="e">
        <f t="shared" si="35"/>
        <v>#N/A</v>
      </c>
      <c r="V833" s="111" t="e">
        <f t="shared" si="36"/>
        <v>#N/A</v>
      </c>
      <c r="W833" s="55" t="e">
        <f>VLOOKUP($I833,'Pricing Table - eff 27-Jan-2026'!$A:$R,18,FALSE)</f>
        <v>#N/A</v>
      </c>
    </row>
    <row r="834" spans="1:23" hidden="1" x14ac:dyDescent="0.3">
      <c r="A834" s="55"/>
      <c r="B834" s="55"/>
      <c r="C834" s="55">
        <f>VLOOKUP(A834&amp;"-"&amp;B834,'Order Summary'!$D:$E,2,FALSE)</f>
        <v>0</v>
      </c>
      <c r="D834" s="216" t="str">
        <f>IF($A834="","",VLOOKUP($A834&amp;"-"&amp;$B834,'Order Summary'!$D:$U,3,FALSE))</f>
        <v/>
      </c>
      <c r="E834" s="55" t="str">
        <f>VLOOKUP(A834&amp;"-"&amp;B834,'Order Summary'!$D:$G,4,FALSE)</f>
        <v>Yes</v>
      </c>
      <c r="F834" s="55" t="e">
        <f>VLOOKUP($A834,'Order Summary'!$B:$I,8,FALSE)</f>
        <v>#N/A</v>
      </c>
      <c r="G834" s="216" t="str">
        <f>IF($A834="","",VLOOKUP($A834&amp;"-"&amp;$B834,'Order Summary'!$D:$U,18,FALSE))</f>
        <v/>
      </c>
      <c r="H834" s="55"/>
      <c r="I834" s="55"/>
      <c r="J834" s="55" t="e">
        <f>VLOOKUP($I834,'Pricing Table - eff 27-Jan-2026'!$A:$R,2,FALSE)</f>
        <v>#N/A</v>
      </c>
      <c r="K834" s="55" t="e">
        <f>VLOOKUP($I834,'Pricing Table - eff 27-Jan-2026'!$A:$R,6,FALSE)&amp;" "&amp;VLOOKUP($I834,'Pricing Table - eff 27-Jan-2026'!$A:$R,7,FALSE)&amp;""" x "&amp;VLOOKUP($I834,'Pricing Table - eff 27-Jan-2026'!$A:$R,9,FALSE)&amp;""" "&amp;VLOOKUP($I834,'Pricing Table - eff 27-Jan-2026'!$A:$R,5,FALSE)</f>
        <v>#N/A</v>
      </c>
      <c r="L834" s="55" t="e">
        <f>VLOOKUP($I834,'Pricing Table - eff 27-Jan-2026'!$A:$K,8,FALSE)</f>
        <v>#N/A</v>
      </c>
      <c r="M834" s="55" t="e">
        <f>VLOOKUP($I834,'Pricing Table - eff 27-Jan-2026'!$A:$K,10,FALSE)</f>
        <v>#N/A</v>
      </c>
      <c r="N834" s="55" t="e">
        <f>VLOOKUP($I834,'Pricing Table - eff 27-Jan-2026'!$A:$R,13,FALSE)&amp;" "&amp;VLOOKUP($I834,'Pricing Table - eff 27-Jan-2026'!$A:$R,12,FALSE)</f>
        <v>#N/A</v>
      </c>
      <c r="O834" s="56"/>
      <c r="P834" s="55" t="e">
        <f>(VLOOKUP($I834,'Pricing Table - eff 27-Jan-2026'!$A:$R,8,FALSE)/1000)*(VLOOKUP($I834,'Pricing Table - eff 27-Jan-2026'!$A:$R,10,FALSE)/1000)*Q834</f>
        <v>#N/A</v>
      </c>
      <c r="Q834" s="55" t="e">
        <f>ROUND(('Order Details'!$O834*1000)/((VLOOKUP($I834,'Pricing Table - eff 27-Jan-2026'!$A:$Q,7,FALSE)/12)*(VLOOKUP($I834,'Pricing Table - eff 27-Jan-2026'!$A:$Q,9,FALSE)/12))/5,0)*5</f>
        <v>#N/A</v>
      </c>
      <c r="R834" s="71" t="e">
        <f>$Q834/IFERROR(VLOOKUP($F834&amp;RIGHT($K834,8),'Master Data'!$O$5:$P$10,2,FALSE),'Master Data'!$P$4)</f>
        <v>#N/A</v>
      </c>
      <c r="S834" s="57" t="e">
        <f>VLOOKUP($I834,'Pricing Table - eff 27-Jan-2026'!$A:$Q,16,FALSE)</f>
        <v>#N/A</v>
      </c>
      <c r="T834" s="57" t="e">
        <f>VLOOKUP(I834,'Pricing Table - eff 27-Jan-2026'!$A:$O,15,FALSE)</f>
        <v>#N/A</v>
      </c>
      <c r="U834" s="57" t="e">
        <f t="shared" si="35"/>
        <v>#N/A</v>
      </c>
      <c r="V834" s="111" t="e">
        <f t="shared" si="36"/>
        <v>#N/A</v>
      </c>
      <c r="W834" s="55" t="e">
        <f>VLOOKUP($I834,'Pricing Table - eff 27-Jan-2026'!$A:$R,18,FALSE)</f>
        <v>#N/A</v>
      </c>
    </row>
    <row r="835" spans="1:23" hidden="1" x14ac:dyDescent="0.3">
      <c r="A835" s="55"/>
      <c r="B835" s="55"/>
      <c r="C835" s="55">
        <f>VLOOKUP(A835&amp;"-"&amp;B835,'Order Summary'!$D:$E,2,FALSE)</f>
        <v>0</v>
      </c>
      <c r="D835" s="216" t="str">
        <f>IF($A835="","",VLOOKUP($A835&amp;"-"&amp;$B835,'Order Summary'!$D:$U,3,FALSE))</f>
        <v/>
      </c>
      <c r="E835" s="55" t="str">
        <f>VLOOKUP(A835&amp;"-"&amp;B835,'Order Summary'!$D:$G,4,FALSE)</f>
        <v>Yes</v>
      </c>
      <c r="F835" s="55" t="e">
        <f>VLOOKUP($A835,'Order Summary'!$B:$I,8,FALSE)</f>
        <v>#N/A</v>
      </c>
      <c r="G835" s="216" t="str">
        <f>IF($A835="","",VLOOKUP($A835&amp;"-"&amp;$B835,'Order Summary'!$D:$U,18,FALSE))</f>
        <v/>
      </c>
      <c r="H835" s="55"/>
      <c r="I835" s="55"/>
      <c r="J835" s="55" t="e">
        <f>VLOOKUP($I835,'Pricing Table - eff 27-Jan-2026'!$A:$R,2,FALSE)</f>
        <v>#N/A</v>
      </c>
      <c r="K835" s="55" t="e">
        <f>VLOOKUP($I835,'Pricing Table - eff 27-Jan-2026'!$A:$R,6,FALSE)&amp;" "&amp;VLOOKUP($I835,'Pricing Table - eff 27-Jan-2026'!$A:$R,7,FALSE)&amp;""" x "&amp;VLOOKUP($I835,'Pricing Table - eff 27-Jan-2026'!$A:$R,9,FALSE)&amp;""" "&amp;VLOOKUP($I835,'Pricing Table - eff 27-Jan-2026'!$A:$R,5,FALSE)</f>
        <v>#N/A</v>
      </c>
      <c r="L835" s="55" t="e">
        <f>VLOOKUP($I835,'Pricing Table - eff 27-Jan-2026'!$A:$K,8,FALSE)</f>
        <v>#N/A</v>
      </c>
      <c r="M835" s="55" t="e">
        <f>VLOOKUP($I835,'Pricing Table - eff 27-Jan-2026'!$A:$K,10,FALSE)</f>
        <v>#N/A</v>
      </c>
      <c r="N835" s="55" t="e">
        <f>VLOOKUP($I835,'Pricing Table - eff 27-Jan-2026'!$A:$R,13,FALSE)&amp;" "&amp;VLOOKUP($I835,'Pricing Table - eff 27-Jan-2026'!$A:$R,12,FALSE)</f>
        <v>#N/A</v>
      </c>
      <c r="O835" s="56"/>
      <c r="P835" s="55" t="e">
        <f>(VLOOKUP($I835,'Pricing Table - eff 27-Jan-2026'!$A:$R,8,FALSE)/1000)*(VLOOKUP($I835,'Pricing Table - eff 27-Jan-2026'!$A:$R,10,FALSE)/1000)*Q835</f>
        <v>#N/A</v>
      </c>
      <c r="Q835" s="55" t="e">
        <f>ROUND(('Order Details'!$O835*1000)/((VLOOKUP($I835,'Pricing Table - eff 27-Jan-2026'!$A:$Q,7,FALSE)/12)*(VLOOKUP($I835,'Pricing Table - eff 27-Jan-2026'!$A:$Q,9,FALSE)/12))/5,0)*5</f>
        <v>#N/A</v>
      </c>
      <c r="R835" s="71" t="e">
        <f>$Q835/IFERROR(VLOOKUP($F835&amp;RIGHT($K835,8),'Master Data'!$O$5:$P$10,2,FALSE),'Master Data'!$P$4)</f>
        <v>#N/A</v>
      </c>
      <c r="S835" s="57" t="e">
        <f>VLOOKUP($I835,'Pricing Table - eff 27-Jan-2026'!$A:$Q,16,FALSE)</f>
        <v>#N/A</v>
      </c>
      <c r="T835" s="57" t="e">
        <f>VLOOKUP(I835,'Pricing Table - eff 27-Jan-2026'!$A:$O,15,FALSE)</f>
        <v>#N/A</v>
      </c>
      <c r="U835" s="57" t="e">
        <f t="shared" si="35"/>
        <v>#N/A</v>
      </c>
      <c r="V835" s="111" t="e">
        <f t="shared" si="36"/>
        <v>#N/A</v>
      </c>
      <c r="W835" s="55" t="e">
        <f>VLOOKUP($I835,'Pricing Table - eff 27-Jan-2026'!$A:$R,18,FALSE)</f>
        <v>#N/A</v>
      </c>
    </row>
    <row r="836" spans="1:23" hidden="1" x14ac:dyDescent="0.3">
      <c r="A836" s="55"/>
      <c r="B836" s="55"/>
      <c r="C836" s="55">
        <f>VLOOKUP(A836&amp;"-"&amp;B836,'Order Summary'!$D:$E,2,FALSE)</f>
        <v>0</v>
      </c>
      <c r="D836" s="216" t="str">
        <f>IF($A836="","",VLOOKUP($A836&amp;"-"&amp;$B836,'Order Summary'!$D:$U,3,FALSE))</f>
        <v/>
      </c>
      <c r="E836" s="55" t="str">
        <f>VLOOKUP(A836&amp;"-"&amp;B836,'Order Summary'!$D:$G,4,FALSE)</f>
        <v>Yes</v>
      </c>
      <c r="F836" s="55" t="e">
        <f>VLOOKUP($A836,'Order Summary'!$B:$I,8,FALSE)</f>
        <v>#N/A</v>
      </c>
      <c r="G836" s="216" t="str">
        <f>IF($A836="","",VLOOKUP($A836&amp;"-"&amp;$B836,'Order Summary'!$D:$U,18,FALSE))</f>
        <v/>
      </c>
      <c r="H836" s="55"/>
      <c r="I836" s="55"/>
      <c r="J836" s="55" t="e">
        <f>VLOOKUP($I836,'Pricing Table - eff 27-Jan-2026'!$A:$R,2,FALSE)</f>
        <v>#N/A</v>
      </c>
      <c r="K836" s="55" t="e">
        <f>VLOOKUP($I836,'Pricing Table - eff 27-Jan-2026'!$A:$R,6,FALSE)&amp;" "&amp;VLOOKUP($I836,'Pricing Table - eff 27-Jan-2026'!$A:$R,7,FALSE)&amp;""" x "&amp;VLOOKUP($I836,'Pricing Table - eff 27-Jan-2026'!$A:$R,9,FALSE)&amp;""" "&amp;VLOOKUP($I836,'Pricing Table - eff 27-Jan-2026'!$A:$R,5,FALSE)</f>
        <v>#N/A</v>
      </c>
      <c r="L836" s="55" t="e">
        <f>VLOOKUP($I836,'Pricing Table - eff 27-Jan-2026'!$A:$K,8,FALSE)</f>
        <v>#N/A</v>
      </c>
      <c r="M836" s="55" t="e">
        <f>VLOOKUP($I836,'Pricing Table - eff 27-Jan-2026'!$A:$K,10,FALSE)</f>
        <v>#N/A</v>
      </c>
      <c r="N836" s="55" t="e">
        <f>VLOOKUP($I836,'Pricing Table - eff 27-Jan-2026'!$A:$R,13,FALSE)&amp;" "&amp;VLOOKUP($I836,'Pricing Table - eff 27-Jan-2026'!$A:$R,12,FALSE)</f>
        <v>#N/A</v>
      </c>
      <c r="O836" s="56"/>
      <c r="P836" s="55" t="e">
        <f>(VLOOKUP($I836,'Pricing Table - eff 27-Jan-2026'!$A:$R,8,FALSE)/1000)*(VLOOKUP($I836,'Pricing Table - eff 27-Jan-2026'!$A:$R,10,FALSE)/1000)*Q836</f>
        <v>#N/A</v>
      </c>
      <c r="Q836" s="55" t="e">
        <f>ROUND(('Order Details'!$O836*1000)/((VLOOKUP($I836,'Pricing Table - eff 27-Jan-2026'!$A:$Q,7,FALSE)/12)*(VLOOKUP($I836,'Pricing Table - eff 27-Jan-2026'!$A:$Q,9,FALSE)/12))/5,0)*5</f>
        <v>#N/A</v>
      </c>
      <c r="R836" s="71" t="e">
        <f>$Q836/IFERROR(VLOOKUP($F836&amp;RIGHT($K836,8),'Master Data'!$O$5:$P$10,2,FALSE),'Master Data'!$P$4)</f>
        <v>#N/A</v>
      </c>
      <c r="S836" s="57" t="e">
        <f>VLOOKUP($I836,'Pricing Table - eff 27-Jan-2026'!$A:$Q,16,FALSE)</f>
        <v>#N/A</v>
      </c>
      <c r="T836" s="57" t="e">
        <f>VLOOKUP(I836,'Pricing Table - eff 27-Jan-2026'!$A:$O,15,FALSE)</f>
        <v>#N/A</v>
      </c>
      <c r="U836" s="57" t="e">
        <f t="shared" si="35"/>
        <v>#N/A</v>
      </c>
      <c r="V836" s="111" t="e">
        <f t="shared" si="36"/>
        <v>#N/A</v>
      </c>
      <c r="W836" s="55" t="e">
        <f>VLOOKUP($I836,'Pricing Table - eff 27-Jan-2026'!$A:$R,18,FALSE)</f>
        <v>#N/A</v>
      </c>
    </row>
    <row r="837" spans="1:23" hidden="1" x14ac:dyDescent="0.3">
      <c r="A837" s="55"/>
      <c r="B837" s="55"/>
      <c r="C837" s="55">
        <f>VLOOKUP(A837&amp;"-"&amp;B837,'Order Summary'!$D:$E,2,FALSE)</f>
        <v>0</v>
      </c>
      <c r="D837" s="216" t="str">
        <f>IF($A837="","",VLOOKUP($A837&amp;"-"&amp;$B837,'Order Summary'!$D:$U,3,FALSE))</f>
        <v/>
      </c>
      <c r="E837" s="55" t="str">
        <f>VLOOKUP(A837&amp;"-"&amp;B837,'Order Summary'!$D:$G,4,FALSE)</f>
        <v>Yes</v>
      </c>
      <c r="F837" s="55" t="e">
        <f>VLOOKUP($A837,'Order Summary'!$B:$I,8,FALSE)</f>
        <v>#N/A</v>
      </c>
      <c r="G837" s="216" t="str">
        <f>IF($A837="","",VLOOKUP($A837&amp;"-"&amp;$B837,'Order Summary'!$D:$U,18,FALSE))</f>
        <v/>
      </c>
      <c r="H837" s="55"/>
      <c r="I837" s="55"/>
      <c r="J837" s="55" t="e">
        <f>VLOOKUP($I837,'Pricing Table - eff 27-Jan-2026'!$A:$R,2,FALSE)</f>
        <v>#N/A</v>
      </c>
      <c r="K837" s="55" t="e">
        <f>VLOOKUP($I837,'Pricing Table - eff 27-Jan-2026'!$A:$R,6,FALSE)&amp;" "&amp;VLOOKUP($I837,'Pricing Table - eff 27-Jan-2026'!$A:$R,7,FALSE)&amp;""" x "&amp;VLOOKUP($I837,'Pricing Table - eff 27-Jan-2026'!$A:$R,9,FALSE)&amp;""" "&amp;VLOOKUP($I837,'Pricing Table - eff 27-Jan-2026'!$A:$R,5,FALSE)</f>
        <v>#N/A</v>
      </c>
      <c r="L837" s="55" t="e">
        <f>VLOOKUP($I837,'Pricing Table - eff 27-Jan-2026'!$A:$K,8,FALSE)</f>
        <v>#N/A</v>
      </c>
      <c r="M837" s="55" t="e">
        <f>VLOOKUP($I837,'Pricing Table - eff 27-Jan-2026'!$A:$K,10,FALSE)</f>
        <v>#N/A</v>
      </c>
      <c r="N837" s="55" t="e">
        <f>VLOOKUP($I837,'Pricing Table - eff 27-Jan-2026'!$A:$R,13,FALSE)&amp;" "&amp;VLOOKUP($I837,'Pricing Table - eff 27-Jan-2026'!$A:$R,12,FALSE)</f>
        <v>#N/A</v>
      </c>
      <c r="O837" s="56"/>
      <c r="P837" s="55" t="e">
        <f>(VLOOKUP($I837,'Pricing Table - eff 27-Jan-2026'!$A:$R,8,FALSE)/1000)*(VLOOKUP($I837,'Pricing Table - eff 27-Jan-2026'!$A:$R,10,FALSE)/1000)*Q837</f>
        <v>#N/A</v>
      </c>
      <c r="Q837" s="55" t="e">
        <f>ROUND(('Order Details'!$O837*1000)/((VLOOKUP($I837,'Pricing Table - eff 27-Jan-2026'!$A:$Q,7,FALSE)/12)*(VLOOKUP($I837,'Pricing Table - eff 27-Jan-2026'!$A:$Q,9,FALSE)/12))/5,0)*5</f>
        <v>#N/A</v>
      </c>
      <c r="R837" s="71" t="e">
        <f>$Q837/IFERROR(VLOOKUP($F837&amp;RIGHT($K837,8),'Master Data'!$O$5:$P$10,2,FALSE),'Master Data'!$P$4)</f>
        <v>#N/A</v>
      </c>
      <c r="S837" s="57" t="e">
        <f>VLOOKUP($I837,'Pricing Table - eff 27-Jan-2026'!$A:$Q,16,FALSE)</f>
        <v>#N/A</v>
      </c>
      <c r="T837" s="57" t="e">
        <f>VLOOKUP(I837,'Pricing Table - eff 27-Jan-2026'!$A:$O,15,FALSE)</f>
        <v>#N/A</v>
      </c>
      <c r="U837" s="57" t="e">
        <f t="shared" si="35"/>
        <v>#N/A</v>
      </c>
      <c r="V837" s="111" t="e">
        <f t="shared" si="36"/>
        <v>#N/A</v>
      </c>
      <c r="W837" s="55" t="e">
        <f>VLOOKUP($I837,'Pricing Table - eff 27-Jan-2026'!$A:$R,18,FALSE)</f>
        <v>#N/A</v>
      </c>
    </row>
    <row r="838" spans="1:23" hidden="1" x14ac:dyDescent="0.3">
      <c r="A838" s="55"/>
      <c r="B838" s="55"/>
      <c r="C838" s="55">
        <f>VLOOKUP(A838&amp;"-"&amp;B838,'Order Summary'!$D:$E,2,FALSE)</f>
        <v>0</v>
      </c>
      <c r="D838" s="216" t="str">
        <f>IF($A838="","",VLOOKUP($A838&amp;"-"&amp;$B838,'Order Summary'!$D:$U,3,FALSE))</f>
        <v/>
      </c>
      <c r="E838" s="55" t="str">
        <f>VLOOKUP(A838&amp;"-"&amp;B838,'Order Summary'!$D:$G,4,FALSE)</f>
        <v>Yes</v>
      </c>
      <c r="F838" s="55" t="e">
        <f>VLOOKUP($A838,'Order Summary'!$B:$I,8,FALSE)</f>
        <v>#N/A</v>
      </c>
      <c r="G838" s="216" t="str">
        <f>IF($A838="","",VLOOKUP($A838&amp;"-"&amp;$B838,'Order Summary'!$D:$U,18,FALSE))</f>
        <v/>
      </c>
      <c r="H838" s="55"/>
      <c r="I838" s="55"/>
      <c r="J838" s="55" t="e">
        <f>VLOOKUP($I838,'Pricing Table - eff 27-Jan-2026'!$A:$R,2,FALSE)</f>
        <v>#N/A</v>
      </c>
      <c r="K838" s="55" t="e">
        <f>VLOOKUP($I838,'Pricing Table - eff 27-Jan-2026'!$A:$R,6,FALSE)&amp;" "&amp;VLOOKUP($I838,'Pricing Table - eff 27-Jan-2026'!$A:$R,7,FALSE)&amp;""" x "&amp;VLOOKUP($I838,'Pricing Table - eff 27-Jan-2026'!$A:$R,9,FALSE)&amp;""" "&amp;VLOOKUP($I838,'Pricing Table - eff 27-Jan-2026'!$A:$R,5,FALSE)</f>
        <v>#N/A</v>
      </c>
      <c r="L838" s="55" t="e">
        <f>VLOOKUP($I838,'Pricing Table - eff 27-Jan-2026'!$A:$K,8,FALSE)</f>
        <v>#N/A</v>
      </c>
      <c r="M838" s="55" t="e">
        <f>VLOOKUP($I838,'Pricing Table - eff 27-Jan-2026'!$A:$K,10,FALSE)</f>
        <v>#N/A</v>
      </c>
      <c r="N838" s="55" t="e">
        <f>VLOOKUP($I838,'Pricing Table - eff 27-Jan-2026'!$A:$R,13,FALSE)&amp;" "&amp;VLOOKUP($I838,'Pricing Table - eff 27-Jan-2026'!$A:$R,12,FALSE)</f>
        <v>#N/A</v>
      </c>
      <c r="O838" s="56"/>
      <c r="P838" s="55" t="e">
        <f>(VLOOKUP($I838,'Pricing Table - eff 27-Jan-2026'!$A:$R,8,FALSE)/1000)*(VLOOKUP($I838,'Pricing Table - eff 27-Jan-2026'!$A:$R,10,FALSE)/1000)*Q838</f>
        <v>#N/A</v>
      </c>
      <c r="Q838" s="55" t="e">
        <f>ROUND(('Order Details'!$O838*1000)/((VLOOKUP($I838,'Pricing Table - eff 27-Jan-2026'!$A:$Q,7,FALSE)/12)*(VLOOKUP($I838,'Pricing Table - eff 27-Jan-2026'!$A:$Q,9,FALSE)/12))/5,0)*5</f>
        <v>#N/A</v>
      </c>
      <c r="R838" s="71" t="e">
        <f>$Q838/IFERROR(VLOOKUP($F838&amp;RIGHT($K838,8),'Master Data'!$O$5:$P$10,2,FALSE),'Master Data'!$P$4)</f>
        <v>#N/A</v>
      </c>
      <c r="S838" s="57" t="e">
        <f>VLOOKUP($I838,'Pricing Table - eff 27-Jan-2026'!$A:$Q,16,FALSE)</f>
        <v>#N/A</v>
      </c>
      <c r="T838" s="57" t="e">
        <f>VLOOKUP(I838,'Pricing Table - eff 27-Jan-2026'!$A:$O,15,FALSE)</f>
        <v>#N/A</v>
      </c>
      <c r="U838" s="57" t="e">
        <f t="shared" si="35"/>
        <v>#N/A</v>
      </c>
      <c r="V838" s="111" t="e">
        <f t="shared" si="36"/>
        <v>#N/A</v>
      </c>
      <c r="W838" s="55" t="e">
        <f>VLOOKUP($I838,'Pricing Table - eff 27-Jan-2026'!$A:$R,18,FALSE)</f>
        <v>#N/A</v>
      </c>
    </row>
    <row r="839" spans="1:23" hidden="1" x14ac:dyDescent="0.3">
      <c r="A839" s="55"/>
      <c r="B839" s="55"/>
      <c r="C839" s="55">
        <f>VLOOKUP(A839&amp;"-"&amp;B839,'Order Summary'!$D:$E,2,FALSE)</f>
        <v>0</v>
      </c>
      <c r="D839" s="216" t="str">
        <f>IF($A839="","",VLOOKUP($A839&amp;"-"&amp;$B839,'Order Summary'!$D:$U,3,FALSE))</f>
        <v/>
      </c>
      <c r="E839" s="55" t="str">
        <f>VLOOKUP(A839&amp;"-"&amp;B839,'Order Summary'!$D:$G,4,FALSE)</f>
        <v>Yes</v>
      </c>
      <c r="F839" s="55" t="e">
        <f>VLOOKUP($A839,'Order Summary'!$B:$I,8,FALSE)</f>
        <v>#N/A</v>
      </c>
      <c r="G839" s="216" t="str">
        <f>IF($A839="","",VLOOKUP($A839&amp;"-"&amp;$B839,'Order Summary'!$D:$U,18,FALSE))</f>
        <v/>
      </c>
      <c r="H839" s="55"/>
      <c r="I839" s="55"/>
      <c r="J839" s="55" t="e">
        <f>VLOOKUP($I839,'Pricing Table - eff 27-Jan-2026'!$A:$R,2,FALSE)</f>
        <v>#N/A</v>
      </c>
      <c r="K839" s="55" t="e">
        <f>VLOOKUP($I839,'Pricing Table - eff 27-Jan-2026'!$A:$R,6,FALSE)&amp;" "&amp;VLOOKUP($I839,'Pricing Table - eff 27-Jan-2026'!$A:$R,7,FALSE)&amp;""" x "&amp;VLOOKUP($I839,'Pricing Table - eff 27-Jan-2026'!$A:$R,9,FALSE)&amp;""" "&amp;VLOOKUP($I839,'Pricing Table - eff 27-Jan-2026'!$A:$R,5,FALSE)</f>
        <v>#N/A</v>
      </c>
      <c r="L839" s="55" t="e">
        <f>VLOOKUP($I839,'Pricing Table - eff 27-Jan-2026'!$A:$K,8,FALSE)</f>
        <v>#N/A</v>
      </c>
      <c r="M839" s="55" t="e">
        <f>VLOOKUP($I839,'Pricing Table - eff 27-Jan-2026'!$A:$K,10,FALSE)</f>
        <v>#N/A</v>
      </c>
      <c r="N839" s="55" t="e">
        <f>VLOOKUP($I839,'Pricing Table - eff 27-Jan-2026'!$A:$R,13,FALSE)&amp;" "&amp;VLOOKUP($I839,'Pricing Table - eff 27-Jan-2026'!$A:$R,12,FALSE)</f>
        <v>#N/A</v>
      </c>
      <c r="O839" s="56"/>
      <c r="P839" s="55" t="e">
        <f>(VLOOKUP($I839,'Pricing Table - eff 27-Jan-2026'!$A:$R,8,FALSE)/1000)*(VLOOKUP($I839,'Pricing Table - eff 27-Jan-2026'!$A:$R,10,FALSE)/1000)*Q839</f>
        <v>#N/A</v>
      </c>
      <c r="Q839" s="55" t="e">
        <f>ROUND(('Order Details'!$O839*1000)/((VLOOKUP($I839,'Pricing Table - eff 27-Jan-2026'!$A:$Q,7,FALSE)/12)*(VLOOKUP($I839,'Pricing Table - eff 27-Jan-2026'!$A:$Q,9,FALSE)/12))/5,0)*5</f>
        <v>#N/A</v>
      </c>
      <c r="R839" s="71" t="e">
        <f>$Q839/IFERROR(VLOOKUP($F839&amp;RIGHT($K839,8),'Master Data'!$O$5:$P$10,2,FALSE),'Master Data'!$P$4)</f>
        <v>#N/A</v>
      </c>
      <c r="S839" s="57" t="e">
        <f>VLOOKUP($I839,'Pricing Table - eff 27-Jan-2026'!$A:$Q,16,FALSE)</f>
        <v>#N/A</v>
      </c>
      <c r="T839" s="57" t="e">
        <f>VLOOKUP(I839,'Pricing Table - eff 27-Jan-2026'!$A:$O,15,FALSE)</f>
        <v>#N/A</v>
      </c>
      <c r="U839" s="57" t="e">
        <f t="shared" si="35"/>
        <v>#N/A</v>
      </c>
      <c r="V839" s="111" t="e">
        <f t="shared" si="36"/>
        <v>#N/A</v>
      </c>
      <c r="W839" s="55" t="e">
        <f>VLOOKUP($I839,'Pricing Table - eff 27-Jan-2026'!$A:$R,18,FALSE)</f>
        <v>#N/A</v>
      </c>
    </row>
    <row r="840" spans="1:23" hidden="1" x14ac:dyDescent="0.3">
      <c r="A840" s="55"/>
      <c r="B840" s="55"/>
      <c r="C840" s="55">
        <f>VLOOKUP(A840&amp;"-"&amp;B840,'Order Summary'!$D:$E,2,FALSE)</f>
        <v>0</v>
      </c>
      <c r="D840" s="216" t="str">
        <f>IF($A840="","",VLOOKUP($A840&amp;"-"&amp;$B840,'Order Summary'!$D:$U,3,FALSE))</f>
        <v/>
      </c>
      <c r="E840" s="55" t="str">
        <f>VLOOKUP(A840&amp;"-"&amp;B840,'Order Summary'!$D:$G,4,FALSE)</f>
        <v>Yes</v>
      </c>
      <c r="F840" s="55" t="e">
        <f>VLOOKUP($A840,'Order Summary'!$B:$I,8,FALSE)</f>
        <v>#N/A</v>
      </c>
      <c r="G840" s="216" t="str">
        <f>IF($A840="","",VLOOKUP($A840&amp;"-"&amp;$B840,'Order Summary'!$D:$U,18,FALSE))</f>
        <v/>
      </c>
      <c r="H840" s="55"/>
      <c r="I840" s="55"/>
      <c r="J840" s="55" t="e">
        <f>VLOOKUP($I840,'Pricing Table - eff 27-Jan-2026'!$A:$R,2,FALSE)</f>
        <v>#N/A</v>
      </c>
      <c r="K840" s="55" t="e">
        <f>VLOOKUP($I840,'Pricing Table - eff 27-Jan-2026'!$A:$R,6,FALSE)&amp;" "&amp;VLOOKUP($I840,'Pricing Table - eff 27-Jan-2026'!$A:$R,7,FALSE)&amp;""" x "&amp;VLOOKUP($I840,'Pricing Table - eff 27-Jan-2026'!$A:$R,9,FALSE)&amp;""" "&amp;VLOOKUP($I840,'Pricing Table - eff 27-Jan-2026'!$A:$R,5,FALSE)</f>
        <v>#N/A</v>
      </c>
      <c r="L840" s="55" t="e">
        <f>VLOOKUP($I840,'Pricing Table - eff 27-Jan-2026'!$A:$K,8,FALSE)</f>
        <v>#N/A</v>
      </c>
      <c r="M840" s="55" t="e">
        <f>VLOOKUP($I840,'Pricing Table - eff 27-Jan-2026'!$A:$K,10,FALSE)</f>
        <v>#N/A</v>
      </c>
      <c r="N840" s="55" t="e">
        <f>VLOOKUP($I840,'Pricing Table - eff 27-Jan-2026'!$A:$R,13,FALSE)&amp;" "&amp;VLOOKUP($I840,'Pricing Table - eff 27-Jan-2026'!$A:$R,12,FALSE)</f>
        <v>#N/A</v>
      </c>
      <c r="O840" s="56"/>
      <c r="P840" s="55" t="e">
        <f>(VLOOKUP($I840,'Pricing Table - eff 27-Jan-2026'!$A:$R,8,FALSE)/1000)*(VLOOKUP($I840,'Pricing Table - eff 27-Jan-2026'!$A:$R,10,FALSE)/1000)*Q840</f>
        <v>#N/A</v>
      </c>
      <c r="Q840" s="55" t="e">
        <f>ROUND(('Order Details'!$O840*1000)/((VLOOKUP($I840,'Pricing Table - eff 27-Jan-2026'!$A:$Q,7,FALSE)/12)*(VLOOKUP($I840,'Pricing Table - eff 27-Jan-2026'!$A:$Q,9,FALSE)/12))/5,0)*5</f>
        <v>#N/A</v>
      </c>
      <c r="R840" s="71" t="e">
        <f>$Q840/IFERROR(VLOOKUP($F840&amp;RIGHT($K840,8),'Master Data'!$O$5:$P$10,2,FALSE),'Master Data'!$P$4)</f>
        <v>#N/A</v>
      </c>
      <c r="S840" s="57" t="e">
        <f>VLOOKUP($I840,'Pricing Table - eff 27-Jan-2026'!$A:$Q,16,FALSE)</f>
        <v>#N/A</v>
      </c>
      <c r="T840" s="57" t="e">
        <f>VLOOKUP(I840,'Pricing Table - eff 27-Jan-2026'!$A:$O,15,FALSE)</f>
        <v>#N/A</v>
      </c>
      <c r="U840" s="57" t="e">
        <f t="shared" si="35"/>
        <v>#N/A</v>
      </c>
      <c r="V840" s="111" t="e">
        <f t="shared" si="36"/>
        <v>#N/A</v>
      </c>
      <c r="W840" s="55" t="e">
        <f>VLOOKUP($I840,'Pricing Table - eff 27-Jan-2026'!$A:$R,18,FALSE)</f>
        <v>#N/A</v>
      </c>
    </row>
    <row r="841" spans="1:23" hidden="1" x14ac:dyDescent="0.3">
      <c r="A841" s="55"/>
      <c r="B841" s="55"/>
      <c r="C841" s="55">
        <f>VLOOKUP(A841&amp;"-"&amp;B841,'Order Summary'!$D:$E,2,FALSE)</f>
        <v>0</v>
      </c>
      <c r="D841" s="216" t="str">
        <f>IF($A841="","",VLOOKUP($A841&amp;"-"&amp;$B841,'Order Summary'!$D:$U,3,FALSE))</f>
        <v/>
      </c>
      <c r="E841" s="55" t="str">
        <f>VLOOKUP(A841&amp;"-"&amp;B841,'Order Summary'!$D:$G,4,FALSE)</f>
        <v>Yes</v>
      </c>
      <c r="F841" s="55" t="e">
        <f>VLOOKUP($A841,'Order Summary'!$B:$I,8,FALSE)</f>
        <v>#N/A</v>
      </c>
      <c r="G841" s="216" t="str">
        <f>IF($A841="","",VLOOKUP($A841&amp;"-"&amp;$B841,'Order Summary'!$D:$U,18,FALSE))</f>
        <v/>
      </c>
      <c r="H841" s="55"/>
      <c r="I841" s="55"/>
      <c r="J841" s="55" t="e">
        <f>VLOOKUP($I841,'Pricing Table - eff 27-Jan-2026'!$A:$R,2,FALSE)</f>
        <v>#N/A</v>
      </c>
      <c r="K841" s="55" t="e">
        <f>VLOOKUP($I841,'Pricing Table - eff 27-Jan-2026'!$A:$R,6,FALSE)&amp;" "&amp;VLOOKUP($I841,'Pricing Table - eff 27-Jan-2026'!$A:$R,7,FALSE)&amp;""" x "&amp;VLOOKUP($I841,'Pricing Table - eff 27-Jan-2026'!$A:$R,9,FALSE)&amp;""" "&amp;VLOOKUP($I841,'Pricing Table - eff 27-Jan-2026'!$A:$R,5,FALSE)</f>
        <v>#N/A</v>
      </c>
      <c r="L841" s="55" t="e">
        <f>VLOOKUP($I841,'Pricing Table - eff 27-Jan-2026'!$A:$K,8,FALSE)</f>
        <v>#N/A</v>
      </c>
      <c r="M841" s="55" t="e">
        <f>VLOOKUP($I841,'Pricing Table - eff 27-Jan-2026'!$A:$K,10,FALSE)</f>
        <v>#N/A</v>
      </c>
      <c r="N841" s="55" t="e">
        <f>VLOOKUP($I841,'Pricing Table - eff 27-Jan-2026'!$A:$R,13,FALSE)&amp;" "&amp;VLOOKUP($I841,'Pricing Table - eff 27-Jan-2026'!$A:$R,12,FALSE)</f>
        <v>#N/A</v>
      </c>
      <c r="O841" s="56"/>
      <c r="P841" s="55" t="e">
        <f>(VLOOKUP($I841,'Pricing Table - eff 27-Jan-2026'!$A:$R,8,FALSE)/1000)*(VLOOKUP($I841,'Pricing Table - eff 27-Jan-2026'!$A:$R,10,FALSE)/1000)*Q841</f>
        <v>#N/A</v>
      </c>
      <c r="Q841" s="55" t="e">
        <f>ROUND(('Order Details'!$O841*1000)/((VLOOKUP($I841,'Pricing Table - eff 27-Jan-2026'!$A:$Q,7,FALSE)/12)*(VLOOKUP($I841,'Pricing Table - eff 27-Jan-2026'!$A:$Q,9,FALSE)/12))/5,0)*5</f>
        <v>#N/A</v>
      </c>
      <c r="R841" s="71" t="e">
        <f>$Q841/IFERROR(VLOOKUP($F841&amp;RIGHT($K841,8),'Master Data'!$O$5:$P$10,2,FALSE),'Master Data'!$P$4)</f>
        <v>#N/A</v>
      </c>
      <c r="S841" s="57" t="e">
        <f>VLOOKUP($I841,'Pricing Table - eff 27-Jan-2026'!$A:$Q,16,FALSE)</f>
        <v>#N/A</v>
      </c>
      <c r="T841" s="57" t="e">
        <f>VLOOKUP(I841,'Pricing Table - eff 27-Jan-2026'!$A:$O,15,FALSE)</f>
        <v>#N/A</v>
      </c>
      <c r="U841" s="57" t="e">
        <f t="shared" si="35"/>
        <v>#N/A</v>
      </c>
      <c r="V841" s="111" t="e">
        <f t="shared" si="36"/>
        <v>#N/A</v>
      </c>
      <c r="W841" s="55" t="e">
        <f>VLOOKUP($I841,'Pricing Table - eff 27-Jan-2026'!$A:$R,18,FALSE)</f>
        <v>#N/A</v>
      </c>
    </row>
    <row r="842" spans="1:23" hidden="1" x14ac:dyDescent="0.3">
      <c r="A842" s="55"/>
      <c r="B842" s="55"/>
      <c r="C842" s="55">
        <f>VLOOKUP(A842&amp;"-"&amp;B842,'Order Summary'!$D:$E,2,FALSE)</f>
        <v>0</v>
      </c>
      <c r="D842" s="216" t="str">
        <f>IF($A842="","",VLOOKUP($A842&amp;"-"&amp;$B842,'Order Summary'!$D:$U,3,FALSE))</f>
        <v/>
      </c>
      <c r="E842" s="55" t="str">
        <f>VLOOKUP(A842&amp;"-"&amp;B842,'Order Summary'!$D:$G,4,FALSE)</f>
        <v>Yes</v>
      </c>
      <c r="F842" s="55" t="e">
        <f>VLOOKUP($A842,'Order Summary'!$B:$I,8,FALSE)</f>
        <v>#N/A</v>
      </c>
      <c r="G842" s="216" t="str">
        <f>IF($A842="","",VLOOKUP($A842&amp;"-"&amp;$B842,'Order Summary'!$D:$U,18,FALSE))</f>
        <v/>
      </c>
      <c r="H842" s="55"/>
      <c r="I842" s="55"/>
      <c r="J842" s="55" t="e">
        <f>VLOOKUP($I842,'Pricing Table - eff 27-Jan-2026'!$A:$R,2,FALSE)</f>
        <v>#N/A</v>
      </c>
      <c r="K842" s="55" t="e">
        <f>VLOOKUP($I842,'Pricing Table - eff 27-Jan-2026'!$A:$R,6,FALSE)&amp;" "&amp;VLOOKUP($I842,'Pricing Table - eff 27-Jan-2026'!$A:$R,7,FALSE)&amp;""" x "&amp;VLOOKUP($I842,'Pricing Table - eff 27-Jan-2026'!$A:$R,9,FALSE)&amp;""" "&amp;VLOOKUP($I842,'Pricing Table - eff 27-Jan-2026'!$A:$R,5,FALSE)</f>
        <v>#N/A</v>
      </c>
      <c r="L842" s="55" t="e">
        <f>VLOOKUP($I842,'Pricing Table - eff 27-Jan-2026'!$A:$K,8,FALSE)</f>
        <v>#N/A</v>
      </c>
      <c r="M842" s="55" t="e">
        <f>VLOOKUP($I842,'Pricing Table - eff 27-Jan-2026'!$A:$K,10,FALSE)</f>
        <v>#N/A</v>
      </c>
      <c r="N842" s="55" t="e">
        <f>VLOOKUP($I842,'Pricing Table - eff 27-Jan-2026'!$A:$R,13,FALSE)&amp;" "&amp;VLOOKUP($I842,'Pricing Table - eff 27-Jan-2026'!$A:$R,12,FALSE)</f>
        <v>#N/A</v>
      </c>
      <c r="O842" s="56"/>
      <c r="P842" s="55" t="e">
        <f>(VLOOKUP($I842,'Pricing Table - eff 27-Jan-2026'!$A:$R,8,FALSE)/1000)*(VLOOKUP($I842,'Pricing Table - eff 27-Jan-2026'!$A:$R,10,FALSE)/1000)*Q842</f>
        <v>#N/A</v>
      </c>
      <c r="Q842" s="55" t="e">
        <f>ROUND(('Order Details'!$O842*1000)/((VLOOKUP($I842,'Pricing Table - eff 27-Jan-2026'!$A:$Q,7,FALSE)/12)*(VLOOKUP($I842,'Pricing Table - eff 27-Jan-2026'!$A:$Q,9,FALSE)/12))/5,0)*5</f>
        <v>#N/A</v>
      </c>
      <c r="R842" s="71" t="e">
        <f>$Q842/IFERROR(VLOOKUP($F842&amp;RIGHT($K842,8),'Master Data'!$O$5:$P$10,2,FALSE),'Master Data'!$P$4)</f>
        <v>#N/A</v>
      </c>
      <c r="S842" s="57" t="e">
        <f>VLOOKUP($I842,'Pricing Table - eff 27-Jan-2026'!$A:$Q,16,FALSE)</f>
        <v>#N/A</v>
      </c>
      <c r="T842" s="57" t="e">
        <f>VLOOKUP(I842,'Pricing Table - eff 27-Jan-2026'!$A:$O,15,FALSE)</f>
        <v>#N/A</v>
      </c>
      <c r="U842" s="57" t="e">
        <f t="shared" si="35"/>
        <v>#N/A</v>
      </c>
      <c r="V842" s="111" t="e">
        <f t="shared" si="36"/>
        <v>#N/A</v>
      </c>
      <c r="W842" s="55" t="e">
        <f>VLOOKUP($I842,'Pricing Table - eff 27-Jan-2026'!$A:$R,18,FALSE)</f>
        <v>#N/A</v>
      </c>
    </row>
    <row r="843" spans="1:23" hidden="1" x14ac:dyDescent="0.3">
      <c r="A843" s="55"/>
      <c r="B843" s="55"/>
      <c r="C843" s="55">
        <f>VLOOKUP(A843&amp;"-"&amp;B843,'Order Summary'!$D:$E,2,FALSE)</f>
        <v>0</v>
      </c>
      <c r="D843" s="216" t="str">
        <f>IF($A843="","",VLOOKUP($A843&amp;"-"&amp;$B843,'Order Summary'!$D:$U,3,FALSE))</f>
        <v/>
      </c>
      <c r="E843" s="55" t="str">
        <f>VLOOKUP(A843&amp;"-"&amp;B843,'Order Summary'!$D:$G,4,FALSE)</f>
        <v>Yes</v>
      </c>
      <c r="F843" s="55" t="e">
        <f>VLOOKUP($A843,'Order Summary'!$B:$I,8,FALSE)</f>
        <v>#N/A</v>
      </c>
      <c r="G843" s="216" t="str">
        <f>IF($A843="","",VLOOKUP($A843&amp;"-"&amp;$B843,'Order Summary'!$D:$U,18,FALSE))</f>
        <v/>
      </c>
      <c r="H843" s="55"/>
      <c r="I843" s="55"/>
      <c r="J843" s="55" t="e">
        <f>VLOOKUP($I843,'Pricing Table - eff 27-Jan-2026'!$A:$R,2,FALSE)</f>
        <v>#N/A</v>
      </c>
      <c r="K843" s="55" t="e">
        <f>VLOOKUP($I843,'Pricing Table - eff 27-Jan-2026'!$A:$R,6,FALSE)&amp;" "&amp;VLOOKUP($I843,'Pricing Table - eff 27-Jan-2026'!$A:$R,7,FALSE)&amp;""" x "&amp;VLOOKUP($I843,'Pricing Table - eff 27-Jan-2026'!$A:$R,9,FALSE)&amp;""" "&amp;VLOOKUP($I843,'Pricing Table - eff 27-Jan-2026'!$A:$R,5,FALSE)</f>
        <v>#N/A</v>
      </c>
      <c r="L843" s="55" t="e">
        <f>VLOOKUP($I843,'Pricing Table - eff 27-Jan-2026'!$A:$K,8,FALSE)</f>
        <v>#N/A</v>
      </c>
      <c r="M843" s="55" t="e">
        <f>VLOOKUP($I843,'Pricing Table - eff 27-Jan-2026'!$A:$K,10,FALSE)</f>
        <v>#N/A</v>
      </c>
      <c r="N843" s="55" t="e">
        <f>VLOOKUP($I843,'Pricing Table - eff 27-Jan-2026'!$A:$R,13,FALSE)&amp;" "&amp;VLOOKUP($I843,'Pricing Table - eff 27-Jan-2026'!$A:$R,12,FALSE)</f>
        <v>#N/A</v>
      </c>
      <c r="O843" s="56"/>
      <c r="P843" s="55" t="e">
        <f>(VLOOKUP($I843,'Pricing Table - eff 27-Jan-2026'!$A:$R,8,FALSE)/1000)*(VLOOKUP($I843,'Pricing Table - eff 27-Jan-2026'!$A:$R,10,FALSE)/1000)*Q843</f>
        <v>#N/A</v>
      </c>
      <c r="Q843" s="55" t="e">
        <f>ROUND(('Order Details'!$O843*1000)/((VLOOKUP($I843,'Pricing Table - eff 27-Jan-2026'!$A:$Q,7,FALSE)/12)*(VLOOKUP($I843,'Pricing Table - eff 27-Jan-2026'!$A:$Q,9,FALSE)/12))/5,0)*5</f>
        <v>#N/A</v>
      </c>
      <c r="R843" s="71" t="e">
        <f>$Q843/IFERROR(VLOOKUP($F843&amp;RIGHT($K843,8),'Master Data'!$O$5:$P$10,2,FALSE),'Master Data'!$P$4)</f>
        <v>#N/A</v>
      </c>
      <c r="S843" s="57" t="e">
        <f>VLOOKUP($I843,'Pricing Table - eff 27-Jan-2026'!$A:$Q,16,FALSE)</f>
        <v>#N/A</v>
      </c>
      <c r="T843" s="57" t="e">
        <f>VLOOKUP(I843,'Pricing Table - eff 27-Jan-2026'!$A:$O,15,FALSE)</f>
        <v>#N/A</v>
      </c>
      <c r="U843" s="57" t="e">
        <f t="shared" si="35"/>
        <v>#N/A</v>
      </c>
      <c r="V843" s="111" t="e">
        <f t="shared" si="36"/>
        <v>#N/A</v>
      </c>
      <c r="W843" s="55" t="e">
        <f>VLOOKUP($I843,'Pricing Table - eff 27-Jan-2026'!$A:$R,18,FALSE)</f>
        <v>#N/A</v>
      </c>
    </row>
    <row r="844" spans="1:23" hidden="1" x14ac:dyDescent="0.3">
      <c r="A844" s="55"/>
      <c r="B844" s="55"/>
      <c r="C844" s="55">
        <f>VLOOKUP(A844&amp;"-"&amp;B844,'Order Summary'!$D:$E,2,FALSE)</f>
        <v>0</v>
      </c>
      <c r="D844" s="216" t="str">
        <f>IF($A844="","",VLOOKUP($A844&amp;"-"&amp;$B844,'Order Summary'!$D:$U,3,FALSE))</f>
        <v/>
      </c>
      <c r="E844" s="55" t="str">
        <f>VLOOKUP(A844&amp;"-"&amp;B844,'Order Summary'!$D:$G,4,FALSE)</f>
        <v>Yes</v>
      </c>
      <c r="F844" s="55" t="e">
        <f>VLOOKUP($A844,'Order Summary'!$B:$I,8,FALSE)</f>
        <v>#N/A</v>
      </c>
      <c r="G844" s="216" t="str">
        <f>IF($A844="","",VLOOKUP($A844&amp;"-"&amp;$B844,'Order Summary'!$D:$U,18,FALSE))</f>
        <v/>
      </c>
      <c r="H844" s="55"/>
      <c r="I844" s="55"/>
      <c r="J844" s="55" t="e">
        <f>VLOOKUP($I844,'Pricing Table - eff 27-Jan-2026'!$A:$R,2,FALSE)</f>
        <v>#N/A</v>
      </c>
      <c r="K844" s="55" t="e">
        <f>VLOOKUP($I844,'Pricing Table - eff 27-Jan-2026'!$A:$R,6,FALSE)&amp;" "&amp;VLOOKUP($I844,'Pricing Table - eff 27-Jan-2026'!$A:$R,7,FALSE)&amp;""" x "&amp;VLOOKUP($I844,'Pricing Table - eff 27-Jan-2026'!$A:$R,9,FALSE)&amp;""" "&amp;VLOOKUP($I844,'Pricing Table - eff 27-Jan-2026'!$A:$R,5,FALSE)</f>
        <v>#N/A</v>
      </c>
      <c r="L844" s="55" t="e">
        <f>VLOOKUP($I844,'Pricing Table - eff 27-Jan-2026'!$A:$K,8,FALSE)</f>
        <v>#N/A</v>
      </c>
      <c r="M844" s="55" t="e">
        <f>VLOOKUP($I844,'Pricing Table - eff 27-Jan-2026'!$A:$K,10,FALSE)</f>
        <v>#N/A</v>
      </c>
      <c r="N844" s="55" t="e">
        <f>VLOOKUP($I844,'Pricing Table - eff 27-Jan-2026'!$A:$R,13,FALSE)&amp;" "&amp;VLOOKUP($I844,'Pricing Table - eff 27-Jan-2026'!$A:$R,12,FALSE)</f>
        <v>#N/A</v>
      </c>
      <c r="O844" s="56"/>
      <c r="P844" s="55" t="e">
        <f>(VLOOKUP($I844,'Pricing Table - eff 27-Jan-2026'!$A:$R,8,FALSE)/1000)*(VLOOKUP($I844,'Pricing Table - eff 27-Jan-2026'!$A:$R,10,FALSE)/1000)*Q844</f>
        <v>#N/A</v>
      </c>
      <c r="Q844" s="55" t="e">
        <f>ROUND(('Order Details'!$O844*1000)/((VLOOKUP($I844,'Pricing Table - eff 27-Jan-2026'!$A:$Q,7,FALSE)/12)*(VLOOKUP($I844,'Pricing Table - eff 27-Jan-2026'!$A:$Q,9,FALSE)/12))/5,0)*5</f>
        <v>#N/A</v>
      </c>
      <c r="R844" s="71" t="e">
        <f>$Q844/IFERROR(VLOOKUP($F844&amp;RIGHT($K844,8),'Master Data'!$O$5:$P$10,2,FALSE),'Master Data'!$P$4)</f>
        <v>#N/A</v>
      </c>
      <c r="S844" s="57" t="e">
        <f>VLOOKUP($I844,'Pricing Table - eff 27-Jan-2026'!$A:$Q,16,FALSE)</f>
        <v>#N/A</v>
      </c>
      <c r="T844" s="57" t="e">
        <f>VLOOKUP(I844,'Pricing Table - eff 27-Jan-2026'!$A:$O,15,FALSE)</f>
        <v>#N/A</v>
      </c>
      <c r="U844" s="57" t="e">
        <f t="shared" si="35"/>
        <v>#N/A</v>
      </c>
      <c r="V844" s="111" t="e">
        <f t="shared" si="36"/>
        <v>#N/A</v>
      </c>
      <c r="W844" s="55" t="e">
        <f>VLOOKUP($I844,'Pricing Table - eff 27-Jan-2026'!$A:$R,18,FALSE)</f>
        <v>#N/A</v>
      </c>
    </row>
    <row r="845" spans="1:23" hidden="1" x14ac:dyDescent="0.3">
      <c r="A845" s="55"/>
      <c r="B845" s="55"/>
      <c r="C845" s="55">
        <f>VLOOKUP(A845&amp;"-"&amp;B845,'Order Summary'!$D:$E,2,FALSE)</f>
        <v>0</v>
      </c>
      <c r="D845" s="216" t="str">
        <f>IF($A845="","",VLOOKUP($A845&amp;"-"&amp;$B845,'Order Summary'!$D:$U,3,FALSE))</f>
        <v/>
      </c>
      <c r="E845" s="55" t="str">
        <f>VLOOKUP(A845&amp;"-"&amp;B845,'Order Summary'!$D:$G,4,FALSE)</f>
        <v>Yes</v>
      </c>
      <c r="F845" s="55" t="e">
        <f>VLOOKUP($A845,'Order Summary'!$B:$I,8,FALSE)</f>
        <v>#N/A</v>
      </c>
      <c r="G845" s="216" t="str">
        <f>IF($A845="","",VLOOKUP($A845&amp;"-"&amp;$B845,'Order Summary'!$D:$U,18,FALSE))</f>
        <v/>
      </c>
      <c r="H845" s="55"/>
      <c r="I845" s="55"/>
      <c r="J845" s="55" t="e">
        <f>VLOOKUP($I845,'Pricing Table - eff 27-Jan-2026'!$A:$R,2,FALSE)</f>
        <v>#N/A</v>
      </c>
      <c r="K845" s="55" t="e">
        <f>VLOOKUP($I845,'Pricing Table - eff 27-Jan-2026'!$A:$R,6,FALSE)&amp;" "&amp;VLOOKUP($I845,'Pricing Table - eff 27-Jan-2026'!$A:$R,7,FALSE)&amp;""" x "&amp;VLOOKUP($I845,'Pricing Table - eff 27-Jan-2026'!$A:$R,9,FALSE)&amp;""" "&amp;VLOOKUP($I845,'Pricing Table - eff 27-Jan-2026'!$A:$R,5,FALSE)</f>
        <v>#N/A</v>
      </c>
      <c r="L845" s="55" t="e">
        <f>VLOOKUP($I845,'Pricing Table - eff 27-Jan-2026'!$A:$K,8,FALSE)</f>
        <v>#N/A</v>
      </c>
      <c r="M845" s="55" t="e">
        <f>VLOOKUP($I845,'Pricing Table - eff 27-Jan-2026'!$A:$K,10,FALSE)</f>
        <v>#N/A</v>
      </c>
      <c r="N845" s="55" t="e">
        <f>VLOOKUP($I845,'Pricing Table - eff 27-Jan-2026'!$A:$R,13,FALSE)&amp;" "&amp;VLOOKUP($I845,'Pricing Table - eff 27-Jan-2026'!$A:$R,12,FALSE)</f>
        <v>#N/A</v>
      </c>
      <c r="O845" s="56"/>
      <c r="P845" s="55" t="e">
        <f>(VLOOKUP($I845,'Pricing Table - eff 27-Jan-2026'!$A:$R,8,FALSE)/1000)*(VLOOKUP($I845,'Pricing Table - eff 27-Jan-2026'!$A:$R,10,FALSE)/1000)*Q845</f>
        <v>#N/A</v>
      </c>
      <c r="Q845" s="55" t="e">
        <f>ROUND(('Order Details'!$O845*1000)/((VLOOKUP($I845,'Pricing Table - eff 27-Jan-2026'!$A:$Q,7,FALSE)/12)*(VLOOKUP($I845,'Pricing Table - eff 27-Jan-2026'!$A:$Q,9,FALSE)/12))/5,0)*5</f>
        <v>#N/A</v>
      </c>
      <c r="R845" s="71" t="e">
        <f>$Q845/IFERROR(VLOOKUP($F845&amp;RIGHT($K845,8),'Master Data'!$O$5:$P$10,2,FALSE),'Master Data'!$P$4)</f>
        <v>#N/A</v>
      </c>
      <c r="S845" s="57" t="e">
        <f>VLOOKUP($I845,'Pricing Table - eff 27-Jan-2026'!$A:$Q,16,FALSE)</f>
        <v>#N/A</v>
      </c>
      <c r="T845" s="57" t="e">
        <f>VLOOKUP(I845,'Pricing Table - eff 27-Jan-2026'!$A:$O,15,FALSE)</f>
        <v>#N/A</v>
      </c>
      <c r="U845" s="57" t="e">
        <f t="shared" si="35"/>
        <v>#N/A</v>
      </c>
      <c r="V845" s="111" t="e">
        <f t="shared" si="36"/>
        <v>#N/A</v>
      </c>
      <c r="W845" s="55" t="e">
        <f>VLOOKUP($I845,'Pricing Table - eff 27-Jan-2026'!$A:$R,18,FALSE)</f>
        <v>#N/A</v>
      </c>
    </row>
    <row r="846" spans="1:23" hidden="1" x14ac:dyDescent="0.3">
      <c r="A846" s="55"/>
      <c r="B846" s="55"/>
      <c r="C846" s="55">
        <f>VLOOKUP(A846&amp;"-"&amp;B846,'Order Summary'!$D:$E,2,FALSE)</f>
        <v>0</v>
      </c>
      <c r="D846" s="216" t="str">
        <f>IF($A846="","",VLOOKUP($A846&amp;"-"&amp;$B846,'Order Summary'!$D:$U,3,FALSE))</f>
        <v/>
      </c>
      <c r="E846" s="55" t="str">
        <f>VLOOKUP(A846&amp;"-"&amp;B846,'Order Summary'!$D:$G,4,FALSE)</f>
        <v>Yes</v>
      </c>
      <c r="F846" s="55" t="e">
        <f>VLOOKUP($A846,'Order Summary'!$B:$I,8,FALSE)</f>
        <v>#N/A</v>
      </c>
      <c r="G846" s="216" t="str">
        <f>IF($A846="","",VLOOKUP($A846&amp;"-"&amp;$B846,'Order Summary'!$D:$U,18,FALSE))</f>
        <v/>
      </c>
      <c r="H846" s="55"/>
      <c r="I846" s="55"/>
      <c r="J846" s="55" t="e">
        <f>VLOOKUP($I846,'Pricing Table - eff 27-Jan-2026'!$A:$R,2,FALSE)</f>
        <v>#N/A</v>
      </c>
      <c r="K846" s="55" t="e">
        <f>VLOOKUP($I846,'Pricing Table - eff 27-Jan-2026'!$A:$R,6,FALSE)&amp;" "&amp;VLOOKUP($I846,'Pricing Table - eff 27-Jan-2026'!$A:$R,7,FALSE)&amp;""" x "&amp;VLOOKUP($I846,'Pricing Table - eff 27-Jan-2026'!$A:$R,9,FALSE)&amp;""" "&amp;VLOOKUP($I846,'Pricing Table - eff 27-Jan-2026'!$A:$R,5,FALSE)</f>
        <v>#N/A</v>
      </c>
      <c r="L846" s="55" t="e">
        <f>VLOOKUP($I846,'Pricing Table - eff 27-Jan-2026'!$A:$K,8,FALSE)</f>
        <v>#N/A</v>
      </c>
      <c r="M846" s="55" t="e">
        <f>VLOOKUP($I846,'Pricing Table - eff 27-Jan-2026'!$A:$K,10,FALSE)</f>
        <v>#N/A</v>
      </c>
      <c r="N846" s="55" t="e">
        <f>VLOOKUP($I846,'Pricing Table - eff 27-Jan-2026'!$A:$R,13,FALSE)&amp;" "&amp;VLOOKUP($I846,'Pricing Table - eff 27-Jan-2026'!$A:$R,12,FALSE)</f>
        <v>#N/A</v>
      </c>
      <c r="O846" s="56"/>
      <c r="P846" s="55" t="e">
        <f>(VLOOKUP($I846,'Pricing Table - eff 27-Jan-2026'!$A:$R,8,FALSE)/1000)*(VLOOKUP($I846,'Pricing Table - eff 27-Jan-2026'!$A:$R,10,FALSE)/1000)*Q846</f>
        <v>#N/A</v>
      </c>
      <c r="Q846" s="55" t="e">
        <f>ROUND(('Order Details'!$O846*1000)/((VLOOKUP($I846,'Pricing Table - eff 27-Jan-2026'!$A:$Q,7,FALSE)/12)*(VLOOKUP($I846,'Pricing Table - eff 27-Jan-2026'!$A:$Q,9,FALSE)/12))/5,0)*5</f>
        <v>#N/A</v>
      </c>
      <c r="R846" s="71" t="e">
        <f>$Q846/IFERROR(VLOOKUP($F846&amp;RIGHT($K846,8),'Master Data'!$O$5:$P$10,2,FALSE),'Master Data'!$P$4)</f>
        <v>#N/A</v>
      </c>
      <c r="S846" s="57" t="e">
        <f>VLOOKUP($I846,'Pricing Table - eff 27-Jan-2026'!$A:$Q,16,FALSE)</f>
        <v>#N/A</v>
      </c>
      <c r="T846" s="57" t="e">
        <f>VLOOKUP(I846,'Pricing Table - eff 27-Jan-2026'!$A:$O,15,FALSE)</f>
        <v>#N/A</v>
      </c>
      <c r="U846" s="57" t="e">
        <f t="shared" si="35"/>
        <v>#N/A</v>
      </c>
      <c r="V846" s="111" t="e">
        <f t="shared" si="36"/>
        <v>#N/A</v>
      </c>
      <c r="W846" s="55" t="e">
        <f>VLOOKUP($I846,'Pricing Table - eff 27-Jan-2026'!$A:$R,18,FALSE)</f>
        <v>#N/A</v>
      </c>
    </row>
    <row r="847" spans="1:23" hidden="1" x14ac:dyDescent="0.3">
      <c r="A847" s="55"/>
      <c r="B847" s="55"/>
      <c r="C847" s="55">
        <f>VLOOKUP(A847&amp;"-"&amp;B847,'Order Summary'!$D:$E,2,FALSE)</f>
        <v>0</v>
      </c>
      <c r="D847" s="216" t="str">
        <f>IF($A847="","",VLOOKUP($A847&amp;"-"&amp;$B847,'Order Summary'!$D:$U,3,FALSE))</f>
        <v/>
      </c>
      <c r="E847" s="55" t="str">
        <f>VLOOKUP(A847&amp;"-"&amp;B847,'Order Summary'!$D:$G,4,FALSE)</f>
        <v>Yes</v>
      </c>
      <c r="F847" s="55" t="e">
        <f>VLOOKUP($A847,'Order Summary'!$B:$I,8,FALSE)</f>
        <v>#N/A</v>
      </c>
      <c r="G847" s="216" t="str">
        <f>IF($A847="","",VLOOKUP($A847&amp;"-"&amp;$B847,'Order Summary'!$D:$U,18,FALSE))</f>
        <v/>
      </c>
      <c r="H847" s="55"/>
      <c r="I847" s="55"/>
      <c r="J847" s="55" t="e">
        <f>VLOOKUP($I847,'Pricing Table - eff 27-Jan-2026'!$A:$R,2,FALSE)</f>
        <v>#N/A</v>
      </c>
      <c r="K847" s="55" t="e">
        <f>VLOOKUP($I847,'Pricing Table - eff 27-Jan-2026'!$A:$R,6,FALSE)&amp;" "&amp;VLOOKUP($I847,'Pricing Table - eff 27-Jan-2026'!$A:$R,7,FALSE)&amp;""" x "&amp;VLOOKUP($I847,'Pricing Table - eff 27-Jan-2026'!$A:$R,9,FALSE)&amp;""" "&amp;VLOOKUP($I847,'Pricing Table - eff 27-Jan-2026'!$A:$R,5,FALSE)</f>
        <v>#N/A</v>
      </c>
      <c r="L847" s="55" t="e">
        <f>VLOOKUP($I847,'Pricing Table - eff 27-Jan-2026'!$A:$K,8,FALSE)</f>
        <v>#N/A</v>
      </c>
      <c r="M847" s="55" t="e">
        <f>VLOOKUP($I847,'Pricing Table - eff 27-Jan-2026'!$A:$K,10,FALSE)</f>
        <v>#N/A</v>
      </c>
      <c r="N847" s="55" t="e">
        <f>VLOOKUP($I847,'Pricing Table - eff 27-Jan-2026'!$A:$R,13,FALSE)&amp;" "&amp;VLOOKUP($I847,'Pricing Table - eff 27-Jan-2026'!$A:$R,12,FALSE)</f>
        <v>#N/A</v>
      </c>
      <c r="O847" s="56"/>
      <c r="P847" s="55" t="e">
        <f>(VLOOKUP($I847,'Pricing Table - eff 27-Jan-2026'!$A:$R,8,FALSE)/1000)*(VLOOKUP($I847,'Pricing Table - eff 27-Jan-2026'!$A:$R,10,FALSE)/1000)*Q847</f>
        <v>#N/A</v>
      </c>
      <c r="Q847" s="55" t="e">
        <f>ROUND(('Order Details'!$O847*1000)/((VLOOKUP($I847,'Pricing Table - eff 27-Jan-2026'!$A:$Q,7,FALSE)/12)*(VLOOKUP($I847,'Pricing Table - eff 27-Jan-2026'!$A:$Q,9,FALSE)/12))/5,0)*5</f>
        <v>#N/A</v>
      </c>
      <c r="R847" s="71" t="e">
        <f>$Q847/IFERROR(VLOOKUP($F847&amp;RIGHT($K847,8),'Master Data'!$O$5:$P$10,2,FALSE),'Master Data'!$P$4)</f>
        <v>#N/A</v>
      </c>
      <c r="S847" s="57" t="e">
        <f>VLOOKUP($I847,'Pricing Table - eff 27-Jan-2026'!$A:$Q,16,FALSE)</f>
        <v>#N/A</v>
      </c>
      <c r="T847" s="57" t="e">
        <f>VLOOKUP(I847,'Pricing Table - eff 27-Jan-2026'!$A:$O,15,FALSE)</f>
        <v>#N/A</v>
      </c>
      <c r="U847" s="57" t="e">
        <f t="shared" si="35"/>
        <v>#N/A</v>
      </c>
      <c r="V847" s="111" t="e">
        <f t="shared" si="36"/>
        <v>#N/A</v>
      </c>
      <c r="W847" s="55" t="e">
        <f>VLOOKUP($I847,'Pricing Table - eff 27-Jan-2026'!$A:$R,18,FALSE)</f>
        <v>#N/A</v>
      </c>
    </row>
    <row r="848" spans="1:23" hidden="1" x14ac:dyDescent="0.3">
      <c r="A848" s="55"/>
      <c r="B848" s="55"/>
      <c r="C848" s="55">
        <f>VLOOKUP(A848&amp;"-"&amp;B848,'Order Summary'!$D:$E,2,FALSE)</f>
        <v>0</v>
      </c>
      <c r="D848" s="216" t="str">
        <f>IF($A848="","",VLOOKUP($A848&amp;"-"&amp;$B848,'Order Summary'!$D:$U,3,FALSE))</f>
        <v/>
      </c>
      <c r="E848" s="55" t="str">
        <f>VLOOKUP(A848&amp;"-"&amp;B848,'Order Summary'!$D:$G,4,FALSE)</f>
        <v>Yes</v>
      </c>
      <c r="F848" s="55" t="e">
        <f>VLOOKUP($A848,'Order Summary'!$B:$I,8,FALSE)</f>
        <v>#N/A</v>
      </c>
      <c r="G848" s="216" t="str">
        <f>IF($A848="","",VLOOKUP($A848&amp;"-"&amp;$B848,'Order Summary'!$D:$U,18,FALSE))</f>
        <v/>
      </c>
      <c r="H848" s="55"/>
      <c r="I848" s="55"/>
      <c r="J848" s="55" t="e">
        <f>VLOOKUP($I848,'Pricing Table - eff 27-Jan-2026'!$A:$R,2,FALSE)</f>
        <v>#N/A</v>
      </c>
      <c r="K848" s="55" t="e">
        <f>VLOOKUP($I848,'Pricing Table - eff 27-Jan-2026'!$A:$R,6,FALSE)&amp;" "&amp;VLOOKUP($I848,'Pricing Table - eff 27-Jan-2026'!$A:$R,7,FALSE)&amp;""" x "&amp;VLOOKUP($I848,'Pricing Table - eff 27-Jan-2026'!$A:$R,9,FALSE)&amp;""" "&amp;VLOOKUP($I848,'Pricing Table - eff 27-Jan-2026'!$A:$R,5,FALSE)</f>
        <v>#N/A</v>
      </c>
      <c r="L848" s="55" t="e">
        <f>VLOOKUP($I848,'Pricing Table - eff 27-Jan-2026'!$A:$K,8,FALSE)</f>
        <v>#N/A</v>
      </c>
      <c r="M848" s="55" t="e">
        <f>VLOOKUP($I848,'Pricing Table - eff 27-Jan-2026'!$A:$K,10,FALSE)</f>
        <v>#N/A</v>
      </c>
      <c r="N848" s="55" t="e">
        <f>VLOOKUP($I848,'Pricing Table - eff 27-Jan-2026'!$A:$R,13,FALSE)&amp;" "&amp;VLOOKUP($I848,'Pricing Table - eff 27-Jan-2026'!$A:$R,12,FALSE)</f>
        <v>#N/A</v>
      </c>
      <c r="O848" s="56"/>
      <c r="P848" s="55" t="e">
        <f>(VLOOKUP($I848,'Pricing Table - eff 27-Jan-2026'!$A:$R,8,FALSE)/1000)*(VLOOKUP($I848,'Pricing Table - eff 27-Jan-2026'!$A:$R,10,FALSE)/1000)*Q848</f>
        <v>#N/A</v>
      </c>
      <c r="Q848" s="55" t="e">
        <f>ROUND(('Order Details'!$O848*1000)/((VLOOKUP($I848,'Pricing Table - eff 27-Jan-2026'!$A:$Q,7,FALSE)/12)*(VLOOKUP($I848,'Pricing Table - eff 27-Jan-2026'!$A:$Q,9,FALSE)/12))/5,0)*5</f>
        <v>#N/A</v>
      </c>
      <c r="R848" s="71" t="e">
        <f>$Q848/IFERROR(VLOOKUP($F848&amp;RIGHT($K848,8),'Master Data'!$O$5:$P$10,2,FALSE),'Master Data'!$P$4)</f>
        <v>#N/A</v>
      </c>
      <c r="S848" s="57" t="e">
        <f>VLOOKUP($I848,'Pricing Table - eff 27-Jan-2026'!$A:$Q,16,FALSE)</f>
        <v>#N/A</v>
      </c>
      <c r="T848" s="57" t="e">
        <f>VLOOKUP(I848,'Pricing Table - eff 27-Jan-2026'!$A:$O,15,FALSE)</f>
        <v>#N/A</v>
      </c>
      <c r="U848" s="57" t="e">
        <f t="shared" si="35"/>
        <v>#N/A</v>
      </c>
      <c r="V848" s="111" t="e">
        <f t="shared" si="36"/>
        <v>#N/A</v>
      </c>
      <c r="W848" s="55" t="e">
        <f>VLOOKUP($I848,'Pricing Table - eff 27-Jan-2026'!$A:$R,18,FALSE)</f>
        <v>#N/A</v>
      </c>
    </row>
    <row r="849" spans="1:23" hidden="1" x14ac:dyDescent="0.3">
      <c r="A849" s="55"/>
      <c r="B849" s="55"/>
      <c r="C849" s="55">
        <f>VLOOKUP(A849&amp;"-"&amp;B849,'Order Summary'!$D:$E,2,FALSE)</f>
        <v>0</v>
      </c>
      <c r="D849" s="216" t="str">
        <f>IF($A849="","",VLOOKUP($A849&amp;"-"&amp;$B849,'Order Summary'!$D:$U,3,FALSE))</f>
        <v/>
      </c>
      <c r="E849" s="55" t="str">
        <f>VLOOKUP(A849&amp;"-"&amp;B849,'Order Summary'!$D:$G,4,FALSE)</f>
        <v>Yes</v>
      </c>
      <c r="F849" s="55" t="e">
        <f>VLOOKUP($A849,'Order Summary'!$B:$I,8,FALSE)</f>
        <v>#N/A</v>
      </c>
      <c r="G849" s="216" t="str">
        <f>IF($A849="","",VLOOKUP($A849&amp;"-"&amp;$B849,'Order Summary'!$D:$U,18,FALSE))</f>
        <v/>
      </c>
      <c r="H849" s="55"/>
      <c r="I849" s="55"/>
      <c r="J849" s="55" t="e">
        <f>VLOOKUP($I849,'Pricing Table - eff 27-Jan-2026'!$A:$R,2,FALSE)</f>
        <v>#N/A</v>
      </c>
      <c r="K849" s="55" t="e">
        <f>VLOOKUP($I849,'Pricing Table - eff 27-Jan-2026'!$A:$R,6,FALSE)&amp;" "&amp;VLOOKUP($I849,'Pricing Table - eff 27-Jan-2026'!$A:$R,7,FALSE)&amp;""" x "&amp;VLOOKUP($I849,'Pricing Table - eff 27-Jan-2026'!$A:$R,9,FALSE)&amp;""" "&amp;VLOOKUP($I849,'Pricing Table - eff 27-Jan-2026'!$A:$R,5,FALSE)</f>
        <v>#N/A</v>
      </c>
      <c r="L849" s="55" t="e">
        <f>VLOOKUP($I849,'Pricing Table - eff 27-Jan-2026'!$A:$K,8,FALSE)</f>
        <v>#N/A</v>
      </c>
      <c r="M849" s="55" t="e">
        <f>VLOOKUP($I849,'Pricing Table - eff 27-Jan-2026'!$A:$K,10,FALSE)</f>
        <v>#N/A</v>
      </c>
      <c r="N849" s="55" t="e">
        <f>VLOOKUP($I849,'Pricing Table - eff 27-Jan-2026'!$A:$R,13,FALSE)&amp;" "&amp;VLOOKUP($I849,'Pricing Table - eff 27-Jan-2026'!$A:$R,12,FALSE)</f>
        <v>#N/A</v>
      </c>
      <c r="O849" s="56"/>
      <c r="P849" s="55" t="e">
        <f>(VLOOKUP($I849,'Pricing Table - eff 27-Jan-2026'!$A:$R,8,FALSE)/1000)*(VLOOKUP($I849,'Pricing Table - eff 27-Jan-2026'!$A:$R,10,FALSE)/1000)*Q849</f>
        <v>#N/A</v>
      </c>
      <c r="Q849" s="55" t="e">
        <f>ROUND(('Order Details'!$O849*1000)/((VLOOKUP($I849,'Pricing Table - eff 27-Jan-2026'!$A:$Q,7,FALSE)/12)*(VLOOKUP($I849,'Pricing Table - eff 27-Jan-2026'!$A:$Q,9,FALSE)/12))/5,0)*5</f>
        <v>#N/A</v>
      </c>
      <c r="R849" s="71" t="e">
        <f>$Q849/IFERROR(VLOOKUP($F849&amp;RIGHT($K849,8),'Master Data'!$O$5:$P$10,2,FALSE),'Master Data'!$P$4)</f>
        <v>#N/A</v>
      </c>
      <c r="S849" s="57" t="e">
        <f>VLOOKUP($I849,'Pricing Table - eff 27-Jan-2026'!$A:$Q,16,FALSE)</f>
        <v>#N/A</v>
      </c>
      <c r="T849" s="57" t="e">
        <f>VLOOKUP(I849,'Pricing Table - eff 27-Jan-2026'!$A:$O,15,FALSE)</f>
        <v>#N/A</v>
      </c>
      <c r="U849" s="57" t="e">
        <f t="shared" si="35"/>
        <v>#N/A</v>
      </c>
      <c r="V849" s="111" t="e">
        <f t="shared" si="36"/>
        <v>#N/A</v>
      </c>
      <c r="W849" s="55" t="e">
        <f>VLOOKUP($I849,'Pricing Table - eff 27-Jan-2026'!$A:$R,18,FALSE)</f>
        <v>#N/A</v>
      </c>
    </row>
    <row r="850" spans="1:23" hidden="1" x14ac:dyDescent="0.3">
      <c r="A850" s="55"/>
      <c r="B850" s="55"/>
      <c r="C850" s="55">
        <f>VLOOKUP(A850&amp;"-"&amp;B850,'Order Summary'!$D:$E,2,FALSE)</f>
        <v>0</v>
      </c>
      <c r="D850" s="216" t="str">
        <f>IF($A850="","",VLOOKUP($A850&amp;"-"&amp;$B850,'Order Summary'!$D:$U,3,FALSE))</f>
        <v/>
      </c>
      <c r="E850" s="55" t="str">
        <f>VLOOKUP(A850&amp;"-"&amp;B850,'Order Summary'!$D:$G,4,FALSE)</f>
        <v>Yes</v>
      </c>
      <c r="F850" s="55" t="e">
        <f>VLOOKUP($A850,'Order Summary'!$B:$I,8,FALSE)</f>
        <v>#N/A</v>
      </c>
      <c r="G850" s="216" t="str">
        <f>IF($A850="","",VLOOKUP($A850&amp;"-"&amp;$B850,'Order Summary'!$D:$U,18,FALSE))</f>
        <v/>
      </c>
      <c r="H850" s="55"/>
      <c r="I850" s="55"/>
      <c r="J850" s="55" t="e">
        <f>VLOOKUP($I850,'Pricing Table - eff 27-Jan-2026'!$A:$R,2,FALSE)</f>
        <v>#N/A</v>
      </c>
      <c r="K850" s="55" t="e">
        <f>VLOOKUP($I850,'Pricing Table - eff 27-Jan-2026'!$A:$R,6,FALSE)&amp;" "&amp;VLOOKUP($I850,'Pricing Table - eff 27-Jan-2026'!$A:$R,7,FALSE)&amp;""" x "&amp;VLOOKUP($I850,'Pricing Table - eff 27-Jan-2026'!$A:$R,9,FALSE)&amp;""" "&amp;VLOOKUP($I850,'Pricing Table - eff 27-Jan-2026'!$A:$R,5,FALSE)</f>
        <v>#N/A</v>
      </c>
      <c r="L850" s="55" t="e">
        <f>VLOOKUP($I850,'Pricing Table - eff 27-Jan-2026'!$A:$K,8,FALSE)</f>
        <v>#N/A</v>
      </c>
      <c r="M850" s="55" t="e">
        <f>VLOOKUP($I850,'Pricing Table - eff 27-Jan-2026'!$A:$K,10,FALSE)</f>
        <v>#N/A</v>
      </c>
      <c r="N850" s="55" t="e">
        <f>VLOOKUP($I850,'Pricing Table - eff 27-Jan-2026'!$A:$R,13,FALSE)&amp;" "&amp;VLOOKUP($I850,'Pricing Table - eff 27-Jan-2026'!$A:$R,12,FALSE)</f>
        <v>#N/A</v>
      </c>
      <c r="O850" s="56"/>
      <c r="P850" s="55" t="e">
        <f>(VLOOKUP($I850,'Pricing Table - eff 27-Jan-2026'!$A:$R,8,FALSE)/1000)*(VLOOKUP($I850,'Pricing Table - eff 27-Jan-2026'!$A:$R,10,FALSE)/1000)*Q850</f>
        <v>#N/A</v>
      </c>
      <c r="Q850" s="55" t="e">
        <f>ROUND(('Order Details'!$O850*1000)/((VLOOKUP($I850,'Pricing Table - eff 27-Jan-2026'!$A:$Q,7,FALSE)/12)*(VLOOKUP($I850,'Pricing Table - eff 27-Jan-2026'!$A:$Q,9,FALSE)/12))/5,0)*5</f>
        <v>#N/A</v>
      </c>
      <c r="R850" s="71" t="e">
        <f>$Q850/IFERROR(VLOOKUP($F850&amp;RIGHT($K850,8),'Master Data'!$O$5:$P$10,2,FALSE),'Master Data'!$P$4)</f>
        <v>#N/A</v>
      </c>
      <c r="S850" s="57" t="e">
        <f>VLOOKUP($I850,'Pricing Table - eff 27-Jan-2026'!$A:$Q,16,FALSE)</f>
        <v>#N/A</v>
      </c>
      <c r="T850" s="57" t="e">
        <f>VLOOKUP(I850,'Pricing Table - eff 27-Jan-2026'!$A:$O,15,FALSE)</f>
        <v>#N/A</v>
      </c>
      <c r="U850" s="57" t="e">
        <f t="shared" si="35"/>
        <v>#N/A</v>
      </c>
      <c r="V850" s="111" t="e">
        <f t="shared" si="36"/>
        <v>#N/A</v>
      </c>
      <c r="W850" s="55" t="e">
        <f>VLOOKUP($I850,'Pricing Table - eff 27-Jan-2026'!$A:$R,18,FALSE)</f>
        <v>#N/A</v>
      </c>
    </row>
    <row r="851" spans="1:23" hidden="1" x14ac:dyDescent="0.3">
      <c r="A851" s="55"/>
      <c r="B851" s="55"/>
      <c r="C851" s="55">
        <f>VLOOKUP(A851&amp;"-"&amp;B851,'Order Summary'!$D:$E,2,FALSE)</f>
        <v>0</v>
      </c>
      <c r="D851" s="216" t="str">
        <f>IF($A851="","",VLOOKUP($A851&amp;"-"&amp;$B851,'Order Summary'!$D:$U,3,FALSE))</f>
        <v/>
      </c>
      <c r="E851" s="55" t="str">
        <f>VLOOKUP(A851&amp;"-"&amp;B851,'Order Summary'!$D:$G,4,FALSE)</f>
        <v>Yes</v>
      </c>
      <c r="F851" s="55" t="e">
        <f>VLOOKUP($A851,'Order Summary'!$B:$I,8,FALSE)</f>
        <v>#N/A</v>
      </c>
      <c r="G851" s="216" t="str">
        <f>IF($A851="","",VLOOKUP($A851&amp;"-"&amp;$B851,'Order Summary'!$D:$U,18,FALSE))</f>
        <v/>
      </c>
      <c r="H851" s="55"/>
      <c r="I851" s="55"/>
      <c r="J851" s="55" t="e">
        <f>VLOOKUP($I851,'Pricing Table - eff 27-Jan-2026'!$A:$R,2,FALSE)</f>
        <v>#N/A</v>
      </c>
      <c r="K851" s="55" t="e">
        <f>VLOOKUP($I851,'Pricing Table - eff 27-Jan-2026'!$A:$R,6,FALSE)&amp;" "&amp;VLOOKUP($I851,'Pricing Table - eff 27-Jan-2026'!$A:$R,7,FALSE)&amp;""" x "&amp;VLOOKUP($I851,'Pricing Table - eff 27-Jan-2026'!$A:$R,9,FALSE)&amp;""" "&amp;VLOOKUP($I851,'Pricing Table - eff 27-Jan-2026'!$A:$R,5,FALSE)</f>
        <v>#N/A</v>
      </c>
      <c r="L851" s="55" t="e">
        <f>VLOOKUP($I851,'Pricing Table - eff 27-Jan-2026'!$A:$K,8,FALSE)</f>
        <v>#N/A</v>
      </c>
      <c r="M851" s="55" t="e">
        <f>VLOOKUP($I851,'Pricing Table - eff 27-Jan-2026'!$A:$K,10,FALSE)</f>
        <v>#N/A</v>
      </c>
      <c r="N851" s="55" t="e">
        <f>VLOOKUP($I851,'Pricing Table - eff 27-Jan-2026'!$A:$R,13,FALSE)&amp;" "&amp;VLOOKUP($I851,'Pricing Table - eff 27-Jan-2026'!$A:$R,12,FALSE)</f>
        <v>#N/A</v>
      </c>
      <c r="O851" s="56"/>
      <c r="P851" s="55" t="e">
        <f>(VLOOKUP($I851,'Pricing Table - eff 27-Jan-2026'!$A:$R,8,FALSE)/1000)*(VLOOKUP($I851,'Pricing Table - eff 27-Jan-2026'!$A:$R,10,FALSE)/1000)*Q851</f>
        <v>#N/A</v>
      </c>
      <c r="Q851" s="55" t="e">
        <f>ROUND(('Order Details'!$O851*1000)/((VLOOKUP($I851,'Pricing Table - eff 27-Jan-2026'!$A:$Q,7,FALSE)/12)*(VLOOKUP($I851,'Pricing Table - eff 27-Jan-2026'!$A:$Q,9,FALSE)/12))/5,0)*5</f>
        <v>#N/A</v>
      </c>
      <c r="R851" s="71" t="e">
        <f>$Q851/IFERROR(VLOOKUP($F851&amp;RIGHT($K851,8),'Master Data'!$O$5:$P$10,2,FALSE),'Master Data'!$P$4)</f>
        <v>#N/A</v>
      </c>
      <c r="S851" s="57" t="e">
        <f>VLOOKUP($I851,'Pricing Table - eff 27-Jan-2026'!$A:$Q,16,FALSE)</f>
        <v>#N/A</v>
      </c>
      <c r="T851" s="57" t="e">
        <f>VLOOKUP(I851,'Pricing Table - eff 27-Jan-2026'!$A:$O,15,FALSE)</f>
        <v>#N/A</v>
      </c>
      <c r="U851" s="57" t="e">
        <f t="shared" si="35"/>
        <v>#N/A</v>
      </c>
      <c r="V851" s="111" t="e">
        <f t="shared" si="36"/>
        <v>#N/A</v>
      </c>
      <c r="W851" s="55" t="e">
        <f>VLOOKUP($I851,'Pricing Table - eff 27-Jan-2026'!$A:$R,18,FALSE)</f>
        <v>#N/A</v>
      </c>
    </row>
    <row r="852" spans="1:23" hidden="1" x14ac:dyDescent="0.3">
      <c r="A852" s="55"/>
      <c r="B852" s="55"/>
      <c r="C852" s="55">
        <f>VLOOKUP(A852&amp;"-"&amp;B852,'Order Summary'!$D:$E,2,FALSE)</f>
        <v>0</v>
      </c>
      <c r="D852" s="216" t="str">
        <f>IF($A852="","",VLOOKUP($A852&amp;"-"&amp;$B852,'Order Summary'!$D:$U,3,FALSE))</f>
        <v/>
      </c>
      <c r="E852" s="55" t="str">
        <f>VLOOKUP(A852&amp;"-"&amp;B852,'Order Summary'!$D:$G,4,FALSE)</f>
        <v>Yes</v>
      </c>
      <c r="F852" s="55" t="e">
        <f>VLOOKUP($A852,'Order Summary'!$B:$I,8,FALSE)</f>
        <v>#N/A</v>
      </c>
      <c r="G852" s="216" t="str">
        <f>IF($A852="","",VLOOKUP($A852&amp;"-"&amp;$B852,'Order Summary'!$D:$U,18,FALSE))</f>
        <v/>
      </c>
      <c r="H852" s="55"/>
      <c r="I852" s="55"/>
      <c r="J852" s="55" t="e">
        <f>VLOOKUP($I852,'Pricing Table - eff 27-Jan-2026'!$A:$R,2,FALSE)</f>
        <v>#N/A</v>
      </c>
      <c r="K852" s="55" t="e">
        <f>VLOOKUP($I852,'Pricing Table - eff 27-Jan-2026'!$A:$R,6,FALSE)&amp;" "&amp;VLOOKUP($I852,'Pricing Table - eff 27-Jan-2026'!$A:$R,7,FALSE)&amp;""" x "&amp;VLOOKUP($I852,'Pricing Table - eff 27-Jan-2026'!$A:$R,9,FALSE)&amp;""" "&amp;VLOOKUP($I852,'Pricing Table - eff 27-Jan-2026'!$A:$R,5,FALSE)</f>
        <v>#N/A</v>
      </c>
      <c r="L852" s="55" t="e">
        <f>VLOOKUP($I852,'Pricing Table - eff 27-Jan-2026'!$A:$K,8,FALSE)</f>
        <v>#N/A</v>
      </c>
      <c r="M852" s="55" t="e">
        <f>VLOOKUP($I852,'Pricing Table - eff 27-Jan-2026'!$A:$K,10,FALSE)</f>
        <v>#N/A</v>
      </c>
      <c r="N852" s="55" t="e">
        <f>VLOOKUP($I852,'Pricing Table - eff 27-Jan-2026'!$A:$R,13,FALSE)&amp;" "&amp;VLOOKUP($I852,'Pricing Table - eff 27-Jan-2026'!$A:$R,12,FALSE)</f>
        <v>#N/A</v>
      </c>
      <c r="O852" s="56"/>
      <c r="P852" s="55" t="e">
        <f>(VLOOKUP($I852,'Pricing Table - eff 27-Jan-2026'!$A:$R,8,FALSE)/1000)*(VLOOKUP($I852,'Pricing Table - eff 27-Jan-2026'!$A:$R,10,FALSE)/1000)*Q852</f>
        <v>#N/A</v>
      </c>
      <c r="Q852" s="55" t="e">
        <f>ROUND(('Order Details'!$O852*1000)/((VLOOKUP($I852,'Pricing Table - eff 27-Jan-2026'!$A:$Q,7,FALSE)/12)*(VLOOKUP($I852,'Pricing Table - eff 27-Jan-2026'!$A:$Q,9,FALSE)/12))/5,0)*5</f>
        <v>#N/A</v>
      </c>
      <c r="R852" s="71" t="e">
        <f>$Q852/IFERROR(VLOOKUP($F852&amp;RIGHT($K852,8),'Master Data'!$O$5:$P$10,2,FALSE),'Master Data'!$P$4)</f>
        <v>#N/A</v>
      </c>
      <c r="S852" s="57" t="e">
        <f>VLOOKUP($I852,'Pricing Table - eff 27-Jan-2026'!$A:$Q,16,FALSE)</f>
        <v>#N/A</v>
      </c>
      <c r="T852" s="57" t="e">
        <f>VLOOKUP(I852,'Pricing Table - eff 27-Jan-2026'!$A:$O,15,FALSE)</f>
        <v>#N/A</v>
      </c>
      <c r="U852" s="57" t="e">
        <f t="shared" si="35"/>
        <v>#N/A</v>
      </c>
      <c r="V852" s="111" t="e">
        <f t="shared" si="36"/>
        <v>#N/A</v>
      </c>
      <c r="W852" s="55" t="e">
        <f>VLOOKUP($I852,'Pricing Table - eff 27-Jan-2026'!$A:$R,18,FALSE)</f>
        <v>#N/A</v>
      </c>
    </row>
    <row r="853" spans="1:23" hidden="1" x14ac:dyDescent="0.3">
      <c r="A853" s="55"/>
      <c r="B853" s="55"/>
      <c r="C853" s="55">
        <f>VLOOKUP(A853&amp;"-"&amp;B853,'Order Summary'!$D:$E,2,FALSE)</f>
        <v>0</v>
      </c>
      <c r="D853" s="216" t="str">
        <f>IF($A853="","",VLOOKUP($A853&amp;"-"&amp;$B853,'Order Summary'!$D:$U,3,FALSE))</f>
        <v/>
      </c>
      <c r="E853" s="55" t="str">
        <f>VLOOKUP(A853&amp;"-"&amp;B853,'Order Summary'!$D:$G,4,FALSE)</f>
        <v>Yes</v>
      </c>
      <c r="F853" s="55" t="e">
        <f>VLOOKUP($A853,'Order Summary'!$B:$I,8,FALSE)</f>
        <v>#N/A</v>
      </c>
      <c r="G853" s="216" t="str">
        <f>IF($A853="","",VLOOKUP($A853&amp;"-"&amp;$B853,'Order Summary'!$D:$U,18,FALSE))</f>
        <v/>
      </c>
      <c r="H853" s="55"/>
      <c r="I853" s="55"/>
      <c r="J853" s="55" t="e">
        <f>VLOOKUP($I853,'Pricing Table - eff 27-Jan-2026'!$A:$R,2,FALSE)</f>
        <v>#N/A</v>
      </c>
      <c r="K853" s="55" t="e">
        <f>VLOOKUP($I853,'Pricing Table - eff 27-Jan-2026'!$A:$R,6,FALSE)&amp;" "&amp;VLOOKUP($I853,'Pricing Table - eff 27-Jan-2026'!$A:$R,7,FALSE)&amp;""" x "&amp;VLOOKUP($I853,'Pricing Table - eff 27-Jan-2026'!$A:$R,9,FALSE)&amp;""" "&amp;VLOOKUP($I853,'Pricing Table - eff 27-Jan-2026'!$A:$R,5,FALSE)</f>
        <v>#N/A</v>
      </c>
      <c r="L853" s="55" t="e">
        <f>VLOOKUP($I853,'Pricing Table - eff 27-Jan-2026'!$A:$K,8,FALSE)</f>
        <v>#N/A</v>
      </c>
      <c r="M853" s="55" t="e">
        <f>VLOOKUP($I853,'Pricing Table - eff 27-Jan-2026'!$A:$K,10,FALSE)</f>
        <v>#N/A</v>
      </c>
      <c r="N853" s="55" t="e">
        <f>VLOOKUP($I853,'Pricing Table - eff 27-Jan-2026'!$A:$R,13,FALSE)&amp;" "&amp;VLOOKUP($I853,'Pricing Table - eff 27-Jan-2026'!$A:$R,12,FALSE)</f>
        <v>#N/A</v>
      </c>
      <c r="O853" s="56"/>
      <c r="P853" s="55" t="e">
        <f>(VLOOKUP($I853,'Pricing Table - eff 27-Jan-2026'!$A:$R,8,FALSE)/1000)*(VLOOKUP($I853,'Pricing Table - eff 27-Jan-2026'!$A:$R,10,FALSE)/1000)*Q853</f>
        <v>#N/A</v>
      </c>
      <c r="Q853" s="55" t="e">
        <f>ROUND(('Order Details'!$O853*1000)/((VLOOKUP($I853,'Pricing Table - eff 27-Jan-2026'!$A:$Q,7,FALSE)/12)*(VLOOKUP($I853,'Pricing Table - eff 27-Jan-2026'!$A:$Q,9,FALSE)/12))/5,0)*5</f>
        <v>#N/A</v>
      </c>
      <c r="R853" s="71" t="e">
        <f>$Q853/IFERROR(VLOOKUP($F853&amp;RIGHT($K853,8),'Master Data'!$O$5:$P$10,2,FALSE),'Master Data'!$P$4)</f>
        <v>#N/A</v>
      </c>
      <c r="S853" s="57" t="e">
        <f>VLOOKUP($I853,'Pricing Table - eff 27-Jan-2026'!$A:$Q,16,FALSE)</f>
        <v>#N/A</v>
      </c>
      <c r="T853" s="57" t="e">
        <f>VLOOKUP(I853,'Pricing Table - eff 27-Jan-2026'!$A:$O,15,FALSE)</f>
        <v>#N/A</v>
      </c>
      <c r="U853" s="57" t="e">
        <f t="shared" si="35"/>
        <v>#N/A</v>
      </c>
      <c r="V853" s="111" t="e">
        <f t="shared" si="36"/>
        <v>#N/A</v>
      </c>
      <c r="W853" s="55" t="e">
        <f>VLOOKUP($I853,'Pricing Table - eff 27-Jan-2026'!$A:$R,18,FALSE)</f>
        <v>#N/A</v>
      </c>
    </row>
    <row r="854" spans="1:23" hidden="1" x14ac:dyDescent="0.3">
      <c r="A854" s="55"/>
      <c r="B854" s="55"/>
      <c r="C854" s="55">
        <f>VLOOKUP(A854&amp;"-"&amp;B854,'Order Summary'!$D:$E,2,FALSE)</f>
        <v>0</v>
      </c>
      <c r="D854" s="216" t="str">
        <f>IF($A854="","",VLOOKUP($A854&amp;"-"&amp;$B854,'Order Summary'!$D:$U,3,FALSE))</f>
        <v/>
      </c>
      <c r="E854" s="55" t="str">
        <f>VLOOKUP(A854&amp;"-"&amp;B854,'Order Summary'!$D:$G,4,FALSE)</f>
        <v>Yes</v>
      </c>
      <c r="F854" s="55" t="e">
        <f>VLOOKUP($A854,'Order Summary'!$B:$I,8,FALSE)</f>
        <v>#N/A</v>
      </c>
      <c r="G854" s="216" t="str">
        <f>IF($A854="","",VLOOKUP($A854&amp;"-"&amp;$B854,'Order Summary'!$D:$U,18,FALSE))</f>
        <v/>
      </c>
      <c r="H854" s="55"/>
      <c r="I854" s="55"/>
      <c r="J854" s="55" t="e">
        <f>VLOOKUP($I854,'Pricing Table - eff 27-Jan-2026'!$A:$R,2,FALSE)</f>
        <v>#N/A</v>
      </c>
      <c r="K854" s="55" t="e">
        <f>VLOOKUP($I854,'Pricing Table - eff 27-Jan-2026'!$A:$R,6,FALSE)&amp;" "&amp;VLOOKUP($I854,'Pricing Table - eff 27-Jan-2026'!$A:$R,7,FALSE)&amp;""" x "&amp;VLOOKUP($I854,'Pricing Table - eff 27-Jan-2026'!$A:$R,9,FALSE)&amp;""" "&amp;VLOOKUP($I854,'Pricing Table - eff 27-Jan-2026'!$A:$R,5,FALSE)</f>
        <v>#N/A</v>
      </c>
      <c r="L854" s="55" t="e">
        <f>VLOOKUP($I854,'Pricing Table - eff 27-Jan-2026'!$A:$K,8,FALSE)</f>
        <v>#N/A</v>
      </c>
      <c r="M854" s="55" t="e">
        <f>VLOOKUP($I854,'Pricing Table - eff 27-Jan-2026'!$A:$K,10,FALSE)</f>
        <v>#N/A</v>
      </c>
      <c r="N854" s="55" t="e">
        <f>VLOOKUP($I854,'Pricing Table - eff 27-Jan-2026'!$A:$R,13,FALSE)&amp;" "&amp;VLOOKUP($I854,'Pricing Table - eff 27-Jan-2026'!$A:$R,12,FALSE)</f>
        <v>#N/A</v>
      </c>
      <c r="O854" s="56"/>
      <c r="P854" s="55" t="e">
        <f>(VLOOKUP($I854,'Pricing Table - eff 27-Jan-2026'!$A:$R,8,FALSE)/1000)*(VLOOKUP($I854,'Pricing Table - eff 27-Jan-2026'!$A:$R,10,FALSE)/1000)*Q854</f>
        <v>#N/A</v>
      </c>
      <c r="Q854" s="55" t="e">
        <f>ROUND(('Order Details'!$O854*1000)/((VLOOKUP($I854,'Pricing Table - eff 27-Jan-2026'!$A:$Q,7,FALSE)/12)*(VLOOKUP($I854,'Pricing Table - eff 27-Jan-2026'!$A:$Q,9,FALSE)/12))/5,0)*5</f>
        <v>#N/A</v>
      </c>
      <c r="R854" s="71" t="e">
        <f>$Q854/IFERROR(VLOOKUP($F854&amp;RIGHT($K854,8),'Master Data'!$O$5:$P$10,2,FALSE),'Master Data'!$P$4)</f>
        <v>#N/A</v>
      </c>
      <c r="S854" s="57" t="e">
        <f>VLOOKUP($I854,'Pricing Table - eff 27-Jan-2026'!$A:$Q,16,FALSE)</f>
        <v>#N/A</v>
      </c>
      <c r="T854" s="57" t="e">
        <f>VLOOKUP(I854,'Pricing Table - eff 27-Jan-2026'!$A:$O,15,FALSE)</f>
        <v>#N/A</v>
      </c>
      <c r="U854" s="57" t="e">
        <f t="shared" si="35"/>
        <v>#N/A</v>
      </c>
      <c r="V854" s="111" t="e">
        <f t="shared" si="36"/>
        <v>#N/A</v>
      </c>
      <c r="W854" s="55" t="e">
        <f>VLOOKUP($I854,'Pricing Table - eff 27-Jan-2026'!$A:$R,18,FALSE)</f>
        <v>#N/A</v>
      </c>
    </row>
    <row r="855" spans="1:23" hidden="1" x14ac:dyDescent="0.3">
      <c r="A855" s="55"/>
      <c r="B855" s="55"/>
      <c r="C855" s="55">
        <f>VLOOKUP(A855&amp;"-"&amp;B855,'Order Summary'!$D:$E,2,FALSE)</f>
        <v>0</v>
      </c>
      <c r="D855" s="216" t="str">
        <f>IF($A855="","",VLOOKUP($A855&amp;"-"&amp;$B855,'Order Summary'!$D:$U,3,FALSE))</f>
        <v/>
      </c>
      <c r="E855" s="55" t="str">
        <f>VLOOKUP(A855&amp;"-"&amp;B855,'Order Summary'!$D:$G,4,FALSE)</f>
        <v>Yes</v>
      </c>
      <c r="F855" s="55" t="e">
        <f>VLOOKUP($A855,'Order Summary'!$B:$I,8,FALSE)</f>
        <v>#N/A</v>
      </c>
      <c r="G855" s="216" t="str">
        <f>IF($A855="","",VLOOKUP($A855&amp;"-"&amp;$B855,'Order Summary'!$D:$U,18,FALSE))</f>
        <v/>
      </c>
      <c r="H855" s="55"/>
      <c r="I855" s="55"/>
      <c r="J855" s="55" t="e">
        <f>VLOOKUP($I855,'Pricing Table - eff 27-Jan-2026'!$A:$R,2,FALSE)</f>
        <v>#N/A</v>
      </c>
      <c r="K855" s="55" t="e">
        <f>VLOOKUP($I855,'Pricing Table - eff 27-Jan-2026'!$A:$R,6,FALSE)&amp;" "&amp;VLOOKUP($I855,'Pricing Table - eff 27-Jan-2026'!$A:$R,7,FALSE)&amp;""" x "&amp;VLOOKUP($I855,'Pricing Table - eff 27-Jan-2026'!$A:$R,9,FALSE)&amp;""" "&amp;VLOOKUP($I855,'Pricing Table - eff 27-Jan-2026'!$A:$R,5,FALSE)</f>
        <v>#N/A</v>
      </c>
      <c r="L855" s="55" t="e">
        <f>VLOOKUP($I855,'Pricing Table - eff 27-Jan-2026'!$A:$K,8,FALSE)</f>
        <v>#N/A</v>
      </c>
      <c r="M855" s="55" t="e">
        <f>VLOOKUP($I855,'Pricing Table - eff 27-Jan-2026'!$A:$K,10,FALSE)</f>
        <v>#N/A</v>
      </c>
      <c r="N855" s="55" t="e">
        <f>VLOOKUP($I855,'Pricing Table - eff 27-Jan-2026'!$A:$R,13,FALSE)&amp;" "&amp;VLOOKUP($I855,'Pricing Table - eff 27-Jan-2026'!$A:$R,12,FALSE)</f>
        <v>#N/A</v>
      </c>
      <c r="O855" s="56"/>
      <c r="P855" s="55" t="e">
        <f>(VLOOKUP($I855,'Pricing Table - eff 27-Jan-2026'!$A:$R,8,FALSE)/1000)*(VLOOKUP($I855,'Pricing Table - eff 27-Jan-2026'!$A:$R,10,FALSE)/1000)*Q855</f>
        <v>#N/A</v>
      </c>
      <c r="Q855" s="55" t="e">
        <f>ROUND(('Order Details'!$O855*1000)/((VLOOKUP($I855,'Pricing Table - eff 27-Jan-2026'!$A:$Q,7,FALSE)/12)*(VLOOKUP($I855,'Pricing Table - eff 27-Jan-2026'!$A:$Q,9,FALSE)/12))/5,0)*5</f>
        <v>#N/A</v>
      </c>
      <c r="R855" s="71" t="e">
        <f>$Q855/IFERROR(VLOOKUP($F855&amp;RIGHT($K855,8),'Master Data'!$O$5:$P$10,2,FALSE),'Master Data'!$P$4)</f>
        <v>#N/A</v>
      </c>
      <c r="S855" s="57" t="e">
        <f>VLOOKUP($I855,'Pricing Table - eff 27-Jan-2026'!$A:$Q,16,FALSE)</f>
        <v>#N/A</v>
      </c>
      <c r="T855" s="57" t="e">
        <f>VLOOKUP(I855,'Pricing Table - eff 27-Jan-2026'!$A:$O,15,FALSE)</f>
        <v>#N/A</v>
      </c>
      <c r="U855" s="57" t="e">
        <f t="shared" si="35"/>
        <v>#N/A</v>
      </c>
      <c r="V855" s="111" t="e">
        <f t="shared" si="36"/>
        <v>#N/A</v>
      </c>
      <c r="W855" s="55" t="e">
        <f>VLOOKUP($I855,'Pricing Table - eff 27-Jan-2026'!$A:$R,18,FALSE)</f>
        <v>#N/A</v>
      </c>
    </row>
    <row r="856" spans="1:23" hidden="1" x14ac:dyDescent="0.3">
      <c r="A856" s="55"/>
      <c r="B856" s="55"/>
      <c r="C856" s="55">
        <f>VLOOKUP(A856&amp;"-"&amp;B856,'Order Summary'!$D:$E,2,FALSE)</f>
        <v>0</v>
      </c>
      <c r="D856" s="216" t="str">
        <f>IF($A856="","",VLOOKUP($A856&amp;"-"&amp;$B856,'Order Summary'!$D:$U,3,FALSE))</f>
        <v/>
      </c>
      <c r="E856" s="55" t="str">
        <f>VLOOKUP(A856&amp;"-"&amp;B856,'Order Summary'!$D:$G,4,FALSE)</f>
        <v>Yes</v>
      </c>
      <c r="F856" s="55" t="e">
        <f>VLOOKUP($A856,'Order Summary'!$B:$I,8,FALSE)</f>
        <v>#N/A</v>
      </c>
      <c r="G856" s="216" t="str">
        <f>IF($A856="","",VLOOKUP($A856&amp;"-"&amp;$B856,'Order Summary'!$D:$U,18,FALSE))</f>
        <v/>
      </c>
      <c r="H856" s="55"/>
      <c r="I856" s="55"/>
      <c r="J856" s="55" t="e">
        <f>VLOOKUP($I856,'Pricing Table - eff 27-Jan-2026'!$A:$R,2,FALSE)</f>
        <v>#N/A</v>
      </c>
      <c r="K856" s="55" t="e">
        <f>VLOOKUP($I856,'Pricing Table - eff 27-Jan-2026'!$A:$R,6,FALSE)&amp;" "&amp;VLOOKUP($I856,'Pricing Table - eff 27-Jan-2026'!$A:$R,7,FALSE)&amp;""" x "&amp;VLOOKUP($I856,'Pricing Table - eff 27-Jan-2026'!$A:$R,9,FALSE)&amp;""" "&amp;VLOOKUP($I856,'Pricing Table - eff 27-Jan-2026'!$A:$R,5,FALSE)</f>
        <v>#N/A</v>
      </c>
      <c r="L856" s="55" t="e">
        <f>VLOOKUP($I856,'Pricing Table - eff 27-Jan-2026'!$A:$K,8,FALSE)</f>
        <v>#N/A</v>
      </c>
      <c r="M856" s="55" t="e">
        <f>VLOOKUP($I856,'Pricing Table - eff 27-Jan-2026'!$A:$K,10,FALSE)</f>
        <v>#N/A</v>
      </c>
      <c r="N856" s="55" t="e">
        <f>VLOOKUP($I856,'Pricing Table - eff 27-Jan-2026'!$A:$R,13,FALSE)&amp;" "&amp;VLOOKUP($I856,'Pricing Table - eff 27-Jan-2026'!$A:$R,12,FALSE)</f>
        <v>#N/A</v>
      </c>
      <c r="O856" s="56"/>
      <c r="P856" s="55" t="e">
        <f>(VLOOKUP($I856,'Pricing Table - eff 27-Jan-2026'!$A:$R,8,FALSE)/1000)*(VLOOKUP($I856,'Pricing Table - eff 27-Jan-2026'!$A:$R,10,FALSE)/1000)*Q856</f>
        <v>#N/A</v>
      </c>
      <c r="Q856" s="55" t="e">
        <f>ROUND(('Order Details'!$O856*1000)/((VLOOKUP($I856,'Pricing Table - eff 27-Jan-2026'!$A:$Q,7,FALSE)/12)*(VLOOKUP($I856,'Pricing Table - eff 27-Jan-2026'!$A:$Q,9,FALSE)/12))/5,0)*5</f>
        <v>#N/A</v>
      </c>
      <c r="R856" s="71" t="e">
        <f>$Q856/IFERROR(VLOOKUP($F856&amp;RIGHT($K856,8),'Master Data'!$O$5:$P$10,2,FALSE),'Master Data'!$P$4)</f>
        <v>#N/A</v>
      </c>
      <c r="S856" s="57" t="e">
        <f>VLOOKUP($I856,'Pricing Table - eff 27-Jan-2026'!$A:$Q,16,FALSE)</f>
        <v>#N/A</v>
      </c>
      <c r="T856" s="57" t="e">
        <f>VLOOKUP(I856,'Pricing Table - eff 27-Jan-2026'!$A:$O,15,FALSE)</f>
        <v>#N/A</v>
      </c>
      <c r="U856" s="57" t="e">
        <f t="shared" si="35"/>
        <v>#N/A</v>
      </c>
      <c r="V856" s="111" t="e">
        <f t="shared" si="36"/>
        <v>#N/A</v>
      </c>
      <c r="W856" s="55" t="e">
        <f>VLOOKUP($I856,'Pricing Table - eff 27-Jan-2026'!$A:$R,18,FALSE)</f>
        <v>#N/A</v>
      </c>
    </row>
    <row r="857" spans="1:23" hidden="1" x14ac:dyDescent="0.3">
      <c r="A857" s="55"/>
      <c r="B857" s="55"/>
      <c r="C857" s="55">
        <f>VLOOKUP(A857&amp;"-"&amp;B857,'Order Summary'!$D:$E,2,FALSE)</f>
        <v>0</v>
      </c>
      <c r="D857" s="216" t="str">
        <f>IF($A857="","",VLOOKUP($A857&amp;"-"&amp;$B857,'Order Summary'!$D:$U,3,FALSE))</f>
        <v/>
      </c>
      <c r="E857" s="55" t="str">
        <f>VLOOKUP(A857&amp;"-"&amp;B857,'Order Summary'!$D:$G,4,FALSE)</f>
        <v>Yes</v>
      </c>
      <c r="F857" s="55" t="e">
        <f>VLOOKUP($A857,'Order Summary'!$B:$I,8,FALSE)</f>
        <v>#N/A</v>
      </c>
      <c r="G857" s="216" t="str">
        <f>IF($A857="","",VLOOKUP($A857&amp;"-"&amp;$B857,'Order Summary'!$D:$U,18,FALSE))</f>
        <v/>
      </c>
      <c r="H857" s="55"/>
      <c r="I857" s="55"/>
      <c r="J857" s="55" t="e">
        <f>VLOOKUP($I857,'Pricing Table - eff 27-Jan-2026'!$A:$R,2,FALSE)</f>
        <v>#N/A</v>
      </c>
      <c r="K857" s="55" t="e">
        <f>VLOOKUP($I857,'Pricing Table - eff 27-Jan-2026'!$A:$R,6,FALSE)&amp;" "&amp;VLOOKUP($I857,'Pricing Table - eff 27-Jan-2026'!$A:$R,7,FALSE)&amp;""" x "&amp;VLOOKUP($I857,'Pricing Table - eff 27-Jan-2026'!$A:$R,9,FALSE)&amp;""" "&amp;VLOOKUP($I857,'Pricing Table - eff 27-Jan-2026'!$A:$R,5,FALSE)</f>
        <v>#N/A</v>
      </c>
      <c r="L857" s="55" t="e">
        <f>VLOOKUP($I857,'Pricing Table - eff 27-Jan-2026'!$A:$K,8,FALSE)</f>
        <v>#N/A</v>
      </c>
      <c r="M857" s="55" t="e">
        <f>VLOOKUP($I857,'Pricing Table - eff 27-Jan-2026'!$A:$K,10,FALSE)</f>
        <v>#N/A</v>
      </c>
      <c r="N857" s="55" t="e">
        <f>VLOOKUP($I857,'Pricing Table - eff 27-Jan-2026'!$A:$R,13,FALSE)&amp;" "&amp;VLOOKUP($I857,'Pricing Table - eff 27-Jan-2026'!$A:$R,12,FALSE)</f>
        <v>#N/A</v>
      </c>
      <c r="O857" s="56"/>
      <c r="P857" s="55" t="e">
        <f>(VLOOKUP($I857,'Pricing Table - eff 27-Jan-2026'!$A:$R,8,FALSE)/1000)*(VLOOKUP($I857,'Pricing Table - eff 27-Jan-2026'!$A:$R,10,FALSE)/1000)*Q857</f>
        <v>#N/A</v>
      </c>
      <c r="Q857" s="55" t="e">
        <f>ROUND(('Order Details'!$O857*1000)/((VLOOKUP($I857,'Pricing Table - eff 27-Jan-2026'!$A:$Q,7,FALSE)/12)*(VLOOKUP($I857,'Pricing Table - eff 27-Jan-2026'!$A:$Q,9,FALSE)/12))/5,0)*5</f>
        <v>#N/A</v>
      </c>
      <c r="R857" s="71" t="e">
        <f>$Q857/IFERROR(VLOOKUP($F857&amp;RIGHT($K857,8),'Master Data'!$O$5:$P$10,2,FALSE),'Master Data'!$P$4)</f>
        <v>#N/A</v>
      </c>
      <c r="S857" s="57" t="e">
        <f>VLOOKUP($I857,'Pricing Table - eff 27-Jan-2026'!$A:$Q,16,FALSE)</f>
        <v>#N/A</v>
      </c>
      <c r="T857" s="57" t="e">
        <f>VLOOKUP(I857,'Pricing Table - eff 27-Jan-2026'!$A:$O,15,FALSE)</f>
        <v>#N/A</v>
      </c>
      <c r="U857" s="57" t="e">
        <f t="shared" si="35"/>
        <v>#N/A</v>
      </c>
      <c r="V857" s="111" t="e">
        <f t="shared" si="36"/>
        <v>#N/A</v>
      </c>
      <c r="W857" s="55" t="e">
        <f>VLOOKUP($I857,'Pricing Table - eff 27-Jan-2026'!$A:$R,18,FALSE)</f>
        <v>#N/A</v>
      </c>
    </row>
    <row r="858" spans="1:23" hidden="1" x14ac:dyDescent="0.3">
      <c r="A858" s="55"/>
      <c r="B858" s="55"/>
      <c r="C858" s="55">
        <f>VLOOKUP(A858&amp;"-"&amp;B858,'Order Summary'!$D:$E,2,FALSE)</f>
        <v>0</v>
      </c>
      <c r="D858" s="216" t="str">
        <f>IF($A858="","",VLOOKUP($A858&amp;"-"&amp;$B858,'Order Summary'!$D:$U,3,FALSE))</f>
        <v/>
      </c>
      <c r="E858" s="55" t="str">
        <f>VLOOKUP(A858&amp;"-"&amp;B858,'Order Summary'!$D:$G,4,FALSE)</f>
        <v>Yes</v>
      </c>
      <c r="F858" s="55" t="e">
        <f>VLOOKUP($A858,'Order Summary'!$B:$I,8,FALSE)</f>
        <v>#N/A</v>
      </c>
      <c r="G858" s="216" t="str">
        <f>IF($A858="","",VLOOKUP($A858&amp;"-"&amp;$B858,'Order Summary'!$D:$U,18,FALSE))</f>
        <v/>
      </c>
      <c r="H858" s="55"/>
      <c r="I858" s="55"/>
      <c r="J858" s="55" t="e">
        <f>VLOOKUP($I858,'Pricing Table - eff 27-Jan-2026'!$A:$R,2,FALSE)</f>
        <v>#N/A</v>
      </c>
      <c r="K858" s="55" t="e">
        <f>VLOOKUP($I858,'Pricing Table - eff 27-Jan-2026'!$A:$R,6,FALSE)&amp;" "&amp;VLOOKUP($I858,'Pricing Table - eff 27-Jan-2026'!$A:$R,7,FALSE)&amp;""" x "&amp;VLOOKUP($I858,'Pricing Table - eff 27-Jan-2026'!$A:$R,9,FALSE)&amp;""" "&amp;VLOOKUP($I858,'Pricing Table - eff 27-Jan-2026'!$A:$R,5,FALSE)</f>
        <v>#N/A</v>
      </c>
      <c r="L858" s="55" t="e">
        <f>VLOOKUP($I858,'Pricing Table - eff 27-Jan-2026'!$A:$K,8,FALSE)</f>
        <v>#N/A</v>
      </c>
      <c r="M858" s="55" t="e">
        <f>VLOOKUP($I858,'Pricing Table - eff 27-Jan-2026'!$A:$K,10,FALSE)</f>
        <v>#N/A</v>
      </c>
      <c r="N858" s="55" t="e">
        <f>VLOOKUP($I858,'Pricing Table - eff 27-Jan-2026'!$A:$R,13,FALSE)&amp;" "&amp;VLOOKUP($I858,'Pricing Table - eff 27-Jan-2026'!$A:$R,12,FALSE)</f>
        <v>#N/A</v>
      </c>
      <c r="O858" s="56"/>
      <c r="P858" s="55" t="e">
        <f>(VLOOKUP($I858,'Pricing Table - eff 27-Jan-2026'!$A:$R,8,FALSE)/1000)*(VLOOKUP($I858,'Pricing Table - eff 27-Jan-2026'!$A:$R,10,FALSE)/1000)*Q858</f>
        <v>#N/A</v>
      </c>
      <c r="Q858" s="55" t="e">
        <f>ROUND(('Order Details'!$O858*1000)/((VLOOKUP($I858,'Pricing Table - eff 27-Jan-2026'!$A:$Q,7,FALSE)/12)*(VLOOKUP($I858,'Pricing Table - eff 27-Jan-2026'!$A:$Q,9,FALSE)/12))/5,0)*5</f>
        <v>#N/A</v>
      </c>
      <c r="R858" s="71" t="e">
        <f>$Q858/IFERROR(VLOOKUP($F858&amp;RIGHT($K858,8),'Master Data'!$O$5:$P$10,2,FALSE),'Master Data'!$P$4)</f>
        <v>#N/A</v>
      </c>
      <c r="S858" s="57" t="e">
        <f>VLOOKUP($I858,'Pricing Table - eff 27-Jan-2026'!$A:$Q,16,FALSE)</f>
        <v>#N/A</v>
      </c>
      <c r="T858" s="57" t="e">
        <f>VLOOKUP(I858,'Pricing Table - eff 27-Jan-2026'!$A:$O,15,FALSE)</f>
        <v>#N/A</v>
      </c>
      <c r="U858" s="57" t="e">
        <f t="shared" si="35"/>
        <v>#N/A</v>
      </c>
      <c r="V858" s="111" t="e">
        <f t="shared" si="36"/>
        <v>#N/A</v>
      </c>
      <c r="W858" s="55" t="e">
        <f>VLOOKUP($I858,'Pricing Table - eff 27-Jan-2026'!$A:$R,18,FALSE)</f>
        <v>#N/A</v>
      </c>
    </row>
    <row r="859" spans="1:23" hidden="1" x14ac:dyDescent="0.3">
      <c r="A859" s="55"/>
      <c r="B859" s="55"/>
      <c r="C859" s="55">
        <f>VLOOKUP(A859&amp;"-"&amp;B859,'Order Summary'!$D:$E,2,FALSE)</f>
        <v>0</v>
      </c>
      <c r="D859" s="216" t="str">
        <f>IF($A859="","",VLOOKUP($A859&amp;"-"&amp;$B859,'Order Summary'!$D:$U,3,FALSE))</f>
        <v/>
      </c>
      <c r="E859" s="55" t="str">
        <f>VLOOKUP(A859&amp;"-"&amp;B859,'Order Summary'!$D:$G,4,FALSE)</f>
        <v>Yes</v>
      </c>
      <c r="F859" s="55" t="e">
        <f>VLOOKUP($A859,'Order Summary'!$B:$I,8,FALSE)</f>
        <v>#N/A</v>
      </c>
      <c r="G859" s="216" t="str">
        <f>IF($A859="","",VLOOKUP($A859&amp;"-"&amp;$B859,'Order Summary'!$D:$U,18,FALSE))</f>
        <v/>
      </c>
      <c r="H859" s="55"/>
      <c r="I859" s="55"/>
      <c r="J859" s="55" t="e">
        <f>VLOOKUP($I859,'Pricing Table - eff 27-Jan-2026'!$A:$R,2,FALSE)</f>
        <v>#N/A</v>
      </c>
      <c r="K859" s="55" t="e">
        <f>VLOOKUP($I859,'Pricing Table - eff 27-Jan-2026'!$A:$R,6,FALSE)&amp;" "&amp;VLOOKUP($I859,'Pricing Table - eff 27-Jan-2026'!$A:$R,7,FALSE)&amp;""" x "&amp;VLOOKUP($I859,'Pricing Table - eff 27-Jan-2026'!$A:$R,9,FALSE)&amp;""" "&amp;VLOOKUP($I859,'Pricing Table - eff 27-Jan-2026'!$A:$R,5,FALSE)</f>
        <v>#N/A</v>
      </c>
      <c r="L859" s="55" t="e">
        <f>VLOOKUP($I859,'Pricing Table - eff 27-Jan-2026'!$A:$K,8,FALSE)</f>
        <v>#N/A</v>
      </c>
      <c r="M859" s="55" t="e">
        <f>VLOOKUP($I859,'Pricing Table - eff 27-Jan-2026'!$A:$K,10,FALSE)</f>
        <v>#N/A</v>
      </c>
      <c r="N859" s="55" t="e">
        <f>VLOOKUP($I859,'Pricing Table - eff 27-Jan-2026'!$A:$R,13,FALSE)&amp;" "&amp;VLOOKUP($I859,'Pricing Table - eff 27-Jan-2026'!$A:$R,12,FALSE)</f>
        <v>#N/A</v>
      </c>
      <c r="O859" s="56"/>
      <c r="P859" s="55" t="e">
        <f>(VLOOKUP($I859,'Pricing Table - eff 27-Jan-2026'!$A:$R,8,FALSE)/1000)*(VLOOKUP($I859,'Pricing Table - eff 27-Jan-2026'!$A:$R,10,FALSE)/1000)*Q859</f>
        <v>#N/A</v>
      </c>
      <c r="Q859" s="55" t="e">
        <f>ROUND(('Order Details'!$O859*1000)/((VLOOKUP($I859,'Pricing Table - eff 27-Jan-2026'!$A:$Q,7,FALSE)/12)*(VLOOKUP($I859,'Pricing Table - eff 27-Jan-2026'!$A:$Q,9,FALSE)/12))/5,0)*5</f>
        <v>#N/A</v>
      </c>
      <c r="R859" s="71" t="e">
        <f>$Q859/IFERROR(VLOOKUP($F859&amp;RIGHT($K859,8),'Master Data'!$O$5:$P$10,2,FALSE),'Master Data'!$P$4)</f>
        <v>#N/A</v>
      </c>
      <c r="S859" s="57" t="e">
        <f>VLOOKUP($I859,'Pricing Table - eff 27-Jan-2026'!$A:$Q,16,FALSE)</f>
        <v>#N/A</v>
      </c>
      <c r="T859" s="57" t="e">
        <f>VLOOKUP(I859,'Pricing Table - eff 27-Jan-2026'!$A:$O,15,FALSE)</f>
        <v>#N/A</v>
      </c>
      <c r="U859" s="57" t="e">
        <f t="shared" si="35"/>
        <v>#N/A</v>
      </c>
      <c r="V859" s="111" t="e">
        <f t="shared" si="36"/>
        <v>#N/A</v>
      </c>
      <c r="W859" s="55" t="e">
        <f>VLOOKUP($I859,'Pricing Table - eff 27-Jan-2026'!$A:$R,18,FALSE)</f>
        <v>#N/A</v>
      </c>
    </row>
    <row r="860" spans="1:23" hidden="1" x14ac:dyDescent="0.3">
      <c r="A860" s="55"/>
      <c r="B860" s="55"/>
      <c r="C860" s="55">
        <f>VLOOKUP(A860&amp;"-"&amp;B860,'Order Summary'!$D:$E,2,FALSE)</f>
        <v>0</v>
      </c>
      <c r="D860" s="216" t="str">
        <f>IF($A860="","",VLOOKUP($A860&amp;"-"&amp;$B860,'Order Summary'!$D:$U,3,FALSE))</f>
        <v/>
      </c>
      <c r="E860" s="55" t="str">
        <f>VLOOKUP(A860&amp;"-"&amp;B860,'Order Summary'!$D:$G,4,FALSE)</f>
        <v>Yes</v>
      </c>
      <c r="F860" s="55" t="e">
        <f>VLOOKUP($A860,'Order Summary'!$B:$I,8,FALSE)</f>
        <v>#N/A</v>
      </c>
      <c r="G860" s="216" t="str">
        <f>IF($A860="","",VLOOKUP($A860&amp;"-"&amp;$B860,'Order Summary'!$D:$U,18,FALSE))</f>
        <v/>
      </c>
      <c r="H860" s="55"/>
      <c r="I860" s="55"/>
      <c r="J860" s="55" t="e">
        <f>VLOOKUP($I860,'Pricing Table - eff 27-Jan-2026'!$A:$R,2,FALSE)</f>
        <v>#N/A</v>
      </c>
      <c r="K860" s="55" t="e">
        <f>VLOOKUP($I860,'Pricing Table - eff 27-Jan-2026'!$A:$R,6,FALSE)&amp;" "&amp;VLOOKUP($I860,'Pricing Table - eff 27-Jan-2026'!$A:$R,7,FALSE)&amp;""" x "&amp;VLOOKUP($I860,'Pricing Table - eff 27-Jan-2026'!$A:$R,9,FALSE)&amp;""" "&amp;VLOOKUP($I860,'Pricing Table - eff 27-Jan-2026'!$A:$R,5,FALSE)</f>
        <v>#N/A</v>
      </c>
      <c r="L860" s="55" t="e">
        <f>VLOOKUP($I860,'Pricing Table - eff 27-Jan-2026'!$A:$K,8,FALSE)</f>
        <v>#N/A</v>
      </c>
      <c r="M860" s="55" t="e">
        <f>VLOOKUP($I860,'Pricing Table - eff 27-Jan-2026'!$A:$K,10,FALSE)</f>
        <v>#N/A</v>
      </c>
      <c r="N860" s="55" t="e">
        <f>VLOOKUP($I860,'Pricing Table - eff 27-Jan-2026'!$A:$R,13,FALSE)&amp;" "&amp;VLOOKUP($I860,'Pricing Table - eff 27-Jan-2026'!$A:$R,12,FALSE)</f>
        <v>#N/A</v>
      </c>
      <c r="O860" s="56"/>
      <c r="P860" s="55" t="e">
        <f>(VLOOKUP($I860,'Pricing Table - eff 27-Jan-2026'!$A:$R,8,FALSE)/1000)*(VLOOKUP($I860,'Pricing Table - eff 27-Jan-2026'!$A:$R,10,FALSE)/1000)*Q860</f>
        <v>#N/A</v>
      </c>
      <c r="Q860" s="55" t="e">
        <f>ROUND(('Order Details'!$O860*1000)/((VLOOKUP($I860,'Pricing Table - eff 27-Jan-2026'!$A:$Q,7,FALSE)/12)*(VLOOKUP($I860,'Pricing Table - eff 27-Jan-2026'!$A:$Q,9,FALSE)/12))/5,0)*5</f>
        <v>#N/A</v>
      </c>
      <c r="R860" s="71" t="e">
        <f>$Q860/IFERROR(VLOOKUP($F860&amp;RIGHT($K860,8),'Master Data'!$O$5:$P$10,2,FALSE),'Master Data'!$P$4)</f>
        <v>#N/A</v>
      </c>
      <c r="S860" s="57" t="e">
        <f>VLOOKUP($I860,'Pricing Table - eff 27-Jan-2026'!$A:$Q,16,FALSE)</f>
        <v>#N/A</v>
      </c>
      <c r="T860" s="57" t="e">
        <f>VLOOKUP(I860,'Pricing Table - eff 27-Jan-2026'!$A:$O,15,FALSE)</f>
        <v>#N/A</v>
      </c>
      <c r="U860" s="57" t="e">
        <f t="shared" si="35"/>
        <v>#N/A</v>
      </c>
      <c r="V860" s="111" t="e">
        <f t="shared" si="36"/>
        <v>#N/A</v>
      </c>
      <c r="W860" s="55" t="e">
        <f>VLOOKUP($I860,'Pricing Table - eff 27-Jan-2026'!$A:$R,18,FALSE)</f>
        <v>#N/A</v>
      </c>
    </row>
    <row r="861" spans="1:23" hidden="1" x14ac:dyDescent="0.3">
      <c r="A861" s="55"/>
      <c r="B861" s="55"/>
      <c r="C861" s="55">
        <f>VLOOKUP(A861&amp;"-"&amp;B861,'Order Summary'!$D:$E,2,FALSE)</f>
        <v>0</v>
      </c>
      <c r="D861" s="216" t="str">
        <f>IF($A861="","",VLOOKUP($A861&amp;"-"&amp;$B861,'Order Summary'!$D:$U,3,FALSE))</f>
        <v/>
      </c>
      <c r="E861" s="55" t="str">
        <f>VLOOKUP(A861&amp;"-"&amp;B861,'Order Summary'!$D:$G,4,FALSE)</f>
        <v>Yes</v>
      </c>
      <c r="F861" s="55" t="e">
        <f>VLOOKUP($A861,'Order Summary'!$B:$I,8,FALSE)</f>
        <v>#N/A</v>
      </c>
      <c r="G861" s="216" t="str">
        <f>IF($A861="","",VLOOKUP($A861&amp;"-"&amp;$B861,'Order Summary'!$D:$U,18,FALSE))</f>
        <v/>
      </c>
      <c r="H861" s="55"/>
      <c r="I861" s="55"/>
      <c r="J861" s="55" t="e">
        <f>VLOOKUP($I861,'Pricing Table - eff 27-Jan-2026'!$A:$R,2,FALSE)</f>
        <v>#N/A</v>
      </c>
      <c r="K861" s="55" t="e">
        <f>VLOOKUP($I861,'Pricing Table - eff 27-Jan-2026'!$A:$R,6,FALSE)&amp;" "&amp;VLOOKUP($I861,'Pricing Table - eff 27-Jan-2026'!$A:$R,7,FALSE)&amp;""" x "&amp;VLOOKUP($I861,'Pricing Table - eff 27-Jan-2026'!$A:$R,9,FALSE)&amp;""" "&amp;VLOOKUP($I861,'Pricing Table - eff 27-Jan-2026'!$A:$R,5,FALSE)</f>
        <v>#N/A</v>
      </c>
      <c r="L861" s="55" t="e">
        <f>VLOOKUP($I861,'Pricing Table - eff 27-Jan-2026'!$A:$K,8,FALSE)</f>
        <v>#N/A</v>
      </c>
      <c r="M861" s="55" t="e">
        <f>VLOOKUP($I861,'Pricing Table - eff 27-Jan-2026'!$A:$K,10,FALSE)</f>
        <v>#N/A</v>
      </c>
      <c r="N861" s="55" t="e">
        <f>VLOOKUP($I861,'Pricing Table - eff 27-Jan-2026'!$A:$R,13,FALSE)&amp;" "&amp;VLOOKUP($I861,'Pricing Table - eff 27-Jan-2026'!$A:$R,12,FALSE)</f>
        <v>#N/A</v>
      </c>
      <c r="O861" s="56"/>
      <c r="P861" s="55" t="e">
        <f>(VLOOKUP($I861,'Pricing Table - eff 27-Jan-2026'!$A:$R,8,FALSE)/1000)*(VLOOKUP($I861,'Pricing Table - eff 27-Jan-2026'!$A:$R,10,FALSE)/1000)*Q861</f>
        <v>#N/A</v>
      </c>
      <c r="Q861" s="55" t="e">
        <f>ROUND(('Order Details'!$O861*1000)/((VLOOKUP($I861,'Pricing Table - eff 27-Jan-2026'!$A:$Q,7,FALSE)/12)*(VLOOKUP($I861,'Pricing Table - eff 27-Jan-2026'!$A:$Q,9,FALSE)/12))/5,0)*5</f>
        <v>#N/A</v>
      </c>
      <c r="R861" s="71" t="e">
        <f>$Q861/IFERROR(VLOOKUP($F861&amp;RIGHT($K861,8),'Master Data'!$O$5:$P$10,2,FALSE),'Master Data'!$P$4)</f>
        <v>#N/A</v>
      </c>
      <c r="S861" s="57" t="e">
        <f>VLOOKUP($I861,'Pricing Table - eff 27-Jan-2026'!$A:$Q,16,FALSE)</f>
        <v>#N/A</v>
      </c>
      <c r="T861" s="57" t="e">
        <f>VLOOKUP(I861,'Pricing Table - eff 27-Jan-2026'!$A:$O,15,FALSE)</f>
        <v>#N/A</v>
      </c>
      <c r="U861" s="57" t="e">
        <f t="shared" si="35"/>
        <v>#N/A</v>
      </c>
      <c r="V861" s="111" t="e">
        <f t="shared" si="36"/>
        <v>#N/A</v>
      </c>
      <c r="W861" s="55" t="e">
        <f>VLOOKUP($I861,'Pricing Table - eff 27-Jan-2026'!$A:$R,18,FALSE)</f>
        <v>#N/A</v>
      </c>
    </row>
    <row r="862" spans="1:23" hidden="1" x14ac:dyDescent="0.3">
      <c r="A862" s="55"/>
      <c r="B862" s="55"/>
      <c r="C862" s="55">
        <f>VLOOKUP(A862&amp;"-"&amp;B862,'Order Summary'!$D:$E,2,FALSE)</f>
        <v>0</v>
      </c>
      <c r="D862" s="216" t="str">
        <f>IF($A862="","",VLOOKUP($A862&amp;"-"&amp;$B862,'Order Summary'!$D:$U,3,FALSE))</f>
        <v/>
      </c>
      <c r="E862" s="55" t="str">
        <f>VLOOKUP(A862&amp;"-"&amp;B862,'Order Summary'!$D:$G,4,FALSE)</f>
        <v>Yes</v>
      </c>
      <c r="F862" s="55" t="e">
        <f>VLOOKUP($A862,'Order Summary'!$B:$I,8,FALSE)</f>
        <v>#N/A</v>
      </c>
      <c r="G862" s="216" t="str">
        <f>IF($A862="","",VLOOKUP($A862&amp;"-"&amp;$B862,'Order Summary'!$D:$U,18,FALSE))</f>
        <v/>
      </c>
      <c r="H862" s="55"/>
      <c r="I862" s="55"/>
      <c r="J862" s="55" t="e">
        <f>VLOOKUP($I862,'Pricing Table - eff 27-Jan-2026'!$A:$R,2,FALSE)</f>
        <v>#N/A</v>
      </c>
      <c r="K862" s="55" t="e">
        <f>VLOOKUP($I862,'Pricing Table - eff 27-Jan-2026'!$A:$R,6,FALSE)&amp;" "&amp;VLOOKUP($I862,'Pricing Table - eff 27-Jan-2026'!$A:$R,7,FALSE)&amp;""" x "&amp;VLOOKUP($I862,'Pricing Table - eff 27-Jan-2026'!$A:$R,9,FALSE)&amp;""" "&amp;VLOOKUP($I862,'Pricing Table - eff 27-Jan-2026'!$A:$R,5,FALSE)</f>
        <v>#N/A</v>
      </c>
      <c r="L862" s="55" t="e">
        <f>VLOOKUP($I862,'Pricing Table - eff 27-Jan-2026'!$A:$K,8,FALSE)</f>
        <v>#N/A</v>
      </c>
      <c r="M862" s="55" t="e">
        <f>VLOOKUP($I862,'Pricing Table - eff 27-Jan-2026'!$A:$K,10,FALSE)</f>
        <v>#N/A</v>
      </c>
      <c r="N862" s="55" t="e">
        <f>VLOOKUP($I862,'Pricing Table - eff 27-Jan-2026'!$A:$R,13,FALSE)&amp;" "&amp;VLOOKUP($I862,'Pricing Table - eff 27-Jan-2026'!$A:$R,12,FALSE)</f>
        <v>#N/A</v>
      </c>
      <c r="O862" s="56"/>
      <c r="P862" s="55" t="e">
        <f>(VLOOKUP($I862,'Pricing Table - eff 27-Jan-2026'!$A:$R,8,FALSE)/1000)*(VLOOKUP($I862,'Pricing Table - eff 27-Jan-2026'!$A:$R,10,FALSE)/1000)*Q862</f>
        <v>#N/A</v>
      </c>
      <c r="Q862" s="55" t="e">
        <f>ROUND(('Order Details'!$O862*1000)/((VLOOKUP($I862,'Pricing Table - eff 27-Jan-2026'!$A:$Q,7,FALSE)/12)*(VLOOKUP($I862,'Pricing Table - eff 27-Jan-2026'!$A:$Q,9,FALSE)/12))/5,0)*5</f>
        <v>#N/A</v>
      </c>
      <c r="R862" s="71" t="e">
        <f>$Q862/IFERROR(VLOOKUP($F862&amp;RIGHT($K862,8),'Master Data'!$O$5:$P$10,2,FALSE),'Master Data'!$P$4)</f>
        <v>#N/A</v>
      </c>
      <c r="S862" s="57" t="e">
        <f>VLOOKUP($I862,'Pricing Table - eff 27-Jan-2026'!$A:$Q,16,FALSE)</f>
        <v>#N/A</v>
      </c>
      <c r="T862" s="57" t="e">
        <f>VLOOKUP(I862,'Pricing Table - eff 27-Jan-2026'!$A:$O,15,FALSE)</f>
        <v>#N/A</v>
      </c>
      <c r="U862" s="57" t="e">
        <f t="shared" si="35"/>
        <v>#N/A</v>
      </c>
      <c r="V862" s="111" t="e">
        <f t="shared" si="36"/>
        <v>#N/A</v>
      </c>
      <c r="W862" s="55" t="e">
        <f>VLOOKUP($I862,'Pricing Table - eff 27-Jan-2026'!$A:$R,18,FALSE)</f>
        <v>#N/A</v>
      </c>
    </row>
    <row r="863" spans="1:23" hidden="1" x14ac:dyDescent="0.3">
      <c r="A863" s="55"/>
      <c r="B863" s="55"/>
      <c r="C863" s="55">
        <f>VLOOKUP(A863&amp;"-"&amp;B863,'Order Summary'!$D:$E,2,FALSE)</f>
        <v>0</v>
      </c>
      <c r="D863" s="216" t="str">
        <f>IF($A863="","",VLOOKUP($A863&amp;"-"&amp;$B863,'Order Summary'!$D:$U,3,FALSE))</f>
        <v/>
      </c>
      <c r="E863" s="55" t="str">
        <f>VLOOKUP(A863&amp;"-"&amp;B863,'Order Summary'!$D:$G,4,FALSE)</f>
        <v>Yes</v>
      </c>
      <c r="F863" s="55" t="e">
        <f>VLOOKUP($A863,'Order Summary'!$B:$I,8,FALSE)</f>
        <v>#N/A</v>
      </c>
      <c r="G863" s="216" t="str">
        <f>IF($A863="","",VLOOKUP($A863&amp;"-"&amp;$B863,'Order Summary'!$D:$U,18,FALSE))</f>
        <v/>
      </c>
      <c r="H863" s="55"/>
      <c r="I863" s="55"/>
      <c r="J863" s="55" t="e">
        <f>VLOOKUP($I863,'Pricing Table - eff 27-Jan-2026'!$A:$R,2,FALSE)</f>
        <v>#N/A</v>
      </c>
      <c r="K863" s="55" t="e">
        <f>VLOOKUP($I863,'Pricing Table - eff 27-Jan-2026'!$A:$R,6,FALSE)&amp;" "&amp;VLOOKUP($I863,'Pricing Table - eff 27-Jan-2026'!$A:$R,7,FALSE)&amp;""" x "&amp;VLOOKUP($I863,'Pricing Table - eff 27-Jan-2026'!$A:$R,9,FALSE)&amp;""" "&amp;VLOOKUP($I863,'Pricing Table - eff 27-Jan-2026'!$A:$R,5,FALSE)</f>
        <v>#N/A</v>
      </c>
      <c r="L863" s="55" t="e">
        <f>VLOOKUP($I863,'Pricing Table - eff 27-Jan-2026'!$A:$K,8,FALSE)</f>
        <v>#N/A</v>
      </c>
      <c r="M863" s="55" t="e">
        <f>VLOOKUP($I863,'Pricing Table - eff 27-Jan-2026'!$A:$K,10,FALSE)</f>
        <v>#N/A</v>
      </c>
      <c r="N863" s="55" t="e">
        <f>VLOOKUP($I863,'Pricing Table - eff 27-Jan-2026'!$A:$R,13,FALSE)&amp;" "&amp;VLOOKUP($I863,'Pricing Table - eff 27-Jan-2026'!$A:$R,12,FALSE)</f>
        <v>#N/A</v>
      </c>
      <c r="O863" s="56"/>
      <c r="P863" s="55" t="e">
        <f>(VLOOKUP($I863,'Pricing Table - eff 27-Jan-2026'!$A:$R,8,FALSE)/1000)*(VLOOKUP($I863,'Pricing Table - eff 27-Jan-2026'!$A:$R,10,FALSE)/1000)*Q863</f>
        <v>#N/A</v>
      </c>
      <c r="Q863" s="55" t="e">
        <f>ROUND(('Order Details'!$O863*1000)/((VLOOKUP($I863,'Pricing Table - eff 27-Jan-2026'!$A:$Q,7,FALSE)/12)*(VLOOKUP($I863,'Pricing Table - eff 27-Jan-2026'!$A:$Q,9,FALSE)/12))/5,0)*5</f>
        <v>#N/A</v>
      </c>
      <c r="R863" s="71" t="e">
        <f>$Q863/IFERROR(VLOOKUP($F863&amp;RIGHT($K863,8),'Master Data'!$O$5:$P$10,2,FALSE),'Master Data'!$P$4)</f>
        <v>#N/A</v>
      </c>
      <c r="S863" s="57" t="e">
        <f>VLOOKUP($I863,'Pricing Table - eff 27-Jan-2026'!$A:$Q,16,FALSE)</f>
        <v>#N/A</v>
      </c>
      <c r="T863" s="57" t="e">
        <f>VLOOKUP(I863,'Pricing Table - eff 27-Jan-2026'!$A:$O,15,FALSE)</f>
        <v>#N/A</v>
      </c>
      <c r="U863" s="57" t="e">
        <f t="shared" si="35"/>
        <v>#N/A</v>
      </c>
      <c r="V863" s="111" t="e">
        <f t="shared" si="36"/>
        <v>#N/A</v>
      </c>
      <c r="W863" s="55" t="e">
        <f>VLOOKUP($I863,'Pricing Table - eff 27-Jan-2026'!$A:$R,18,FALSE)</f>
        <v>#N/A</v>
      </c>
    </row>
    <row r="864" spans="1:23" hidden="1" x14ac:dyDescent="0.3">
      <c r="A864" s="55"/>
      <c r="B864" s="55"/>
      <c r="C864" s="55">
        <f>VLOOKUP(A864&amp;"-"&amp;B864,'Order Summary'!$D:$E,2,FALSE)</f>
        <v>0</v>
      </c>
      <c r="D864" s="216" t="str">
        <f>IF($A864="","",VLOOKUP($A864&amp;"-"&amp;$B864,'Order Summary'!$D:$U,3,FALSE))</f>
        <v/>
      </c>
      <c r="E864" s="55" t="str">
        <f>VLOOKUP(A864&amp;"-"&amp;B864,'Order Summary'!$D:$G,4,FALSE)</f>
        <v>Yes</v>
      </c>
      <c r="F864" s="55" t="e">
        <f>VLOOKUP($A864,'Order Summary'!$B:$I,8,FALSE)</f>
        <v>#N/A</v>
      </c>
      <c r="G864" s="216" t="str">
        <f>IF($A864="","",VLOOKUP($A864&amp;"-"&amp;$B864,'Order Summary'!$D:$U,18,FALSE))</f>
        <v/>
      </c>
      <c r="H864" s="55"/>
      <c r="I864" s="55"/>
      <c r="J864" s="55" t="e">
        <f>VLOOKUP($I864,'Pricing Table - eff 27-Jan-2026'!$A:$R,2,FALSE)</f>
        <v>#N/A</v>
      </c>
      <c r="K864" s="55" t="e">
        <f>VLOOKUP($I864,'Pricing Table - eff 27-Jan-2026'!$A:$R,6,FALSE)&amp;" "&amp;VLOOKUP($I864,'Pricing Table - eff 27-Jan-2026'!$A:$R,7,FALSE)&amp;""" x "&amp;VLOOKUP($I864,'Pricing Table - eff 27-Jan-2026'!$A:$R,9,FALSE)&amp;""" "&amp;VLOOKUP($I864,'Pricing Table - eff 27-Jan-2026'!$A:$R,5,FALSE)</f>
        <v>#N/A</v>
      </c>
      <c r="L864" s="55" t="e">
        <f>VLOOKUP($I864,'Pricing Table - eff 27-Jan-2026'!$A:$K,8,FALSE)</f>
        <v>#N/A</v>
      </c>
      <c r="M864" s="55" t="e">
        <f>VLOOKUP($I864,'Pricing Table - eff 27-Jan-2026'!$A:$K,10,FALSE)</f>
        <v>#N/A</v>
      </c>
      <c r="N864" s="55" t="e">
        <f>VLOOKUP($I864,'Pricing Table - eff 27-Jan-2026'!$A:$R,13,FALSE)&amp;" "&amp;VLOOKUP($I864,'Pricing Table - eff 27-Jan-2026'!$A:$R,12,FALSE)</f>
        <v>#N/A</v>
      </c>
      <c r="O864" s="56"/>
      <c r="P864" s="55" t="e">
        <f>(VLOOKUP($I864,'Pricing Table - eff 27-Jan-2026'!$A:$R,8,FALSE)/1000)*(VLOOKUP($I864,'Pricing Table - eff 27-Jan-2026'!$A:$R,10,FALSE)/1000)*Q864</f>
        <v>#N/A</v>
      </c>
      <c r="Q864" s="55" t="e">
        <f>ROUND(('Order Details'!$O864*1000)/((VLOOKUP($I864,'Pricing Table - eff 27-Jan-2026'!$A:$Q,7,FALSE)/12)*(VLOOKUP($I864,'Pricing Table - eff 27-Jan-2026'!$A:$Q,9,FALSE)/12))/5,0)*5</f>
        <v>#N/A</v>
      </c>
      <c r="R864" s="71" t="e">
        <f>$Q864/IFERROR(VLOOKUP($F864&amp;RIGHT($K864,8),'Master Data'!$O$5:$P$10,2,FALSE),'Master Data'!$P$4)</f>
        <v>#N/A</v>
      </c>
      <c r="S864" s="57" t="e">
        <f>VLOOKUP($I864,'Pricing Table - eff 27-Jan-2026'!$A:$Q,16,FALSE)</f>
        <v>#N/A</v>
      </c>
      <c r="T864" s="57" t="e">
        <f>VLOOKUP(I864,'Pricing Table - eff 27-Jan-2026'!$A:$O,15,FALSE)</f>
        <v>#N/A</v>
      </c>
      <c r="U864" s="57" t="e">
        <f t="shared" si="35"/>
        <v>#N/A</v>
      </c>
      <c r="V864" s="111" t="e">
        <f t="shared" si="36"/>
        <v>#N/A</v>
      </c>
      <c r="W864" s="55" t="e">
        <f>VLOOKUP($I864,'Pricing Table - eff 27-Jan-2026'!$A:$R,18,FALSE)</f>
        <v>#N/A</v>
      </c>
    </row>
    <row r="865" spans="1:23" hidden="1" x14ac:dyDescent="0.3">
      <c r="A865" s="55"/>
      <c r="B865" s="55"/>
      <c r="C865" s="55">
        <f>VLOOKUP(A865&amp;"-"&amp;B865,'Order Summary'!$D:$E,2,FALSE)</f>
        <v>0</v>
      </c>
      <c r="D865" s="216" t="str">
        <f>IF($A865="","",VLOOKUP($A865&amp;"-"&amp;$B865,'Order Summary'!$D:$U,3,FALSE))</f>
        <v/>
      </c>
      <c r="E865" s="55" t="str">
        <f>VLOOKUP(A865&amp;"-"&amp;B865,'Order Summary'!$D:$G,4,FALSE)</f>
        <v>Yes</v>
      </c>
      <c r="F865" s="55" t="e">
        <f>VLOOKUP($A865,'Order Summary'!$B:$I,8,FALSE)</f>
        <v>#N/A</v>
      </c>
      <c r="G865" s="216" t="str">
        <f>IF($A865="","",VLOOKUP($A865&amp;"-"&amp;$B865,'Order Summary'!$D:$U,18,FALSE))</f>
        <v/>
      </c>
      <c r="H865" s="55"/>
      <c r="I865" s="55"/>
      <c r="J865" s="55" t="e">
        <f>VLOOKUP($I865,'Pricing Table - eff 27-Jan-2026'!$A:$R,2,FALSE)</f>
        <v>#N/A</v>
      </c>
      <c r="K865" s="55" t="e">
        <f>VLOOKUP($I865,'Pricing Table - eff 27-Jan-2026'!$A:$R,6,FALSE)&amp;" "&amp;VLOOKUP($I865,'Pricing Table - eff 27-Jan-2026'!$A:$R,7,FALSE)&amp;""" x "&amp;VLOOKUP($I865,'Pricing Table - eff 27-Jan-2026'!$A:$R,9,FALSE)&amp;""" "&amp;VLOOKUP($I865,'Pricing Table - eff 27-Jan-2026'!$A:$R,5,FALSE)</f>
        <v>#N/A</v>
      </c>
      <c r="L865" s="55" t="e">
        <f>VLOOKUP($I865,'Pricing Table - eff 27-Jan-2026'!$A:$K,8,FALSE)</f>
        <v>#N/A</v>
      </c>
      <c r="M865" s="55" t="e">
        <f>VLOOKUP($I865,'Pricing Table - eff 27-Jan-2026'!$A:$K,10,FALSE)</f>
        <v>#N/A</v>
      </c>
      <c r="N865" s="55" t="e">
        <f>VLOOKUP($I865,'Pricing Table - eff 27-Jan-2026'!$A:$R,13,FALSE)&amp;" "&amp;VLOOKUP($I865,'Pricing Table - eff 27-Jan-2026'!$A:$R,12,FALSE)</f>
        <v>#N/A</v>
      </c>
      <c r="O865" s="56"/>
      <c r="P865" s="55" t="e">
        <f>(VLOOKUP($I865,'Pricing Table - eff 27-Jan-2026'!$A:$R,8,FALSE)/1000)*(VLOOKUP($I865,'Pricing Table - eff 27-Jan-2026'!$A:$R,10,FALSE)/1000)*Q865</f>
        <v>#N/A</v>
      </c>
      <c r="Q865" s="55" t="e">
        <f>ROUND(('Order Details'!$O865*1000)/((VLOOKUP($I865,'Pricing Table - eff 27-Jan-2026'!$A:$Q,7,FALSE)/12)*(VLOOKUP($I865,'Pricing Table - eff 27-Jan-2026'!$A:$Q,9,FALSE)/12))/5,0)*5</f>
        <v>#N/A</v>
      </c>
      <c r="R865" s="71" t="e">
        <f>$Q865/IFERROR(VLOOKUP($F865&amp;RIGHT($K865,8),'Master Data'!$O$5:$P$10,2,FALSE),'Master Data'!$P$4)</f>
        <v>#N/A</v>
      </c>
      <c r="S865" s="57" t="e">
        <f>VLOOKUP($I865,'Pricing Table - eff 27-Jan-2026'!$A:$Q,16,FALSE)</f>
        <v>#N/A</v>
      </c>
      <c r="T865" s="57" t="e">
        <f>VLOOKUP(I865,'Pricing Table - eff 27-Jan-2026'!$A:$O,15,FALSE)</f>
        <v>#N/A</v>
      </c>
      <c r="U865" s="57" t="e">
        <f t="shared" si="35"/>
        <v>#N/A</v>
      </c>
      <c r="V865" s="111" t="e">
        <f t="shared" si="36"/>
        <v>#N/A</v>
      </c>
      <c r="W865" s="55" t="e">
        <f>VLOOKUP($I865,'Pricing Table - eff 27-Jan-2026'!$A:$R,18,FALSE)</f>
        <v>#N/A</v>
      </c>
    </row>
    <row r="866" spans="1:23" hidden="1" x14ac:dyDescent="0.3">
      <c r="A866" s="55"/>
      <c r="B866" s="55"/>
      <c r="C866" s="55">
        <f>VLOOKUP(A866&amp;"-"&amp;B866,'Order Summary'!$D:$E,2,FALSE)</f>
        <v>0</v>
      </c>
      <c r="D866" s="216" t="str">
        <f>IF($A866="","",VLOOKUP($A866&amp;"-"&amp;$B866,'Order Summary'!$D:$U,3,FALSE))</f>
        <v/>
      </c>
      <c r="E866" s="55" t="str">
        <f>VLOOKUP(A866&amp;"-"&amp;B866,'Order Summary'!$D:$G,4,FALSE)</f>
        <v>Yes</v>
      </c>
      <c r="F866" s="55" t="e">
        <f>VLOOKUP($A866,'Order Summary'!$B:$I,8,FALSE)</f>
        <v>#N/A</v>
      </c>
      <c r="G866" s="216" t="str">
        <f>IF($A866="","",VLOOKUP($A866&amp;"-"&amp;$B866,'Order Summary'!$D:$U,18,FALSE))</f>
        <v/>
      </c>
      <c r="H866" s="55"/>
      <c r="I866" s="55"/>
      <c r="J866" s="55" t="e">
        <f>VLOOKUP($I866,'Pricing Table - eff 27-Jan-2026'!$A:$R,2,FALSE)</f>
        <v>#N/A</v>
      </c>
      <c r="K866" s="55" t="e">
        <f>VLOOKUP($I866,'Pricing Table - eff 27-Jan-2026'!$A:$R,6,FALSE)&amp;" "&amp;VLOOKUP($I866,'Pricing Table - eff 27-Jan-2026'!$A:$R,7,FALSE)&amp;""" x "&amp;VLOOKUP($I866,'Pricing Table - eff 27-Jan-2026'!$A:$R,9,FALSE)&amp;""" "&amp;VLOOKUP($I866,'Pricing Table - eff 27-Jan-2026'!$A:$R,5,FALSE)</f>
        <v>#N/A</v>
      </c>
      <c r="L866" s="55" t="e">
        <f>VLOOKUP($I866,'Pricing Table - eff 27-Jan-2026'!$A:$K,8,FALSE)</f>
        <v>#N/A</v>
      </c>
      <c r="M866" s="55" t="e">
        <f>VLOOKUP($I866,'Pricing Table - eff 27-Jan-2026'!$A:$K,10,FALSE)</f>
        <v>#N/A</v>
      </c>
      <c r="N866" s="55" t="e">
        <f>VLOOKUP($I866,'Pricing Table - eff 27-Jan-2026'!$A:$R,13,FALSE)&amp;" "&amp;VLOOKUP($I866,'Pricing Table - eff 27-Jan-2026'!$A:$R,12,FALSE)</f>
        <v>#N/A</v>
      </c>
      <c r="O866" s="56"/>
      <c r="P866" s="55" t="e">
        <f>(VLOOKUP($I866,'Pricing Table - eff 27-Jan-2026'!$A:$R,8,FALSE)/1000)*(VLOOKUP($I866,'Pricing Table - eff 27-Jan-2026'!$A:$R,10,FALSE)/1000)*Q866</f>
        <v>#N/A</v>
      </c>
      <c r="Q866" s="55" t="e">
        <f>ROUND(('Order Details'!$O866*1000)/((VLOOKUP($I866,'Pricing Table - eff 27-Jan-2026'!$A:$Q,7,FALSE)/12)*(VLOOKUP($I866,'Pricing Table - eff 27-Jan-2026'!$A:$Q,9,FALSE)/12))/5,0)*5</f>
        <v>#N/A</v>
      </c>
      <c r="R866" s="71" t="e">
        <f>$Q866/IFERROR(VLOOKUP($F866&amp;RIGHT($K866,8),'Master Data'!$O$5:$P$10,2,FALSE),'Master Data'!$P$4)</f>
        <v>#N/A</v>
      </c>
      <c r="S866" s="57" t="e">
        <f>VLOOKUP($I866,'Pricing Table - eff 27-Jan-2026'!$A:$Q,16,FALSE)</f>
        <v>#N/A</v>
      </c>
      <c r="T866" s="57" t="e">
        <f>VLOOKUP(I866,'Pricing Table - eff 27-Jan-2026'!$A:$O,15,FALSE)</f>
        <v>#N/A</v>
      </c>
      <c r="U866" s="57" t="e">
        <f t="shared" si="35"/>
        <v>#N/A</v>
      </c>
      <c r="V866" s="111" t="e">
        <f t="shared" si="36"/>
        <v>#N/A</v>
      </c>
      <c r="W866" s="55" t="e">
        <f>VLOOKUP($I866,'Pricing Table - eff 27-Jan-2026'!$A:$R,18,FALSE)</f>
        <v>#N/A</v>
      </c>
    </row>
    <row r="867" spans="1:23" hidden="1" x14ac:dyDescent="0.3">
      <c r="A867" s="55"/>
      <c r="B867" s="55"/>
      <c r="C867" s="55">
        <f>VLOOKUP(A867&amp;"-"&amp;B867,'Order Summary'!$D:$E,2,FALSE)</f>
        <v>0</v>
      </c>
      <c r="D867" s="216" t="str">
        <f>IF($A867="","",VLOOKUP($A867&amp;"-"&amp;$B867,'Order Summary'!$D:$U,3,FALSE))</f>
        <v/>
      </c>
      <c r="E867" s="55" t="str">
        <f>VLOOKUP(A867&amp;"-"&amp;B867,'Order Summary'!$D:$G,4,FALSE)</f>
        <v>Yes</v>
      </c>
      <c r="F867" s="55" t="e">
        <f>VLOOKUP($A867,'Order Summary'!$B:$I,8,FALSE)</f>
        <v>#N/A</v>
      </c>
      <c r="G867" s="216" t="str">
        <f>IF($A867="","",VLOOKUP($A867&amp;"-"&amp;$B867,'Order Summary'!$D:$U,18,FALSE))</f>
        <v/>
      </c>
      <c r="H867" s="55"/>
      <c r="I867" s="55"/>
      <c r="J867" s="55" t="e">
        <f>VLOOKUP($I867,'Pricing Table - eff 27-Jan-2026'!$A:$R,2,FALSE)</f>
        <v>#N/A</v>
      </c>
      <c r="K867" s="55" t="e">
        <f>VLOOKUP($I867,'Pricing Table - eff 27-Jan-2026'!$A:$R,6,FALSE)&amp;" "&amp;VLOOKUP($I867,'Pricing Table - eff 27-Jan-2026'!$A:$R,7,FALSE)&amp;""" x "&amp;VLOOKUP($I867,'Pricing Table - eff 27-Jan-2026'!$A:$R,9,FALSE)&amp;""" "&amp;VLOOKUP($I867,'Pricing Table - eff 27-Jan-2026'!$A:$R,5,FALSE)</f>
        <v>#N/A</v>
      </c>
      <c r="L867" s="55" t="e">
        <f>VLOOKUP($I867,'Pricing Table - eff 27-Jan-2026'!$A:$K,8,FALSE)</f>
        <v>#N/A</v>
      </c>
      <c r="M867" s="55" t="e">
        <f>VLOOKUP($I867,'Pricing Table - eff 27-Jan-2026'!$A:$K,10,FALSE)</f>
        <v>#N/A</v>
      </c>
      <c r="N867" s="55" t="e">
        <f>VLOOKUP($I867,'Pricing Table - eff 27-Jan-2026'!$A:$R,13,FALSE)&amp;" "&amp;VLOOKUP($I867,'Pricing Table - eff 27-Jan-2026'!$A:$R,12,FALSE)</f>
        <v>#N/A</v>
      </c>
      <c r="O867" s="56"/>
      <c r="P867" s="55" t="e">
        <f>(VLOOKUP($I867,'Pricing Table - eff 27-Jan-2026'!$A:$R,8,FALSE)/1000)*(VLOOKUP($I867,'Pricing Table - eff 27-Jan-2026'!$A:$R,10,FALSE)/1000)*Q867</f>
        <v>#N/A</v>
      </c>
      <c r="Q867" s="55" t="e">
        <f>ROUND(('Order Details'!$O867*1000)/((VLOOKUP($I867,'Pricing Table - eff 27-Jan-2026'!$A:$Q,7,FALSE)/12)*(VLOOKUP($I867,'Pricing Table - eff 27-Jan-2026'!$A:$Q,9,FALSE)/12))/5,0)*5</f>
        <v>#N/A</v>
      </c>
      <c r="R867" s="71" t="e">
        <f>$Q867/IFERROR(VLOOKUP($F867&amp;RIGHT($K867,8),'Master Data'!$O$5:$P$10,2,FALSE),'Master Data'!$P$4)</f>
        <v>#N/A</v>
      </c>
      <c r="S867" s="57" t="e">
        <f>VLOOKUP($I867,'Pricing Table - eff 27-Jan-2026'!$A:$Q,16,FALSE)</f>
        <v>#N/A</v>
      </c>
      <c r="T867" s="57" t="e">
        <f>VLOOKUP(I867,'Pricing Table - eff 27-Jan-2026'!$A:$O,15,FALSE)</f>
        <v>#N/A</v>
      </c>
      <c r="U867" s="57" t="e">
        <f t="shared" si="35"/>
        <v>#N/A</v>
      </c>
      <c r="V867" s="111" t="e">
        <f t="shared" si="36"/>
        <v>#N/A</v>
      </c>
      <c r="W867" s="55" t="e">
        <f>VLOOKUP($I867,'Pricing Table - eff 27-Jan-2026'!$A:$R,18,FALSE)</f>
        <v>#N/A</v>
      </c>
    </row>
    <row r="868" spans="1:23" hidden="1" x14ac:dyDescent="0.3">
      <c r="A868" s="55"/>
      <c r="B868" s="55"/>
      <c r="C868" s="55">
        <f>VLOOKUP(A868&amp;"-"&amp;B868,'Order Summary'!$D:$E,2,FALSE)</f>
        <v>0</v>
      </c>
      <c r="D868" s="216" t="str">
        <f>IF($A868="","",VLOOKUP($A868&amp;"-"&amp;$B868,'Order Summary'!$D:$U,3,FALSE))</f>
        <v/>
      </c>
      <c r="E868" s="55" t="str">
        <f>VLOOKUP(A868&amp;"-"&amp;B868,'Order Summary'!$D:$G,4,FALSE)</f>
        <v>Yes</v>
      </c>
      <c r="F868" s="55" t="e">
        <f>VLOOKUP($A868,'Order Summary'!$B:$I,8,FALSE)</f>
        <v>#N/A</v>
      </c>
      <c r="G868" s="216" t="str">
        <f>IF($A868="","",VLOOKUP($A868&amp;"-"&amp;$B868,'Order Summary'!$D:$U,18,FALSE))</f>
        <v/>
      </c>
      <c r="H868" s="55"/>
      <c r="I868" s="55"/>
      <c r="J868" s="55" t="e">
        <f>VLOOKUP($I868,'Pricing Table - eff 27-Jan-2026'!$A:$R,2,FALSE)</f>
        <v>#N/A</v>
      </c>
      <c r="K868" s="55" t="e">
        <f>VLOOKUP($I868,'Pricing Table - eff 27-Jan-2026'!$A:$R,6,FALSE)&amp;" "&amp;VLOOKUP($I868,'Pricing Table - eff 27-Jan-2026'!$A:$R,7,FALSE)&amp;""" x "&amp;VLOOKUP($I868,'Pricing Table - eff 27-Jan-2026'!$A:$R,9,FALSE)&amp;""" "&amp;VLOOKUP($I868,'Pricing Table - eff 27-Jan-2026'!$A:$R,5,FALSE)</f>
        <v>#N/A</v>
      </c>
      <c r="L868" s="55" t="e">
        <f>VLOOKUP($I868,'Pricing Table - eff 27-Jan-2026'!$A:$K,8,FALSE)</f>
        <v>#N/A</v>
      </c>
      <c r="M868" s="55" t="e">
        <f>VLOOKUP($I868,'Pricing Table - eff 27-Jan-2026'!$A:$K,10,FALSE)</f>
        <v>#N/A</v>
      </c>
      <c r="N868" s="55" t="e">
        <f>VLOOKUP($I868,'Pricing Table - eff 27-Jan-2026'!$A:$R,13,FALSE)&amp;" "&amp;VLOOKUP($I868,'Pricing Table - eff 27-Jan-2026'!$A:$R,12,FALSE)</f>
        <v>#N/A</v>
      </c>
      <c r="O868" s="56"/>
      <c r="P868" s="55" t="e">
        <f>(VLOOKUP($I868,'Pricing Table - eff 27-Jan-2026'!$A:$R,8,FALSE)/1000)*(VLOOKUP($I868,'Pricing Table - eff 27-Jan-2026'!$A:$R,10,FALSE)/1000)*Q868</f>
        <v>#N/A</v>
      </c>
      <c r="Q868" s="55" t="e">
        <f>ROUND(('Order Details'!$O868*1000)/((VLOOKUP($I868,'Pricing Table - eff 27-Jan-2026'!$A:$Q,7,FALSE)/12)*(VLOOKUP($I868,'Pricing Table - eff 27-Jan-2026'!$A:$Q,9,FALSE)/12))/5,0)*5</f>
        <v>#N/A</v>
      </c>
      <c r="R868" s="71" t="e">
        <f>$Q868/IFERROR(VLOOKUP($F868&amp;RIGHT($K868,8),'Master Data'!$O$5:$P$10,2,FALSE),'Master Data'!$P$4)</f>
        <v>#N/A</v>
      </c>
      <c r="S868" s="57" t="e">
        <f>VLOOKUP($I868,'Pricing Table - eff 27-Jan-2026'!$A:$Q,16,FALSE)</f>
        <v>#N/A</v>
      </c>
      <c r="T868" s="57" t="e">
        <f>VLOOKUP(I868,'Pricing Table - eff 27-Jan-2026'!$A:$O,15,FALSE)</f>
        <v>#N/A</v>
      </c>
      <c r="U868" s="57" t="e">
        <f t="shared" si="35"/>
        <v>#N/A</v>
      </c>
      <c r="V868" s="111" t="e">
        <f t="shared" si="36"/>
        <v>#N/A</v>
      </c>
      <c r="W868" s="55" t="e">
        <f>VLOOKUP($I868,'Pricing Table - eff 27-Jan-2026'!$A:$R,18,FALSE)</f>
        <v>#N/A</v>
      </c>
    </row>
    <row r="869" spans="1:23" hidden="1" x14ac:dyDescent="0.3">
      <c r="A869" s="55"/>
      <c r="B869" s="55"/>
      <c r="C869" s="55">
        <f>VLOOKUP(A869&amp;"-"&amp;B869,'Order Summary'!$D:$E,2,FALSE)</f>
        <v>0</v>
      </c>
      <c r="D869" s="216" t="str">
        <f>IF($A869="","",VLOOKUP($A869&amp;"-"&amp;$B869,'Order Summary'!$D:$U,3,FALSE))</f>
        <v/>
      </c>
      <c r="E869" s="55" t="str">
        <f>VLOOKUP(A869&amp;"-"&amp;B869,'Order Summary'!$D:$G,4,FALSE)</f>
        <v>Yes</v>
      </c>
      <c r="F869" s="55" t="e">
        <f>VLOOKUP($A869,'Order Summary'!$B:$I,8,FALSE)</f>
        <v>#N/A</v>
      </c>
      <c r="G869" s="216" t="str">
        <f>IF($A869="","",VLOOKUP($A869&amp;"-"&amp;$B869,'Order Summary'!$D:$U,18,FALSE))</f>
        <v/>
      </c>
      <c r="H869" s="55"/>
      <c r="I869" s="55"/>
      <c r="J869" s="55" t="e">
        <f>VLOOKUP($I869,'Pricing Table - eff 27-Jan-2026'!$A:$R,2,FALSE)</f>
        <v>#N/A</v>
      </c>
      <c r="K869" s="55" t="e">
        <f>VLOOKUP($I869,'Pricing Table - eff 27-Jan-2026'!$A:$R,6,FALSE)&amp;" "&amp;VLOOKUP($I869,'Pricing Table - eff 27-Jan-2026'!$A:$R,7,FALSE)&amp;""" x "&amp;VLOOKUP($I869,'Pricing Table - eff 27-Jan-2026'!$A:$R,9,FALSE)&amp;""" "&amp;VLOOKUP($I869,'Pricing Table - eff 27-Jan-2026'!$A:$R,5,FALSE)</f>
        <v>#N/A</v>
      </c>
      <c r="L869" s="55" t="e">
        <f>VLOOKUP($I869,'Pricing Table - eff 27-Jan-2026'!$A:$K,8,FALSE)</f>
        <v>#N/A</v>
      </c>
      <c r="M869" s="55" t="e">
        <f>VLOOKUP($I869,'Pricing Table - eff 27-Jan-2026'!$A:$K,10,FALSE)</f>
        <v>#N/A</v>
      </c>
      <c r="N869" s="55" t="e">
        <f>VLOOKUP($I869,'Pricing Table - eff 27-Jan-2026'!$A:$R,13,FALSE)&amp;" "&amp;VLOOKUP($I869,'Pricing Table - eff 27-Jan-2026'!$A:$R,12,FALSE)</f>
        <v>#N/A</v>
      </c>
      <c r="O869" s="56"/>
      <c r="P869" s="55" t="e">
        <f>(VLOOKUP($I869,'Pricing Table - eff 27-Jan-2026'!$A:$R,8,FALSE)/1000)*(VLOOKUP($I869,'Pricing Table - eff 27-Jan-2026'!$A:$R,10,FALSE)/1000)*Q869</f>
        <v>#N/A</v>
      </c>
      <c r="Q869" s="55" t="e">
        <f>ROUND(('Order Details'!$O869*1000)/((VLOOKUP($I869,'Pricing Table - eff 27-Jan-2026'!$A:$Q,7,FALSE)/12)*(VLOOKUP($I869,'Pricing Table - eff 27-Jan-2026'!$A:$Q,9,FALSE)/12))/5,0)*5</f>
        <v>#N/A</v>
      </c>
      <c r="R869" s="71" t="e">
        <f>$Q869/IFERROR(VLOOKUP($F869&amp;RIGHT($K869,8),'Master Data'!$O$5:$P$10,2,FALSE),'Master Data'!$P$4)</f>
        <v>#N/A</v>
      </c>
      <c r="S869" s="57" t="e">
        <f>VLOOKUP($I869,'Pricing Table - eff 27-Jan-2026'!$A:$Q,16,FALSE)</f>
        <v>#N/A</v>
      </c>
      <c r="T869" s="57" t="e">
        <f>VLOOKUP(I869,'Pricing Table - eff 27-Jan-2026'!$A:$O,15,FALSE)</f>
        <v>#N/A</v>
      </c>
      <c r="U869" s="57" t="e">
        <f t="shared" si="35"/>
        <v>#N/A</v>
      </c>
      <c r="V869" s="111" t="e">
        <f t="shared" si="36"/>
        <v>#N/A</v>
      </c>
      <c r="W869" s="55" t="e">
        <f>VLOOKUP($I869,'Pricing Table - eff 27-Jan-2026'!$A:$R,18,FALSE)</f>
        <v>#N/A</v>
      </c>
    </row>
    <row r="870" spans="1:23" hidden="1" x14ac:dyDescent="0.3">
      <c r="A870" s="55"/>
      <c r="B870" s="55"/>
      <c r="C870" s="55">
        <f>VLOOKUP(A870&amp;"-"&amp;B870,'Order Summary'!$D:$E,2,FALSE)</f>
        <v>0</v>
      </c>
      <c r="D870" s="216" t="str">
        <f>IF($A870="","",VLOOKUP($A870&amp;"-"&amp;$B870,'Order Summary'!$D:$U,3,FALSE))</f>
        <v/>
      </c>
      <c r="E870" s="55" t="str">
        <f>VLOOKUP(A870&amp;"-"&amp;B870,'Order Summary'!$D:$G,4,FALSE)</f>
        <v>Yes</v>
      </c>
      <c r="F870" s="55" t="e">
        <f>VLOOKUP($A870,'Order Summary'!$B:$I,8,FALSE)</f>
        <v>#N/A</v>
      </c>
      <c r="G870" s="216" t="str">
        <f>IF($A870="","",VLOOKUP($A870&amp;"-"&amp;$B870,'Order Summary'!$D:$U,18,FALSE))</f>
        <v/>
      </c>
      <c r="H870" s="55"/>
      <c r="I870" s="55"/>
      <c r="J870" s="55" t="e">
        <f>VLOOKUP($I870,'Pricing Table - eff 27-Jan-2026'!$A:$R,2,FALSE)</f>
        <v>#N/A</v>
      </c>
      <c r="K870" s="55" t="e">
        <f>VLOOKUP($I870,'Pricing Table - eff 27-Jan-2026'!$A:$R,6,FALSE)&amp;" "&amp;VLOOKUP($I870,'Pricing Table - eff 27-Jan-2026'!$A:$R,7,FALSE)&amp;""" x "&amp;VLOOKUP($I870,'Pricing Table - eff 27-Jan-2026'!$A:$R,9,FALSE)&amp;""" "&amp;VLOOKUP($I870,'Pricing Table - eff 27-Jan-2026'!$A:$R,5,FALSE)</f>
        <v>#N/A</v>
      </c>
      <c r="L870" s="55" t="e">
        <f>VLOOKUP($I870,'Pricing Table - eff 27-Jan-2026'!$A:$K,8,FALSE)</f>
        <v>#N/A</v>
      </c>
      <c r="M870" s="55" t="e">
        <f>VLOOKUP($I870,'Pricing Table - eff 27-Jan-2026'!$A:$K,10,FALSE)</f>
        <v>#N/A</v>
      </c>
      <c r="N870" s="55" t="e">
        <f>VLOOKUP($I870,'Pricing Table - eff 27-Jan-2026'!$A:$R,13,FALSE)&amp;" "&amp;VLOOKUP($I870,'Pricing Table - eff 27-Jan-2026'!$A:$R,12,FALSE)</f>
        <v>#N/A</v>
      </c>
      <c r="O870" s="56"/>
      <c r="P870" s="55" t="e">
        <f>(VLOOKUP($I870,'Pricing Table - eff 27-Jan-2026'!$A:$R,8,FALSE)/1000)*(VLOOKUP($I870,'Pricing Table - eff 27-Jan-2026'!$A:$R,10,FALSE)/1000)*Q870</f>
        <v>#N/A</v>
      </c>
      <c r="Q870" s="55" t="e">
        <f>ROUND(('Order Details'!$O870*1000)/((VLOOKUP($I870,'Pricing Table - eff 27-Jan-2026'!$A:$Q,7,FALSE)/12)*(VLOOKUP($I870,'Pricing Table - eff 27-Jan-2026'!$A:$Q,9,FALSE)/12))/5,0)*5</f>
        <v>#N/A</v>
      </c>
      <c r="R870" s="71" t="e">
        <f>$Q870/IFERROR(VLOOKUP($F870&amp;RIGHT($K870,8),'Master Data'!$O$5:$P$10,2,FALSE),'Master Data'!$P$4)</f>
        <v>#N/A</v>
      </c>
      <c r="S870" s="57" t="e">
        <f>VLOOKUP($I870,'Pricing Table - eff 27-Jan-2026'!$A:$Q,16,FALSE)</f>
        <v>#N/A</v>
      </c>
      <c r="T870" s="57" t="e">
        <f>VLOOKUP(I870,'Pricing Table - eff 27-Jan-2026'!$A:$O,15,FALSE)</f>
        <v>#N/A</v>
      </c>
      <c r="U870" s="57" t="e">
        <f t="shared" si="35"/>
        <v>#N/A</v>
      </c>
      <c r="V870" s="111" t="e">
        <f t="shared" si="36"/>
        <v>#N/A</v>
      </c>
      <c r="W870" s="55" t="e">
        <f>VLOOKUP($I870,'Pricing Table - eff 27-Jan-2026'!$A:$R,18,FALSE)</f>
        <v>#N/A</v>
      </c>
    </row>
    <row r="871" spans="1:23" hidden="1" x14ac:dyDescent="0.3">
      <c r="A871" s="55"/>
      <c r="B871" s="55"/>
      <c r="C871" s="55">
        <f>VLOOKUP(A871&amp;"-"&amp;B871,'Order Summary'!$D:$E,2,FALSE)</f>
        <v>0</v>
      </c>
      <c r="D871" s="216" t="str">
        <f>IF($A871="","",VLOOKUP($A871&amp;"-"&amp;$B871,'Order Summary'!$D:$U,3,FALSE))</f>
        <v/>
      </c>
      <c r="E871" s="55" t="str">
        <f>VLOOKUP(A871&amp;"-"&amp;B871,'Order Summary'!$D:$G,4,FALSE)</f>
        <v>Yes</v>
      </c>
      <c r="F871" s="55" t="e">
        <f>VLOOKUP($A871,'Order Summary'!$B:$I,8,FALSE)</f>
        <v>#N/A</v>
      </c>
      <c r="G871" s="216" t="str">
        <f>IF($A871="","",VLOOKUP($A871&amp;"-"&amp;$B871,'Order Summary'!$D:$U,18,FALSE))</f>
        <v/>
      </c>
      <c r="H871" s="55"/>
      <c r="I871" s="55"/>
      <c r="J871" s="55" t="e">
        <f>VLOOKUP($I871,'Pricing Table - eff 27-Jan-2026'!$A:$R,2,FALSE)</f>
        <v>#N/A</v>
      </c>
      <c r="K871" s="55" t="e">
        <f>VLOOKUP($I871,'Pricing Table - eff 27-Jan-2026'!$A:$R,6,FALSE)&amp;" "&amp;VLOOKUP($I871,'Pricing Table - eff 27-Jan-2026'!$A:$R,7,FALSE)&amp;""" x "&amp;VLOOKUP($I871,'Pricing Table - eff 27-Jan-2026'!$A:$R,9,FALSE)&amp;""" "&amp;VLOOKUP($I871,'Pricing Table - eff 27-Jan-2026'!$A:$R,5,FALSE)</f>
        <v>#N/A</v>
      </c>
      <c r="L871" s="55" t="e">
        <f>VLOOKUP($I871,'Pricing Table - eff 27-Jan-2026'!$A:$K,8,FALSE)</f>
        <v>#N/A</v>
      </c>
      <c r="M871" s="55" t="e">
        <f>VLOOKUP($I871,'Pricing Table - eff 27-Jan-2026'!$A:$K,10,FALSE)</f>
        <v>#N/A</v>
      </c>
      <c r="N871" s="55" t="e">
        <f>VLOOKUP($I871,'Pricing Table - eff 27-Jan-2026'!$A:$R,13,FALSE)&amp;" "&amp;VLOOKUP($I871,'Pricing Table - eff 27-Jan-2026'!$A:$R,12,FALSE)</f>
        <v>#N/A</v>
      </c>
      <c r="O871" s="56"/>
      <c r="P871" s="55" t="e">
        <f>(VLOOKUP($I871,'Pricing Table - eff 27-Jan-2026'!$A:$R,8,FALSE)/1000)*(VLOOKUP($I871,'Pricing Table - eff 27-Jan-2026'!$A:$R,10,FALSE)/1000)*Q871</f>
        <v>#N/A</v>
      </c>
      <c r="Q871" s="55" t="e">
        <f>ROUND(('Order Details'!$O871*1000)/((VLOOKUP($I871,'Pricing Table - eff 27-Jan-2026'!$A:$Q,7,FALSE)/12)*(VLOOKUP($I871,'Pricing Table - eff 27-Jan-2026'!$A:$Q,9,FALSE)/12))/5,0)*5</f>
        <v>#N/A</v>
      </c>
      <c r="R871" s="71" t="e">
        <f>$Q871/IFERROR(VLOOKUP($F871&amp;RIGHT($K871,8),'Master Data'!$O$5:$P$10,2,FALSE),'Master Data'!$P$4)</f>
        <v>#N/A</v>
      </c>
      <c r="S871" s="57" t="e">
        <f>VLOOKUP($I871,'Pricing Table - eff 27-Jan-2026'!$A:$Q,16,FALSE)</f>
        <v>#N/A</v>
      </c>
      <c r="T871" s="57" t="e">
        <f>VLOOKUP(I871,'Pricing Table - eff 27-Jan-2026'!$A:$O,15,FALSE)</f>
        <v>#N/A</v>
      </c>
      <c r="U871" s="57" t="e">
        <f t="shared" ref="U871:U934" si="37">O871*S871</f>
        <v>#N/A</v>
      </c>
      <c r="V871" s="111" t="e">
        <f t="shared" si="36"/>
        <v>#N/A</v>
      </c>
      <c r="W871" s="55" t="e">
        <f>VLOOKUP($I871,'Pricing Table - eff 27-Jan-2026'!$A:$R,18,FALSE)</f>
        <v>#N/A</v>
      </c>
    </row>
    <row r="872" spans="1:23" hidden="1" x14ac:dyDescent="0.3">
      <c r="A872" s="55"/>
      <c r="B872" s="55"/>
      <c r="C872" s="55">
        <f>VLOOKUP(A872&amp;"-"&amp;B872,'Order Summary'!$D:$E,2,FALSE)</f>
        <v>0</v>
      </c>
      <c r="D872" s="216" t="str">
        <f>IF($A872="","",VLOOKUP($A872&amp;"-"&amp;$B872,'Order Summary'!$D:$U,3,FALSE))</f>
        <v/>
      </c>
      <c r="E872" s="55" t="str">
        <f>VLOOKUP(A872&amp;"-"&amp;B872,'Order Summary'!$D:$G,4,FALSE)</f>
        <v>Yes</v>
      </c>
      <c r="F872" s="55" t="e">
        <f>VLOOKUP($A872,'Order Summary'!$B:$I,8,FALSE)</f>
        <v>#N/A</v>
      </c>
      <c r="G872" s="216" t="str">
        <f>IF($A872="","",VLOOKUP($A872&amp;"-"&amp;$B872,'Order Summary'!$D:$U,18,FALSE))</f>
        <v/>
      </c>
      <c r="H872" s="55"/>
      <c r="I872" s="55"/>
      <c r="J872" s="55" t="e">
        <f>VLOOKUP($I872,'Pricing Table - eff 27-Jan-2026'!$A:$R,2,FALSE)</f>
        <v>#N/A</v>
      </c>
      <c r="K872" s="55" t="e">
        <f>VLOOKUP($I872,'Pricing Table - eff 27-Jan-2026'!$A:$R,6,FALSE)&amp;" "&amp;VLOOKUP($I872,'Pricing Table - eff 27-Jan-2026'!$A:$R,7,FALSE)&amp;""" x "&amp;VLOOKUP($I872,'Pricing Table - eff 27-Jan-2026'!$A:$R,9,FALSE)&amp;""" "&amp;VLOOKUP($I872,'Pricing Table - eff 27-Jan-2026'!$A:$R,5,FALSE)</f>
        <v>#N/A</v>
      </c>
      <c r="L872" s="55" t="e">
        <f>VLOOKUP($I872,'Pricing Table - eff 27-Jan-2026'!$A:$K,8,FALSE)</f>
        <v>#N/A</v>
      </c>
      <c r="M872" s="55" t="e">
        <f>VLOOKUP($I872,'Pricing Table - eff 27-Jan-2026'!$A:$K,10,FALSE)</f>
        <v>#N/A</v>
      </c>
      <c r="N872" s="55" t="e">
        <f>VLOOKUP($I872,'Pricing Table - eff 27-Jan-2026'!$A:$R,13,FALSE)&amp;" "&amp;VLOOKUP($I872,'Pricing Table - eff 27-Jan-2026'!$A:$R,12,FALSE)</f>
        <v>#N/A</v>
      </c>
      <c r="O872" s="56"/>
      <c r="P872" s="55" t="e">
        <f>(VLOOKUP($I872,'Pricing Table - eff 27-Jan-2026'!$A:$R,8,FALSE)/1000)*(VLOOKUP($I872,'Pricing Table - eff 27-Jan-2026'!$A:$R,10,FALSE)/1000)*Q872</f>
        <v>#N/A</v>
      </c>
      <c r="Q872" s="55" t="e">
        <f>ROUND(('Order Details'!$O872*1000)/((VLOOKUP($I872,'Pricing Table - eff 27-Jan-2026'!$A:$Q,7,FALSE)/12)*(VLOOKUP($I872,'Pricing Table - eff 27-Jan-2026'!$A:$Q,9,FALSE)/12))/5,0)*5</f>
        <v>#N/A</v>
      </c>
      <c r="R872" s="71" t="e">
        <f>$Q872/IFERROR(VLOOKUP($F872&amp;RIGHT($K872,8),'Master Data'!$O$5:$P$10,2,FALSE),'Master Data'!$P$4)</f>
        <v>#N/A</v>
      </c>
      <c r="S872" s="57" t="e">
        <f>VLOOKUP($I872,'Pricing Table - eff 27-Jan-2026'!$A:$Q,16,FALSE)</f>
        <v>#N/A</v>
      </c>
      <c r="T872" s="57" t="e">
        <f>VLOOKUP(I872,'Pricing Table - eff 27-Jan-2026'!$A:$O,15,FALSE)</f>
        <v>#N/A</v>
      </c>
      <c r="U872" s="57" t="e">
        <f t="shared" si="37"/>
        <v>#N/A</v>
      </c>
      <c r="V872" s="111" t="e">
        <f t="shared" si="36"/>
        <v>#N/A</v>
      </c>
      <c r="W872" s="55" t="e">
        <f>VLOOKUP($I872,'Pricing Table - eff 27-Jan-2026'!$A:$R,18,FALSE)</f>
        <v>#N/A</v>
      </c>
    </row>
    <row r="873" spans="1:23" hidden="1" x14ac:dyDescent="0.3">
      <c r="A873" s="55"/>
      <c r="B873" s="55"/>
      <c r="C873" s="55">
        <f>VLOOKUP(A873&amp;"-"&amp;B873,'Order Summary'!$D:$E,2,FALSE)</f>
        <v>0</v>
      </c>
      <c r="D873" s="216" t="str">
        <f>IF($A873="","",VLOOKUP($A873&amp;"-"&amp;$B873,'Order Summary'!$D:$U,3,FALSE))</f>
        <v/>
      </c>
      <c r="E873" s="55" t="str">
        <f>VLOOKUP(A873&amp;"-"&amp;B873,'Order Summary'!$D:$G,4,FALSE)</f>
        <v>Yes</v>
      </c>
      <c r="F873" s="55" t="e">
        <f>VLOOKUP($A873,'Order Summary'!$B:$I,8,FALSE)</f>
        <v>#N/A</v>
      </c>
      <c r="G873" s="216" t="str">
        <f>IF($A873="","",VLOOKUP($A873&amp;"-"&amp;$B873,'Order Summary'!$D:$U,18,FALSE))</f>
        <v/>
      </c>
      <c r="H873" s="55"/>
      <c r="I873" s="55"/>
      <c r="J873" s="55" t="e">
        <f>VLOOKUP($I873,'Pricing Table - eff 27-Jan-2026'!$A:$R,2,FALSE)</f>
        <v>#N/A</v>
      </c>
      <c r="K873" s="55" t="e">
        <f>VLOOKUP($I873,'Pricing Table - eff 27-Jan-2026'!$A:$R,6,FALSE)&amp;" "&amp;VLOOKUP($I873,'Pricing Table - eff 27-Jan-2026'!$A:$R,7,FALSE)&amp;""" x "&amp;VLOOKUP($I873,'Pricing Table - eff 27-Jan-2026'!$A:$R,9,FALSE)&amp;""" "&amp;VLOOKUP($I873,'Pricing Table - eff 27-Jan-2026'!$A:$R,5,FALSE)</f>
        <v>#N/A</v>
      </c>
      <c r="L873" s="55" t="e">
        <f>VLOOKUP($I873,'Pricing Table - eff 27-Jan-2026'!$A:$K,8,FALSE)</f>
        <v>#N/A</v>
      </c>
      <c r="M873" s="55" t="e">
        <f>VLOOKUP($I873,'Pricing Table - eff 27-Jan-2026'!$A:$K,10,FALSE)</f>
        <v>#N/A</v>
      </c>
      <c r="N873" s="55" t="e">
        <f>VLOOKUP($I873,'Pricing Table - eff 27-Jan-2026'!$A:$R,13,FALSE)&amp;" "&amp;VLOOKUP($I873,'Pricing Table - eff 27-Jan-2026'!$A:$R,12,FALSE)</f>
        <v>#N/A</v>
      </c>
      <c r="O873" s="56"/>
      <c r="P873" s="55" t="e">
        <f>(VLOOKUP($I873,'Pricing Table - eff 27-Jan-2026'!$A:$R,8,FALSE)/1000)*(VLOOKUP($I873,'Pricing Table - eff 27-Jan-2026'!$A:$R,10,FALSE)/1000)*Q873</f>
        <v>#N/A</v>
      </c>
      <c r="Q873" s="55" t="e">
        <f>ROUND(('Order Details'!$O873*1000)/((VLOOKUP($I873,'Pricing Table - eff 27-Jan-2026'!$A:$Q,7,FALSE)/12)*(VLOOKUP($I873,'Pricing Table - eff 27-Jan-2026'!$A:$Q,9,FALSE)/12))/5,0)*5</f>
        <v>#N/A</v>
      </c>
      <c r="R873" s="71" t="e">
        <f>$Q873/IFERROR(VLOOKUP($F873&amp;RIGHT($K873,8),'Master Data'!$O$5:$P$10,2,FALSE),'Master Data'!$P$4)</f>
        <v>#N/A</v>
      </c>
      <c r="S873" s="57" t="e">
        <f>VLOOKUP($I873,'Pricing Table - eff 27-Jan-2026'!$A:$Q,16,FALSE)</f>
        <v>#N/A</v>
      </c>
      <c r="T873" s="57" t="e">
        <f>VLOOKUP(I873,'Pricing Table - eff 27-Jan-2026'!$A:$O,15,FALSE)</f>
        <v>#N/A</v>
      </c>
      <c r="U873" s="57" t="e">
        <f t="shared" si="37"/>
        <v>#N/A</v>
      </c>
      <c r="V873" s="111" t="e">
        <f t="shared" si="36"/>
        <v>#N/A</v>
      </c>
      <c r="W873" s="55" t="e">
        <f>VLOOKUP($I873,'Pricing Table - eff 27-Jan-2026'!$A:$R,18,FALSE)</f>
        <v>#N/A</v>
      </c>
    </row>
    <row r="874" spans="1:23" hidden="1" x14ac:dyDescent="0.3">
      <c r="A874" s="55"/>
      <c r="B874" s="55"/>
      <c r="C874" s="55">
        <f>VLOOKUP(A874&amp;"-"&amp;B874,'Order Summary'!$D:$E,2,FALSE)</f>
        <v>0</v>
      </c>
      <c r="D874" s="216" t="str">
        <f>IF($A874="","",VLOOKUP($A874&amp;"-"&amp;$B874,'Order Summary'!$D:$U,3,FALSE))</f>
        <v/>
      </c>
      <c r="E874" s="55" t="str">
        <f>VLOOKUP(A874&amp;"-"&amp;B874,'Order Summary'!$D:$G,4,FALSE)</f>
        <v>Yes</v>
      </c>
      <c r="F874" s="55" t="e">
        <f>VLOOKUP($A874,'Order Summary'!$B:$I,8,FALSE)</f>
        <v>#N/A</v>
      </c>
      <c r="G874" s="216" t="str">
        <f>IF($A874="","",VLOOKUP($A874&amp;"-"&amp;$B874,'Order Summary'!$D:$U,18,FALSE))</f>
        <v/>
      </c>
      <c r="H874" s="55"/>
      <c r="I874" s="55"/>
      <c r="J874" s="55" t="e">
        <f>VLOOKUP($I874,'Pricing Table - eff 27-Jan-2026'!$A:$R,2,FALSE)</f>
        <v>#N/A</v>
      </c>
      <c r="K874" s="55" t="e">
        <f>VLOOKUP($I874,'Pricing Table - eff 27-Jan-2026'!$A:$R,6,FALSE)&amp;" "&amp;VLOOKUP($I874,'Pricing Table - eff 27-Jan-2026'!$A:$R,7,FALSE)&amp;""" x "&amp;VLOOKUP($I874,'Pricing Table - eff 27-Jan-2026'!$A:$R,9,FALSE)&amp;""" "&amp;VLOOKUP($I874,'Pricing Table - eff 27-Jan-2026'!$A:$R,5,FALSE)</f>
        <v>#N/A</v>
      </c>
      <c r="L874" s="55" t="e">
        <f>VLOOKUP($I874,'Pricing Table - eff 27-Jan-2026'!$A:$K,8,FALSE)</f>
        <v>#N/A</v>
      </c>
      <c r="M874" s="55" t="e">
        <f>VLOOKUP($I874,'Pricing Table - eff 27-Jan-2026'!$A:$K,10,FALSE)</f>
        <v>#N/A</v>
      </c>
      <c r="N874" s="55" t="e">
        <f>VLOOKUP($I874,'Pricing Table - eff 27-Jan-2026'!$A:$R,13,FALSE)&amp;" "&amp;VLOOKUP($I874,'Pricing Table - eff 27-Jan-2026'!$A:$R,12,FALSE)</f>
        <v>#N/A</v>
      </c>
      <c r="O874" s="56"/>
      <c r="P874" s="55" t="e">
        <f>(VLOOKUP($I874,'Pricing Table - eff 27-Jan-2026'!$A:$R,8,FALSE)/1000)*(VLOOKUP($I874,'Pricing Table - eff 27-Jan-2026'!$A:$R,10,FALSE)/1000)*Q874</f>
        <v>#N/A</v>
      </c>
      <c r="Q874" s="55" t="e">
        <f>ROUND(('Order Details'!$O874*1000)/((VLOOKUP($I874,'Pricing Table - eff 27-Jan-2026'!$A:$Q,7,FALSE)/12)*(VLOOKUP($I874,'Pricing Table - eff 27-Jan-2026'!$A:$Q,9,FALSE)/12))/5,0)*5</f>
        <v>#N/A</v>
      </c>
      <c r="R874" s="71" t="e">
        <f>$Q874/IFERROR(VLOOKUP($F874&amp;RIGHT($K874,8),'Master Data'!$O$5:$P$10,2,FALSE),'Master Data'!$P$4)</f>
        <v>#N/A</v>
      </c>
      <c r="S874" s="57" t="e">
        <f>VLOOKUP($I874,'Pricing Table - eff 27-Jan-2026'!$A:$Q,16,FALSE)</f>
        <v>#N/A</v>
      </c>
      <c r="T874" s="57" t="e">
        <f>VLOOKUP(I874,'Pricing Table - eff 27-Jan-2026'!$A:$O,15,FALSE)</f>
        <v>#N/A</v>
      </c>
      <c r="U874" s="57" t="e">
        <f t="shared" si="37"/>
        <v>#N/A</v>
      </c>
      <c r="V874" s="111" t="e">
        <f t="shared" si="36"/>
        <v>#N/A</v>
      </c>
      <c r="W874" s="55" t="e">
        <f>VLOOKUP($I874,'Pricing Table - eff 27-Jan-2026'!$A:$R,18,FALSE)</f>
        <v>#N/A</v>
      </c>
    </row>
    <row r="875" spans="1:23" hidden="1" x14ac:dyDescent="0.3">
      <c r="A875" s="55"/>
      <c r="B875" s="55"/>
      <c r="C875" s="55">
        <f>VLOOKUP(A875&amp;"-"&amp;B875,'Order Summary'!$D:$E,2,FALSE)</f>
        <v>0</v>
      </c>
      <c r="D875" s="216" t="str">
        <f>IF($A875="","",VLOOKUP($A875&amp;"-"&amp;$B875,'Order Summary'!$D:$U,3,FALSE))</f>
        <v/>
      </c>
      <c r="E875" s="55" t="str">
        <f>VLOOKUP(A875&amp;"-"&amp;B875,'Order Summary'!$D:$G,4,FALSE)</f>
        <v>Yes</v>
      </c>
      <c r="F875" s="55" t="e">
        <f>VLOOKUP($A875,'Order Summary'!$B:$I,8,FALSE)</f>
        <v>#N/A</v>
      </c>
      <c r="G875" s="216" t="str">
        <f>IF($A875="","",VLOOKUP($A875&amp;"-"&amp;$B875,'Order Summary'!$D:$U,18,FALSE))</f>
        <v/>
      </c>
      <c r="H875" s="55"/>
      <c r="I875" s="55"/>
      <c r="J875" s="55" t="e">
        <f>VLOOKUP($I875,'Pricing Table - eff 27-Jan-2026'!$A:$R,2,FALSE)</f>
        <v>#N/A</v>
      </c>
      <c r="K875" s="55" t="e">
        <f>VLOOKUP($I875,'Pricing Table - eff 27-Jan-2026'!$A:$R,6,FALSE)&amp;" "&amp;VLOOKUP($I875,'Pricing Table - eff 27-Jan-2026'!$A:$R,7,FALSE)&amp;""" x "&amp;VLOOKUP($I875,'Pricing Table - eff 27-Jan-2026'!$A:$R,9,FALSE)&amp;""" "&amp;VLOOKUP($I875,'Pricing Table - eff 27-Jan-2026'!$A:$R,5,FALSE)</f>
        <v>#N/A</v>
      </c>
      <c r="L875" s="55" t="e">
        <f>VLOOKUP($I875,'Pricing Table - eff 27-Jan-2026'!$A:$K,8,FALSE)</f>
        <v>#N/A</v>
      </c>
      <c r="M875" s="55" t="e">
        <f>VLOOKUP($I875,'Pricing Table - eff 27-Jan-2026'!$A:$K,10,FALSE)</f>
        <v>#N/A</v>
      </c>
      <c r="N875" s="55" t="e">
        <f>VLOOKUP($I875,'Pricing Table - eff 27-Jan-2026'!$A:$R,13,FALSE)&amp;" "&amp;VLOOKUP($I875,'Pricing Table - eff 27-Jan-2026'!$A:$R,12,FALSE)</f>
        <v>#N/A</v>
      </c>
      <c r="O875" s="56"/>
      <c r="P875" s="55" t="e">
        <f>(VLOOKUP($I875,'Pricing Table - eff 27-Jan-2026'!$A:$R,8,FALSE)/1000)*(VLOOKUP($I875,'Pricing Table - eff 27-Jan-2026'!$A:$R,10,FALSE)/1000)*Q875</f>
        <v>#N/A</v>
      </c>
      <c r="Q875" s="55" t="e">
        <f>ROUND(('Order Details'!$O875*1000)/((VLOOKUP($I875,'Pricing Table - eff 27-Jan-2026'!$A:$Q,7,FALSE)/12)*(VLOOKUP($I875,'Pricing Table - eff 27-Jan-2026'!$A:$Q,9,FALSE)/12))/5,0)*5</f>
        <v>#N/A</v>
      </c>
      <c r="R875" s="71" t="e">
        <f>$Q875/IFERROR(VLOOKUP($F875&amp;RIGHT($K875,8),'Master Data'!$O$5:$P$10,2,FALSE),'Master Data'!$P$4)</f>
        <v>#N/A</v>
      </c>
      <c r="S875" s="57" t="e">
        <f>VLOOKUP($I875,'Pricing Table - eff 27-Jan-2026'!$A:$Q,16,FALSE)</f>
        <v>#N/A</v>
      </c>
      <c r="T875" s="57" t="e">
        <f>VLOOKUP(I875,'Pricing Table - eff 27-Jan-2026'!$A:$O,15,FALSE)</f>
        <v>#N/A</v>
      </c>
      <c r="U875" s="57" t="e">
        <f t="shared" si="37"/>
        <v>#N/A</v>
      </c>
      <c r="V875" s="111" t="e">
        <f t="shared" si="36"/>
        <v>#N/A</v>
      </c>
      <c r="W875" s="55" t="e">
        <f>VLOOKUP($I875,'Pricing Table - eff 27-Jan-2026'!$A:$R,18,FALSE)</f>
        <v>#N/A</v>
      </c>
    </row>
    <row r="876" spans="1:23" hidden="1" x14ac:dyDescent="0.3">
      <c r="A876" s="55"/>
      <c r="B876" s="55"/>
      <c r="C876" s="55">
        <f>VLOOKUP(A876&amp;"-"&amp;B876,'Order Summary'!$D:$E,2,FALSE)</f>
        <v>0</v>
      </c>
      <c r="D876" s="216" t="str">
        <f>IF($A876="","",VLOOKUP($A876&amp;"-"&amp;$B876,'Order Summary'!$D:$U,3,FALSE))</f>
        <v/>
      </c>
      <c r="E876" s="55" t="str">
        <f>VLOOKUP(A876&amp;"-"&amp;B876,'Order Summary'!$D:$G,4,FALSE)</f>
        <v>Yes</v>
      </c>
      <c r="F876" s="55" t="e">
        <f>VLOOKUP($A876,'Order Summary'!$B:$I,8,FALSE)</f>
        <v>#N/A</v>
      </c>
      <c r="G876" s="216" t="str">
        <f>IF($A876="","",VLOOKUP($A876&amp;"-"&amp;$B876,'Order Summary'!$D:$U,18,FALSE))</f>
        <v/>
      </c>
      <c r="H876" s="55"/>
      <c r="I876" s="55"/>
      <c r="J876" s="55" t="e">
        <f>VLOOKUP($I876,'Pricing Table - eff 27-Jan-2026'!$A:$R,2,FALSE)</f>
        <v>#N/A</v>
      </c>
      <c r="K876" s="55" t="e">
        <f>VLOOKUP($I876,'Pricing Table - eff 27-Jan-2026'!$A:$R,6,FALSE)&amp;" "&amp;VLOOKUP($I876,'Pricing Table - eff 27-Jan-2026'!$A:$R,7,FALSE)&amp;""" x "&amp;VLOOKUP($I876,'Pricing Table - eff 27-Jan-2026'!$A:$R,9,FALSE)&amp;""" "&amp;VLOOKUP($I876,'Pricing Table - eff 27-Jan-2026'!$A:$R,5,FALSE)</f>
        <v>#N/A</v>
      </c>
      <c r="L876" s="55" t="e">
        <f>VLOOKUP($I876,'Pricing Table - eff 27-Jan-2026'!$A:$K,8,FALSE)</f>
        <v>#N/A</v>
      </c>
      <c r="M876" s="55" t="e">
        <f>VLOOKUP($I876,'Pricing Table - eff 27-Jan-2026'!$A:$K,10,FALSE)</f>
        <v>#N/A</v>
      </c>
      <c r="N876" s="55" t="e">
        <f>VLOOKUP($I876,'Pricing Table - eff 27-Jan-2026'!$A:$R,13,FALSE)&amp;" "&amp;VLOOKUP($I876,'Pricing Table - eff 27-Jan-2026'!$A:$R,12,FALSE)</f>
        <v>#N/A</v>
      </c>
      <c r="O876" s="56"/>
      <c r="P876" s="55" t="e">
        <f>(VLOOKUP($I876,'Pricing Table - eff 27-Jan-2026'!$A:$R,8,FALSE)/1000)*(VLOOKUP($I876,'Pricing Table - eff 27-Jan-2026'!$A:$R,10,FALSE)/1000)*Q876</f>
        <v>#N/A</v>
      </c>
      <c r="Q876" s="55" t="e">
        <f>ROUND(('Order Details'!$O876*1000)/((VLOOKUP($I876,'Pricing Table - eff 27-Jan-2026'!$A:$Q,7,FALSE)/12)*(VLOOKUP($I876,'Pricing Table - eff 27-Jan-2026'!$A:$Q,9,FALSE)/12))/5,0)*5</f>
        <v>#N/A</v>
      </c>
      <c r="R876" s="71" t="e">
        <f>$Q876/IFERROR(VLOOKUP($F876&amp;RIGHT($K876,8),'Master Data'!$O$5:$P$10,2,FALSE),'Master Data'!$P$4)</f>
        <v>#N/A</v>
      </c>
      <c r="S876" s="57" t="e">
        <f>VLOOKUP($I876,'Pricing Table - eff 27-Jan-2026'!$A:$Q,16,FALSE)</f>
        <v>#N/A</v>
      </c>
      <c r="T876" s="57" t="e">
        <f>VLOOKUP(I876,'Pricing Table - eff 27-Jan-2026'!$A:$O,15,FALSE)</f>
        <v>#N/A</v>
      </c>
      <c r="U876" s="57" t="e">
        <f t="shared" si="37"/>
        <v>#N/A</v>
      </c>
      <c r="V876" s="111" t="e">
        <f t="shared" si="36"/>
        <v>#N/A</v>
      </c>
      <c r="W876" s="55" t="e">
        <f>VLOOKUP($I876,'Pricing Table - eff 27-Jan-2026'!$A:$R,18,FALSE)</f>
        <v>#N/A</v>
      </c>
    </row>
    <row r="877" spans="1:23" hidden="1" x14ac:dyDescent="0.3">
      <c r="A877" s="55"/>
      <c r="B877" s="55"/>
      <c r="C877" s="55">
        <f>VLOOKUP(A877&amp;"-"&amp;B877,'Order Summary'!$D:$E,2,FALSE)</f>
        <v>0</v>
      </c>
      <c r="D877" s="216" t="str">
        <f>IF($A877="","",VLOOKUP($A877&amp;"-"&amp;$B877,'Order Summary'!$D:$U,3,FALSE))</f>
        <v/>
      </c>
      <c r="E877" s="55" t="str">
        <f>VLOOKUP(A877&amp;"-"&amp;B877,'Order Summary'!$D:$G,4,FALSE)</f>
        <v>Yes</v>
      </c>
      <c r="F877" s="55" t="e">
        <f>VLOOKUP($A877,'Order Summary'!$B:$I,8,FALSE)</f>
        <v>#N/A</v>
      </c>
      <c r="G877" s="216" t="str">
        <f>IF($A877="","",VLOOKUP($A877&amp;"-"&amp;$B877,'Order Summary'!$D:$U,18,FALSE))</f>
        <v/>
      </c>
      <c r="H877" s="55"/>
      <c r="I877" s="55"/>
      <c r="J877" s="55" t="e">
        <f>VLOOKUP($I877,'Pricing Table - eff 27-Jan-2026'!$A:$R,2,FALSE)</f>
        <v>#N/A</v>
      </c>
      <c r="K877" s="55" t="e">
        <f>VLOOKUP($I877,'Pricing Table - eff 27-Jan-2026'!$A:$R,6,FALSE)&amp;" "&amp;VLOOKUP($I877,'Pricing Table - eff 27-Jan-2026'!$A:$R,7,FALSE)&amp;""" x "&amp;VLOOKUP($I877,'Pricing Table - eff 27-Jan-2026'!$A:$R,9,FALSE)&amp;""" "&amp;VLOOKUP($I877,'Pricing Table - eff 27-Jan-2026'!$A:$R,5,FALSE)</f>
        <v>#N/A</v>
      </c>
      <c r="L877" s="55" t="e">
        <f>VLOOKUP($I877,'Pricing Table - eff 27-Jan-2026'!$A:$K,8,FALSE)</f>
        <v>#N/A</v>
      </c>
      <c r="M877" s="55" t="e">
        <f>VLOOKUP($I877,'Pricing Table - eff 27-Jan-2026'!$A:$K,10,FALSE)</f>
        <v>#N/A</v>
      </c>
      <c r="N877" s="55" t="e">
        <f>VLOOKUP($I877,'Pricing Table - eff 27-Jan-2026'!$A:$R,13,FALSE)&amp;" "&amp;VLOOKUP($I877,'Pricing Table - eff 27-Jan-2026'!$A:$R,12,FALSE)</f>
        <v>#N/A</v>
      </c>
      <c r="O877" s="56"/>
      <c r="P877" s="55" t="e">
        <f>(VLOOKUP($I877,'Pricing Table - eff 27-Jan-2026'!$A:$R,8,FALSE)/1000)*(VLOOKUP($I877,'Pricing Table - eff 27-Jan-2026'!$A:$R,10,FALSE)/1000)*Q877</f>
        <v>#N/A</v>
      </c>
      <c r="Q877" s="55" t="e">
        <f>ROUND(('Order Details'!$O877*1000)/((VLOOKUP($I877,'Pricing Table - eff 27-Jan-2026'!$A:$Q,7,FALSE)/12)*(VLOOKUP($I877,'Pricing Table - eff 27-Jan-2026'!$A:$Q,9,FALSE)/12))/5,0)*5</f>
        <v>#N/A</v>
      </c>
      <c r="R877" s="71" t="e">
        <f>$Q877/IFERROR(VLOOKUP($F877&amp;RIGHT($K877,8),'Master Data'!$O$5:$P$10,2,FALSE),'Master Data'!$P$4)</f>
        <v>#N/A</v>
      </c>
      <c r="S877" s="57" t="e">
        <f>VLOOKUP($I877,'Pricing Table - eff 27-Jan-2026'!$A:$Q,16,FALSE)</f>
        <v>#N/A</v>
      </c>
      <c r="T877" s="57" t="e">
        <f>VLOOKUP(I877,'Pricing Table - eff 27-Jan-2026'!$A:$O,15,FALSE)</f>
        <v>#N/A</v>
      </c>
      <c r="U877" s="57" t="e">
        <f t="shared" si="37"/>
        <v>#N/A</v>
      </c>
      <c r="V877" s="111" t="e">
        <f t="shared" si="36"/>
        <v>#N/A</v>
      </c>
      <c r="W877" s="55" t="e">
        <f>VLOOKUP($I877,'Pricing Table - eff 27-Jan-2026'!$A:$R,18,FALSE)</f>
        <v>#N/A</v>
      </c>
    </row>
    <row r="878" spans="1:23" hidden="1" x14ac:dyDescent="0.3">
      <c r="A878" s="55"/>
      <c r="B878" s="55"/>
      <c r="C878" s="55">
        <f>VLOOKUP(A878&amp;"-"&amp;B878,'Order Summary'!$D:$E,2,FALSE)</f>
        <v>0</v>
      </c>
      <c r="D878" s="216" t="str">
        <f>IF($A878="","",VLOOKUP($A878&amp;"-"&amp;$B878,'Order Summary'!$D:$U,3,FALSE))</f>
        <v/>
      </c>
      <c r="E878" s="55" t="str">
        <f>VLOOKUP(A878&amp;"-"&amp;B878,'Order Summary'!$D:$G,4,FALSE)</f>
        <v>Yes</v>
      </c>
      <c r="F878" s="55" t="e">
        <f>VLOOKUP($A878,'Order Summary'!$B:$I,8,FALSE)</f>
        <v>#N/A</v>
      </c>
      <c r="G878" s="216" t="str">
        <f>IF($A878="","",VLOOKUP($A878&amp;"-"&amp;$B878,'Order Summary'!$D:$U,18,FALSE))</f>
        <v/>
      </c>
      <c r="H878" s="55"/>
      <c r="I878" s="55"/>
      <c r="J878" s="55" t="e">
        <f>VLOOKUP($I878,'Pricing Table - eff 27-Jan-2026'!$A:$R,2,FALSE)</f>
        <v>#N/A</v>
      </c>
      <c r="K878" s="55" t="e">
        <f>VLOOKUP($I878,'Pricing Table - eff 27-Jan-2026'!$A:$R,6,FALSE)&amp;" "&amp;VLOOKUP($I878,'Pricing Table - eff 27-Jan-2026'!$A:$R,7,FALSE)&amp;""" x "&amp;VLOOKUP($I878,'Pricing Table - eff 27-Jan-2026'!$A:$R,9,FALSE)&amp;""" "&amp;VLOOKUP($I878,'Pricing Table - eff 27-Jan-2026'!$A:$R,5,FALSE)</f>
        <v>#N/A</v>
      </c>
      <c r="L878" s="55" t="e">
        <f>VLOOKUP($I878,'Pricing Table - eff 27-Jan-2026'!$A:$K,8,FALSE)</f>
        <v>#N/A</v>
      </c>
      <c r="M878" s="55" t="e">
        <f>VLOOKUP($I878,'Pricing Table - eff 27-Jan-2026'!$A:$K,10,FALSE)</f>
        <v>#N/A</v>
      </c>
      <c r="N878" s="55" t="e">
        <f>VLOOKUP($I878,'Pricing Table - eff 27-Jan-2026'!$A:$R,13,FALSE)&amp;" "&amp;VLOOKUP($I878,'Pricing Table - eff 27-Jan-2026'!$A:$R,12,FALSE)</f>
        <v>#N/A</v>
      </c>
      <c r="O878" s="56"/>
      <c r="P878" s="55" t="e">
        <f>(VLOOKUP($I878,'Pricing Table - eff 27-Jan-2026'!$A:$R,8,FALSE)/1000)*(VLOOKUP($I878,'Pricing Table - eff 27-Jan-2026'!$A:$R,10,FALSE)/1000)*Q878</f>
        <v>#N/A</v>
      </c>
      <c r="Q878" s="55" t="e">
        <f>ROUND(('Order Details'!$O878*1000)/((VLOOKUP($I878,'Pricing Table - eff 27-Jan-2026'!$A:$Q,7,FALSE)/12)*(VLOOKUP($I878,'Pricing Table - eff 27-Jan-2026'!$A:$Q,9,FALSE)/12))/5,0)*5</f>
        <v>#N/A</v>
      </c>
      <c r="R878" s="71" t="e">
        <f>$Q878/IFERROR(VLOOKUP($F878&amp;RIGHT($K878,8),'Master Data'!$O$5:$P$10,2,FALSE),'Master Data'!$P$4)</f>
        <v>#N/A</v>
      </c>
      <c r="S878" s="57" t="e">
        <f>VLOOKUP($I878,'Pricing Table - eff 27-Jan-2026'!$A:$Q,16,FALSE)</f>
        <v>#N/A</v>
      </c>
      <c r="T878" s="57" t="e">
        <f>VLOOKUP(I878,'Pricing Table - eff 27-Jan-2026'!$A:$O,15,FALSE)</f>
        <v>#N/A</v>
      </c>
      <c r="U878" s="57" t="e">
        <f t="shared" si="37"/>
        <v>#N/A</v>
      </c>
      <c r="V878" s="111" t="e">
        <f t="shared" si="36"/>
        <v>#N/A</v>
      </c>
      <c r="W878" s="55" t="e">
        <f>VLOOKUP($I878,'Pricing Table - eff 27-Jan-2026'!$A:$R,18,FALSE)</f>
        <v>#N/A</v>
      </c>
    </row>
    <row r="879" spans="1:23" hidden="1" x14ac:dyDescent="0.3">
      <c r="A879" s="55"/>
      <c r="B879" s="55"/>
      <c r="C879" s="55">
        <f>VLOOKUP(A879&amp;"-"&amp;B879,'Order Summary'!$D:$E,2,FALSE)</f>
        <v>0</v>
      </c>
      <c r="D879" s="216" t="str">
        <f>IF($A879="","",VLOOKUP($A879&amp;"-"&amp;$B879,'Order Summary'!$D:$U,3,FALSE))</f>
        <v/>
      </c>
      <c r="E879" s="55" t="str">
        <f>VLOOKUP(A879&amp;"-"&amp;B879,'Order Summary'!$D:$G,4,FALSE)</f>
        <v>Yes</v>
      </c>
      <c r="F879" s="55" t="e">
        <f>VLOOKUP($A879,'Order Summary'!$B:$I,8,FALSE)</f>
        <v>#N/A</v>
      </c>
      <c r="G879" s="216" t="str">
        <f>IF($A879="","",VLOOKUP($A879&amp;"-"&amp;$B879,'Order Summary'!$D:$U,18,FALSE))</f>
        <v/>
      </c>
      <c r="H879" s="55"/>
      <c r="I879" s="55"/>
      <c r="J879" s="55" t="e">
        <f>VLOOKUP($I879,'Pricing Table - eff 27-Jan-2026'!$A:$R,2,FALSE)</f>
        <v>#N/A</v>
      </c>
      <c r="K879" s="55" t="e">
        <f>VLOOKUP($I879,'Pricing Table - eff 27-Jan-2026'!$A:$R,6,FALSE)&amp;" "&amp;VLOOKUP($I879,'Pricing Table - eff 27-Jan-2026'!$A:$R,7,FALSE)&amp;""" x "&amp;VLOOKUP($I879,'Pricing Table - eff 27-Jan-2026'!$A:$R,9,FALSE)&amp;""" "&amp;VLOOKUP($I879,'Pricing Table - eff 27-Jan-2026'!$A:$R,5,FALSE)</f>
        <v>#N/A</v>
      </c>
      <c r="L879" s="55" t="e">
        <f>VLOOKUP($I879,'Pricing Table - eff 27-Jan-2026'!$A:$K,8,FALSE)</f>
        <v>#N/A</v>
      </c>
      <c r="M879" s="55" t="e">
        <f>VLOOKUP($I879,'Pricing Table - eff 27-Jan-2026'!$A:$K,10,FALSE)</f>
        <v>#N/A</v>
      </c>
      <c r="N879" s="55" t="e">
        <f>VLOOKUP($I879,'Pricing Table - eff 27-Jan-2026'!$A:$R,13,FALSE)&amp;" "&amp;VLOOKUP($I879,'Pricing Table - eff 27-Jan-2026'!$A:$R,12,FALSE)</f>
        <v>#N/A</v>
      </c>
      <c r="O879" s="56"/>
      <c r="P879" s="55" t="e">
        <f>(VLOOKUP($I879,'Pricing Table - eff 27-Jan-2026'!$A:$R,8,FALSE)/1000)*(VLOOKUP($I879,'Pricing Table - eff 27-Jan-2026'!$A:$R,10,FALSE)/1000)*Q879</f>
        <v>#N/A</v>
      </c>
      <c r="Q879" s="55" t="e">
        <f>ROUND(('Order Details'!$O879*1000)/((VLOOKUP($I879,'Pricing Table - eff 27-Jan-2026'!$A:$Q,7,FALSE)/12)*(VLOOKUP($I879,'Pricing Table - eff 27-Jan-2026'!$A:$Q,9,FALSE)/12))/5,0)*5</f>
        <v>#N/A</v>
      </c>
      <c r="R879" s="71" t="e">
        <f>$Q879/IFERROR(VLOOKUP($F879&amp;RIGHT($K879,8),'Master Data'!$O$5:$P$10,2,FALSE),'Master Data'!$P$4)</f>
        <v>#N/A</v>
      </c>
      <c r="S879" s="57" t="e">
        <f>VLOOKUP($I879,'Pricing Table - eff 27-Jan-2026'!$A:$Q,16,FALSE)</f>
        <v>#N/A</v>
      </c>
      <c r="T879" s="57" t="e">
        <f>VLOOKUP(I879,'Pricing Table - eff 27-Jan-2026'!$A:$O,15,FALSE)</f>
        <v>#N/A</v>
      </c>
      <c r="U879" s="57" t="e">
        <f t="shared" si="37"/>
        <v>#N/A</v>
      </c>
      <c r="V879" s="111" t="e">
        <f t="shared" si="36"/>
        <v>#N/A</v>
      </c>
      <c r="W879" s="55" t="e">
        <f>VLOOKUP($I879,'Pricing Table - eff 27-Jan-2026'!$A:$R,18,FALSE)</f>
        <v>#N/A</v>
      </c>
    </row>
    <row r="880" spans="1:23" hidden="1" x14ac:dyDescent="0.3">
      <c r="A880" s="55"/>
      <c r="B880" s="55"/>
      <c r="C880" s="55">
        <f>VLOOKUP(A880&amp;"-"&amp;B880,'Order Summary'!$D:$E,2,FALSE)</f>
        <v>0</v>
      </c>
      <c r="D880" s="216" t="str">
        <f>IF($A880="","",VLOOKUP($A880&amp;"-"&amp;$B880,'Order Summary'!$D:$U,3,FALSE))</f>
        <v/>
      </c>
      <c r="E880" s="55" t="str">
        <f>VLOOKUP(A880&amp;"-"&amp;B880,'Order Summary'!$D:$G,4,FALSE)</f>
        <v>Yes</v>
      </c>
      <c r="F880" s="55" t="e">
        <f>VLOOKUP($A880,'Order Summary'!$B:$I,8,FALSE)</f>
        <v>#N/A</v>
      </c>
      <c r="G880" s="216" t="str">
        <f>IF($A880="","",VLOOKUP($A880&amp;"-"&amp;$B880,'Order Summary'!$D:$U,18,FALSE))</f>
        <v/>
      </c>
      <c r="H880" s="55"/>
      <c r="I880" s="55"/>
      <c r="J880" s="55" t="e">
        <f>VLOOKUP($I880,'Pricing Table - eff 27-Jan-2026'!$A:$R,2,FALSE)</f>
        <v>#N/A</v>
      </c>
      <c r="K880" s="55" t="e">
        <f>VLOOKUP($I880,'Pricing Table - eff 27-Jan-2026'!$A:$R,6,FALSE)&amp;" "&amp;VLOOKUP($I880,'Pricing Table - eff 27-Jan-2026'!$A:$R,7,FALSE)&amp;""" x "&amp;VLOOKUP($I880,'Pricing Table - eff 27-Jan-2026'!$A:$R,9,FALSE)&amp;""" "&amp;VLOOKUP($I880,'Pricing Table - eff 27-Jan-2026'!$A:$R,5,FALSE)</f>
        <v>#N/A</v>
      </c>
      <c r="L880" s="55" t="e">
        <f>VLOOKUP($I880,'Pricing Table - eff 27-Jan-2026'!$A:$K,8,FALSE)</f>
        <v>#N/A</v>
      </c>
      <c r="M880" s="55" t="e">
        <f>VLOOKUP($I880,'Pricing Table - eff 27-Jan-2026'!$A:$K,10,FALSE)</f>
        <v>#N/A</v>
      </c>
      <c r="N880" s="55" t="e">
        <f>VLOOKUP($I880,'Pricing Table - eff 27-Jan-2026'!$A:$R,13,FALSE)&amp;" "&amp;VLOOKUP($I880,'Pricing Table - eff 27-Jan-2026'!$A:$R,12,FALSE)</f>
        <v>#N/A</v>
      </c>
      <c r="O880" s="56"/>
      <c r="P880" s="55" t="e">
        <f>(VLOOKUP($I880,'Pricing Table - eff 27-Jan-2026'!$A:$R,8,FALSE)/1000)*(VLOOKUP($I880,'Pricing Table - eff 27-Jan-2026'!$A:$R,10,FALSE)/1000)*Q880</f>
        <v>#N/A</v>
      </c>
      <c r="Q880" s="55" t="e">
        <f>ROUND(('Order Details'!$O880*1000)/((VLOOKUP($I880,'Pricing Table - eff 27-Jan-2026'!$A:$Q,7,FALSE)/12)*(VLOOKUP($I880,'Pricing Table - eff 27-Jan-2026'!$A:$Q,9,FALSE)/12))/5,0)*5</f>
        <v>#N/A</v>
      </c>
      <c r="R880" s="71" t="e">
        <f>$Q880/IFERROR(VLOOKUP($F880&amp;RIGHT($K880,8),'Master Data'!$O$5:$P$10,2,FALSE),'Master Data'!$P$4)</f>
        <v>#N/A</v>
      </c>
      <c r="S880" s="57" t="e">
        <f>VLOOKUP($I880,'Pricing Table - eff 27-Jan-2026'!$A:$Q,16,FALSE)</f>
        <v>#N/A</v>
      </c>
      <c r="T880" s="57" t="e">
        <f>VLOOKUP(I880,'Pricing Table - eff 27-Jan-2026'!$A:$O,15,FALSE)</f>
        <v>#N/A</v>
      </c>
      <c r="U880" s="57" t="e">
        <f t="shared" si="37"/>
        <v>#N/A</v>
      </c>
      <c r="V880" s="111" t="e">
        <f t="shared" si="36"/>
        <v>#N/A</v>
      </c>
      <c r="W880" s="55" t="e">
        <f>VLOOKUP($I880,'Pricing Table - eff 27-Jan-2026'!$A:$R,18,FALSE)</f>
        <v>#N/A</v>
      </c>
    </row>
    <row r="881" spans="1:23" hidden="1" x14ac:dyDescent="0.3">
      <c r="A881" s="55"/>
      <c r="B881" s="55"/>
      <c r="C881" s="55">
        <f>VLOOKUP(A881&amp;"-"&amp;B881,'Order Summary'!$D:$E,2,FALSE)</f>
        <v>0</v>
      </c>
      <c r="D881" s="216" t="str">
        <f>IF($A881="","",VLOOKUP($A881&amp;"-"&amp;$B881,'Order Summary'!$D:$U,3,FALSE))</f>
        <v/>
      </c>
      <c r="E881" s="55" t="str">
        <f>VLOOKUP(A881&amp;"-"&amp;B881,'Order Summary'!$D:$G,4,FALSE)</f>
        <v>Yes</v>
      </c>
      <c r="F881" s="55" t="e">
        <f>VLOOKUP($A881,'Order Summary'!$B:$I,8,FALSE)</f>
        <v>#N/A</v>
      </c>
      <c r="G881" s="216" t="str">
        <f>IF($A881="","",VLOOKUP($A881&amp;"-"&amp;$B881,'Order Summary'!$D:$U,18,FALSE))</f>
        <v/>
      </c>
      <c r="H881" s="55"/>
      <c r="I881" s="55"/>
      <c r="J881" s="55" t="e">
        <f>VLOOKUP($I881,'Pricing Table - eff 27-Jan-2026'!$A:$R,2,FALSE)</f>
        <v>#N/A</v>
      </c>
      <c r="K881" s="55" t="e">
        <f>VLOOKUP($I881,'Pricing Table - eff 27-Jan-2026'!$A:$R,6,FALSE)&amp;" "&amp;VLOOKUP($I881,'Pricing Table - eff 27-Jan-2026'!$A:$R,7,FALSE)&amp;""" x "&amp;VLOOKUP($I881,'Pricing Table - eff 27-Jan-2026'!$A:$R,9,FALSE)&amp;""" "&amp;VLOOKUP($I881,'Pricing Table - eff 27-Jan-2026'!$A:$R,5,FALSE)</f>
        <v>#N/A</v>
      </c>
      <c r="L881" s="55" t="e">
        <f>VLOOKUP($I881,'Pricing Table - eff 27-Jan-2026'!$A:$K,8,FALSE)</f>
        <v>#N/A</v>
      </c>
      <c r="M881" s="55" t="e">
        <f>VLOOKUP($I881,'Pricing Table - eff 27-Jan-2026'!$A:$K,10,FALSE)</f>
        <v>#N/A</v>
      </c>
      <c r="N881" s="55" t="e">
        <f>VLOOKUP($I881,'Pricing Table - eff 27-Jan-2026'!$A:$R,13,FALSE)&amp;" "&amp;VLOOKUP($I881,'Pricing Table - eff 27-Jan-2026'!$A:$R,12,FALSE)</f>
        <v>#N/A</v>
      </c>
      <c r="O881" s="56"/>
      <c r="P881" s="55" t="e">
        <f>(VLOOKUP($I881,'Pricing Table - eff 27-Jan-2026'!$A:$R,8,FALSE)/1000)*(VLOOKUP($I881,'Pricing Table - eff 27-Jan-2026'!$A:$R,10,FALSE)/1000)*Q881</f>
        <v>#N/A</v>
      </c>
      <c r="Q881" s="55" t="e">
        <f>ROUND(('Order Details'!$O881*1000)/((VLOOKUP($I881,'Pricing Table - eff 27-Jan-2026'!$A:$Q,7,FALSE)/12)*(VLOOKUP($I881,'Pricing Table - eff 27-Jan-2026'!$A:$Q,9,FALSE)/12))/5,0)*5</f>
        <v>#N/A</v>
      </c>
      <c r="R881" s="71" t="e">
        <f>$Q881/IFERROR(VLOOKUP($F881&amp;RIGHT($K881,8),'Master Data'!$O$5:$P$10,2,FALSE),'Master Data'!$P$4)</f>
        <v>#N/A</v>
      </c>
      <c r="S881" s="57" t="e">
        <f>VLOOKUP($I881,'Pricing Table - eff 27-Jan-2026'!$A:$Q,16,FALSE)</f>
        <v>#N/A</v>
      </c>
      <c r="T881" s="57" t="e">
        <f>VLOOKUP(I881,'Pricing Table - eff 27-Jan-2026'!$A:$O,15,FALSE)</f>
        <v>#N/A</v>
      </c>
      <c r="U881" s="57" t="e">
        <f t="shared" si="37"/>
        <v>#N/A</v>
      </c>
      <c r="V881" s="111" t="e">
        <f t="shared" si="36"/>
        <v>#N/A</v>
      </c>
      <c r="W881" s="55" t="e">
        <f>VLOOKUP($I881,'Pricing Table - eff 27-Jan-2026'!$A:$R,18,FALSE)</f>
        <v>#N/A</v>
      </c>
    </row>
    <row r="882" spans="1:23" hidden="1" x14ac:dyDescent="0.3">
      <c r="A882" s="55"/>
      <c r="B882" s="55"/>
      <c r="C882" s="55">
        <f>VLOOKUP(A882&amp;"-"&amp;B882,'Order Summary'!$D:$E,2,FALSE)</f>
        <v>0</v>
      </c>
      <c r="D882" s="216" t="str">
        <f>IF($A882="","",VLOOKUP($A882&amp;"-"&amp;$B882,'Order Summary'!$D:$U,3,FALSE))</f>
        <v/>
      </c>
      <c r="E882" s="55" t="str">
        <f>VLOOKUP(A882&amp;"-"&amp;B882,'Order Summary'!$D:$G,4,FALSE)</f>
        <v>Yes</v>
      </c>
      <c r="F882" s="55" t="e">
        <f>VLOOKUP($A882,'Order Summary'!$B:$I,8,FALSE)</f>
        <v>#N/A</v>
      </c>
      <c r="G882" s="216" t="str">
        <f>IF($A882="","",VLOOKUP($A882&amp;"-"&amp;$B882,'Order Summary'!$D:$U,18,FALSE))</f>
        <v/>
      </c>
      <c r="H882" s="55"/>
      <c r="I882" s="55"/>
      <c r="J882" s="55" t="e">
        <f>VLOOKUP($I882,'Pricing Table - eff 27-Jan-2026'!$A:$R,2,FALSE)</f>
        <v>#N/A</v>
      </c>
      <c r="K882" s="55" t="e">
        <f>VLOOKUP($I882,'Pricing Table - eff 27-Jan-2026'!$A:$R,6,FALSE)&amp;" "&amp;VLOOKUP($I882,'Pricing Table - eff 27-Jan-2026'!$A:$R,7,FALSE)&amp;""" x "&amp;VLOOKUP($I882,'Pricing Table - eff 27-Jan-2026'!$A:$R,9,FALSE)&amp;""" "&amp;VLOOKUP($I882,'Pricing Table - eff 27-Jan-2026'!$A:$R,5,FALSE)</f>
        <v>#N/A</v>
      </c>
      <c r="L882" s="55" t="e">
        <f>VLOOKUP($I882,'Pricing Table - eff 27-Jan-2026'!$A:$K,8,FALSE)</f>
        <v>#N/A</v>
      </c>
      <c r="M882" s="55" t="e">
        <f>VLOOKUP($I882,'Pricing Table - eff 27-Jan-2026'!$A:$K,10,FALSE)</f>
        <v>#N/A</v>
      </c>
      <c r="N882" s="55" t="e">
        <f>VLOOKUP($I882,'Pricing Table - eff 27-Jan-2026'!$A:$R,13,FALSE)&amp;" "&amp;VLOOKUP($I882,'Pricing Table - eff 27-Jan-2026'!$A:$R,12,FALSE)</f>
        <v>#N/A</v>
      </c>
      <c r="O882" s="56"/>
      <c r="P882" s="55" t="e">
        <f>(VLOOKUP($I882,'Pricing Table - eff 27-Jan-2026'!$A:$R,8,FALSE)/1000)*(VLOOKUP($I882,'Pricing Table - eff 27-Jan-2026'!$A:$R,10,FALSE)/1000)*Q882</f>
        <v>#N/A</v>
      </c>
      <c r="Q882" s="55" t="e">
        <f>ROUND(('Order Details'!$O882*1000)/((VLOOKUP($I882,'Pricing Table - eff 27-Jan-2026'!$A:$Q,7,FALSE)/12)*(VLOOKUP($I882,'Pricing Table - eff 27-Jan-2026'!$A:$Q,9,FALSE)/12))/5,0)*5</f>
        <v>#N/A</v>
      </c>
      <c r="R882" s="71" t="e">
        <f>$Q882/IFERROR(VLOOKUP($F882&amp;RIGHT($K882,8),'Master Data'!$O$5:$P$10,2,FALSE),'Master Data'!$P$4)</f>
        <v>#N/A</v>
      </c>
      <c r="S882" s="57" t="e">
        <f>VLOOKUP($I882,'Pricing Table - eff 27-Jan-2026'!$A:$Q,16,FALSE)</f>
        <v>#N/A</v>
      </c>
      <c r="T882" s="57" t="e">
        <f>VLOOKUP(I882,'Pricing Table - eff 27-Jan-2026'!$A:$O,15,FALSE)</f>
        <v>#N/A</v>
      </c>
      <c r="U882" s="57" t="e">
        <f t="shared" si="37"/>
        <v>#N/A</v>
      </c>
      <c r="V882" s="111" t="e">
        <f t="shared" si="36"/>
        <v>#N/A</v>
      </c>
      <c r="W882" s="55" t="e">
        <f>VLOOKUP($I882,'Pricing Table - eff 27-Jan-2026'!$A:$R,18,FALSE)</f>
        <v>#N/A</v>
      </c>
    </row>
    <row r="883" spans="1:23" hidden="1" x14ac:dyDescent="0.3">
      <c r="A883" s="55"/>
      <c r="B883" s="55"/>
      <c r="C883" s="55">
        <f>VLOOKUP(A883&amp;"-"&amp;B883,'Order Summary'!$D:$E,2,FALSE)</f>
        <v>0</v>
      </c>
      <c r="D883" s="216" t="str">
        <f>IF($A883="","",VLOOKUP($A883&amp;"-"&amp;$B883,'Order Summary'!$D:$U,3,FALSE))</f>
        <v/>
      </c>
      <c r="E883" s="55" t="str">
        <f>VLOOKUP(A883&amp;"-"&amp;B883,'Order Summary'!$D:$G,4,FALSE)</f>
        <v>Yes</v>
      </c>
      <c r="F883" s="55" t="e">
        <f>VLOOKUP($A883,'Order Summary'!$B:$I,8,FALSE)</f>
        <v>#N/A</v>
      </c>
      <c r="G883" s="216" t="str">
        <f>IF($A883="","",VLOOKUP($A883&amp;"-"&amp;$B883,'Order Summary'!$D:$U,18,FALSE))</f>
        <v/>
      </c>
      <c r="H883" s="55"/>
      <c r="I883" s="55"/>
      <c r="J883" s="55" t="e">
        <f>VLOOKUP($I883,'Pricing Table - eff 27-Jan-2026'!$A:$R,2,FALSE)</f>
        <v>#N/A</v>
      </c>
      <c r="K883" s="55" t="e">
        <f>VLOOKUP($I883,'Pricing Table - eff 27-Jan-2026'!$A:$R,6,FALSE)&amp;" "&amp;VLOOKUP($I883,'Pricing Table - eff 27-Jan-2026'!$A:$R,7,FALSE)&amp;""" x "&amp;VLOOKUP($I883,'Pricing Table - eff 27-Jan-2026'!$A:$R,9,FALSE)&amp;""" "&amp;VLOOKUP($I883,'Pricing Table - eff 27-Jan-2026'!$A:$R,5,FALSE)</f>
        <v>#N/A</v>
      </c>
      <c r="L883" s="55" t="e">
        <f>VLOOKUP($I883,'Pricing Table - eff 27-Jan-2026'!$A:$K,8,FALSE)</f>
        <v>#N/A</v>
      </c>
      <c r="M883" s="55" t="e">
        <f>VLOOKUP($I883,'Pricing Table - eff 27-Jan-2026'!$A:$K,10,FALSE)</f>
        <v>#N/A</v>
      </c>
      <c r="N883" s="55" t="e">
        <f>VLOOKUP($I883,'Pricing Table - eff 27-Jan-2026'!$A:$R,13,FALSE)&amp;" "&amp;VLOOKUP($I883,'Pricing Table - eff 27-Jan-2026'!$A:$R,12,FALSE)</f>
        <v>#N/A</v>
      </c>
      <c r="O883" s="56"/>
      <c r="P883" s="55" t="e">
        <f>(VLOOKUP($I883,'Pricing Table - eff 27-Jan-2026'!$A:$R,8,FALSE)/1000)*(VLOOKUP($I883,'Pricing Table - eff 27-Jan-2026'!$A:$R,10,FALSE)/1000)*Q883</f>
        <v>#N/A</v>
      </c>
      <c r="Q883" s="55" t="e">
        <f>ROUND(('Order Details'!$O883*1000)/((VLOOKUP($I883,'Pricing Table - eff 27-Jan-2026'!$A:$Q,7,FALSE)/12)*(VLOOKUP($I883,'Pricing Table - eff 27-Jan-2026'!$A:$Q,9,FALSE)/12))/5,0)*5</f>
        <v>#N/A</v>
      </c>
      <c r="R883" s="71" t="e">
        <f>$Q883/IFERROR(VLOOKUP($F883&amp;RIGHT($K883,8),'Master Data'!$O$5:$P$10,2,FALSE),'Master Data'!$P$4)</f>
        <v>#N/A</v>
      </c>
      <c r="S883" s="57" t="e">
        <f>VLOOKUP($I883,'Pricing Table - eff 27-Jan-2026'!$A:$Q,16,FALSE)</f>
        <v>#N/A</v>
      </c>
      <c r="T883" s="57" t="e">
        <f>VLOOKUP(I883,'Pricing Table - eff 27-Jan-2026'!$A:$O,15,FALSE)</f>
        <v>#N/A</v>
      </c>
      <c r="U883" s="57" t="e">
        <f t="shared" si="37"/>
        <v>#N/A</v>
      </c>
      <c r="V883" s="111" t="e">
        <f t="shared" si="36"/>
        <v>#N/A</v>
      </c>
      <c r="W883" s="55" t="e">
        <f>VLOOKUP($I883,'Pricing Table - eff 27-Jan-2026'!$A:$R,18,FALSE)</f>
        <v>#N/A</v>
      </c>
    </row>
    <row r="884" spans="1:23" hidden="1" x14ac:dyDescent="0.3">
      <c r="A884" s="55"/>
      <c r="B884" s="55"/>
      <c r="C884" s="55">
        <f>VLOOKUP(A884&amp;"-"&amp;B884,'Order Summary'!$D:$E,2,FALSE)</f>
        <v>0</v>
      </c>
      <c r="D884" s="216" t="str">
        <f>IF($A884="","",VLOOKUP($A884&amp;"-"&amp;$B884,'Order Summary'!$D:$U,3,FALSE))</f>
        <v/>
      </c>
      <c r="E884" s="55" t="str">
        <f>VLOOKUP(A884&amp;"-"&amp;B884,'Order Summary'!$D:$G,4,FALSE)</f>
        <v>Yes</v>
      </c>
      <c r="F884" s="55" t="e">
        <f>VLOOKUP($A884,'Order Summary'!$B:$I,8,FALSE)</f>
        <v>#N/A</v>
      </c>
      <c r="G884" s="216" t="str">
        <f>IF($A884="","",VLOOKUP($A884&amp;"-"&amp;$B884,'Order Summary'!$D:$U,18,FALSE))</f>
        <v/>
      </c>
      <c r="H884" s="55"/>
      <c r="I884" s="55"/>
      <c r="J884" s="55" t="e">
        <f>VLOOKUP($I884,'Pricing Table - eff 27-Jan-2026'!$A:$R,2,FALSE)</f>
        <v>#N/A</v>
      </c>
      <c r="K884" s="55" t="e">
        <f>VLOOKUP($I884,'Pricing Table - eff 27-Jan-2026'!$A:$R,6,FALSE)&amp;" "&amp;VLOOKUP($I884,'Pricing Table - eff 27-Jan-2026'!$A:$R,7,FALSE)&amp;""" x "&amp;VLOOKUP($I884,'Pricing Table - eff 27-Jan-2026'!$A:$R,9,FALSE)&amp;""" "&amp;VLOOKUP($I884,'Pricing Table - eff 27-Jan-2026'!$A:$R,5,FALSE)</f>
        <v>#N/A</v>
      </c>
      <c r="L884" s="55" t="e">
        <f>VLOOKUP($I884,'Pricing Table - eff 27-Jan-2026'!$A:$K,8,FALSE)</f>
        <v>#N/A</v>
      </c>
      <c r="M884" s="55" t="e">
        <f>VLOOKUP($I884,'Pricing Table - eff 27-Jan-2026'!$A:$K,10,FALSE)</f>
        <v>#N/A</v>
      </c>
      <c r="N884" s="55" t="e">
        <f>VLOOKUP($I884,'Pricing Table - eff 27-Jan-2026'!$A:$R,13,FALSE)&amp;" "&amp;VLOOKUP($I884,'Pricing Table - eff 27-Jan-2026'!$A:$R,12,FALSE)</f>
        <v>#N/A</v>
      </c>
      <c r="O884" s="56"/>
      <c r="P884" s="55" t="e">
        <f>(VLOOKUP($I884,'Pricing Table - eff 27-Jan-2026'!$A:$R,8,FALSE)/1000)*(VLOOKUP($I884,'Pricing Table - eff 27-Jan-2026'!$A:$R,10,FALSE)/1000)*Q884</f>
        <v>#N/A</v>
      </c>
      <c r="Q884" s="55" t="e">
        <f>ROUND(('Order Details'!$O884*1000)/((VLOOKUP($I884,'Pricing Table - eff 27-Jan-2026'!$A:$Q,7,FALSE)/12)*(VLOOKUP($I884,'Pricing Table - eff 27-Jan-2026'!$A:$Q,9,FALSE)/12))/5,0)*5</f>
        <v>#N/A</v>
      </c>
      <c r="R884" s="71" t="e">
        <f>$Q884/IFERROR(VLOOKUP($F884&amp;RIGHT($K884,8),'Master Data'!$O$5:$P$10,2,FALSE),'Master Data'!$P$4)</f>
        <v>#N/A</v>
      </c>
      <c r="S884" s="57" t="e">
        <f>VLOOKUP($I884,'Pricing Table - eff 27-Jan-2026'!$A:$Q,16,FALSE)</f>
        <v>#N/A</v>
      </c>
      <c r="T884" s="57" t="e">
        <f>VLOOKUP(I884,'Pricing Table - eff 27-Jan-2026'!$A:$O,15,FALSE)</f>
        <v>#N/A</v>
      </c>
      <c r="U884" s="57" t="e">
        <f t="shared" si="37"/>
        <v>#N/A</v>
      </c>
      <c r="V884" s="111" t="e">
        <f t="shared" si="36"/>
        <v>#N/A</v>
      </c>
      <c r="W884" s="55" t="e">
        <f>VLOOKUP($I884,'Pricing Table - eff 27-Jan-2026'!$A:$R,18,FALSE)</f>
        <v>#N/A</v>
      </c>
    </row>
    <row r="885" spans="1:23" hidden="1" x14ac:dyDescent="0.3">
      <c r="A885" s="55"/>
      <c r="B885" s="55"/>
      <c r="C885" s="55">
        <f>VLOOKUP(A885&amp;"-"&amp;B885,'Order Summary'!$D:$E,2,FALSE)</f>
        <v>0</v>
      </c>
      <c r="D885" s="216" t="str">
        <f>IF($A885="","",VLOOKUP($A885&amp;"-"&amp;$B885,'Order Summary'!$D:$U,3,FALSE))</f>
        <v/>
      </c>
      <c r="E885" s="55" t="str">
        <f>VLOOKUP(A885&amp;"-"&amp;B885,'Order Summary'!$D:$G,4,FALSE)</f>
        <v>Yes</v>
      </c>
      <c r="F885" s="55" t="e">
        <f>VLOOKUP($A885,'Order Summary'!$B:$I,8,FALSE)</f>
        <v>#N/A</v>
      </c>
      <c r="G885" s="216" t="str">
        <f>IF($A885="","",VLOOKUP($A885&amp;"-"&amp;$B885,'Order Summary'!$D:$U,18,FALSE))</f>
        <v/>
      </c>
      <c r="H885" s="55"/>
      <c r="I885" s="55"/>
      <c r="J885" s="55" t="e">
        <f>VLOOKUP($I885,'Pricing Table - eff 27-Jan-2026'!$A:$R,2,FALSE)</f>
        <v>#N/A</v>
      </c>
      <c r="K885" s="55" t="e">
        <f>VLOOKUP($I885,'Pricing Table - eff 27-Jan-2026'!$A:$R,6,FALSE)&amp;" "&amp;VLOOKUP($I885,'Pricing Table - eff 27-Jan-2026'!$A:$R,7,FALSE)&amp;""" x "&amp;VLOOKUP($I885,'Pricing Table - eff 27-Jan-2026'!$A:$R,9,FALSE)&amp;""" "&amp;VLOOKUP($I885,'Pricing Table - eff 27-Jan-2026'!$A:$R,5,FALSE)</f>
        <v>#N/A</v>
      </c>
      <c r="L885" s="55" t="e">
        <f>VLOOKUP($I885,'Pricing Table - eff 27-Jan-2026'!$A:$K,8,FALSE)</f>
        <v>#N/A</v>
      </c>
      <c r="M885" s="55" t="e">
        <f>VLOOKUP($I885,'Pricing Table - eff 27-Jan-2026'!$A:$K,10,FALSE)</f>
        <v>#N/A</v>
      </c>
      <c r="N885" s="55" t="e">
        <f>VLOOKUP($I885,'Pricing Table - eff 27-Jan-2026'!$A:$R,13,FALSE)&amp;" "&amp;VLOOKUP($I885,'Pricing Table - eff 27-Jan-2026'!$A:$R,12,FALSE)</f>
        <v>#N/A</v>
      </c>
      <c r="O885" s="56"/>
      <c r="P885" s="55" t="e">
        <f>(VLOOKUP($I885,'Pricing Table - eff 27-Jan-2026'!$A:$R,8,FALSE)/1000)*(VLOOKUP($I885,'Pricing Table - eff 27-Jan-2026'!$A:$R,10,FALSE)/1000)*Q885</f>
        <v>#N/A</v>
      </c>
      <c r="Q885" s="55" t="e">
        <f>ROUND(('Order Details'!$O885*1000)/((VLOOKUP($I885,'Pricing Table - eff 27-Jan-2026'!$A:$Q,7,FALSE)/12)*(VLOOKUP($I885,'Pricing Table - eff 27-Jan-2026'!$A:$Q,9,FALSE)/12))/5,0)*5</f>
        <v>#N/A</v>
      </c>
      <c r="R885" s="71" t="e">
        <f>$Q885/IFERROR(VLOOKUP($F885&amp;RIGHT($K885,8),'Master Data'!$O$5:$P$10,2,FALSE),'Master Data'!$P$4)</f>
        <v>#N/A</v>
      </c>
      <c r="S885" s="57" t="e">
        <f>VLOOKUP($I885,'Pricing Table - eff 27-Jan-2026'!$A:$Q,16,FALSE)</f>
        <v>#N/A</v>
      </c>
      <c r="T885" s="57" t="e">
        <f>VLOOKUP(I885,'Pricing Table - eff 27-Jan-2026'!$A:$O,15,FALSE)</f>
        <v>#N/A</v>
      </c>
      <c r="U885" s="57" t="e">
        <f t="shared" si="37"/>
        <v>#N/A</v>
      </c>
      <c r="V885" s="111" t="e">
        <f t="shared" si="36"/>
        <v>#N/A</v>
      </c>
      <c r="W885" s="55" t="e">
        <f>VLOOKUP($I885,'Pricing Table - eff 27-Jan-2026'!$A:$R,18,FALSE)</f>
        <v>#N/A</v>
      </c>
    </row>
    <row r="886" spans="1:23" hidden="1" x14ac:dyDescent="0.3">
      <c r="A886" s="55"/>
      <c r="B886" s="55"/>
      <c r="C886" s="55">
        <f>VLOOKUP(A886&amp;"-"&amp;B886,'Order Summary'!$D:$E,2,FALSE)</f>
        <v>0</v>
      </c>
      <c r="D886" s="216" t="str">
        <f>IF($A886="","",VLOOKUP($A886&amp;"-"&amp;$B886,'Order Summary'!$D:$U,3,FALSE))</f>
        <v/>
      </c>
      <c r="E886" s="55" t="str">
        <f>VLOOKUP(A886&amp;"-"&amp;B886,'Order Summary'!$D:$G,4,FALSE)</f>
        <v>Yes</v>
      </c>
      <c r="F886" s="55" t="e">
        <f>VLOOKUP($A886,'Order Summary'!$B:$I,8,FALSE)</f>
        <v>#N/A</v>
      </c>
      <c r="G886" s="216" t="str">
        <f>IF($A886="","",VLOOKUP($A886&amp;"-"&amp;$B886,'Order Summary'!$D:$U,18,FALSE))</f>
        <v/>
      </c>
      <c r="H886" s="55"/>
      <c r="I886" s="55"/>
      <c r="J886" s="55" t="e">
        <f>VLOOKUP($I886,'Pricing Table - eff 27-Jan-2026'!$A:$R,2,FALSE)</f>
        <v>#N/A</v>
      </c>
      <c r="K886" s="55" t="e">
        <f>VLOOKUP($I886,'Pricing Table - eff 27-Jan-2026'!$A:$R,6,FALSE)&amp;" "&amp;VLOOKUP($I886,'Pricing Table - eff 27-Jan-2026'!$A:$R,7,FALSE)&amp;""" x "&amp;VLOOKUP($I886,'Pricing Table - eff 27-Jan-2026'!$A:$R,9,FALSE)&amp;""" "&amp;VLOOKUP($I886,'Pricing Table - eff 27-Jan-2026'!$A:$R,5,FALSE)</f>
        <v>#N/A</v>
      </c>
      <c r="L886" s="55" t="e">
        <f>VLOOKUP($I886,'Pricing Table - eff 27-Jan-2026'!$A:$K,8,FALSE)</f>
        <v>#N/A</v>
      </c>
      <c r="M886" s="55" t="e">
        <f>VLOOKUP($I886,'Pricing Table - eff 27-Jan-2026'!$A:$K,10,FALSE)</f>
        <v>#N/A</v>
      </c>
      <c r="N886" s="55" t="e">
        <f>VLOOKUP($I886,'Pricing Table - eff 27-Jan-2026'!$A:$R,13,FALSE)&amp;" "&amp;VLOOKUP($I886,'Pricing Table - eff 27-Jan-2026'!$A:$R,12,FALSE)</f>
        <v>#N/A</v>
      </c>
      <c r="O886" s="56"/>
      <c r="P886" s="55" t="e">
        <f>(VLOOKUP($I886,'Pricing Table - eff 27-Jan-2026'!$A:$R,8,FALSE)/1000)*(VLOOKUP($I886,'Pricing Table - eff 27-Jan-2026'!$A:$R,10,FALSE)/1000)*Q886</f>
        <v>#N/A</v>
      </c>
      <c r="Q886" s="55" t="e">
        <f>ROUND(('Order Details'!$O886*1000)/((VLOOKUP($I886,'Pricing Table - eff 27-Jan-2026'!$A:$Q,7,FALSE)/12)*(VLOOKUP($I886,'Pricing Table - eff 27-Jan-2026'!$A:$Q,9,FALSE)/12))/5,0)*5</f>
        <v>#N/A</v>
      </c>
      <c r="R886" s="71" t="e">
        <f>$Q886/IFERROR(VLOOKUP($F886&amp;RIGHT($K886,8),'Master Data'!$O$5:$P$10,2,FALSE),'Master Data'!$P$4)</f>
        <v>#N/A</v>
      </c>
      <c r="S886" s="57" t="e">
        <f>VLOOKUP($I886,'Pricing Table - eff 27-Jan-2026'!$A:$Q,16,FALSE)</f>
        <v>#N/A</v>
      </c>
      <c r="T886" s="57" t="e">
        <f>VLOOKUP(I886,'Pricing Table - eff 27-Jan-2026'!$A:$O,15,FALSE)</f>
        <v>#N/A</v>
      </c>
      <c r="U886" s="57" t="e">
        <f t="shared" si="37"/>
        <v>#N/A</v>
      </c>
      <c r="V886" s="111" t="e">
        <f t="shared" si="36"/>
        <v>#N/A</v>
      </c>
      <c r="W886" s="55" t="e">
        <f>VLOOKUP($I886,'Pricing Table - eff 27-Jan-2026'!$A:$R,18,FALSE)</f>
        <v>#N/A</v>
      </c>
    </row>
    <row r="887" spans="1:23" hidden="1" x14ac:dyDescent="0.3">
      <c r="A887" s="55"/>
      <c r="B887" s="55"/>
      <c r="C887" s="55">
        <f>VLOOKUP(A887&amp;"-"&amp;B887,'Order Summary'!$D:$E,2,FALSE)</f>
        <v>0</v>
      </c>
      <c r="D887" s="216" t="str">
        <f>IF($A887="","",VLOOKUP($A887&amp;"-"&amp;$B887,'Order Summary'!$D:$U,3,FALSE))</f>
        <v/>
      </c>
      <c r="E887" s="55" t="str">
        <f>VLOOKUP(A887&amp;"-"&amp;B887,'Order Summary'!$D:$G,4,FALSE)</f>
        <v>Yes</v>
      </c>
      <c r="F887" s="55" t="e">
        <f>VLOOKUP($A887,'Order Summary'!$B:$I,8,FALSE)</f>
        <v>#N/A</v>
      </c>
      <c r="G887" s="216" t="str">
        <f>IF($A887="","",VLOOKUP($A887&amp;"-"&amp;$B887,'Order Summary'!$D:$U,18,FALSE))</f>
        <v/>
      </c>
      <c r="H887" s="55"/>
      <c r="I887" s="55"/>
      <c r="J887" s="55" t="e">
        <f>VLOOKUP($I887,'Pricing Table - eff 27-Jan-2026'!$A:$R,2,FALSE)</f>
        <v>#N/A</v>
      </c>
      <c r="K887" s="55" t="e">
        <f>VLOOKUP($I887,'Pricing Table - eff 27-Jan-2026'!$A:$R,6,FALSE)&amp;" "&amp;VLOOKUP($I887,'Pricing Table - eff 27-Jan-2026'!$A:$R,7,FALSE)&amp;""" x "&amp;VLOOKUP($I887,'Pricing Table - eff 27-Jan-2026'!$A:$R,9,FALSE)&amp;""" "&amp;VLOOKUP($I887,'Pricing Table - eff 27-Jan-2026'!$A:$R,5,FALSE)</f>
        <v>#N/A</v>
      </c>
      <c r="L887" s="55" t="e">
        <f>VLOOKUP($I887,'Pricing Table - eff 27-Jan-2026'!$A:$K,8,FALSE)</f>
        <v>#N/A</v>
      </c>
      <c r="M887" s="55" t="e">
        <f>VLOOKUP($I887,'Pricing Table - eff 27-Jan-2026'!$A:$K,10,FALSE)</f>
        <v>#N/A</v>
      </c>
      <c r="N887" s="55" t="e">
        <f>VLOOKUP($I887,'Pricing Table - eff 27-Jan-2026'!$A:$R,13,FALSE)&amp;" "&amp;VLOOKUP($I887,'Pricing Table - eff 27-Jan-2026'!$A:$R,12,FALSE)</f>
        <v>#N/A</v>
      </c>
      <c r="O887" s="56"/>
      <c r="P887" s="55" t="e">
        <f>(VLOOKUP($I887,'Pricing Table - eff 27-Jan-2026'!$A:$R,8,FALSE)/1000)*(VLOOKUP($I887,'Pricing Table - eff 27-Jan-2026'!$A:$R,10,FALSE)/1000)*Q887</f>
        <v>#N/A</v>
      </c>
      <c r="Q887" s="55" t="e">
        <f>ROUND(('Order Details'!$O887*1000)/((VLOOKUP($I887,'Pricing Table - eff 27-Jan-2026'!$A:$Q,7,FALSE)/12)*(VLOOKUP($I887,'Pricing Table - eff 27-Jan-2026'!$A:$Q,9,FALSE)/12))/5,0)*5</f>
        <v>#N/A</v>
      </c>
      <c r="R887" s="71" t="e">
        <f>$Q887/IFERROR(VLOOKUP($F887&amp;RIGHT($K887,8),'Master Data'!$O$5:$P$10,2,FALSE),'Master Data'!$P$4)</f>
        <v>#N/A</v>
      </c>
      <c r="S887" s="57" t="e">
        <f>VLOOKUP($I887,'Pricing Table - eff 27-Jan-2026'!$A:$Q,16,FALSE)</f>
        <v>#N/A</v>
      </c>
      <c r="T887" s="57" t="e">
        <f>VLOOKUP(I887,'Pricing Table - eff 27-Jan-2026'!$A:$O,15,FALSE)</f>
        <v>#N/A</v>
      </c>
      <c r="U887" s="57" t="e">
        <f t="shared" si="37"/>
        <v>#N/A</v>
      </c>
      <c r="V887" s="111" t="e">
        <f t="shared" si="36"/>
        <v>#N/A</v>
      </c>
      <c r="W887" s="55" t="e">
        <f>VLOOKUP($I887,'Pricing Table - eff 27-Jan-2026'!$A:$R,18,FALSE)</f>
        <v>#N/A</v>
      </c>
    </row>
    <row r="888" spans="1:23" hidden="1" x14ac:dyDescent="0.3">
      <c r="A888" s="55"/>
      <c r="B888" s="55"/>
      <c r="C888" s="55">
        <f>VLOOKUP(A888&amp;"-"&amp;B888,'Order Summary'!$D:$E,2,FALSE)</f>
        <v>0</v>
      </c>
      <c r="D888" s="216" t="str">
        <f>IF($A888="","",VLOOKUP($A888&amp;"-"&amp;$B888,'Order Summary'!$D:$U,3,FALSE))</f>
        <v/>
      </c>
      <c r="E888" s="55" t="str">
        <f>VLOOKUP(A888&amp;"-"&amp;B888,'Order Summary'!$D:$G,4,FALSE)</f>
        <v>Yes</v>
      </c>
      <c r="F888" s="55" t="e">
        <f>VLOOKUP($A888,'Order Summary'!$B:$I,8,FALSE)</f>
        <v>#N/A</v>
      </c>
      <c r="G888" s="216" t="str">
        <f>IF($A888="","",VLOOKUP($A888&amp;"-"&amp;$B888,'Order Summary'!$D:$U,18,FALSE))</f>
        <v/>
      </c>
      <c r="H888" s="55"/>
      <c r="I888" s="55"/>
      <c r="J888" s="55" t="e">
        <f>VLOOKUP($I888,'Pricing Table - eff 27-Jan-2026'!$A:$R,2,FALSE)</f>
        <v>#N/A</v>
      </c>
      <c r="K888" s="55" t="e">
        <f>VLOOKUP($I888,'Pricing Table - eff 27-Jan-2026'!$A:$R,6,FALSE)&amp;" "&amp;VLOOKUP($I888,'Pricing Table - eff 27-Jan-2026'!$A:$R,7,FALSE)&amp;""" x "&amp;VLOOKUP($I888,'Pricing Table - eff 27-Jan-2026'!$A:$R,9,FALSE)&amp;""" "&amp;VLOOKUP($I888,'Pricing Table - eff 27-Jan-2026'!$A:$R,5,FALSE)</f>
        <v>#N/A</v>
      </c>
      <c r="L888" s="55" t="e">
        <f>VLOOKUP($I888,'Pricing Table - eff 27-Jan-2026'!$A:$K,8,FALSE)</f>
        <v>#N/A</v>
      </c>
      <c r="M888" s="55" t="e">
        <f>VLOOKUP($I888,'Pricing Table - eff 27-Jan-2026'!$A:$K,10,FALSE)</f>
        <v>#N/A</v>
      </c>
      <c r="N888" s="55" t="e">
        <f>VLOOKUP($I888,'Pricing Table - eff 27-Jan-2026'!$A:$R,13,FALSE)&amp;" "&amp;VLOOKUP($I888,'Pricing Table - eff 27-Jan-2026'!$A:$R,12,FALSE)</f>
        <v>#N/A</v>
      </c>
      <c r="O888" s="56"/>
      <c r="P888" s="55" t="e">
        <f>(VLOOKUP($I888,'Pricing Table - eff 27-Jan-2026'!$A:$R,8,FALSE)/1000)*(VLOOKUP($I888,'Pricing Table - eff 27-Jan-2026'!$A:$R,10,FALSE)/1000)*Q888</f>
        <v>#N/A</v>
      </c>
      <c r="Q888" s="55" t="e">
        <f>ROUND(('Order Details'!$O888*1000)/((VLOOKUP($I888,'Pricing Table - eff 27-Jan-2026'!$A:$Q,7,FALSE)/12)*(VLOOKUP($I888,'Pricing Table - eff 27-Jan-2026'!$A:$Q,9,FALSE)/12))/5,0)*5</f>
        <v>#N/A</v>
      </c>
      <c r="R888" s="71" t="e">
        <f>$Q888/IFERROR(VLOOKUP($F888&amp;RIGHT($K888,8),'Master Data'!$O$5:$P$10,2,FALSE),'Master Data'!$P$4)</f>
        <v>#N/A</v>
      </c>
      <c r="S888" s="57" t="e">
        <f>VLOOKUP($I888,'Pricing Table - eff 27-Jan-2026'!$A:$Q,16,FALSE)</f>
        <v>#N/A</v>
      </c>
      <c r="T888" s="57" t="e">
        <f>VLOOKUP(I888,'Pricing Table - eff 27-Jan-2026'!$A:$O,15,FALSE)</f>
        <v>#N/A</v>
      </c>
      <c r="U888" s="57" t="e">
        <f t="shared" si="37"/>
        <v>#N/A</v>
      </c>
      <c r="V888" s="111" t="e">
        <f t="shared" si="36"/>
        <v>#N/A</v>
      </c>
      <c r="W888" s="55" t="e">
        <f>VLOOKUP($I888,'Pricing Table - eff 27-Jan-2026'!$A:$R,18,FALSE)</f>
        <v>#N/A</v>
      </c>
    </row>
    <row r="889" spans="1:23" hidden="1" x14ac:dyDescent="0.3">
      <c r="A889" s="55"/>
      <c r="B889" s="55"/>
      <c r="C889" s="55">
        <f>VLOOKUP(A889&amp;"-"&amp;B889,'Order Summary'!$D:$E,2,FALSE)</f>
        <v>0</v>
      </c>
      <c r="D889" s="216" t="str">
        <f>IF($A889="","",VLOOKUP($A889&amp;"-"&amp;$B889,'Order Summary'!$D:$U,3,FALSE))</f>
        <v/>
      </c>
      <c r="E889" s="55" t="str">
        <f>VLOOKUP(A889&amp;"-"&amp;B889,'Order Summary'!$D:$G,4,FALSE)</f>
        <v>Yes</v>
      </c>
      <c r="F889" s="55" t="e">
        <f>VLOOKUP($A889,'Order Summary'!$B:$I,8,FALSE)</f>
        <v>#N/A</v>
      </c>
      <c r="G889" s="216" t="str">
        <f>IF($A889="","",VLOOKUP($A889&amp;"-"&amp;$B889,'Order Summary'!$D:$U,18,FALSE))</f>
        <v/>
      </c>
      <c r="H889" s="55"/>
      <c r="I889" s="55"/>
      <c r="J889" s="55" t="e">
        <f>VLOOKUP($I889,'Pricing Table - eff 27-Jan-2026'!$A:$R,2,FALSE)</f>
        <v>#N/A</v>
      </c>
      <c r="K889" s="55" t="e">
        <f>VLOOKUP($I889,'Pricing Table - eff 27-Jan-2026'!$A:$R,6,FALSE)&amp;" "&amp;VLOOKUP($I889,'Pricing Table - eff 27-Jan-2026'!$A:$R,7,FALSE)&amp;""" x "&amp;VLOOKUP($I889,'Pricing Table - eff 27-Jan-2026'!$A:$R,9,FALSE)&amp;""" "&amp;VLOOKUP($I889,'Pricing Table - eff 27-Jan-2026'!$A:$R,5,FALSE)</f>
        <v>#N/A</v>
      </c>
      <c r="L889" s="55" t="e">
        <f>VLOOKUP($I889,'Pricing Table - eff 27-Jan-2026'!$A:$K,8,FALSE)</f>
        <v>#N/A</v>
      </c>
      <c r="M889" s="55" t="e">
        <f>VLOOKUP($I889,'Pricing Table - eff 27-Jan-2026'!$A:$K,10,FALSE)</f>
        <v>#N/A</v>
      </c>
      <c r="N889" s="55" t="e">
        <f>VLOOKUP($I889,'Pricing Table - eff 27-Jan-2026'!$A:$R,13,FALSE)&amp;" "&amp;VLOOKUP($I889,'Pricing Table - eff 27-Jan-2026'!$A:$R,12,FALSE)</f>
        <v>#N/A</v>
      </c>
      <c r="O889" s="56"/>
      <c r="P889" s="55" t="e">
        <f>(VLOOKUP($I889,'Pricing Table - eff 27-Jan-2026'!$A:$R,8,FALSE)/1000)*(VLOOKUP($I889,'Pricing Table - eff 27-Jan-2026'!$A:$R,10,FALSE)/1000)*Q889</f>
        <v>#N/A</v>
      </c>
      <c r="Q889" s="55" t="e">
        <f>ROUND(('Order Details'!$O889*1000)/((VLOOKUP($I889,'Pricing Table - eff 27-Jan-2026'!$A:$Q,7,FALSE)/12)*(VLOOKUP($I889,'Pricing Table - eff 27-Jan-2026'!$A:$Q,9,FALSE)/12))/5,0)*5</f>
        <v>#N/A</v>
      </c>
      <c r="R889" s="71" t="e">
        <f>$Q889/IFERROR(VLOOKUP($F889&amp;RIGHT($K889,8),'Master Data'!$O$5:$P$10,2,FALSE),'Master Data'!$P$4)</f>
        <v>#N/A</v>
      </c>
      <c r="S889" s="57" t="e">
        <f>VLOOKUP($I889,'Pricing Table - eff 27-Jan-2026'!$A:$Q,16,FALSE)</f>
        <v>#N/A</v>
      </c>
      <c r="T889" s="57" t="e">
        <f>VLOOKUP(I889,'Pricing Table - eff 27-Jan-2026'!$A:$O,15,FALSE)</f>
        <v>#N/A</v>
      </c>
      <c r="U889" s="57" t="e">
        <f t="shared" si="37"/>
        <v>#N/A</v>
      </c>
      <c r="V889" s="111" t="e">
        <f t="shared" si="36"/>
        <v>#N/A</v>
      </c>
      <c r="W889" s="55" t="e">
        <f>VLOOKUP($I889,'Pricing Table - eff 27-Jan-2026'!$A:$R,18,FALSE)</f>
        <v>#N/A</v>
      </c>
    </row>
    <row r="890" spans="1:23" hidden="1" x14ac:dyDescent="0.3">
      <c r="A890" s="55"/>
      <c r="B890" s="55"/>
      <c r="C890" s="55">
        <f>VLOOKUP(A890&amp;"-"&amp;B890,'Order Summary'!$D:$E,2,FALSE)</f>
        <v>0</v>
      </c>
      <c r="D890" s="216" t="str">
        <f>IF($A890="","",VLOOKUP($A890&amp;"-"&amp;$B890,'Order Summary'!$D:$U,3,FALSE))</f>
        <v/>
      </c>
      <c r="E890" s="55" t="str">
        <f>VLOOKUP(A890&amp;"-"&amp;B890,'Order Summary'!$D:$G,4,FALSE)</f>
        <v>Yes</v>
      </c>
      <c r="F890" s="55" t="e">
        <f>VLOOKUP($A890,'Order Summary'!$B:$I,8,FALSE)</f>
        <v>#N/A</v>
      </c>
      <c r="G890" s="216" t="str">
        <f>IF($A890="","",VLOOKUP($A890&amp;"-"&amp;$B890,'Order Summary'!$D:$U,18,FALSE))</f>
        <v/>
      </c>
      <c r="H890" s="55"/>
      <c r="I890" s="55"/>
      <c r="J890" s="55" t="e">
        <f>VLOOKUP($I890,'Pricing Table - eff 27-Jan-2026'!$A:$R,2,FALSE)</f>
        <v>#N/A</v>
      </c>
      <c r="K890" s="55" t="e">
        <f>VLOOKUP($I890,'Pricing Table - eff 27-Jan-2026'!$A:$R,6,FALSE)&amp;" "&amp;VLOOKUP($I890,'Pricing Table - eff 27-Jan-2026'!$A:$R,7,FALSE)&amp;""" x "&amp;VLOOKUP($I890,'Pricing Table - eff 27-Jan-2026'!$A:$R,9,FALSE)&amp;""" "&amp;VLOOKUP($I890,'Pricing Table - eff 27-Jan-2026'!$A:$R,5,FALSE)</f>
        <v>#N/A</v>
      </c>
      <c r="L890" s="55" t="e">
        <f>VLOOKUP($I890,'Pricing Table - eff 27-Jan-2026'!$A:$K,8,FALSE)</f>
        <v>#N/A</v>
      </c>
      <c r="M890" s="55" t="e">
        <f>VLOOKUP($I890,'Pricing Table - eff 27-Jan-2026'!$A:$K,10,FALSE)</f>
        <v>#N/A</v>
      </c>
      <c r="N890" s="55" t="e">
        <f>VLOOKUP($I890,'Pricing Table - eff 27-Jan-2026'!$A:$R,13,FALSE)&amp;" "&amp;VLOOKUP($I890,'Pricing Table - eff 27-Jan-2026'!$A:$R,12,FALSE)</f>
        <v>#N/A</v>
      </c>
      <c r="O890" s="56"/>
      <c r="P890" s="55" t="e">
        <f>(VLOOKUP($I890,'Pricing Table - eff 27-Jan-2026'!$A:$R,8,FALSE)/1000)*(VLOOKUP($I890,'Pricing Table - eff 27-Jan-2026'!$A:$R,10,FALSE)/1000)*Q890</f>
        <v>#N/A</v>
      </c>
      <c r="Q890" s="55" t="e">
        <f>ROUND(('Order Details'!$O890*1000)/((VLOOKUP($I890,'Pricing Table - eff 27-Jan-2026'!$A:$Q,7,FALSE)/12)*(VLOOKUP($I890,'Pricing Table - eff 27-Jan-2026'!$A:$Q,9,FALSE)/12))/5,0)*5</f>
        <v>#N/A</v>
      </c>
      <c r="R890" s="71" t="e">
        <f>$Q890/IFERROR(VLOOKUP($F890&amp;RIGHT($K890,8),'Master Data'!$O$5:$P$10,2,FALSE),'Master Data'!$P$4)</f>
        <v>#N/A</v>
      </c>
      <c r="S890" s="57" t="e">
        <f>VLOOKUP($I890,'Pricing Table - eff 27-Jan-2026'!$A:$Q,16,FALSE)</f>
        <v>#N/A</v>
      </c>
      <c r="T890" s="57" t="e">
        <f>VLOOKUP(I890,'Pricing Table - eff 27-Jan-2026'!$A:$O,15,FALSE)</f>
        <v>#N/A</v>
      </c>
      <c r="U890" s="57" t="e">
        <f t="shared" si="37"/>
        <v>#N/A</v>
      </c>
      <c r="V890" s="111" t="e">
        <f t="shared" si="36"/>
        <v>#N/A</v>
      </c>
      <c r="W890" s="55" t="e">
        <f>VLOOKUP($I890,'Pricing Table - eff 27-Jan-2026'!$A:$R,18,FALSE)</f>
        <v>#N/A</v>
      </c>
    </row>
    <row r="891" spans="1:23" hidden="1" x14ac:dyDescent="0.3">
      <c r="A891" s="55"/>
      <c r="B891" s="55"/>
      <c r="C891" s="55">
        <f>VLOOKUP(A891&amp;"-"&amp;B891,'Order Summary'!$D:$E,2,FALSE)</f>
        <v>0</v>
      </c>
      <c r="D891" s="216" t="str">
        <f>IF($A891="","",VLOOKUP($A891&amp;"-"&amp;$B891,'Order Summary'!$D:$U,3,FALSE))</f>
        <v/>
      </c>
      <c r="E891" s="55" t="str">
        <f>VLOOKUP(A891&amp;"-"&amp;B891,'Order Summary'!$D:$G,4,FALSE)</f>
        <v>Yes</v>
      </c>
      <c r="F891" s="55" t="e">
        <f>VLOOKUP($A891,'Order Summary'!$B:$I,8,FALSE)</f>
        <v>#N/A</v>
      </c>
      <c r="G891" s="216" t="str">
        <f>IF($A891="","",VLOOKUP($A891&amp;"-"&amp;$B891,'Order Summary'!$D:$U,18,FALSE))</f>
        <v/>
      </c>
      <c r="H891" s="55"/>
      <c r="I891" s="55"/>
      <c r="J891" s="55" t="e">
        <f>VLOOKUP($I891,'Pricing Table - eff 27-Jan-2026'!$A:$R,2,FALSE)</f>
        <v>#N/A</v>
      </c>
      <c r="K891" s="55" t="e">
        <f>VLOOKUP($I891,'Pricing Table - eff 27-Jan-2026'!$A:$R,6,FALSE)&amp;" "&amp;VLOOKUP($I891,'Pricing Table - eff 27-Jan-2026'!$A:$R,7,FALSE)&amp;""" x "&amp;VLOOKUP($I891,'Pricing Table - eff 27-Jan-2026'!$A:$R,9,FALSE)&amp;""" "&amp;VLOOKUP($I891,'Pricing Table - eff 27-Jan-2026'!$A:$R,5,FALSE)</f>
        <v>#N/A</v>
      </c>
      <c r="L891" s="55" t="e">
        <f>VLOOKUP($I891,'Pricing Table - eff 27-Jan-2026'!$A:$K,8,FALSE)</f>
        <v>#N/A</v>
      </c>
      <c r="M891" s="55" t="e">
        <f>VLOOKUP($I891,'Pricing Table - eff 27-Jan-2026'!$A:$K,10,FALSE)</f>
        <v>#N/A</v>
      </c>
      <c r="N891" s="55" t="e">
        <f>VLOOKUP($I891,'Pricing Table - eff 27-Jan-2026'!$A:$R,13,FALSE)&amp;" "&amp;VLOOKUP($I891,'Pricing Table - eff 27-Jan-2026'!$A:$R,12,FALSE)</f>
        <v>#N/A</v>
      </c>
      <c r="O891" s="56"/>
      <c r="P891" s="55" t="e">
        <f>(VLOOKUP($I891,'Pricing Table - eff 27-Jan-2026'!$A:$R,8,FALSE)/1000)*(VLOOKUP($I891,'Pricing Table - eff 27-Jan-2026'!$A:$R,10,FALSE)/1000)*Q891</f>
        <v>#N/A</v>
      </c>
      <c r="Q891" s="55" t="e">
        <f>ROUND(('Order Details'!$O891*1000)/((VLOOKUP($I891,'Pricing Table - eff 27-Jan-2026'!$A:$Q,7,FALSE)/12)*(VLOOKUP($I891,'Pricing Table - eff 27-Jan-2026'!$A:$Q,9,FALSE)/12))/5,0)*5</f>
        <v>#N/A</v>
      </c>
      <c r="R891" s="71" t="e">
        <f>$Q891/IFERROR(VLOOKUP($F891&amp;RIGHT($K891,8),'Master Data'!$O$5:$P$10,2,FALSE),'Master Data'!$P$4)</f>
        <v>#N/A</v>
      </c>
      <c r="S891" s="57" t="e">
        <f>VLOOKUP($I891,'Pricing Table - eff 27-Jan-2026'!$A:$Q,16,FALSE)</f>
        <v>#N/A</v>
      </c>
      <c r="T891" s="57" t="e">
        <f>VLOOKUP(I891,'Pricing Table - eff 27-Jan-2026'!$A:$O,15,FALSE)</f>
        <v>#N/A</v>
      </c>
      <c r="U891" s="57" t="e">
        <f t="shared" si="37"/>
        <v>#N/A</v>
      </c>
      <c r="V891" s="111" t="e">
        <f t="shared" si="36"/>
        <v>#N/A</v>
      </c>
      <c r="W891" s="55" t="e">
        <f>VLOOKUP($I891,'Pricing Table - eff 27-Jan-2026'!$A:$R,18,FALSE)</f>
        <v>#N/A</v>
      </c>
    </row>
    <row r="892" spans="1:23" hidden="1" x14ac:dyDescent="0.3">
      <c r="A892" s="55"/>
      <c r="B892" s="55"/>
      <c r="C892" s="55">
        <f>VLOOKUP(A892&amp;"-"&amp;B892,'Order Summary'!$D:$E,2,FALSE)</f>
        <v>0</v>
      </c>
      <c r="D892" s="216" t="str">
        <f>IF($A892="","",VLOOKUP($A892&amp;"-"&amp;$B892,'Order Summary'!$D:$U,3,FALSE))</f>
        <v/>
      </c>
      <c r="E892" s="55" t="str">
        <f>VLOOKUP(A892&amp;"-"&amp;B892,'Order Summary'!$D:$G,4,FALSE)</f>
        <v>Yes</v>
      </c>
      <c r="F892" s="55" t="e">
        <f>VLOOKUP($A892,'Order Summary'!$B:$I,8,FALSE)</f>
        <v>#N/A</v>
      </c>
      <c r="G892" s="216" t="str">
        <f>IF($A892="","",VLOOKUP($A892&amp;"-"&amp;$B892,'Order Summary'!$D:$U,18,FALSE))</f>
        <v/>
      </c>
      <c r="H892" s="55"/>
      <c r="I892" s="55"/>
      <c r="J892" s="55" t="e">
        <f>VLOOKUP($I892,'Pricing Table - eff 27-Jan-2026'!$A:$R,2,FALSE)</f>
        <v>#N/A</v>
      </c>
      <c r="K892" s="55" t="e">
        <f>VLOOKUP($I892,'Pricing Table - eff 27-Jan-2026'!$A:$R,6,FALSE)&amp;" "&amp;VLOOKUP($I892,'Pricing Table - eff 27-Jan-2026'!$A:$R,7,FALSE)&amp;""" x "&amp;VLOOKUP($I892,'Pricing Table - eff 27-Jan-2026'!$A:$R,9,FALSE)&amp;""" "&amp;VLOOKUP($I892,'Pricing Table - eff 27-Jan-2026'!$A:$R,5,FALSE)</f>
        <v>#N/A</v>
      </c>
      <c r="L892" s="55" t="e">
        <f>VLOOKUP($I892,'Pricing Table - eff 27-Jan-2026'!$A:$K,8,FALSE)</f>
        <v>#N/A</v>
      </c>
      <c r="M892" s="55" t="e">
        <f>VLOOKUP($I892,'Pricing Table - eff 27-Jan-2026'!$A:$K,10,FALSE)</f>
        <v>#N/A</v>
      </c>
      <c r="N892" s="55" t="e">
        <f>VLOOKUP($I892,'Pricing Table - eff 27-Jan-2026'!$A:$R,13,FALSE)&amp;" "&amp;VLOOKUP($I892,'Pricing Table - eff 27-Jan-2026'!$A:$R,12,FALSE)</f>
        <v>#N/A</v>
      </c>
      <c r="O892" s="56"/>
      <c r="P892" s="55" t="e">
        <f>(VLOOKUP($I892,'Pricing Table - eff 27-Jan-2026'!$A:$R,8,FALSE)/1000)*(VLOOKUP($I892,'Pricing Table - eff 27-Jan-2026'!$A:$R,10,FALSE)/1000)*Q892</f>
        <v>#N/A</v>
      </c>
      <c r="Q892" s="55" t="e">
        <f>ROUND(('Order Details'!$O892*1000)/((VLOOKUP($I892,'Pricing Table - eff 27-Jan-2026'!$A:$Q,7,FALSE)/12)*(VLOOKUP($I892,'Pricing Table - eff 27-Jan-2026'!$A:$Q,9,FALSE)/12))/5,0)*5</f>
        <v>#N/A</v>
      </c>
      <c r="R892" s="71" t="e">
        <f>$Q892/IFERROR(VLOOKUP($F892&amp;RIGHT($K892,8),'Master Data'!$O$5:$P$10,2,FALSE),'Master Data'!$P$4)</f>
        <v>#N/A</v>
      </c>
      <c r="S892" s="57" t="e">
        <f>VLOOKUP($I892,'Pricing Table - eff 27-Jan-2026'!$A:$Q,16,FALSE)</f>
        <v>#N/A</v>
      </c>
      <c r="T892" s="57" t="e">
        <f>VLOOKUP(I892,'Pricing Table - eff 27-Jan-2026'!$A:$O,15,FALSE)</f>
        <v>#N/A</v>
      </c>
      <c r="U892" s="57" t="e">
        <f t="shared" si="37"/>
        <v>#N/A</v>
      </c>
      <c r="V892" s="111" t="e">
        <f t="shared" si="36"/>
        <v>#N/A</v>
      </c>
      <c r="W892" s="55" t="e">
        <f>VLOOKUP($I892,'Pricing Table - eff 27-Jan-2026'!$A:$R,18,FALSE)</f>
        <v>#N/A</v>
      </c>
    </row>
    <row r="893" spans="1:23" hidden="1" x14ac:dyDescent="0.3">
      <c r="A893" s="55"/>
      <c r="B893" s="55"/>
      <c r="C893" s="55">
        <f>VLOOKUP(A893&amp;"-"&amp;B893,'Order Summary'!$D:$E,2,FALSE)</f>
        <v>0</v>
      </c>
      <c r="D893" s="216" t="str">
        <f>IF($A893="","",VLOOKUP($A893&amp;"-"&amp;$B893,'Order Summary'!$D:$U,3,FALSE))</f>
        <v/>
      </c>
      <c r="E893" s="55" t="str">
        <f>VLOOKUP(A893&amp;"-"&amp;B893,'Order Summary'!$D:$G,4,FALSE)</f>
        <v>Yes</v>
      </c>
      <c r="F893" s="55" t="e">
        <f>VLOOKUP($A893,'Order Summary'!$B:$I,8,FALSE)</f>
        <v>#N/A</v>
      </c>
      <c r="G893" s="216" t="str">
        <f>IF($A893="","",VLOOKUP($A893&amp;"-"&amp;$B893,'Order Summary'!$D:$U,18,FALSE))</f>
        <v/>
      </c>
      <c r="H893" s="55"/>
      <c r="I893" s="55"/>
      <c r="J893" s="55" t="e">
        <f>VLOOKUP($I893,'Pricing Table - eff 27-Jan-2026'!$A:$R,2,FALSE)</f>
        <v>#N/A</v>
      </c>
      <c r="K893" s="55" t="e">
        <f>VLOOKUP($I893,'Pricing Table - eff 27-Jan-2026'!$A:$R,6,FALSE)&amp;" "&amp;VLOOKUP($I893,'Pricing Table - eff 27-Jan-2026'!$A:$R,7,FALSE)&amp;""" x "&amp;VLOOKUP($I893,'Pricing Table - eff 27-Jan-2026'!$A:$R,9,FALSE)&amp;""" "&amp;VLOOKUP($I893,'Pricing Table - eff 27-Jan-2026'!$A:$R,5,FALSE)</f>
        <v>#N/A</v>
      </c>
      <c r="L893" s="55" t="e">
        <f>VLOOKUP($I893,'Pricing Table - eff 27-Jan-2026'!$A:$K,8,FALSE)</f>
        <v>#N/A</v>
      </c>
      <c r="M893" s="55" t="e">
        <f>VLOOKUP($I893,'Pricing Table - eff 27-Jan-2026'!$A:$K,10,FALSE)</f>
        <v>#N/A</v>
      </c>
      <c r="N893" s="55" t="e">
        <f>VLOOKUP($I893,'Pricing Table - eff 27-Jan-2026'!$A:$R,13,FALSE)&amp;" "&amp;VLOOKUP($I893,'Pricing Table - eff 27-Jan-2026'!$A:$R,12,FALSE)</f>
        <v>#N/A</v>
      </c>
      <c r="O893" s="56"/>
      <c r="P893" s="55" t="e">
        <f>(VLOOKUP($I893,'Pricing Table - eff 27-Jan-2026'!$A:$R,8,FALSE)/1000)*(VLOOKUP($I893,'Pricing Table - eff 27-Jan-2026'!$A:$R,10,FALSE)/1000)*Q893</f>
        <v>#N/A</v>
      </c>
      <c r="Q893" s="55" t="e">
        <f>ROUND(('Order Details'!$O893*1000)/((VLOOKUP($I893,'Pricing Table - eff 27-Jan-2026'!$A:$Q,7,FALSE)/12)*(VLOOKUP($I893,'Pricing Table - eff 27-Jan-2026'!$A:$Q,9,FALSE)/12))/5,0)*5</f>
        <v>#N/A</v>
      </c>
      <c r="R893" s="71" t="e">
        <f>$Q893/IFERROR(VLOOKUP($F893&amp;RIGHT($K893,8),'Master Data'!$O$5:$P$10,2,FALSE),'Master Data'!$P$4)</f>
        <v>#N/A</v>
      </c>
      <c r="S893" s="57" t="e">
        <f>VLOOKUP($I893,'Pricing Table - eff 27-Jan-2026'!$A:$Q,16,FALSE)</f>
        <v>#N/A</v>
      </c>
      <c r="T893" s="57" t="e">
        <f>VLOOKUP(I893,'Pricing Table - eff 27-Jan-2026'!$A:$O,15,FALSE)</f>
        <v>#N/A</v>
      </c>
      <c r="U893" s="57" t="e">
        <f t="shared" si="37"/>
        <v>#N/A</v>
      </c>
      <c r="V893" s="111" t="e">
        <f t="shared" si="36"/>
        <v>#N/A</v>
      </c>
      <c r="W893" s="55" t="e">
        <f>VLOOKUP($I893,'Pricing Table - eff 27-Jan-2026'!$A:$R,18,FALSE)</f>
        <v>#N/A</v>
      </c>
    </row>
    <row r="894" spans="1:23" hidden="1" x14ac:dyDescent="0.3">
      <c r="A894" s="55"/>
      <c r="B894" s="55"/>
      <c r="C894" s="55">
        <f>VLOOKUP(A894&amp;"-"&amp;B894,'Order Summary'!$D:$E,2,FALSE)</f>
        <v>0</v>
      </c>
      <c r="D894" s="216" t="str">
        <f>IF($A894="","",VLOOKUP($A894&amp;"-"&amp;$B894,'Order Summary'!$D:$U,3,FALSE))</f>
        <v/>
      </c>
      <c r="E894" s="55" t="str">
        <f>VLOOKUP(A894&amp;"-"&amp;B894,'Order Summary'!$D:$G,4,FALSE)</f>
        <v>Yes</v>
      </c>
      <c r="F894" s="55" t="e">
        <f>VLOOKUP($A894,'Order Summary'!$B:$I,8,FALSE)</f>
        <v>#N/A</v>
      </c>
      <c r="G894" s="216" t="str">
        <f>IF($A894="","",VLOOKUP($A894&amp;"-"&amp;$B894,'Order Summary'!$D:$U,18,FALSE))</f>
        <v/>
      </c>
      <c r="H894" s="55"/>
      <c r="I894" s="55"/>
      <c r="J894" s="55" t="e">
        <f>VLOOKUP($I894,'Pricing Table - eff 27-Jan-2026'!$A:$R,2,FALSE)</f>
        <v>#N/A</v>
      </c>
      <c r="K894" s="55" t="e">
        <f>VLOOKUP($I894,'Pricing Table - eff 27-Jan-2026'!$A:$R,6,FALSE)&amp;" "&amp;VLOOKUP($I894,'Pricing Table - eff 27-Jan-2026'!$A:$R,7,FALSE)&amp;""" x "&amp;VLOOKUP($I894,'Pricing Table - eff 27-Jan-2026'!$A:$R,9,FALSE)&amp;""" "&amp;VLOOKUP($I894,'Pricing Table - eff 27-Jan-2026'!$A:$R,5,FALSE)</f>
        <v>#N/A</v>
      </c>
      <c r="L894" s="55" t="e">
        <f>VLOOKUP($I894,'Pricing Table - eff 27-Jan-2026'!$A:$K,8,FALSE)</f>
        <v>#N/A</v>
      </c>
      <c r="M894" s="55" t="e">
        <f>VLOOKUP($I894,'Pricing Table - eff 27-Jan-2026'!$A:$K,10,FALSE)</f>
        <v>#N/A</v>
      </c>
      <c r="N894" s="55" t="e">
        <f>VLOOKUP($I894,'Pricing Table - eff 27-Jan-2026'!$A:$R,13,FALSE)&amp;" "&amp;VLOOKUP($I894,'Pricing Table - eff 27-Jan-2026'!$A:$R,12,FALSE)</f>
        <v>#N/A</v>
      </c>
      <c r="O894" s="56"/>
      <c r="P894" s="55" t="e">
        <f>(VLOOKUP($I894,'Pricing Table - eff 27-Jan-2026'!$A:$R,8,FALSE)/1000)*(VLOOKUP($I894,'Pricing Table - eff 27-Jan-2026'!$A:$R,10,FALSE)/1000)*Q894</f>
        <v>#N/A</v>
      </c>
      <c r="Q894" s="55" t="e">
        <f>ROUND(('Order Details'!$O894*1000)/((VLOOKUP($I894,'Pricing Table - eff 27-Jan-2026'!$A:$Q,7,FALSE)/12)*(VLOOKUP($I894,'Pricing Table - eff 27-Jan-2026'!$A:$Q,9,FALSE)/12))/5,0)*5</f>
        <v>#N/A</v>
      </c>
      <c r="R894" s="71" t="e">
        <f>$Q894/IFERROR(VLOOKUP($F894&amp;RIGHT($K894,8),'Master Data'!$O$5:$P$10,2,FALSE),'Master Data'!$P$4)</f>
        <v>#N/A</v>
      </c>
      <c r="S894" s="57" t="e">
        <f>VLOOKUP($I894,'Pricing Table - eff 27-Jan-2026'!$A:$Q,16,FALSE)</f>
        <v>#N/A</v>
      </c>
      <c r="T894" s="57" t="e">
        <f>VLOOKUP(I894,'Pricing Table - eff 27-Jan-2026'!$A:$O,15,FALSE)</f>
        <v>#N/A</v>
      </c>
      <c r="U894" s="57" t="e">
        <f t="shared" si="37"/>
        <v>#N/A</v>
      </c>
      <c r="V894" s="111" t="e">
        <f t="shared" ref="V894:V957" si="38">P894*T894</f>
        <v>#N/A</v>
      </c>
      <c r="W894" s="55" t="e">
        <f>VLOOKUP($I894,'Pricing Table - eff 27-Jan-2026'!$A:$R,18,FALSE)</f>
        <v>#N/A</v>
      </c>
    </row>
    <row r="895" spans="1:23" hidden="1" x14ac:dyDescent="0.3">
      <c r="A895" s="55"/>
      <c r="B895" s="55"/>
      <c r="C895" s="55">
        <f>VLOOKUP(A895&amp;"-"&amp;B895,'Order Summary'!$D:$E,2,FALSE)</f>
        <v>0</v>
      </c>
      <c r="D895" s="216" t="str">
        <f>IF($A895="","",VLOOKUP($A895&amp;"-"&amp;$B895,'Order Summary'!$D:$U,3,FALSE))</f>
        <v/>
      </c>
      <c r="E895" s="55" t="str">
        <f>VLOOKUP(A895&amp;"-"&amp;B895,'Order Summary'!$D:$G,4,FALSE)</f>
        <v>Yes</v>
      </c>
      <c r="F895" s="55" t="e">
        <f>VLOOKUP($A895,'Order Summary'!$B:$I,8,FALSE)</f>
        <v>#N/A</v>
      </c>
      <c r="G895" s="216" t="str">
        <f>IF($A895="","",VLOOKUP($A895&amp;"-"&amp;$B895,'Order Summary'!$D:$U,18,FALSE))</f>
        <v/>
      </c>
      <c r="H895" s="55"/>
      <c r="I895" s="55"/>
      <c r="J895" s="55" t="e">
        <f>VLOOKUP($I895,'Pricing Table - eff 27-Jan-2026'!$A:$R,2,FALSE)</f>
        <v>#N/A</v>
      </c>
      <c r="K895" s="55" t="e">
        <f>VLOOKUP($I895,'Pricing Table - eff 27-Jan-2026'!$A:$R,6,FALSE)&amp;" "&amp;VLOOKUP($I895,'Pricing Table - eff 27-Jan-2026'!$A:$R,7,FALSE)&amp;""" x "&amp;VLOOKUP($I895,'Pricing Table - eff 27-Jan-2026'!$A:$R,9,FALSE)&amp;""" "&amp;VLOOKUP($I895,'Pricing Table - eff 27-Jan-2026'!$A:$R,5,FALSE)</f>
        <v>#N/A</v>
      </c>
      <c r="L895" s="55" t="e">
        <f>VLOOKUP($I895,'Pricing Table - eff 27-Jan-2026'!$A:$K,8,FALSE)</f>
        <v>#N/A</v>
      </c>
      <c r="M895" s="55" t="e">
        <f>VLOOKUP($I895,'Pricing Table - eff 27-Jan-2026'!$A:$K,10,FALSE)</f>
        <v>#N/A</v>
      </c>
      <c r="N895" s="55" t="e">
        <f>VLOOKUP($I895,'Pricing Table - eff 27-Jan-2026'!$A:$R,13,FALSE)&amp;" "&amp;VLOOKUP($I895,'Pricing Table - eff 27-Jan-2026'!$A:$R,12,FALSE)</f>
        <v>#N/A</v>
      </c>
      <c r="O895" s="56"/>
      <c r="P895" s="55" t="e">
        <f>(VLOOKUP($I895,'Pricing Table - eff 27-Jan-2026'!$A:$R,8,FALSE)/1000)*(VLOOKUP($I895,'Pricing Table - eff 27-Jan-2026'!$A:$R,10,FALSE)/1000)*Q895</f>
        <v>#N/A</v>
      </c>
      <c r="Q895" s="55" t="e">
        <f>ROUND(('Order Details'!$O895*1000)/((VLOOKUP($I895,'Pricing Table - eff 27-Jan-2026'!$A:$Q,7,FALSE)/12)*(VLOOKUP($I895,'Pricing Table - eff 27-Jan-2026'!$A:$Q,9,FALSE)/12))/5,0)*5</f>
        <v>#N/A</v>
      </c>
      <c r="R895" s="71" t="e">
        <f>$Q895/IFERROR(VLOOKUP($F895&amp;RIGHT($K895,8),'Master Data'!$O$5:$P$10,2,FALSE),'Master Data'!$P$4)</f>
        <v>#N/A</v>
      </c>
      <c r="S895" s="57" t="e">
        <f>VLOOKUP($I895,'Pricing Table - eff 27-Jan-2026'!$A:$Q,16,FALSE)</f>
        <v>#N/A</v>
      </c>
      <c r="T895" s="57" t="e">
        <f>VLOOKUP(I895,'Pricing Table - eff 27-Jan-2026'!$A:$O,15,FALSE)</f>
        <v>#N/A</v>
      </c>
      <c r="U895" s="57" t="e">
        <f t="shared" si="37"/>
        <v>#N/A</v>
      </c>
      <c r="V895" s="111" t="e">
        <f t="shared" si="38"/>
        <v>#N/A</v>
      </c>
      <c r="W895" s="55" t="e">
        <f>VLOOKUP($I895,'Pricing Table - eff 27-Jan-2026'!$A:$R,18,FALSE)</f>
        <v>#N/A</v>
      </c>
    </row>
    <row r="896" spans="1:23" hidden="1" x14ac:dyDescent="0.3">
      <c r="A896" s="55"/>
      <c r="B896" s="55"/>
      <c r="C896" s="55">
        <f>VLOOKUP(A896&amp;"-"&amp;B896,'Order Summary'!$D:$E,2,FALSE)</f>
        <v>0</v>
      </c>
      <c r="D896" s="216" t="str">
        <f>IF($A896="","",VLOOKUP($A896&amp;"-"&amp;$B896,'Order Summary'!$D:$U,3,FALSE))</f>
        <v/>
      </c>
      <c r="E896" s="55" t="str">
        <f>VLOOKUP(A896&amp;"-"&amp;B896,'Order Summary'!$D:$G,4,FALSE)</f>
        <v>Yes</v>
      </c>
      <c r="F896" s="55" t="e">
        <f>VLOOKUP($A896,'Order Summary'!$B:$I,8,FALSE)</f>
        <v>#N/A</v>
      </c>
      <c r="G896" s="216" t="str">
        <f>IF($A896="","",VLOOKUP($A896&amp;"-"&amp;$B896,'Order Summary'!$D:$U,18,FALSE))</f>
        <v/>
      </c>
      <c r="H896" s="55"/>
      <c r="I896" s="55"/>
      <c r="J896" s="55" t="e">
        <f>VLOOKUP($I896,'Pricing Table - eff 27-Jan-2026'!$A:$R,2,FALSE)</f>
        <v>#N/A</v>
      </c>
      <c r="K896" s="55" t="e">
        <f>VLOOKUP($I896,'Pricing Table - eff 27-Jan-2026'!$A:$R,6,FALSE)&amp;" "&amp;VLOOKUP($I896,'Pricing Table - eff 27-Jan-2026'!$A:$R,7,FALSE)&amp;""" x "&amp;VLOOKUP($I896,'Pricing Table - eff 27-Jan-2026'!$A:$R,9,FALSE)&amp;""" "&amp;VLOOKUP($I896,'Pricing Table - eff 27-Jan-2026'!$A:$R,5,FALSE)</f>
        <v>#N/A</v>
      </c>
      <c r="L896" s="55" t="e">
        <f>VLOOKUP($I896,'Pricing Table - eff 27-Jan-2026'!$A:$K,8,FALSE)</f>
        <v>#N/A</v>
      </c>
      <c r="M896" s="55" t="e">
        <f>VLOOKUP($I896,'Pricing Table - eff 27-Jan-2026'!$A:$K,10,FALSE)</f>
        <v>#N/A</v>
      </c>
      <c r="N896" s="55" t="e">
        <f>VLOOKUP($I896,'Pricing Table - eff 27-Jan-2026'!$A:$R,13,FALSE)&amp;" "&amp;VLOOKUP($I896,'Pricing Table - eff 27-Jan-2026'!$A:$R,12,FALSE)</f>
        <v>#N/A</v>
      </c>
      <c r="O896" s="56"/>
      <c r="P896" s="55" t="e">
        <f>(VLOOKUP($I896,'Pricing Table - eff 27-Jan-2026'!$A:$R,8,FALSE)/1000)*(VLOOKUP($I896,'Pricing Table - eff 27-Jan-2026'!$A:$R,10,FALSE)/1000)*Q896</f>
        <v>#N/A</v>
      </c>
      <c r="Q896" s="55" t="e">
        <f>ROUND(('Order Details'!$O896*1000)/((VLOOKUP($I896,'Pricing Table - eff 27-Jan-2026'!$A:$Q,7,FALSE)/12)*(VLOOKUP($I896,'Pricing Table - eff 27-Jan-2026'!$A:$Q,9,FALSE)/12))/5,0)*5</f>
        <v>#N/A</v>
      </c>
      <c r="R896" s="71" t="e">
        <f>$Q896/IFERROR(VLOOKUP($F896&amp;RIGHT($K896,8),'Master Data'!$O$5:$P$10,2,FALSE),'Master Data'!$P$4)</f>
        <v>#N/A</v>
      </c>
      <c r="S896" s="57" t="e">
        <f>VLOOKUP($I896,'Pricing Table - eff 27-Jan-2026'!$A:$Q,16,FALSE)</f>
        <v>#N/A</v>
      </c>
      <c r="T896" s="57" t="e">
        <f>VLOOKUP(I896,'Pricing Table - eff 27-Jan-2026'!$A:$O,15,FALSE)</f>
        <v>#N/A</v>
      </c>
      <c r="U896" s="57" t="e">
        <f t="shared" si="37"/>
        <v>#N/A</v>
      </c>
      <c r="V896" s="111" t="e">
        <f t="shared" si="38"/>
        <v>#N/A</v>
      </c>
      <c r="W896" s="55" t="e">
        <f>VLOOKUP($I896,'Pricing Table - eff 27-Jan-2026'!$A:$R,18,FALSE)</f>
        <v>#N/A</v>
      </c>
    </row>
    <row r="897" spans="1:23" hidden="1" x14ac:dyDescent="0.3">
      <c r="A897" s="55"/>
      <c r="B897" s="55"/>
      <c r="C897" s="55">
        <f>VLOOKUP(A897&amp;"-"&amp;B897,'Order Summary'!$D:$E,2,FALSE)</f>
        <v>0</v>
      </c>
      <c r="D897" s="216" t="str">
        <f>IF($A897="","",VLOOKUP($A897&amp;"-"&amp;$B897,'Order Summary'!$D:$U,3,FALSE))</f>
        <v/>
      </c>
      <c r="E897" s="55" t="str">
        <f>VLOOKUP(A897&amp;"-"&amp;B897,'Order Summary'!$D:$G,4,FALSE)</f>
        <v>Yes</v>
      </c>
      <c r="F897" s="55" t="e">
        <f>VLOOKUP($A897,'Order Summary'!$B:$I,8,FALSE)</f>
        <v>#N/A</v>
      </c>
      <c r="G897" s="216" t="str">
        <f>IF($A897="","",VLOOKUP($A897&amp;"-"&amp;$B897,'Order Summary'!$D:$U,18,FALSE))</f>
        <v/>
      </c>
      <c r="H897" s="55"/>
      <c r="I897" s="55"/>
      <c r="J897" s="55" t="e">
        <f>VLOOKUP($I897,'Pricing Table - eff 27-Jan-2026'!$A:$R,2,FALSE)</f>
        <v>#N/A</v>
      </c>
      <c r="K897" s="55" t="e">
        <f>VLOOKUP($I897,'Pricing Table - eff 27-Jan-2026'!$A:$R,6,FALSE)&amp;" "&amp;VLOOKUP($I897,'Pricing Table - eff 27-Jan-2026'!$A:$R,7,FALSE)&amp;""" x "&amp;VLOOKUP($I897,'Pricing Table - eff 27-Jan-2026'!$A:$R,9,FALSE)&amp;""" "&amp;VLOOKUP($I897,'Pricing Table - eff 27-Jan-2026'!$A:$R,5,FALSE)</f>
        <v>#N/A</v>
      </c>
      <c r="L897" s="55" t="e">
        <f>VLOOKUP($I897,'Pricing Table - eff 27-Jan-2026'!$A:$K,8,FALSE)</f>
        <v>#N/A</v>
      </c>
      <c r="M897" s="55" t="e">
        <f>VLOOKUP($I897,'Pricing Table - eff 27-Jan-2026'!$A:$K,10,FALSE)</f>
        <v>#N/A</v>
      </c>
      <c r="N897" s="55" t="e">
        <f>VLOOKUP($I897,'Pricing Table - eff 27-Jan-2026'!$A:$R,13,FALSE)&amp;" "&amp;VLOOKUP($I897,'Pricing Table - eff 27-Jan-2026'!$A:$R,12,FALSE)</f>
        <v>#N/A</v>
      </c>
      <c r="O897" s="56"/>
      <c r="P897" s="55" t="e">
        <f>(VLOOKUP($I897,'Pricing Table - eff 27-Jan-2026'!$A:$R,8,FALSE)/1000)*(VLOOKUP($I897,'Pricing Table - eff 27-Jan-2026'!$A:$R,10,FALSE)/1000)*Q897</f>
        <v>#N/A</v>
      </c>
      <c r="Q897" s="55" t="e">
        <f>ROUND(('Order Details'!$O897*1000)/((VLOOKUP($I897,'Pricing Table - eff 27-Jan-2026'!$A:$Q,7,FALSE)/12)*(VLOOKUP($I897,'Pricing Table - eff 27-Jan-2026'!$A:$Q,9,FALSE)/12))/5,0)*5</f>
        <v>#N/A</v>
      </c>
      <c r="R897" s="71" t="e">
        <f>$Q897/IFERROR(VLOOKUP($F897&amp;RIGHT($K897,8),'Master Data'!$O$5:$P$10,2,FALSE),'Master Data'!$P$4)</f>
        <v>#N/A</v>
      </c>
      <c r="S897" s="57" t="e">
        <f>VLOOKUP($I897,'Pricing Table - eff 27-Jan-2026'!$A:$Q,16,FALSE)</f>
        <v>#N/A</v>
      </c>
      <c r="T897" s="57" t="e">
        <f>VLOOKUP(I897,'Pricing Table - eff 27-Jan-2026'!$A:$O,15,FALSE)</f>
        <v>#N/A</v>
      </c>
      <c r="U897" s="57" t="e">
        <f t="shared" si="37"/>
        <v>#N/A</v>
      </c>
      <c r="V897" s="111" t="e">
        <f t="shared" si="38"/>
        <v>#N/A</v>
      </c>
      <c r="W897" s="55" t="e">
        <f>VLOOKUP($I897,'Pricing Table - eff 27-Jan-2026'!$A:$R,18,FALSE)</f>
        <v>#N/A</v>
      </c>
    </row>
    <row r="898" spans="1:23" hidden="1" x14ac:dyDescent="0.3">
      <c r="A898" s="55"/>
      <c r="B898" s="55"/>
      <c r="C898" s="55">
        <f>VLOOKUP(A898&amp;"-"&amp;B898,'Order Summary'!$D:$E,2,FALSE)</f>
        <v>0</v>
      </c>
      <c r="D898" s="216" t="str">
        <f>IF($A898="","",VLOOKUP($A898&amp;"-"&amp;$B898,'Order Summary'!$D:$U,3,FALSE))</f>
        <v/>
      </c>
      <c r="E898" s="55" t="str">
        <f>VLOOKUP(A898&amp;"-"&amp;B898,'Order Summary'!$D:$G,4,FALSE)</f>
        <v>Yes</v>
      </c>
      <c r="F898" s="55" t="e">
        <f>VLOOKUP($A898,'Order Summary'!$B:$I,8,FALSE)</f>
        <v>#N/A</v>
      </c>
      <c r="G898" s="216" t="str">
        <f>IF($A898="","",VLOOKUP($A898&amp;"-"&amp;$B898,'Order Summary'!$D:$U,18,FALSE))</f>
        <v/>
      </c>
      <c r="H898" s="55"/>
      <c r="I898" s="55"/>
      <c r="J898" s="55" t="e">
        <f>VLOOKUP($I898,'Pricing Table - eff 27-Jan-2026'!$A:$R,2,FALSE)</f>
        <v>#N/A</v>
      </c>
      <c r="K898" s="55" t="e">
        <f>VLOOKUP($I898,'Pricing Table - eff 27-Jan-2026'!$A:$R,6,FALSE)&amp;" "&amp;VLOOKUP($I898,'Pricing Table - eff 27-Jan-2026'!$A:$R,7,FALSE)&amp;""" x "&amp;VLOOKUP($I898,'Pricing Table - eff 27-Jan-2026'!$A:$R,9,FALSE)&amp;""" "&amp;VLOOKUP($I898,'Pricing Table - eff 27-Jan-2026'!$A:$R,5,FALSE)</f>
        <v>#N/A</v>
      </c>
      <c r="L898" s="55" t="e">
        <f>VLOOKUP($I898,'Pricing Table - eff 27-Jan-2026'!$A:$K,8,FALSE)</f>
        <v>#N/A</v>
      </c>
      <c r="M898" s="55" t="e">
        <f>VLOOKUP($I898,'Pricing Table - eff 27-Jan-2026'!$A:$K,10,FALSE)</f>
        <v>#N/A</v>
      </c>
      <c r="N898" s="55" t="e">
        <f>VLOOKUP($I898,'Pricing Table - eff 27-Jan-2026'!$A:$R,13,FALSE)&amp;" "&amp;VLOOKUP($I898,'Pricing Table - eff 27-Jan-2026'!$A:$R,12,FALSE)</f>
        <v>#N/A</v>
      </c>
      <c r="O898" s="56"/>
      <c r="P898" s="55" t="e">
        <f>(VLOOKUP($I898,'Pricing Table - eff 27-Jan-2026'!$A:$R,8,FALSE)/1000)*(VLOOKUP($I898,'Pricing Table - eff 27-Jan-2026'!$A:$R,10,FALSE)/1000)*Q898</f>
        <v>#N/A</v>
      </c>
      <c r="Q898" s="55" t="e">
        <f>ROUND(('Order Details'!$O898*1000)/((VLOOKUP($I898,'Pricing Table - eff 27-Jan-2026'!$A:$Q,7,FALSE)/12)*(VLOOKUP($I898,'Pricing Table - eff 27-Jan-2026'!$A:$Q,9,FALSE)/12))/5,0)*5</f>
        <v>#N/A</v>
      </c>
      <c r="R898" s="71" t="e">
        <f>$Q898/IFERROR(VLOOKUP($F898&amp;RIGHT($K898,8),'Master Data'!$O$5:$P$10,2,FALSE),'Master Data'!$P$4)</f>
        <v>#N/A</v>
      </c>
      <c r="S898" s="57" t="e">
        <f>VLOOKUP($I898,'Pricing Table - eff 27-Jan-2026'!$A:$Q,16,FALSE)</f>
        <v>#N/A</v>
      </c>
      <c r="T898" s="57" t="e">
        <f>VLOOKUP(I898,'Pricing Table - eff 27-Jan-2026'!$A:$O,15,FALSE)</f>
        <v>#N/A</v>
      </c>
      <c r="U898" s="57" t="e">
        <f t="shared" si="37"/>
        <v>#N/A</v>
      </c>
      <c r="V898" s="111" t="e">
        <f t="shared" si="38"/>
        <v>#N/A</v>
      </c>
      <c r="W898" s="55" t="e">
        <f>VLOOKUP($I898,'Pricing Table - eff 27-Jan-2026'!$A:$R,18,FALSE)</f>
        <v>#N/A</v>
      </c>
    </row>
    <row r="899" spans="1:23" hidden="1" x14ac:dyDescent="0.3">
      <c r="A899" s="55"/>
      <c r="B899" s="55"/>
      <c r="C899" s="55">
        <f>VLOOKUP(A899&amp;"-"&amp;B899,'Order Summary'!$D:$E,2,FALSE)</f>
        <v>0</v>
      </c>
      <c r="D899" s="216" t="str">
        <f>IF($A899="","",VLOOKUP($A899&amp;"-"&amp;$B899,'Order Summary'!$D:$U,3,FALSE))</f>
        <v/>
      </c>
      <c r="E899" s="55" t="str">
        <f>VLOOKUP(A899&amp;"-"&amp;B899,'Order Summary'!$D:$G,4,FALSE)</f>
        <v>Yes</v>
      </c>
      <c r="F899" s="55" t="e">
        <f>VLOOKUP($A899,'Order Summary'!$B:$I,8,FALSE)</f>
        <v>#N/A</v>
      </c>
      <c r="G899" s="216" t="str">
        <f>IF($A899="","",VLOOKUP($A899&amp;"-"&amp;$B899,'Order Summary'!$D:$U,18,FALSE))</f>
        <v/>
      </c>
      <c r="H899" s="55"/>
      <c r="I899" s="55"/>
      <c r="J899" s="55" t="e">
        <f>VLOOKUP($I899,'Pricing Table - eff 27-Jan-2026'!$A:$R,2,FALSE)</f>
        <v>#N/A</v>
      </c>
      <c r="K899" s="55" t="e">
        <f>VLOOKUP($I899,'Pricing Table - eff 27-Jan-2026'!$A:$R,6,FALSE)&amp;" "&amp;VLOOKUP($I899,'Pricing Table - eff 27-Jan-2026'!$A:$R,7,FALSE)&amp;""" x "&amp;VLOOKUP($I899,'Pricing Table - eff 27-Jan-2026'!$A:$R,9,FALSE)&amp;""" "&amp;VLOOKUP($I899,'Pricing Table - eff 27-Jan-2026'!$A:$R,5,FALSE)</f>
        <v>#N/A</v>
      </c>
      <c r="L899" s="55" t="e">
        <f>VLOOKUP($I899,'Pricing Table - eff 27-Jan-2026'!$A:$K,8,FALSE)</f>
        <v>#N/A</v>
      </c>
      <c r="M899" s="55" t="e">
        <f>VLOOKUP($I899,'Pricing Table - eff 27-Jan-2026'!$A:$K,10,FALSE)</f>
        <v>#N/A</v>
      </c>
      <c r="N899" s="55" t="e">
        <f>VLOOKUP($I899,'Pricing Table - eff 27-Jan-2026'!$A:$R,13,FALSE)&amp;" "&amp;VLOOKUP($I899,'Pricing Table - eff 27-Jan-2026'!$A:$R,12,FALSE)</f>
        <v>#N/A</v>
      </c>
      <c r="O899" s="56"/>
      <c r="P899" s="55" t="e">
        <f>(VLOOKUP($I899,'Pricing Table - eff 27-Jan-2026'!$A:$R,8,FALSE)/1000)*(VLOOKUP($I899,'Pricing Table - eff 27-Jan-2026'!$A:$R,10,FALSE)/1000)*Q899</f>
        <v>#N/A</v>
      </c>
      <c r="Q899" s="55" t="e">
        <f>ROUND(('Order Details'!$O899*1000)/((VLOOKUP($I899,'Pricing Table - eff 27-Jan-2026'!$A:$Q,7,FALSE)/12)*(VLOOKUP($I899,'Pricing Table - eff 27-Jan-2026'!$A:$Q,9,FALSE)/12))/5,0)*5</f>
        <v>#N/A</v>
      </c>
      <c r="R899" s="71" t="e">
        <f>$Q899/IFERROR(VLOOKUP($F899&amp;RIGHT($K899,8),'Master Data'!$O$5:$P$10,2,FALSE),'Master Data'!$P$4)</f>
        <v>#N/A</v>
      </c>
      <c r="S899" s="57" t="e">
        <f>VLOOKUP($I899,'Pricing Table - eff 27-Jan-2026'!$A:$Q,16,FALSE)</f>
        <v>#N/A</v>
      </c>
      <c r="T899" s="57" t="e">
        <f>VLOOKUP(I899,'Pricing Table - eff 27-Jan-2026'!$A:$O,15,FALSE)</f>
        <v>#N/A</v>
      </c>
      <c r="U899" s="57" t="e">
        <f t="shared" si="37"/>
        <v>#N/A</v>
      </c>
      <c r="V899" s="111" t="e">
        <f t="shared" si="38"/>
        <v>#N/A</v>
      </c>
      <c r="W899" s="55" t="e">
        <f>VLOOKUP($I899,'Pricing Table - eff 27-Jan-2026'!$A:$R,18,FALSE)</f>
        <v>#N/A</v>
      </c>
    </row>
    <row r="900" spans="1:23" hidden="1" x14ac:dyDescent="0.3">
      <c r="A900" s="55"/>
      <c r="B900" s="55"/>
      <c r="C900" s="55">
        <f>VLOOKUP(A900&amp;"-"&amp;B900,'Order Summary'!$D:$E,2,FALSE)</f>
        <v>0</v>
      </c>
      <c r="D900" s="216" t="str">
        <f>IF($A900="","",VLOOKUP($A900&amp;"-"&amp;$B900,'Order Summary'!$D:$U,3,FALSE))</f>
        <v/>
      </c>
      <c r="E900" s="55" t="str">
        <f>VLOOKUP(A900&amp;"-"&amp;B900,'Order Summary'!$D:$G,4,FALSE)</f>
        <v>Yes</v>
      </c>
      <c r="F900" s="55" t="e">
        <f>VLOOKUP($A900,'Order Summary'!$B:$I,8,FALSE)</f>
        <v>#N/A</v>
      </c>
      <c r="G900" s="216" t="str">
        <f>IF($A900="","",VLOOKUP($A900&amp;"-"&amp;$B900,'Order Summary'!$D:$U,18,FALSE))</f>
        <v/>
      </c>
      <c r="H900" s="55"/>
      <c r="I900" s="55"/>
      <c r="J900" s="55" t="e">
        <f>VLOOKUP($I900,'Pricing Table - eff 27-Jan-2026'!$A:$R,2,FALSE)</f>
        <v>#N/A</v>
      </c>
      <c r="K900" s="55" t="e">
        <f>VLOOKUP($I900,'Pricing Table - eff 27-Jan-2026'!$A:$R,6,FALSE)&amp;" "&amp;VLOOKUP($I900,'Pricing Table - eff 27-Jan-2026'!$A:$R,7,FALSE)&amp;""" x "&amp;VLOOKUP($I900,'Pricing Table - eff 27-Jan-2026'!$A:$R,9,FALSE)&amp;""" "&amp;VLOOKUP($I900,'Pricing Table - eff 27-Jan-2026'!$A:$R,5,FALSE)</f>
        <v>#N/A</v>
      </c>
      <c r="L900" s="55" t="e">
        <f>VLOOKUP($I900,'Pricing Table - eff 27-Jan-2026'!$A:$K,8,FALSE)</f>
        <v>#N/A</v>
      </c>
      <c r="M900" s="55" t="e">
        <f>VLOOKUP($I900,'Pricing Table - eff 27-Jan-2026'!$A:$K,10,FALSE)</f>
        <v>#N/A</v>
      </c>
      <c r="N900" s="55" t="e">
        <f>VLOOKUP($I900,'Pricing Table - eff 27-Jan-2026'!$A:$R,13,FALSE)&amp;" "&amp;VLOOKUP($I900,'Pricing Table - eff 27-Jan-2026'!$A:$R,12,FALSE)</f>
        <v>#N/A</v>
      </c>
      <c r="O900" s="56"/>
      <c r="P900" s="55" t="e">
        <f>(VLOOKUP($I900,'Pricing Table - eff 27-Jan-2026'!$A:$R,8,FALSE)/1000)*(VLOOKUP($I900,'Pricing Table - eff 27-Jan-2026'!$A:$R,10,FALSE)/1000)*Q900</f>
        <v>#N/A</v>
      </c>
      <c r="Q900" s="55" t="e">
        <f>ROUND(('Order Details'!$O900*1000)/((VLOOKUP($I900,'Pricing Table - eff 27-Jan-2026'!$A:$Q,7,FALSE)/12)*(VLOOKUP($I900,'Pricing Table - eff 27-Jan-2026'!$A:$Q,9,FALSE)/12))/5,0)*5</f>
        <v>#N/A</v>
      </c>
      <c r="R900" s="71" t="e">
        <f>$Q900/IFERROR(VLOOKUP($F900&amp;RIGHT($K900,8),'Master Data'!$O$5:$P$10,2,FALSE),'Master Data'!$P$4)</f>
        <v>#N/A</v>
      </c>
      <c r="S900" s="57" t="e">
        <f>VLOOKUP($I900,'Pricing Table - eff 27-Jan-2026'!$A:$Q,16,FALSE)</f>
        <v>#N/A</v>
      </c>
      <c r="T900" s="57" t="e">
        <f>VLOOKUP(I900,'Pricing Table - eff 27-Jan-2026'!$A:$O,15,FALSE)</f>
        <v>#N/A</v>
      </c>
      <c r="U900" s="57" t="e">
        <f t="shared" si="37"/>
        <v>#N/A</v>
      </c>
      <c r="V900" s="111" t="e">
        <f t="shared" si="38"/>
        <v>#N/A</v>
      </c>
      <c r="W900" s="55" t="e">
        <f>VLOOKUP($I900,'Pricing Table - eff 27-Jan-2026'!$A:$R,18,FALSE)</f>
        <v>#N/A</v>
      </c>
    </row>
    <row r="901" spans="1:23" hidden="1" x14ac:dyDescent="0.3">
      <c r="A901" s="55"/>
      <c r="B901" s="55"/>
      <c r="C901" s="55">
        <f>VLOOKUP(A901&amp;"-"&amp;B901,'Order Summary'!$D:$E,2,FALSE)</f>
        <v>0</v>
      </c>
      <c r="D901" s="216" t="str">
        <f>IF($A901="","",VLOOKUP($A901&amp;"-"&amp;$B901,'Order Summary'!$D:$U,3,FALSE))</f>
        <v/>
      </c>
      <c r="E901" s="55" t="str">
        <f>VLOOKUP(A901&amp;"-"&amp;B901,'Order Summary'!$D:$G,4,FALSE)</f>
        <v>Yes</v>
      </c>
      <c r="F901" s="55" t="e">
        <f>VLOOKUP($A901,'Order Summary'!$B:$I,8,FALSE)</f>
        <v>#N/A</v>
      </c>
      <c r="G901" s="216" t="str">
        <f>IF($A901="","",VLOOKUP($A901&amp;"-"&amp;$B901,'Order Summary'!$D:$U,18,FALSE))</f>
        <v/>
      </c>
      <c r="H901" s="55"/>
      <c r="I901" s="55"/>
      <c r="J901" s="55" t="e">
        <f>VLOOKUP($I901,'Pricing Table - eff 27-Jan-2026'!$A:$R,2,FALSE)</f>
        <v>#N/A</v>
      </c>
      <c r="K901" s="55" t="e">
        <f>VLOOKUP($I901,'Pricing Table - eff 27-Jan-2026'!$A:$R,6,FALSE)&amp;" "&amp;VLOOKUP($I901,'Pricing Table - eff 27-Jan-2026'!$A:$R,7,FALSE)&amp;""" x "&amp;VLOOKUP($I901,'Pricing Table - eff 27-Jan-2026'!$A:$R,9,FALSE)&amp;""" "&amp;VLOOKUP($I901,'Pricing Table - eff 27-Jan-2026'!$A:$R,5,FALSE)</f>
        <v>#N/A</v>
      </c>
      <c r="L901" s="55" t="e">
        <f>VLOOKUP($I901,'Pricing Table - eff 27-Jan-2026'!$A:$K,8,FALSE)</f>
        <v>#N/A</v>
      </c>
      <c r="M901" s="55" t="e">
        <f>VLOOKUP($I901,'Pricing Table - eff 27-Jan-2026'!$A:$K,10,FALSE)</f>
        <v>#N/A</v>
      </c>
      <c r="N901" s="55" t="e">
        <f>VLOOKUP($I901,'Pricing Table - eff 27-Jan-2026'!$A:$R,13,FALSE)&amp;" "&amp;VLOOKUP($I901,'Pricing Table - eff 27-Jan-2026'!$A:$R,12,FALSE)</f>
        <v>#N/A</v>
      </c>
      <c r="O901" s="56"/>
      <c r="P901" s="55" t="e">
        <f>(VLOOKUP($I901,'Pricing Table - eff 27-Jan-2026'!$A:$R,8,FALSE)/1000)*(VLOOKUP($I901,'Pricing Table - eff 27-Jan-2026'!$A:$R,10,FALSE)/1000)*Q901</f>
        <v>#N/A</v>
      </c>
      <c r="Q901" s="55" t="e">
        <f>ROUND(('Order Details'!$O901*1000)/((VLOOKUP($I901,'Pricing Table - eff 27-Jan-2026'!$A:$Q,7,FALSE)/12)*(VLOOKUP($I901,'Pricing Table - eff 27-Jan-2026'!$A:$Q,9,FALSE)/12))/5,0)*5</f>
        <v>#N/A</v>
      </c>
      <c r="R901" s="71" t="e">
        <f>$Q901/IFERROR(VLOOKUP($F901&amp;RIGHT($K901,8),'Master Data'!$O$5:$P$10,2,FALSE),'Master Data'!$P$4)</f>
        <v>#N/A</v>
      </c>
      <c r="S901" s="57" t="e">
        <f>VLOOKUP($I901,'Pricing Table - eff 27-Jan-2026'!$A:$Q,16,FALSE)</f>
        <v>#N/A</v>
      </c>
      <c r="T901" s="57" t="e">
        <f>VLOOKUP(I901,'Pricing Table - eff 27-Jan-2026'!$A:$O,15,FALSE)</f>
        <v>#N/A</v>
      </c>
      <c r="U901" s="57" t="e">
        <f t="shared" si="37"/>
        <v>#N/A</v>
      </c>
      <c r="V901" s="111" t="e">
        <f t="shared" si="38"/>
        <v>#N/A</v>
      </c>
      <c r="W901" s="55" t="e">
        <f>VLOOKUP($I901,'Pricing Table - eff 27-Jan-2026'!$A:$R,18,FALSE)</f>
        <v>#N/A</v>
      </c>
    </row>
    <row r="902" spans="1:23" hidden="1" x14ac:dyDescent="0.3">
      <c r="A902" s="55"/>
      <c r="B902" s="55"/>
      <c r="C902" s="55">
        <f>VLOOKUP(A902&amp;"-"&amp;B902,'Order Summary'!$D:$E,2,FALSE)</f>
        <v>0</v>
      </c>
      <c r="D902" s="216" t="str">
        <f>IF($A902="","",VLOOKUP($A902&amp;"-"&amp;$B902,'Order Summary'!$D:$U,3,FALSE))</f>
        <v/>
      </c>
      <c r="E902" s="55" t="str">
        <f>VLOOKUP(A902&amp;"-"&amp;B902,'Order Summary'!$D:$G,4,FALSE)</f>
        <v>Yes</v>
      </c>
      <c r="F902" s="55" t="e">
        <f>VLOOKUP($A902,'Order Summary'!$B:$I,8,FALSE)</f>
        <v>#N/A</v>
      </c>
      <c r="G902" s="216" t="str">
        <f>IF($A902="","",VLOOKUP($A902&amp;"-"&amp;$B902,'Order Summary'!$D:$U,18,FALSE))</f>
        <v/>
      </c>
      <c r="H902" s="55"/>
      <c r="I902" s="55"/>
      <c r="J902" s="55" t="e">
        <f>VLOOKUP($I902,'Pricing Table - eff 27-Jan-2026'!$A:$R,2,FALSE)</f>
        <v>#N/A</v>
      </c>
      <c r="K902" s="55" t="e">
        <f>VLOOKUP($I902,'Pricing Table - eff 27-Jan-2026'!$A:$R,6,FALSE)&amp;" "&amp;VLOOKUP($I902,'Pricing Table - eff 27-Jan-2026'!$A:$R,7,FALSE)&amp;""" x "&amp;VLOOKUP($I902,'Pricing Table - eff 27-Jan-2026'!$A:$R,9,FALSE)&amp;""" "&amp;VLOOKUP($I902,'Pricing Table - eff 27-Jan-2026'!$A:$R,5,FALSE)</f>
        <v>#N/A</v>
      </c>
      <c r="L902" s="55" t="e">
        <f>VLOOKUP($I902,'Pricing Table - eff 27-Jan-2026'!$A:$K,8,FALSE)</f>
        <v>#N/A</v>
      </c>
      <c r="M902" s="55" t="e">
        <f>VLOOKUP($I902,'Pricing Table - eff 27-Jan-2026'!$A:$K,10,FALSE)</f>
        <v>#N/A</v>
      </c>
      <c r="N902" s="55" t="e">
        <f>VLOOKUP($I902,'Pricing Table - eff 27-Jan-2026'!$A:$R,13,FALSE)&amp;" "&amp;VLOOKUP($I902,'Pricing Table - eff 27-Jan-2026'!$A:$R,12,FALSE)</f>
        <v>#N/A</v>
      </c>
      <c r="O902" s="56"/>
      <c r="P902" s="55" t="e">
        <f>(VLOOKUP($I902,'Pricing Table - eff 27-Jan-2026'!$A:$R,8,FALSE)/1000)*(VLOOKUP($I902,'Pricing Table - eff 27-Jan-2026'!$A:$R,10,FALSE)/1000)*Q902</f>
        <v>#N/A</v>
      </c>
      <c r="Q902" s="55" t="e">
        <f>ROUND(('Order Details'!$O902*1000)/((VLOOKUP($I902,'Pricing Table - eff 27-Jan-2026'!$A:$Q,7,FALSE)/12)*(VLOOKUP($I902,'Pricing Table - eff 27-Jan-2026'!$A:$Q,9,FALSE)/12))/5,0)*5</f>
        <v>#N/A</v>
      </c>
      <c r="R902" s="71" t="e">
        <f>$Q902/IFERROR(VLOOKUP($F902&amp;RIGHT($K902,8),'Master Data'!$O$5:$P$10,2,FALSE),'Master Data'!$P$4)</f>
        <v>#N/A</v>
      </c>
      <c r="S902" s="57" t="e">
        <f>VLOOKUP($I902,'Pricing Table - eff 27-Jan-2026'!$A:$Q,16,FALSE)</f>
        <v>#N/A</v>
      </c>
      <c r="T902" s="57" t="e">
        <f>VLOOKUP(I902,'Pricing Table - eff 27-Jan-2026'!$A:$O,15,FALSE)</f>
        <v>#N/A</v>
      </c>
      <c r="U902" s="57" t="e">
        <f t="shared" si="37"/>
        <v>#N/A</v>
      </c>
      <c r="V902" s="111" t="e">
        <f t="shared" si="38"/>
        <v>#N/A</v>
      </c>
      <c r="W902" s="55" t="e">
        <f>VLOOKUP($I902,'Pricing Table - eff 27-Jan-2026'!$A:$R,18,FALSE)</f>
        <v>#N/A</v>
      </c>
    </row>
    <row r="903" spans="1:23" hidden="1" x14ac:dyDescent="0.3">
      <c r="A903" s="55"/>
      <c r="B903" s="55"/>
      <c r="C903" s="55">
        <f>VLOOKUP(A903&amp;"-"&amp;B903,'Order Summary'!$D:$E,2,FALSE)</f>
        <v>0</v>
      </c>
      <c r="D903" s="216" t="str">
        <f>IF($A903="","",VLOOKUP($A903&amp;"-"&amp;$B903,'Order Summary'!$D:$U,3,FALSE))</f>
        <v/>
      </c>
      <c r="E903" s="55" t="str">
        <f>VLOOKUP(A903&amp;"-"&amp;B903,'Order Summary'!$D:$G,4,FALSE)</f>
        <v>Yes</v>
      </c>
      <c r="F903" s="55" t="e">
        <f>VLOOKUP($A903,'Order Summary'!$B:$I,8,FALSE)</f>
        <v>#N/A</v>
      </c>
      <c r="G903" s="216" t="str">
        <f>IF($A903="","",VLOOKUP($A903&amp;"-"&amp;$B903,'Order Summary'!$D:$U,18,FALSE))</f>
        <v/>
      </c>
      <c r="H903" s="55"/>
      <c r="I903" s="55"/>
      <c r="J903" s="55" t="e">
        <f>VLOOKUP($I903,'Pricing Table - eff 27-Jan-2026'!$A:$R,2,FALSE)</f>
        <v>#N/A</v>
      </c>
      <c r="K903" s="55" t="e">
        <f>VLOOKUP($I903,'Pricing Table - eff 27-Jan-2026'!$A:$R,6,FALSE)&amp;" "&amp;VLOOKUP($I903,'Pricing Table - eff 27-Jan-2026'!$A:$R,7,FALSE)&amp;""" x "&amp;VLOOKUP($I903,'Pricing Table - eff 27-Jan-2026'!$A:$R,9,FALSE)&amp;""" "&amp;VLOOKUP($I903,'Pricing Table - eff 27-Jan-2026'!$A:$R,5,FALSE)</f>
        <v>#N/A</v>
      </c>
      <c r="L903" s="55" t="e">
        <f>VLOOKUP($I903,'Pricing Table - eff 27-Jan-2026'!$A:$K,8,FALSE)</f>
        <v>#N/A</v>
      </c>
      <c r="M903" s="55" t="e">
        <f>VLOOKUP($I903,'Pricing Table - eff 27-Jan-2026'!$A:$K,10,FALSE)</f>
        <v>#N/A</v>
      </c>
      <c r="N903" s="55" t="e">
        <f>VLOOKUP($I903,'Pricing Table - eff 27-Jan-2026'!$A:$R,13,FALSE)&amp;" "&amp;VLOOKUP($I903,'Pricing Table - eff 27-Jan-2026'!$A:$R,12,FALSE)</f>
        <v>#N/A</v>
      </c>
      <c r="O903" s="56"/>
      <c r="P903" s="55" t="e">
        <f>(VLOOKUP($I903,'Pricing Table - eff 27-Jan-2026'!$A:$R,8,FALSE)/1000)*(VLOOKUP($I903,'Pricing Table - eff 27-Jan-2026'!$A:$R,10,FALSE)/1000)*Q903</f>
        <v>#N/A</v>
      </c>
      <c r="Q903" s="55" t="e">
        <f>ROUND(('Order Details'!$O903*1000)/((VLOOKUP($I903,'Pricing Table - eff 27-Jan-2026'!$A:$Q,7,FALSE)/12)*(VLOOKUP($I903,'Pricing Table - eff 27-Jan-2026'!$A:$Q,9,FALSE)/12))/5,0)*5</f>
        <v>#N/A</v>
      </c>
      <c r="R903" s="71" t="e">
        <f>$Q903/IFERROR(VLOOKUP($F903&amp;RIGHT($K903,8),'Master Data'!$O$5:$P$10,2,FALSE),'Master Data'!$P$4)</f>
        <v>#N/A</v>
      </c>
      <c r="S903" s="57" t="e">
        <f>VLOOKUP($I903,'Pricing Table - eff 27-Jan-2026'!$A:$Q,16,FALSE)</f>
        <v>#N/A</v>
      </c>
      <c r="T903" s="57" t="e">
        <f>VLOOKUP(I903,'Pricing Table - eff 27-Jan-2026'!$A:$O,15,FALSE)</f>
        <v>#N/A</v>
      </c>
      <c r="U903" s="57" t="e">
        <f t="shared" si="37"/>
        <v>#N/A</v>
      </c>
      <c r="V903" s="111" t="e">
        <f t="shared" si="38"/>
        <v>#N/A</v>
      </c>
      <c r="W903" s="55" t="e">
        <f>VLOOKUP($I903,'Pricing Table - eff 27-Jan-2026'!$A:$R,18,FALSE)</f>
        <v>#N/A</v>
      </c>
    </row>
    <row r="904" spans="1:23" hidden="1" x14ac:dyDescent="0.3">
      <c r="A904" s="55"/>
      <c r="B904" s="55"/>
      <c r="C904" s="55">
        <f>VLOOKUP(A904&amp;"-"&amp;B904,'Order Summary'!$D:$E,2,FALSE)</f>
        <v>0</v>
      </c>
      <c r="D904" s="216" t="str">
        <f>IF($A904="","",VLOOKUP($A904&amp;"-"&amp;$B904,'Order Summary'!$D:$U,3,FALSE))</f>
        <v/>
      </c>
      <c r="E904" s="55" t="str">
        <f>VLOOKUP(A904&amp;"-"&amp;B904,'Order Summary'!$D:$G,4,FALSE)</f>
        <v>Yes</v>
      </c>
      <c r="F904" s="55" t="e">
        <f>VLOOKUP($A904,'Order Summary'!$B:$I,8,FALSE)</f>
        <v>#N/A</v>
      </c>
      <c r="G904" s="216" t="str">
        <f>IF($A904="","",VLOOKUP($A904&amp;"-"&amp;$B904,'Order Summary'!$D:$U,18,FALSE))</f>
        <v/>
      </c>
      <c r="H904" s="55"/>
      <c r="I904" s="55"/>
      <c r="J904" s="55" t="e">
        <f>VLOOKUP($I904,'Pricing Table - eff 27-Jan-2026'!$A:$R,2,FALSE)</f>
        <v>#N/A</v>
      </c>
      <c r="K904" s="55" t="e">
        <f>VLOOKUP($I904,'Pricing Table - eff 27-Jan-2026'!$A:$R,6,FALSE)&amp;" "&amp;VLOOKUP($I904,'Pricing Table - eff 27-Jan-2026'!$A:$R,7,FALSE)&amp;""" x "&amp;VLOOKUP($I904,'Pricing Table - eff 27-Jan-2026'!$A:$R,9,FALSE)&amp;""" "&amp;VLOOKUP($I904,'Pricing Table - eff 27-Jan-2026'!$A:$R,5,FALSE)</f>
        <v>#N/A</v>
      </c>
      <c r="L904" s="55" t="e">
        <f>VLOOKUP($I904,'Pricing Table - eff 27-Jan-2026'!$A:$K,8,FALSE)</f>
        <v>#N/A</v>
      </c>
      <c r="M904" s="55" t="e">
        <f>VLOOKUP($I904,'Pricing Table - eff 27-Jan-2026'!$A:$K,10,FALSE)</f>
        <v>#N/A</v>
      </c>
      <c r="N904" s="55" t="e">
        <f>VLOOKUP($I904,'Pricing Table - eff 27-Jan-2026'!$A:$R,13,FALSE)&amp;" "&amp;VLOOKUP($I904,'Pricing Table - eff 27-Jan-2026'!$A:$R,12,FALSE)</f>
        <v>#N/A</v>
      </c>
      <c r="O904" s="56"/>
      <c r="P904" s="55" t="e">
        <f>(VLOOKUP($I904,'Pricing Table - eff 27-Jan-2026'!$A:$R,8,FALSE)/1000)*(VLOOKUP($I904,'Pricing Table - eff 27-Jan-2026'!$A:$R,10,FALSE)/1000)*Q904</f>
        <v>#N/A</v>
      </c>
      <c r="Q904" s="55" t="e">
        <f>ROUND(('Order Details'!$O904*1000)/((VLOOKUP($I904,'Pricing Table - eff 27-Jan-2026'!$A:$Q,7,FALSE)/12)*(VLOOKUP($I904,'Pricing Table - eff 27-Jan-2026'!$A:$Q,9,FALSE)/12))/5,0)*5</f>
        <v>#N/A</v>
      </c>
      <c r="R904" s="71" t="e">
        <f>$Q904/IFERROR(VLOOKUP($F904&amp;RIGHT($K904,8),'Master Data'!$O$5:$P$10,2,FALSE),'Master Data'!$P$4)</f>
        <v>#N/A</v>
      </c>
      <c r="S904" s="57" t="e">
        <f>VLOOKUP($I904,'Pricing Table - eff 27-Jan-2026'!$A:$Q,16,FALSE)</f>
        <v>#N/A</v>
      </c>
      <c r="T904" s="57" t="e">
        <f>VLOOKUP(I904,'Pricing Table - eff 27-Jan-2026'!$A:$O,15,FALSE)</f>
        <v>#N/A</v>
      </c>
      <c r="U904" s="57" t="e">
        <f t="shared" si="37"/>
        <v>#N/A</v>
      </c>
      <c r="V904" s="111" t="e">
        <f t="shared" si="38"/>
        <v>#N/A</v>
      </c>
      <c r="W904" s="55" t="e">
        <f>VLOOKUP($I904,'Pricing Table - eff 27-Jan-2026'!$A:$R,18,FALSE)</f>
        <v>#N/A</v>
      </c>
    </row>
    <row r="905" spans="1:23" hidden="1" x14ac:dyDescent="0.3">
      <c r="A905" s="55"/>
      <c r="B905" s="55"/>
      <c r="C905" s="55">
        <f>VLOOKUP(A905&amp;"-"&amp;B905,'Order Summary'!$D:$E,2,FALSE)</f>
        <v>0</v>
      </c>
      <c r="D905" s="216" t="str">
        <f>IF($A905="","",VLOOKUP($A905&amp;"-"&amp;$B905,'Order Summary'!$D:$U,3,FALSE))</f>
        <v/>
      </c>
      <c r="E905" s="55" t="str">
        <f>VLOOKUP(A905&amp;"-"&amp;B905,'Order Summary'!$D:$G,4,FALSE)</f>
        <v>Yes</v>
      </c>
      <c r="F905" s="55" t="e">
        <f>VLOOKUP($A905,'Order Summary'!$B:$I,8,FALSE)</f>
        <v>#N/A</v>
      </c>
      <c r="G905" s="216" t="str">
        <f>IF($A905="","",VLOOKUP($A905&amp;"-"&amp;$B905,'Order Summary'!$D:$U,18,FALSE))</f>
        <v/>
      </c>
      <c r="H905" s="55"/>
      <c r="I905" s="55"/>
      <c r="J905" s="55" t="e">
        <f>VLOOKUP($I905,'Pricing Table - eff 27-Jan-2026'!$A:$R,2,FALSE)</f>
        <v>#N/A</v>
      </c>
      <c r="K905" s="55" t="e">
        <f>VLOOKUP($I905,'Pricing Table - eff 27-Jan-2026'!$A:$R,6,FALSE)&amp;" "&amp;VLOOKUP($I905,'Pricing Table - eff 27-Jan-2026'!$A:$R,7,FALSE)&amp;""" x "&amp;VLOOKUP($I905,'Pricing Table - eff 27-Jan-2026'!$A:$R,9,FALSE)&amp;""" "&amp;VLOOKUP($I905,'Pricing Table - eff 27-Jan-2026'!$A:$R,5,FALSE)</f>
        <v>#N/A</v>
      </c>
      <c r="L905" s="55" t="e">
        <f>VLOOKUP($I905,'Pricing Table - eff 27-Jan-2026'!$A:$K,8,FALSE)</f>
        <v>#N/A</v>
      </c>
      <c r="M905" s="55" t="e">
        <f>VLOOKUP($I905,'Pricing Table - eff 27-Jan-2026'!$A:$K,10,FALSE)</f>
        <v>#N/A</v>
      </c>
      <c r="N905" s="55" t="e">
        <f>VLOOKUP($I905,'Pricing Table - eff 27-Jan-2026'!$A:$R,13,FALSE)&amp;" "&amp;VLOOKUP($I905,'Pricing Table - eff 27-Jan-2026'!$A:$R,12,FALSE)</f>
        <v>#N/A</v>
      </c>
      <c r="O905" s="56"/>
      <c r="P905" s="55" t="e">
        <f>(VLOOKUP($I905,'Pricing Table - eff 27-Jan-2026'!$A:$R,8,FALSE)/1000)*(VLOOKUP($I905,'Pricing Table - eff 27-Jan-2026'!$A:$R,10,FALSE)/1000)*Q905</f>
        <v>#N/A</v>
      </c>
      <c r="Q905" s="55" t="e">
        <f>ROUND(('Order Details'!$O905*1000)/((VLOOKUP($I905,'Pricing Table - eff 27-Jan-2026'!$A:$Q,7,FALSE)/12)*(VLOOKUP($I905,'Pricing Table - eff 27-Jan-2026'!$A:$Q,9,FALSE)/12))/5,0)*5</f>
        <v>#N/A</v>
      </c>
      <c r="R905" s="71" t="e">
        <f>$Q905/IFERROR(VLOOKUP($F905&amp;RIGHT($K905,8),'Master Data'!$O$5:$P$10,2,FALSE),'Master Data'!$P$4)</f>
        <v>#N/A</v>
      </c>
      <c r="S905" s="57" t="e">
        <f>VLOOKUP($I905,'Pricing Table - eff 27-Jan-2026'!$A:$Q,16,FALSE)</f>
        <v>#N/A</v>
      </c>
      <c r="T905" s="57" t="e">
        <f>VLOOKUP(I905,'Pricing Table - eff 27-Jan-2026'!$A:$O,15,FALSE)</f>
        <v>#N/A</v>
      </c>
      <c r="U905" s="57" t="e">
        <f t="shared" si="37"/>
        <v>#N/A</v>
      </c>
      <c r="V905" s="111" t="e">
        <f t="shared" si="38"/>
        <v>#N/A</v>
      </c>
      <c r="W905" s="55" t="e">
        <f>VLOOKUP($I905,'Pricing Table - eff 27-Jan-2026'!$A:$R,18,FALSE)</f>
        <v>#N/A</v>
      </c>
    </row>
    <row r="906" spans="1:23" hidden="1" x14ac:dyDescent="0.3">
      <c r="A906" s="55"/>
      <c r="B906" s="55"/>
      <c r="C906" s="55">
        <f>VLOOKUP(A906&amp;"-"&amp;B906,'Order Summary'!$D:$E,2,FALSE)</f>
        <v>0</v>
      </c>
      <c r="D906" s="216" t="str">
        <f>IF($A906="","",VLOOKUP($A906&amp;"-"&amp;$B906,'Order Summary'!$D:$U,3,FALSE))</f>
        <v/>
      </c>
      <c r="E906" s="55" t="str">
        <f>VLOOKUP(A906&amp;"-"&amp;B906,'Order Summary'!$D:$G,4,FALSE)</f>
        <v>Yes</v>
      </c>
      <c r="F906" s="55" t="e">
        <f>VLOOKUP($A906,'Order Summary'!$B:$I,8,FALSE)</f>
        <v>#N/A</v>
      </c>
      <c r="G906" s="216" t="str">
        <f>IF($A906="","",VLOOKUP($A906&amp;"-"&amp;$B906,'Order Summary'!$D:$U,18,FALSE))</f>
        <v/>
      </c>
      <c r="H906" s="55"/>
      <c r="I906" s="55"/>
      <c r="J906" s="55" t="e">
        <f>VLOOKUP($I906,'Pricing Table - eff 27-Jan-2026'!$A:$R,2,FALSE)</f>
        <v>#N/A</v>
      </c>
      <c r="K906" s="55" t="e">
        <f>VLOOKUP($I906,'Pricing Table - eff 27-Jan-2026'!$A:$R,6,FALSE)&amp;" "&amp;VLOOKUP($I906,'Pricing Table - eff 27-Jan-2026'!$A:$R,7,FALSE)&amp;""" x "&amp;VLOOKUP($I906,'Pricing Table - eff 27-Jan-2026'!$A:$R,9,FALSE)&amp;""" "&amp;VLOOKUP($I906,'Pricing Table - eff 27-Jan-2026'!$A:$R,5,FALSE)</f>
        <v>#N/A</v>
      </c>
      <c r="L906" s="55" t="e">
        <f>VLOOKUP($I906,'Pricing Table - eff 27-Jan-2026'!$A:$K,8,FALSE)</f>
        <v>#N/A</v>
      </c>
      <c r="M906" s="55" t="e">
        <f>VLOOKUP($I906,'Pricing Table - eff 27-Jan-2026'!$A:$K,10,FALSE)</f>
        <v>#N/A</v>
      </c>
      <c r="N906" s="55" t="e">
        <f>VLOOKUP($I906,'Pricing Table - eff 27-Jan-2026'!$A:$R,13,FALSE)&amp;" "&amp;VLOOKUP($I906,'Pricing Table - eff 27-Jan-2026'!$A:$R,12,FALSE)</f>
        <v>#N/A</v>
      </c>
      <c r="O906" s="56"/>
      <c r="P906" s="55" t="e">
        <f>(VLOOKUP($I906,'Pricing Table - eff 27-Jan-2026'!$A:$R,8,FALSE)/1000)*(VLOOKUP($I906,'Pricing Table - eff 27-Jan-2026'!$A:$R,10,FALSE)/1000)*Q906</f>
        <v>#N/A</v>
      </c>
      <c r="Q906" s="55" t="e">
        <f>ROUND(('Order Details'!$O906*1000)/((VLOOKUP($I906,'Pricing Table - eff 27-Jan-2026'!$A:$Q,7,FALSE)/12)*(VLOOKUP($I906,'Pricing Table - eff 27-Jan-2026'!$A:$Q,9,FALSE)/12))/5,0)*5</f>
        <v>#N/A</v>
      </c>
      <c r="R906" s="71" t="e">
        <f>$Q906/IFERROR(VLOOKUP($F906&amp;RIGHT($K906,8),'Master Data'!$O$5:$P$10,2,FALSE),'Master Data'!$P$4)</f>
        <v>#N/A</v>
      </c>
      <c r="S906" s="57" t="e">
        <f>VLOOKUP($I906,'Pricing Table - eff 27-Jan-2026'!$A:$Q,16,FALSE)</f>
        <v>#N/A</v>
      </c>
      <c r="T906" s="57" t="e">
        <f>VLOOKUP(I906,'Pricing Table - eff 27-Jan-2026'!$A:$O,15,FALSE)</f>
        <v>#N/A</v>
      </c>
      <c r="U906" s="57" t="e">
        <f t="shared" si="37"/>
        <v>#N/A</v>
      </c>
      <c r="V906" s="111" t="e">
        <f t="shared" si="38"/>
        <v>#N/A</v>
      </c>
      <c r="W906" s="55" t="e">
        <f>VLOOKUP($I906,'Pricing Table - eff 27-Jan-2026'!$A:$R,18,FALSE)</f>
        <v>#N/A</v>
      </c>
    </row>
    <row r="907" spans="1:23" hidden="1" x14ac:dyDescent="0.3">
      <c r="A907" s="55"/>
      <c r="B907" s="55"/>
      <c r="C907" s="55">
        <f>VLOOKUP(A907&amp;"-"&amp;B907,'Order Summary'!$D:$E,2,FALSE)</f>
        <v>0</v>
      </c>
      <c r="D907" s="216" t="str">
        <f>IF($A907="","",VLOOKUP($A907&amp;"-"&amp;$B907,'Order Summary'!$D:$U,3,FALSE))</f>
        <v/>
      </c>
      <c r="E907" s="55" t="str">
        <f>VLOOKUP(A907&amp;"-"&amp;B907,'Order Summary'!$D:$G,4,FALSE)</f>
        <v>Yes</v>
      </c>
      <c r="F907" s="55" t="e">
        <f>VLOOKUP($A907,'Order Summary'!$B:$I,8,FALSE)</f>
        <v>#N/A</v>
      </c>
      <c r="G907" s="216" t="str">
        <f>IF($A907="","",VLOOKUP($A907&amp;"-"&amp;$B907,'Order Summary'!$D:$U,18,FALSE))</f>
        <v/>
      </c>
      <c r="H907" s="55"/>
      <c r="I907" s="55"/>
      <c r="J907" s="55" t="e">
        <f>VLOOKUP($I907,'Pricing Table - eff 27-Jan-2026'!$A:$R,2,FALSE)</f>
        <v>#N/A</v>
      </c>
      <c r="K907" s="55" t="e">
        <f>VLOOKUP($I907,'Pricing Table - eff 27-Jan-2026'!$A:$R,6,FALSE)&amp;" "&amp;VLOOKUP($I907,'Pricing Table - eff 27-Jan-2026'!$A:$R,7,FALSE)&amp;""" x "&amp;VLOOKUP($I907,'Pricing Table - eff 27-Jan-2026'!$A:$R,9,FALSE)&amp;""" "&amp;VLOOKUP($I907,'Pricing Table - eff 27-Jan-2026'!$A:$R,5,FALSE)</f>
        <v>#N/A</v>
      </c>
      <c r="L907" s="55" t="e">
        <f>VLOOKUP($I907,'Pricing Table - eff 27-Jan-2026'!$A:$K,8,FALSE)</f>
        <v>#N/A</v>
      </c>
      <c r="M907" s="55" t="e">
        <f>VLOOKUP($I907,'Pricing Table - eff 27-Jan-2026'!$A:$K,10,FALSE)</f>
        <v>#N/A</v>
      </c>
      <c r="N907" s="55" t="e">
        <f>VLOOKUP($I907,'Pricing Table - eff 27-Jan-2026'!$A:$R,13,FALSE)&amp;" "&amp;VLOOKUP($I907,'Pricing Table - eff 27-Jan-2026'!$A:$R,12,FALSE)</f>
        <v>#N/A</v>
      </c>
      <c r="O907" s="56"/>
      <c r="P907" s="55" t="e">
        <f>(VLOOKUP($I907,'Pricing Table - eff 27-Jan-2026'!$A:$R,8,FALSE)/1000)*(VLOOKUP($I907,'Pricing Table - eff 27-Jan-2026'!$A:$R,10,FALSE)/1000)*Q907</f>
        <v>#N/A</v>
      </c>
      <c r="Q907" s="55" t="e">
        <f>ROUND(('Order Details'!$O907*1000)/((VLOOKUP($I907,'Pricing Table - eff 27-Jan-2026'!$A:$Q,7,FALSE)/12)*(VLOOKUP($I907,'Pricing Table - eff 27-Jan-2026'!$A:$Q,9,FALSE)/12))/5,0)*5</f>
        <v>#N/A</v>
      </c>
      <c r="R907" s="71" t="e">
        <f>$Q907/IFERROR(VLOOKUP($F907&amp;RIGHT($K907,8),'Master Data'!$O$5:$P$10,2,FALSE),'Master Data'!$P$4)</f>
        <v>#N/A</v>
      </c>
      <c r="S907" s="57" t="e">
        <f>VLOOKUP($I907,'Pricing Table - eff 27-Jan-2026'!$A:$Q,16,FALSE)</f>
        <v>#N/A</v>
      </c>
      <c r="T907" s="57" t="e">
        <f>VLOOKUP(I907,'Pricing Table - eff 27-Jan-2026'!$A:$O,15,FALSE)</f>
        <v>#N/A</v>
      </c>
      <c r="U907" s="57" t="e">
        <f t="shared" si="37"/>
        <v>#N/A</v>
      </c>
      <c r="V907" s="111" t="e">
        <f t="shared" si="38"/>
        <v>#N/A</v>
      </c>
      <c r="W907" s="55" t="e">
        <f>VLOOKUP($I907,'Pricing Table - eff 27-Jan-2026'!$A:$R,18,FALSE)</f>
        <v>#N/A</v>
      </c>
    </row>
    <row r="908" spans="1:23" hidden="1" x14ac:dyDescent="0.3">
      <c r="A908" s="55"/>
      <c r="B908" s="55"/>
      <c r="C908" s="55">
        <f>VLOOKUP(A908&amp;"-"&amp;B908,'Order Summary'!$D:$E,2,FALSE)</f>
        <v>0</v>
      </c>
      <c r="D908" s="216" t="str">
        <f>IF($A908="","",VLOOKUP($A908&amp;"-"&amp;$B908,'Order Summary'!$D:$U,3,FALSE))</f>
        <v/>
      </c>
      <c r="E908" s="55" t="str">
        <f>VLOOKUP(A908&amp;"-"&amp;B908,'Order Summary'!$D:$G,4,FALSE)</f>
        <v>Yes</v>
      </c>
      <c r="F908" s="55" t="e">
        <f>VLOOKUP($A908,'Order Summary'!$B:$I,8,FALSE)</f>
        <v>#N/A</v>
      </c>
      <c r="G908" s="216" t="str">
        <f>IF($A908="","",VLOOKUP($A908&amp;"-"&amp;$B908,'Order Summary'!$D:$U,18,FALSE))</f>
        <v/>
      </c>
      <c r="H908" s="55"/>
      <c r="I908" s="55"/>
      <c r="J908" s="55" t="e">
        <f>VLOOKUP($I908,'Pricing Table - eff 27-Jan-2026'!$A:$R,2,FALSE)</f>
        <v>#N/A</v>
      </c>
      <c r="K908" s="55" t="e">
        <f>VLOOKUP($I908,'Pricing Table - eff 27-Jan-2026'!$A:$R,6,FALSE)&amp;" "&amp;VLOOKUP($I908,'Pricing Table - eff 27-Jan-2026'!$A:$R,7,FALSE)&amp;""" x "&amp;VLOOKUP($I908,'Pricing Table - eff 27-Jan-2026'!$A:$R,9,FALSE)&amp;""" "&amp;VLOOKUP($I908,'Pricing Table - eff 27-Jan-2026'!$A:$R,5,FALSE)</f>
        <v>#N/A</v>
      </c>
      <c r="L908" s="55" t="e">
        <f>VLOOKUP($I908,'Pricing Table - eff 27-Jan-2026'!$A:$K,8,FALSE)</f>
        <v>#N/A</v>
      </c>
      <c r="M908" s="55" t="e">
        <f>VLOOKUP($I908,'Pricing Table - eff 27-Jan-2026'!$A:$K,10,FALSE)</f>
        <v>#N/A</v>
      </c>
      <c r="N908" s="55" t="e">
        <f>VLOOKUP($I908,'Pricing Table - eff 27-Jan-2026'!$A:$R,13,FALSE)&amp;" "&amp;VLOOKUP($I908,'Pricing Table - eff 27-Jan-2026'!$A:$R,12,FALSE)</f>
        <v>#N/A</v>
      </c>
      <c r="O908" s="56"/>
      <c r="P908" s="55" t="e">
        <f>(VLOOKUP($I908,'Pricing Table - eff 27-Jan-2026'!$A:$R,8,FALSE)/1000)*(VLOOKUP($I908,'Pricing Table - eff 27-Jan-2026'!$A:$R,10,FALSE)/1000)*Q908</f>
        <v>#N/A</v>
      </c>
      <c r="Q908" s="55" t="e">
        <f>ROUND(('Order Details'!$O908*1000)/((VLOOKUP($I908,'Pricing Table - eff 27-Jan-2026'!$A:$Q,7,FALSE)/12)*(VLOOKUP($I908,'Pricing Table - eff 27-Jan-2026'!$A:$Q,9,FALSE)/12))/5,0)*5</f>
        <v>#N/A</v>
      </c>
      <c r="R908" s="71" t="e">
        <f>$Q908/IFERROR(VLOOKUP($F908&amp;RIGHT($K908,8),'Master Data'!$O$5:$P$10,2,FALSE),'Master Data'!$P$4)</f>
        <v>#N/A</v>
      </c>
      <c r="S908" s="57" t="e">
        <f>VLOOKUP($I908,'Pricing Table - eff 27-Jan-2026'!$A:$Q,16,FALSE)</f>
        <v>#N/A</v>
      </c>
      <c r="T908" s="57" t="e">
        <f>VLOOKUP(I908,'Pricing Table - eff 27-Jan-2026'!$A:$O,15,FALSE)</f>
        <v>#N/A</v>
      </c>
      <c r="U908" s="57" t="e">
        <f t="shared" si="37"/>
        <v>#N/A</v>
      </c>
      <c r="V908" s="111" t="e">
        <f t="shared" si="38"/>
        <v>#N/A</v>
      </c>
      <c r="W908" s="55" t="e">
        <f>VLOOKUP($I908,'Pricing Table - eff 27-Jan-2026'!$A:$R,18,FALSE)</f>
        <v>#N/A</v>
      </c>
    </row>
    <row r="909" spans="1:23" hidden="1" x14ac:dyDescent="0.3">
      <c r="A909" s="55"/>
      <c r="B909" s="55"/>
      <c r="C909" s="55">
        <f>VLOOKUP(A909&amp;"-"&amp;B909,'Order Summary'!$D:$E,2,FALSE)</f>
        <v>0</v>
      </c>
      <c r="D909" s="216" t="str">
        <f>IF($A909="","",VLOOKUP($A909&amp;"-"&amp;$B909,'Order Summary'!$D:$U,3,FALSE))</f>
        <v/>
      </c>
      <c r="E909" s="55" t="str">
        <f>VLOOKUP(A909&amp;"-"&amp;B909,'Order Summary'!$D:$G,4,FALSE)</f>
        <v>Yes</v>
      </c>
      <c r="F909" s="55" t="e">
        <f>VLOOKUP($A909,'Order Summary'!$B:$I,8,FALSE)</f>
        <v>#N/A</v>
      </c>
      <c r="G909" s="216" t="str">
        <f>IF($A909="","",VLOOKUP($A909&amp;"-"&amp;$B909,'Order Summary'!$D:$U,18,FALSE))</f>
        <v/>
      </c>
      <c r="H909" s="55"/>
      <c r="I909" s="55"/>
      <c r="J909" s="55" t="e">
        <f>VLOOKUP($I909,'Pricing Table - eff 27-Jan-2026'!$A:$R,2,FALSE)</f>
        <v>#N/A</v>
      </c>
      <c r="K909" s="55" t="e">
        <f>VLOOKUP($I909,'Pricing Table - eff 27-Jan-2026'!$A:$R,6,FALSE)&amp;" "&amp;VLOOKUP($I909,'Pricing Table - eff 27-Jan-2026'!$A:$R,7,FALSE)&amp;""" x "&amp;VLOOKUP($I909,'Pricing Table - eff 27-Jan-2026'!$A:$R,9,FALSE)&amp;""" "&amp;VLOOKUP($I909,'Pricing Table - eff 27-Jan-2026'!$A:$R,5,FALSE)</f>
        <v>#N/A</v>
      </c>
      <c r="L909" s="55" t="e">
        <f>VLOOKUP($I909,'Pricing Table - eff 27-Jan-2026'!$A:$K,8,FALSE)</f>
        <v>#N/A</v>
      </c>
      <c r="M909" s="55" t="e">
        <f>VLOOKUP($I909,'Pricing Table - eff 27-Jan-2026'!$A:$K,10,FALSE)</f>
        <v>#N/A</v>
      </c>
      <c r="N909" s="55" t="e">
        <f>VLOOKUP($I909,'Pricing Table - eff 27-Jan-2026'!$A:$R,13,FALSE)&amp;" "&amp;VLOOKUP($I909,'Pricing Table - eff 27-Jan-2026'!$A:$R,12,FALSE)</f>
        <v>#N/A</v>
      </c>
      <c r="O909" s="56"/>
      <c r="P909" s="55" t="e">
        <f>(VLOOKUP($I909,'Pricing Table - eff 27-Jan-2026'!$A:$R,8,FALSE)/1000)*(VLOOKUP($I909,'Pricing Table - eff 27-Jan-2026'!$A:$R,10,FALSE)/1000)*Q909</f>
        <v>#N/A</v>
      </c>
      <c r="Q909" s="55" t="e">
        <f>ROUND(('Order Details'!$O909*1000)/((VLOOKUP($I909,'Pricing Table - eff 27-Jan-2026'!$A:$Q,7,FALSE)/12)*(VLOOKUP($I909,'Pricing Table - eff 27-Jan-2026'!$A:$Q,9,FALSE)/12))/5,0)*5</f>
        <v>#N/A</v>
      </c>
      <c r="R909" s="71" t="e">
        <f>$Q909/IFERROR(VLOOKUP($F909&amp;RIGHT($K909,8),'Master Data'!$O$5:$P$10,2,FALSE),'Master Data'!$P$4)</f>
        <v>#N/A</v>
      </c>
      <c r="S909" s="57" t="e">
        <f>VLOOKUP($I909,'Pricing Table - eff 27-Jan-2026'!$A:$Q,16,FALSE)</f>
        <v>#N/A</v>
      </c>
      <c r="T909" s="57" t="e">
        <f>VLOOKUP(I909,'Pricing Table - eff 27-Jan-2026'!$A:$O,15,FALSE)</f>
        <v>#N/A</v>
      </c>
      <c r="U909" s="57" t="e">
        <f t="shared" si="37"/>
        <v>#N/A</v>
      </c>
      <c r="V909" s="111" t="e">
        <f t="shared" si="38"/>
        <v>#N/A</v>
      </c>
      <c r="W909" s="55" t="e">
        <f>VLOOKUP($I909,'Pricing Table - eff 27-Jan-2026'!$A:$R,18,FALSE)</f>
        <v>#N/A</v>
      </c>
    </row>
    <row r="910" spans="1:23" hidden="1" x14ac:dyDescent="0.3">
      <c r="A910" s="55"/>
      <c r="B910" s="55"/>
      <c r="C910" s="55">
        <f>VLOOKUP(A910&amp;"-"&amp;B910,'Order Summary'!$D:$E,2,FALSE)</f>
        <v>0</v>
      </c>
      <c r="D910" s="216" t="str">
        <f>IF($A910="","",VLOOKUP($A910&amp;"-"&amp;$B910,'Order Summary'!$D:$U,3,FALSE))</f>
        <v/>
      </c>
      <c r="E910" s="55" t="str">
        <f>VLOOKUP(A910&amp;"-"&amp;B910,'Order Summary'!$D:$G,4,FALSE)</f>
        <v>Yes</v>
      </c>
      <c r="F910" s="55" t="e">
        <f>VLOOKUP($A910,'Order Summary'!$B:$I,8,FALSE)</f>
        <v>#N/A</v>
      </c>
      <c r="G910" s="216" t="str">
        <f>IF($A910="","",VLOOKUP($A910&amp;"-"&amp;$B910,'Order Summary'!$D:$U,18,FALSE))</f>
        <v/>
      </c>
      <c r="H910" s="55"/>
      <c r="I910" s="55"/>
      <c r="J910" s="55" t="e">
        <f>VLOOKUP($I910,'Pricing Table - eff 27-Jan-2026'!$A:$R,2,FALSE)</f>
        <v>#N/A</v>
      </c>
      <c r="K910" s="55" t="e">
        <f>VLOOKUP($I910,'Pricing Table - eff 27-Jan-2026'!$A:$R,6,FALSE)&amp;" "&amp;VLOOKUP($I910,'Pricing Table - eff 27-Jan-2026'!$A:$R,7,FALSE)&amp;""" x "&amp;VLOOKUP($I910,'Pricing Table - eff 27-Jan-2026'!$A:$R,9,FALSE)&amp;""" "&amp;VLOOKUP($I910,'Pricing Table - eff 27-Jan-2026'!$A:$R,5,FALSE)</f>
        <v>#N/A</v>
      </c>
      <c r="L910" s="55" t="e">
        <f>VLOOKUP($I910,'Pricing Table - eff 27-Jan-2026'!$A:$K,8,FALSE)</f>
        <v>#N/A</v>
      </c>
      <c r="M910" s="55" t="e">
        <f>VLOOKUP($I910,'Pricing Table - eff 27-Jan-2026'!$A:$K,10,FALSE)</f>
        <v>#N/A</v>
      </c>
      <c r="N910" s="55" t="e">
        <f>VLOOKUP($I910,'Pricing Table - eff 27-Jan-2026'!$A:$R,13,FALSE)&amp;" "&amp;VLOOKUP($I910,'Pricing Table - eff 27-Jan-2026'!$A:$R,12,FALSE)</f>
        <v>#N/A</v>
      </c>
      <c r="O910" s="56"/>
      <c r="P910" s="55" t="e">
        <f>(VLOOKUP($I910,'Pricing Table - eff 27-Jan-2026'!$A:$R,8,FALSE)/1000)*(VLOOKUP($I910,'Pricing Table - eff 27-Jan-2026'!$A:$R,10,FALSE)/1000)*Q910</f>
        <v>#N/A</v>
      </c>
      <c r="Q910" s="55" t="e">
        <f>ROUND(('Order Details'!$O910*1000)/((VLOOKUP($I910,'Pricing Table - eff 27-Jan-2026'!$A:$Q,7,FALSE)/12)*(VLOOKUP($I910,'Pricing Table - eff 27-Jan-2026'!$A:$Q,9,FALSE)/12))/5,0)*5</f>
        <v>#N/A</v>
      </c>
      <c r="R910" s="71" t="e">
        <f>$Q910/IFERROR(VLOOKUP($F910&amp;RIGHT($K910,8),'Master Data'!$O$5:$P$10,2,FALSE),'Master Data'!$P$4)</f>
        <v>#N/A</v>
      </c>
      <c r="S910" s="57" t="e">
        <f>VLOOKUP($I910,'Pricing Table - eff 27-Jan-2026'!$A:$Q,16,FALSE)</f>
        <v>#N/A</v>
      </c>
      <c r="T910" s="57" t="e">
        <f>VLOOKUP(I910,'Pricing Table - eff 27-Jan-2026'!$A:$O,15,FALSE)</f>
        <v>#N/A</v>
      </c>
      <c r="U910" s="57" t="e">
        <f t="shared" si="37"/>
        <v>#N/A</v>
      </c>
      <c r="V910" s="111" t="e">
        <f t="shared" si="38"/>
        <v>#N/A</v>
      </c>
      <c r="W910" s="55" t="e">
        <f>VLOOKUP($I910,'Pricing Table - eff 27-Jan-2026'!$A:$R,18,FALSE)</f>
        <v>#N/A</v>
      </c>
    </row>
    <row r="911" spans="1:23" hidden="1" x14ac:dyDescent="0.3">
      <c r="A911" s="55"/>
      <c r="B911" s="55"/>
      <c r="C911" s="55">
        <f>VLOOKUP(A911&amp;"-"&amp;B911,'Order Summary'!$D:$E,2,FALSE)</f>
        <v>0</v>
      </c>
      <c r="D911" s="216" t="str">
        <f>IF($A911="","",VLOOKUP($A911&amp;"-"&amp;$B911,'Order Summary'!$D:$U,3,FALSE))</f>
        <v/>
      </c>
      <c r="E911" s="55" t="str">
        <f>VLOOKUP(A911&amp;"-"&amp;B911,'Order Summary'!$D:$G,4,FALSE)</f>
        <v>Yes</v>
      </c>
      <c r="F911" s="55" t="e">
        <f>VLOOKUP($A911,'Order Summary'!$B:$I,8,FALSE)</f>
        <v>#N/A</v>
      </c>
      <c r="G911" s="216" t="str">
        <f>IF($A911="","",VLOOKUP($A911&amp;"-"&amp;$B911,'Order Summary'!$D:$U,18,FALSE))</f>
        <v/>
      </c>
      <c r="H911" s="55"/>
      <c r="I911" s="55"/>
      <c r="J911" s="55" t="e">
        <f>VLOOKUP($I911,'Pricing Table - eff 27-Jan-2026'!$A:$R,2,FALSE)</f>
        <v>#N/A</v>
      </c>
      <c r="K911" s="55" t="e">
        <f>VLOOKUP($I911,'Pricing Table - eff 27-Jan-2026'!$A:$R,6,FALSE)&amp;" "&amp;VLOOKUP($I911,'Pricing Table - eff 27-Jan-2026'!$A:$R,7,FALSE)&amp;""" x "&amp;VLOOKUP($I911,'Pricing Table - eff 27-Jan-2026'!$A:$R,9,FALSE)&amp;""" "&amp;VLOOKUP($I911,'Pricing Table - eff 27-Jan-2026'!$A:$R,5,FALSE)</f>
        <v>#N/A</v>
      </c>
      <c r="L911" s="55" t="e">
        <f>VLOOKUP($I911,'Pricing Table - eff 27-Jan-2026'!$A:$K,8,FALSE)</f>
        <v>#N/A</v>
      </c>
      <c r="M911" s="55" t="e">
        <f>VLOOKUP($I911,'Pricing Table - eff 27-Jan-2026'!$A:$K,10,FALSE)</f>
        <v>#N/A</v>
      </c>
      <c r="N911" s="55" t="e">
        <f>VLOOKUP($I911,'Pricing Table - eff 27-Jan-2026'!$A:$R,13,FALSE)&amp;" "&amp;VLOOKUP($I911,'Pricing Table - eff 27-Jan-2026'!$A:$R,12,FALSE)</f>
        <v>#N/A</v>
      </c>
      <c r="O911" s="56"/>
      <c r="P911" s="55" t="e">
        <f>(VLOOKUP($I911,'Pricing Table - eff 27-Jan-2026'!$A:$R,8,FALSE)/1000)*(VLOOKUP($I911,'Pricing Table - eff 27-Jan-2026'!$A:$R,10,FALSE)/1000)*Q911</f>
        <v>#N/A</v>
      </c>
      <c r="Q911" s="55" t="e">
        <f>ROUND(('Order Details'!$O911*1000)/((VLOOKUP($I911,'Pricing Table - eff 27-Jan-2026'!$A:$Q,7,FALSE)/12)*(VLOOKUP($I911,'Pricing Table - eff 27-Jan-2026'!$A:$Q,9,FALSE)/12))/5,0)*5</f>
        <v>#N/A</v>
      </c>
      <c r="R911" s="71" t="e">
        <f>$Q911/IFERROR(VLOOKUP($F911&amp;RIGHT($K911,8),'Master Data'!$O$5:$P$10,2,FALSE),'Master Data'!$P$4)</f>
        <v>#N/A</v>
      </c>
      <c r="S911" s="57" t="e">
        <f>VLOOKUP($I911,'Pricing Table - eff 27-Jan-2026'!$A:$Q,16,FALSE)</f>
        <v>#N/A</v>
      </c>
      <c r="T911" s="57" t="e">
        <f>VLOOKUP(I911,'Pricing Table - eff 27-Jan-2026'!$A:$O,15,FALSE)</f>
        <v>#N/A</v>
      </c>
      <c r="U911" s="57" t="e">
        <f t="shared" si="37"/>
        <v>#N/A</v>
      </c>
      <c r="V911" s="111" t="e">
        <f t="shared" si="38"/>
        <v>#N/A</v>
      </c>
      <c r="W911" s="55" t="e">
        <f>VLOOKUP($I911,'Pricing Table - eff 27-Jan-2026'!$A:$R,18,FALSE)</f>
        <v>#N/A</v>
      </c>
    </row>
    <row r="912" spans="1:23" hidden="1" x14ac:dyDescent="0.3">
      <c r="A912" s="55"/>
      <c r="B912" s="55"/>
      <c r="C912" s="55">
        <f>VLOOKUP(A912&amp;"-"&amp;B912,'Order Summary'!$D:$E,2,FALSE)</f>
        <v>0</v>
      </c>
      <c r="D912" s="216" t="str">
        <f>IF($A912="","",VLOOKUP($A912&amp;"-"&amp;$B912,'Order Summary'!$D:$U,3,FALSE))</f>
        <v/>
      </c>
      <c r="E912" s="55" t="str">
        <f>VLOOKUP(A912&amp;"-"&amp;B912,'Order Summary'!$D:$G,4,FALSE)</f>
        <v>Yes</v>
      </c>
      <c r="F912" s="55" t="e">
        <f>VLOOKUP($A912,'Order Summary'!$B:$I,8,FALSE)</f>
        <v>#N/A</v>
      </c>
      <c r="G912" s="216" t="str">
        <f>IF($A912="","",VLOOKUP($A912&amp;"-"&amp;$B912,'Order Summary'!$D:$U,18,FALSE))</f>
        <v/>
      </c>
      <c r="H912" s="55"/>
      <c r="I912" s="55"/>
      <c r="J912" s="55" t="e">
        <f>VLOOKUP($I912,'Pricing Table - eff 27-Jan-2026'!$A:$R,2,FALSE)</f>
        <v>#N/A</v>
      </c>
      <c r="K912" s="55" t="e">
        <f>VLOOKUP($I912,'Pricing Table - eff 27-Jan-2026'!$A:$R,6,FALSE)&amp;" "&amp;VLOOKUP($I912,'Pricing Table - eff 27-Jan-2026'!$A:$R,7,FALSE)&amp;""" x "&amp;VLOOKUP($I912,'Pricing Table - eff 27-Jan-2026'!$A:$R,9,FALSE)&amp;""" "&amp;VLOOKUP($I912,'Pricing Table - eff 27-Jan-2026'!$A:$R,5,FALSE)</f>
        <v>#N/A</v>
      </c>
      <c r="L912" s="55" t="e">
        <f>VLOOKUP($I912,'Pricing Table - eff 27-Jan-2026'!$A:$K,8,FALSE)</f>
        <v>#N/A</v>
      </c>
      <c r="M912" s="55" t="e">
        <f>VLOOKUP($I912,'Pricing Table - eff 27-Jan-2026'!$A:$K,10,FALSE)</f>
        <v>#N/A</v>
      </c>
      <c r="N912" s="55" t="e">
        <f>VLOOKUP($I912,'Pricing Table - eff 27-Jan-2026'!$A:$R,13,FALSE)&amp;" "&amp;VLOOKUP($I912,'Pricing Table - eff 27-Jan-2026'!$A:$R,12,FALSE)</f>
        <v>#N/A</v>
      </c>
      <c r="O912" s="56"/>
      <c r="P912" s="55" t="e">
        <f>(VLOOKUP($I912,'Pricing Table - eff 27-Jan-2026'!$A:$R,8,FALSE)/1000)*(VLOOKUP($I912,'Pricing Table - eff 27-Jan-2026'!$A:$R,10,FALSE)/1000)*Q912</f>
        <v>#N/A</v>
      </c>
      <c r="Q912" s="55" t="e">
        <f>ROUND(('Order Details'!$O912*1000)/((VLOOKUP($I912,'Pricing Table - eff 27-Jan-2026'!$A:$Q,7,FALSE)/12)*(VLOOKUP($I912,'Pricing Table - eff 27-Jan-2026'!$A:$Q,9,FALSE)/12))/5,0)*5</f>
        <v>#N/A</v>
      </c>
      <c r="R912" s="71" t="e">
        <f>$Q912/IFERROR(VLOOKUP($F912&amp;RIGHT($K912,8),'Master Data'!$O$5:$P$10,2,FALSE),'Master Data'!$P$4)</f>
        <v>#N/A</v>
      </c>
      <c r="S912" s="57" t="e">
        <f>VLOOKUP($I912,'Pricing Table - eff 27-Jan-2026'!$A:$Q,16,FALSE)</f>
        <v>#N/A</v>
      </c>
      <c r="T912" s="57" t="e">
        <f>VLOOKUP(I912,'Pricing Table - eff 27-Jan-2026'!$A:$O,15,FALSE)</f>
        <v>#N/A</v>
      </c>
      <c r="U912" s="57" t="e">
        <f t="shared" si="37"/>
        <v>#N/A</v>
      </c>
      <c r="V912" s="111" t="e">
        <f t="shared" si="38"/>
        <v>#N/A</v>
      </c>
      <c r="W912" s="55" t="e">
        <f>VLOOKUP($I912,'Pricing Table - eff 27-Jan-2026'!$A:$R,18,FALSE)</f>
        <v>#N/A</v>
      </c>
    </row>
    <row r="913" spans="1:23" hidden="1" x14ac:dyDescent="0.3">
      <c r="A913" s="55"/>
      <c r="B913" s="55"/>
      <c r="C913" s="55">
        <f>VLOOKUP(A913&amp;"-"&amp;B913,'Order Summary'!$D:$E,2,FALSE)</f>
        <v>0</v>
      </c>
      <c r="D913" s="216" t="str">
        <f>IF($A913="","",VLOOKUP($A913&amp;"-"&amp;$B913,'Order Summary'!$D:$U,3,FALSE))</f>
        <v/>
      </c>
      <c r="E913" s="55" t="str">
        <f>VLOOKUP(A913&amp;"-"&amp;B913,'Order Summary'!$D:$G,4,FALSE)</f>
        <v>Yes</v>
      </c>
      <c r="F913" s="55" t="e">
        <f>VLOOKUP($A913,'Order Summary'!$B:$I,8,FALSE)</f>
        <v>#N/A</v>
      </c>
      <c r="G913" s="216" t="str">
        <f>IF($A913="","",VLOOKUP($A913&amp;"-"&amp;$B913,'Order Summary'!$D:$U,18,FALSE))</f>
        <v/>
      </c>
      <c r="H913" s="55"/>
      <c r="I913" s="55"/>
      <c r="J913" s="55" t="e">
        <f>VLOOKUP($I913,'Pricing Table - eff 27-Jan-2026'!$A:$R,2,FALSE)</f>
        <v>#N/A</v>
      </c>
      <c r="K913" s="55" t="e">
        <f>VLOOKUP($I913,'Pricing Table - eff 27-Jan-2026'!$A:$R,6,FALSE)&amp;" "&amp;VLOOKUP($I913,'Pricing Table - eff 27-Jan-2026'!$A:$R,7,FALSE)&amp;""" x "&amp;VLOOKUP($I913,'Pricing Table - eff 27-Jan-2026'!$A:$R,9,FALSE)&amp;""" "&amp;VLOOKUP($I913,'Pricing Table - eff 27-Jan-2026'!$A:$R,5,FALSE)</f>
        <v>#N/A</v>
      </c>
      <c r="L913" s="55" t="e">
        <f>VLOOKUP($I913,'Pricing Table - eff 27-Jan-2026'!$A:$K,8,FALSE)</f>
        <v>#N/A</v>
      </c>
      <c r="M913" s="55" t="e">
        <f>VLOOKUP($I913,'Pricing Table - eff 27-Jan-2026'!$A:$K,10,FALSE)</f>
        <v>#N/A</v>
      </c>
      <c r="N913" s="55" t="e">
        <f>VLOOKUP($I913,'Pricing Table - eff 27-Jan-2026'!$A:$R,13,FALSE)&amp;" "&amp;VLOOKUP($I913,'Pricing Table - eff 27-Jan-2026'!$A:$R,12,FALSE)</f>
        <v>#N/A</v>
      </c>
      <c r="O913" s="56"/>
      <c r="P913" s="55" t="e">
        <f>(VLOOKUP($I913,'Pricing Table - eff 27-Jan-2026'!$A:$R,8,FALSE)/1000)*(VLOOKUP($I913,'Pricing Table - eff 27-Jan-2026'!$A:$R,10,FALSE)/1000)*Q913</f>
        <v>#N/A</v>
      </c>
      <c r="Q913" s="55" t="e">
        <f>ROUND(('Order Details'!$O913*1000)/((VLOOKUP($I913,'Pricing Table - eff 27-Jan-2026'!$A:$Q,7,FALSE)/12)*(VLOOKUP($I913,'Pricing Table - eff 27-Jan-2026'!$A:$Q,9,FALSE)/12))/5,0)*5</f>
        <v>#N/A</v>
      </c>
      <c r="R913" s="71" t="e">
        <f>$Q913/IFERROR(VLOOKUP($F913&amp;RIGHT($K913,8),'Master Data'!$O$5:$P$10,2,FALSE),'Master Data'!$P$4)</f>
        <v>#N/A</v>
      </c>
      <c r="S913" s="57" t="e">
        <f>VLOOKUP($I913,'Pricing Table - eff 27-Jan-2026'!$A:$Q,16,FALSE)</f>
        <v>#N/A</v>
      </c>
      <c r="T913" s="57" t="e">
        <f>VLOOKUP(I913,'Pricing Table - eff 27-Jan-2026'!$A:$O,15,FALSE)</f>
        <v>#N/A</v>
      </c>
      <c r="U913" s="57" t="e">
        <f t="shared" si="37"/>
        <v>#N/A</v>
      </c>
      <c r="V913" s="111" t="e">
        <f t="shared" si="38"/>
        <v>#N/A</v>
      </c>
      <c r="W913" s="55" t="e">
        <f>VLOOKUP($I913,'Pricing Table - eff 27-Jan-2026'!$A:$R,18,FALSE)</f>
        <v>#N/A</v>
      </c>
    </row>
    <row r="914" spans="1:23" hidden="1" x14ac:dyDescent="0.3">
      <c r="A914" s="55"/>
      <c r="B914" s="55"/>
      <c r="C914" s="55">
        <f>VLOOKUP(A914&amp;"-"&amp;B914,'Order Summary'!$D:$E,2,FALSE)</f>
        <v>0</v>
      </c>
      <c r="D914" s="216" t="str">
        <f>IF($A914="","",VLOOKUP($A914&amp;"-"&amp;$B914,'Order Summary'!$D:$U,3,FALSE))</f>
        <v/>
      </c>
      <c r="E914" s="55" t="str">
        <f>VLOOKUP(A914&amp;"-"&amp;B914,'Order Summary'!$D:$G,4,FALSE)</f>
        <v>Yes</v>
      </c>
      <c r="F914" s="55" t="e">
        <f>VLOOKUP($A914,'Order Summary'!$B:$I,8,FALSE)</f>
        <v>#N/A</v>
      </c>
      <c r="G914" s="216" t="str">
        <f>IF($A914="","",VLOOKUP($A914&amp;"-"&amp;$B914,'Order Summary'!$D:$U,18,FALSE))</f>
        <v/>
      </c>
      <c r="H914" s="55"/>
      <c r="I914" s="55"/>
      <c r="J914" s="55" t="e">
        <f>VLOOKUP($I914,'Pricing Table - eff 27-Jan-2026'!$A:$R,2,FALSE)</f>
        <v>#N/A</v>
      </c>
      <c r="K914" s="55" t="e">
        <f>VLOOKUP($I914,'Pricing Table - eff 27-Jan-2026'!$A:$R,6,FALSE)&amp;" "&amp;VLOOKUP($I914,'Pricing Table - eff 27-Jan-2026'!$A:$R,7,FALSE)&amp;""" x "&amp;VLOOKUP($I914,'Pricing Table - eff 27-Jan-2026'!$A:$R,9,FALSE)&amp;""" "&amp;VLOOKUP($I914,'Pricing Table - eff 27-Jan-2026'!$A:$R,5,FALSE)</f>
        <v>#N/A</v>
      </c>
      <c r="L914" s="55" t="e">
        <f>VLOOKUP($I914,'Pricing Table - eff 27-Jan-2026'!$A:$K,8,FALSE)</f>
        <v>#N/A</v>
      </c>
      <c r="M914" s="55" t="e">
        <f>VLOOKUP($I914,'Pricing Table - eff 27-Jan-2026'!$A:$K,10,FALSE)</f>
        <v>#N/A</v>
      </c>
      <c r="N914" s="55" t="e">
        <f>VLOOKUP($I914,'Pricing Table - eff 27-Jan-2026'!$A:$R,13,FALSE)&amp;" "&amp;VLOOKUP($I914,'Pricing Table - eff 27-Jan-2026'!$A:$R,12,FALSE)</f>
        <v>#N/A</v>
      </c>
      <c r="O914" s="56"/>
      <c r="P914" s="55" t="e">
        <f>(VLOOKUP($I914,'Pricing Table - eff 27-Jan-2026'!$A:$R,8,FALSE)/1000)*(VLOOKUP($I914,'Pricing Table - eff 27-Jan-2026'!$A:$R,10,FALSE)/1000)*Q914</f>
        <v>#N/A</v>
      </c>
      <c r="Q914" s="55" t="e">
        <f>ROUND(('Order Details'!$O914*1000)/((VLOOKUP($I914,'Pricing Table - eff 27-Jan-2026'!$A:$Q,7,FALSE)/12)*(VLOOKUP($I914,'Pricing Table - eff 27-Jan-2026'!$A:$Q,9,FALSE)/12))/5,0)*5</f>
        <v>#N/A</v>
      </c>
      <c r="R914" s="71" t="e">
        <f>$Q914/IFERROR(VLOOKUP($F914&amp;RIGHT($K914,8),'Master Data'!$O$5:$P$10,2,FALSE),'Master Data'!$P$4)</f>
        <v>#N/A</v>
      </c>
      <c r="S914" s="57" t="e">
        <f>VLOOKUP($I914,'Pricing Table - eff 27-Jan-2026'!$A:$Q,16,FALSE)</f>
        <v>#N/A</v>
      </c>
      <c r="T914" s="57" t="e">
        <f>VLOOKUP(I914,'Pricing Table - eff 27-Jan-2026'!$A:$O,15,FALSE)</f>
        <v>#N/A</v>
      </c>
      <c r="U914" s="57" t="e">
        <f t="shared" si="37"/>
        <v>#N/A</v>
      </c>
      <c r="V914" s="111" t="e">
        <f t="shared" si="38"/>
        <v>#N/A</v>
      </c>
      <c r="W914" s="55" t="e">
        <f>VLOOKUP($I914,'Pricing Table - eff 27-Jan-2026'!$A:$R,18,FALSE)</f>
        <v>#N/A</v>
      </c>
    </row>
    <row r="915" spans="1:23" hidden="1" x14ac:dyDescent="0.3">
      <c r="A915" s="55"/>
      <c r="B915" s="55"/>
      <c r="C915" s="55">
        <f>VLOOKUP(A915&amp;"-"&amp;B915,'Order Summary'!$D:$E,2,FALSE)</f>
        <v>0</v>
      </c>
      <c r="D915" s="216" t="str">
        <f>IF($A915="","",VLOOKUP($A915&amp;"-"&amp;$B915,'Order Summary'!$D:$U,3,FALSE))</f>
        <v/>
      </c>
      <c r="E915" s="55" t="str">
        <f>VLOOKUP(A915&amp;"-"&amp;B915,'Order Summary'!$D:$G,4,FALSE)</f>
        <v>Yes</v>
      </c>
      <c r="F915" s="55" t="e">
        <f>VLOOKUP($A915,'Order Summary'!$B:$I,8,FALSE)</f>
        <v>#N/A</v>
      </c>
      <c r="G915" s="216" t="str">
        <f>IF($A915="","",VLOOKUP($A915&amp;"-"&amp;$B915,'Order Summary'!$D:$U,18,FALSE))</f>
        <v/>
      </c>
      <c r="H915" s="55"/>
      <c r="I915" s="55"/>
      <c r="J915" s="55" t="e">
        <f>VLOOKUP($I915,'Pricing Table - eff 27-Jan-2026'!$A:$R,2,FALSE)</f>
        <v>#N/A</v>
      </c>
      <c r="K915" s="55" t="e">
        <f>VLOOKUP($I915,'Pricing Table - eff 27-Jan-2026'!$A:$R,6,FALSE)&amp;" "&amp;VLOOKUP($I915,'Pricing Table - eff 27-Jan-2026'!$A:$R,7,FALSE)&amp;""" x "&amp;VLOOKUP($I915,'Pricing Table - eff 27-Jan-2026'!$A:$R,9,FALSE)&amp;""" "&amp;VLOOKUP($I915,'Pricing Table - eff 27-Jan-2026'!$A:$R,5,FALSE)</f>
        <v>#N/A</v>
      </c>
      <c r="L915" s="55" t="e">
        <f>VLOOKUP($I915,'Pricing Table - eff 27-Jan-2026'!$A:$K,8,FALSE)</f>
        <v>#N/A</v>
      </c>
      <c r="M915" s="55" t="e">
        <f>VLOOKUP($I915,'Pricing Table - eff 27-Jan-2026'!$A:$K,10,FALSE)</f>
        <v>#N/A</v>
      </c>
      <c r="N915" s="55" t="e">
        <f>VLOOKUP($I915,'Pricing Table - eff 27-Jan-2026'!$A:$R,13,FALSE)&amp;" "&amp;VLOOKUP($I915,'Pricing Table - eff 27-Jan-2026'!$A:$R,12,FALSE)</f>
        <v>#N/A</v>
      </c>
      <c r="O915" s="56"/>
      <c r="P915" s="55" t="e">
        <f>(VLOOKUP($I915,'Pricing Table - eff 27-Jan-2026'!$A:$R,8,FALSE)/1000)*(VLOOKUP($I915,'Pricing Table - eff 27-Jan-2026'!$A:$R,10,FALSE)/1000)*Q915</f>
        <v>#N/A</v>
      </c>
      <c r="Q915" s="55" t="e">
        <f>ROUND(('Order Details'!$O915*1000)/((VLOOKUP($I915,'Pricing Table - eff 27-Jan-2026'!$A:$Q,7,FALSE)/12)*(VLOOKUP($I915,'Pricing Table - eff 27-Jan-2026'!$A:$Q,9,FALSE)/12))/5,0)*5</f>
        <v>#N/A</v>
      </c>
      <c r="R915" s="71" t="e">
        <f>$Q915/IFERROR(VLOOKUP($F915&amp;RIGHT($K915,8),'Master Data'!$O$5:$P$10,2,FALSE),'Master Data'!$P$4)</f>
        <v>#N/A</v>
      </c>
      <c r="S915" s="57" t="e">
        <f>VLOOKUP($I915,'Pricing Table - eff 27-Jan-2026'!$A:$Q,16,FALSE)</f>
        <v>#N/A</v>
      </c>
      <c r="T915" s="57" t="e">
        <f>VLOOKUP(I915,'Pricing Table - eff 27-Jan-2026'!$A:$O,15,FALSE)</f>
        <v>#N/A</v>
      </c>
      <c r="U915" s="57" t="e">
        <f t="shared" si="37"/>
        <v>#N/A</v>
      </c>
      <c r="V915" s="111" t="e">
        <f t="shared" si="38"/>
        <v>#N/A</v>
      </c>
      <c r="W915" s="55" t="e">
        <f>VLOOKUP($I915,'Pricing Table - eff 27-Jan-2026'!$A:$R,18,FALSE)</f>
        <v>#N/A</v>
      </c>
    </row>
    <row r="916" spans="1:23" hidden="1" x14ac:dyDescent="0.3">
      <c r="A916" s="55"/>
      <c r="B916" s="55"/>
      <c r="C916" s="55">
        <f>VLOOKUP(A916&amp;"-"&amp;B916,'Order Summary'!$D:$E,2,FALSE)</f>
        <v>0</v>
      </c>
      <c r="D916" s="216" t="str">
        <f>IF($A916="","",VLOOKUP($A916&amp;"-"&amp;$B916,'Order Summary'!$D:$U,3,FALSE))</f>
        <v/>
      </c>
      <c r="E916" s="55" t="str">
        <f>VLOOKUP(A916&amp;"-"&amp;B916,'Order Summary'!$D:$G,4,FALSE)</f>
        <v>Yes</v>
      </c>
      <c r="F916" s="55" t="e">
        <f>VLOOKUP($A916,'Order Summary'!$B:$I,8,FALSE)</f>
        <v>#N/A</v>
      </c>
      <c r="G916" s="216" t="str">
        <f>IF($A916="","",VLOOKUP($A916&amp;"-"&amp;$B916,'Order Summary'!$D:$U,18,FALSE))</f>
        <v/>
      </c>
      <c r="H916" s="55"/>
      <c r="I916" s="55"/>
      <c r="J916" s="55" t="e">
        <f>VLOOKUP($I916,'Pricing Table - eff 27-Jan-2026'!$A:$R,2,FALSE)</f>
        <v>#N/A</v>
      </c>
      <c r="K916" s="55" t="e">
        <f>VLOOKUP($I916,'Pricing Table - eff 27-Jan-2026'!$A:$R,6,FALSE)&amp;" "&amp;VLOOKUP($I916,'Pricing Table - eff 27-Jan-2026'!$A:$R,7,FALSE)&amp;""" x "&amp;VLOOKUP($I916,'Pricing Table - eff 27-Jan-2026'!$A:$R,9,FALSE)&amp;""" "&amp;VLOOKUP($I916,'Pricing Table - eff 27-Jan-2026'!$A:$R,5,FALSE)</f>
        <v>#N/A</v>
      </c>
      <c r="L916" s="55" t="e">
        <f>VLOOKUP($I916,'Pricing Table - eff 27-Jan-2026'!$A:$K,8,FALSE)</f>
        <v>#N/A</v>
      </c>
      <c r="M916" s="55" t="e">
        <f>VLOOKUP($I916,'Pricing Table - eff 27-Jan-2026'!$A:$K,10,FALSE)</f>
        <v>#N/A</v>
      </c>
      <c r="N916" s="55" t="e">
        <f>VLOOKUP($I916,'Pricing Table - eff 27-Jan-2026'!$A:$R,13,FALSE)&amp;" "&amp;VLOOKUP($I916,'Pricing Table - eff 27-Jan-2026'!$A:$R,12,FALSE)</f>
        <v>#N/A</v>
      </c>
      <c r="O916" s="56"/>
      <c r="P916" s="55" t="e">
        <f>(VLOOKUP($I916,'Pricing Table - eff 27-Jan-2026'!$A:$R,8,FALSE)/1000)*(VLOOKUP($I916,'Pricing Table - eff 27-Jan-2026'!$A:$R,10,FALSE)/1000)*Q916</f>
        <v>#N/A</v>
      </c>
      <c r="Q916" s="55" t="e">
        <f>ROUND(('Order Details'!$O916*1000)/((VLOOKUP($I916,'Pricing Table - eff 27-Jan-2026'!$A:$Q,7,FALSE)/12)*(VLOOKUP($I916,'Pricing Table - eff 27-Jan-2026'!$A:$Q,9,FALSE)/12))/5,0)*5</f>
        <v>#N/A</v>
      </c>
      <c r="R916" s="71" t="e">
        <f>$Q916/IFERROR(VLOOKUP($F916&amp;RIGHT($K916,8),'Master Data'!$O$5:$P$10,2,FALSE),'Master Data'!$P$4)</f>
        <v>#N/A</v>
      </c>
      <c r="S916" s="57" t="e">
        <f>VLOOKUP($I916,'Pricing Table - eff 27-Jan-2026'!$A:$Q,16,FALSE)</f>
        <v>#N/A</v>
      </c>
      <c r="T916" s="57" t="e">
        <f>VLOOKUP(I916,'Pricing Table - eff 27-Jan-2026'!$A:$O,15,FALSE)</f>
        <v>#N/A</v>
      </c>
      <c r="U916" s="57" t="e">
        <f t="shared" si="37"/>
        <v>#N/A</v>
      </c>
      <c r="V916" s="111" t="e">
        <f t="shared" si="38"/>
        <v>#N/A</v>
      </c>
      <c r="W916" s="55" t="e">
        <f>VLOOKUP($I916,'Pricing Table - eff 27-Jan-2026'!$A:$R,18,FALSE)</f>
        <v>#N/A</v>
      </c>
    </row>
    <row r="917" spans="1:23" hidden="1" x14ac:dyDescent="0.3">
      <c r="A917" s="55"/>
      <c r="B917" s="55"/>
      <c r="C917" s="55">
        <f>VLOOKUP(A917&amp;"-"&amp;B917,'Order Summary'!$D:$E,2,FALSE)</f>
        <v>0</v>
      </c>
      <c r="D917" s="216" t="str">
        <f>IF($A917="","",VLOOKUP($A917&amp;"-"&amp;$B917,'Order Summary'!$D:$U,3,FALSE))</f>
        <v/>
      </c>
      <c r="E917" s="55" t="str">
        <f>VLOOKUP(A917&amp;"-"&amp;B917,'Order Summary'!$D:$G,4,FALSE)</f>
        <v>Yes</v>
      </c>
      <c r="F917" s="55" t="e">
        <f>VLOOKUP($A917,'Order Summary'!$B:$I,8,FALSE)</f>
        <v>#N/A</v>
      </c>
      <c r="G917" s="216" t="str">
        <f>IF($A917="","",VLOOKUP($A917&amp;"-"&amp;$B917,'Order Summary'!$D:$U,18,FALSE))</f>
        <v/>
      </c>
      <c r="H917" s="55"/>
      <c r="I917" s="55"/>
      <c r="J917" s="55" t="e">
        <f>VLOOKUP($I917,'Pricing Table - eff 27-Jan-2026'!$A:$R,2,FALSE)</f>
        <v>#N/A</v>
      </c>
      <c r="K917" s="55" t="e">
        <f>VLOOKUP($I917,'Pricing Table - eff 27-Jan-2026'!$A:$R,6,FALSE)&amp;" "&amp;VLOOKUP($I917,'Pricing Table - eff 27-Jan-2026'!$A:$R,7,FALSE)&amp;""" x "&amp;VLOOKUP($I917,'Pricing Table - eff 27-Jan-2026'!$A:$R,9,FALSE)&amp;""" "&amp;VLOOKUP($I917,'Pricing Table - eff 27-Jan-2026'!$A:$R,5,FALSE)</f>
        <v>#N/A</v>
      </c>
      <c r="L917" s="55" t="e">
        <f>VLOOKUP($I917,'Pricing Table - eff 27-Jan-2026'!$A:$K,8,FALSE)</f>
        <v>#N/A</v>
      </c>
      <c r="M917" s="55" t="e">
        <f>VLOOKUP($I917,'Pricing Table - eff 27-Jan-2026'!$A:$K,10,FALSE)</f>
        <v>#N/A</v>
      </c>
      <c r="N917" s="55" t="e">
        <f>VLOOKUP($I917,'Pricing Table - eff 27-Jan-2026'!$A:$R,13,FALSE)&amp;" "&amp;VLOOKUP($I917,'Pricing Table - eff 27-Jan-2026'!$A:$R,12,FALSE)</f>
        <v>#N/A</v>
      </c>
      <c r="O917" s="56"/>
      <c r="P917" s="55" t="e">
        <f>(VLOOKUP($I917,'Pricing Table - eff 27-Jan-2026'!$A:$R,8,FALSE)/1000)*(VLOOKUP($I917,'Pricing Table - eff 27-Jan-2026'!$A:$R,10,FALSE)/1000)*Q917</f>
        <v>#N/A</v>
      </c>
      <c r="Q917" s="55" t="e">
        <f>ROUND(('Order Details'!$O917*1000)/((VLOOKUP($I917,'Pricing Table - eff 27-Jan-2026'!$A:$Q,7,FALSE)/12)*(VLOOKUP($I917,'Pricing Table - eff 27-Jan-2026'!$A:$Q,9,FALSE)/12))/5,0)*5</f>
        <v>#N/A</v>
      </c>
      <c r="R917" s="71" t="e">
        <f>$Q917/IFERROR(VLOOKUP($F917&amp;RIGHT($K917,8),'Master Data'!$O$5:$P$10,2,FALSE),'Master Data'!$P$4)</f>
        <v>#N/A</v>
      </c>
      <c r="S917" s="57" t="e">
        <f>VLOOKUP($I917,'Pricing Table - eff 27-Jan-2026'!$A:$Q,16,FALSE)</f>
        <v>#N/A</v>
      </c>
      <c r="T917" s="57" t="e">
        <f>VLOOKUP(I917,'Pricing Table - eff 27-Jan-2026'!$A:$O,15,FALSE)</f>
        <v>#N/A</v>
      </c>
      <c r="U917" s="57" t="e">
        <f t="shared" si="37"/>
        <v>#N/A</v>
      </c>
      <c r="V917" s="111" t="e">
        <f t="shared" si="38"/>
        <v>#N/A</v>
      </c>
      <c r="W917" s="55" t="e">
        <f>VLOOKUP($I917,'Pricing Table - eff 27-Jan-2026'!$A:$R,18,FALSE)</f>
        <v>#N/A</v>
      </c>
    </row>
    <row r="918" spans="1:23" hidden="1" x14ac:dyDescent="0.3">
      <c r="A918" s="55"/>
      <c r="B918" s="55"/>
      <c r="C918" s="55">
        <f>VLOOKUP(A918&amp;"-"&amp;B918,'Order Summary'!$D:$E,2,FALSE)</f>
        <v>0</v>
      </c>
      <c r="D918" s="216" t="str">
        <f>IF($A918="","",VLOOKUP($A918&amp;"-"&amp;$B918,'Order Summary'!$D:$U,3,FALSE))</f>
        <v/>
      </c>
      <c r="E918" s="55" t="str">
        <f>VLOOKUP(A918&amp;"-"&amp;B918,'Order Summary'!$D:$G,4,FALSE)</f>
        <v>Yes</v>
      </c>
      <c r="F918" s="55" t="e">
        <f>VLOOKUP($A918,'Order Summary'!$B:$I,8,FALSE)</f>
        <v>#N/A</v>
      </c>
      <c r="G918" s="216" t="str">
        <f>IF($A918="","",VLOOKUP($A918&amp;"-"&amp;$B918,'Order Summary'!$D:$U,18,FALSE))</f>
        <v/>
      </c>
      <c r="H918" s="55"/>
      <c r="I918" s="55"/>
      <c r="J918" s="55" t="e">
        <f>VLOOKUP($I918,'Pricing Table - eff 27-Jan-2026'!$A:$R,2,FALSE)</f>
        <v>#N/A</v>
      </c>
      <c r="K918" s="55" t="e">
        <f>VLOOKUP($I918,'Pricing Table - eff 27-Jan-2026'!$A:$R,6,FALSE)&amp;" "&amp;VLOOKUP($I918,'Pricing Table - eff 27-Jan-2026'!$A:$R,7,FALSE)&amp;""" x "&amp;VLOOKUP($I918,'Pricing Table - eff 27-Jan-2026'!$A:$R,9,FALSE)&amp;""" "&amp;VLOOKUP($I918,'Pricing Table - eff 27-Jan-2026'!$A:$R,5,FALSE)</f>
        <v>#N/A</v>
      </c>
      <c r="L918" s="55" t="e">
        <f>VLOOKUP($I918,'Pricing Table - eff 27-Jan-2026'!$A:$K,8,FALSE)</f>
        <v>#N/A</v>
      </c>
      <c r="M918" s="55" t="e">
        <f>VLOOKUP($I918,'Pricing Table - eff 27-Jan-2026'!$A:$K,10,FALSE)</f>
        <v>#N/A</v>
      </c>
      <c r="N918" s="55" t="e">
        <f>VLOOKUP($I918,'Pricing Table - eff 27-Jan-2026'!$A:$R,13,FALSE)&amp;" "&amp;VLOOKUP($I918,'Pricing Table - eff 27-Jan-2026'!$A:$R,12,FALSE)</f>
        <v>#N/A</v>
      </c>
      <c r="O918" s="56"/>
      <c r="P918" s="55" t="e">
        <f>(VLOOKUP($I918,'Pricing Table - eff 27-Jan-2026'!$A:$R,8,FALSE)/1000)*(VLOOKUP($I918,'Pricing Table - eff 27-Jan-2026'!$A:$R,10,FALSE)/1000)*Q918</f>
        <v>#N/A</v>
      </c>
      <c r="Q918" s="55" t="e">
        <f>ROUND(('Order Details'!$O918*1000)/((VLOOKUP($I918,'Pricing Table - eff 27-Jan-2026'!$A:$Q,7,FALSE)/12)*(VLOOKUP($I918,'Pricing Table - eff 27-Jan-2026'!$A:$Q,9,FALSE)/12))/5,0)*5</f>
        <v>#N/A</v>
      </c>
      <c r="R918" s="71" t="e">
        <f>$Q918/IFERROR(VLOOKUP($F918&amp;RIGHT($K918,8),'Master Data'!$O$5:$P$10,2,FALSE),'Master Data'!$P$4)</f>
        <v>#N/A</v>
      </c>
      <c r="S918" s="57" t="e">
        <f>VLOOKUP($I918,'Pricing Table - eff 27-Jan-2026'!$A:$Q,16,FALSE)</f>
        <v>#N/A</v>
      </c>
      <c r="T918" s="57" t="e">
        <f>VLOOKUP(I918,'Pricing Table - eff 27-Jan-2026'!$A:$O,15,FALSE)</f>
        <v>#N/A</v>
      </c>
      <c r="U918" s="57" t="e">
        <f t="shared" si="37"/>
        <v>#N/A</v>
      </c>
      <c r="V918" s="111" t="e">
        <f t="shared" si="38"/>
        <v>#N/A</v>
      </c>
      <c r="W918" s="55" t="e">
        <f>VLOOKUP($I918,'Pricing Table - eff 27-Jan-2026'!$A:$R,18,FALSE)</f>
        <v>#N/A</v>
      </c>
    </row>
    <row r="919" spans="1:23" hidden="1" x14ac:dyDescent="0.3">
      <c r="A919" s="55"/>
      <c r="B919" s="55"/>
      <c r="C919" s="55">
        <f>VLOOKUP(A919&amp;"-"&amp;B919,'Order Summary'!$D:$E,2,FALSE)</f>
        <v>0</v>
      </c>
      <c r="D919" s="216" t="str">
        <f>IF($A919="","",VLOOKUP($A919&amp;"-"&amp;$B919,'Order Summary'!$D:$U,3,FALSE))</f>
        <v/>
      </c>
      <c r="E919" s="55" t="str">
        <f>VLOOKUP(A919&amp;"-"&amp;B919,'Order Summary'!$D:$G,4,FALSE)</f>
        <v>Yes</v>
      </c>
      <c r="F919" s="55" t="e">
        <f>VLOOKUP($A919,'Order Summary'!$B:$I,8,FALSE)</f>
        <v>#N/A</v>
      </c>
      <c r="G919" s="216" t="str">
        <f>IF($A919="","",VLOOKUP($A919&amp;"-"&amp;$B919,'Order Summary'!$D:$U,18,FALSE))</f>
        <v/>
      </c>
      <c r="H919" s="55"/>
      <c r="I919" s="55"/>
      <c r="J919" s="55" t="e">
        <f>VLOOKUP($I919,'Pricing Table - eff 27-Jan-2026'!$A:$R,2,FALSE)</f>
        <v>#N/A</v>
      </c>
      <c r="K919" s="55" t="e">
        <f>VLOOKUP($I919,'Pricing Table - eff 27-Jan-2026'!$A:$R,6,FALSE)&amp;" "&amp;VLOOKUP($I919,'Pricing Table - eff 27-Jan-2026'!$A:$R,7,FALSE)&amp;""" x "&amp;VLOOKUP($I919,'Pricing Table - eff 27-Jan-2026'!$A:$R,9,FALSE)&amp;""" "&amp;VLOOKUP($I919,'Pricing Table - eff 27-Jan-2026'!$A:$R,5,FALSE)</f>
        <v>#N/A</v>
      </c>
      <c r="L919" s="55" t="e">
        <f>VLOOKUP($I919,'Pricing Table - eff 27-Jan-2026'!$A:$K,8,FALSE)</f>
        <v>#N/A</v>
      </c>
      <c r="M919" s="55" t="e">
        <f>VLOOKUP($I919,'Pricing Table - eff 27-Jan-2026'!$A:$K,10,FALSE)</f>
        <v>#N/A</v>
      </c>
      <c r="N919" s="55" t="e">
        <f>VLOOKUP($I919,'Pricing Table - eff 27-Jan-2026'!$A:$R,13,FALSE)&amp;" "&amp;VLOOKUP($I919,'Pricing Table - eff 27-Jan-2026'!$A:$R,12,FALSE)</f>
        <v>#N/A</v>
      </c>
      <c r="O919" s="56"/>
      <c r="P919" s="55" t="e">
        <f>(VLOOKUP($I919,'Pricing Table - eff 27-Jan-2026'!$A:$R,8,FALSE)/1000)*(VLOOKUP($I919,'Pricing Table - eff 27-Jan-2026'!$A:$R,10,FALSE)/1000)*Q919</f>
        <v>#N/A</v>
      </c>
      <c r="Q919" s="55" t="e">
        <f>ROUND(('Order Details'!$O919*1000)/((VLOOKUP($I919,'Pricing Table - eff 27-Jan-2026'!$A:$Q,7,FALSE)/12)*(VLOOKUP($I919,'Pricing Table - eff 27-Jan-2026'!$A:$Q,9,FALSE)/12))/5,0)*5</f>
        <v>#N/A</v>
      </c>
      <c r="R919" s="71" t="e">
        <f>$Q919/IFERROR(VLOOKUP($F919&amp;RIGHT($K919,8),'Master Data'!$O$5:$P$10,2,FALSE),'Master Data'!$P$4)</f>
        <v>#N/A</v>
      </c>
      <c r="S919" s="57" t="e">
        <f>VLOOKUP($I919,'Pricing Table - eff 27-Jan-2026'!$A:$Q,16,FALSE)</f>
        <v>#N/A</v>
      </c>
      <c r="T919" s="57" t="e">
        <f>VLOOKUP(I919,'Pricing Table - eff 27-Jan-2026'!$A:$O,15,FALSE)</f>
        <v>#N/A</v>
      </c>
      <c r="U919" s="57" t="e">
        <f t="shared" si="37"/>
        <v>#N/A</v>
      </c>
      <c r="V919" s="111" t="e">
        <f t="shared" si="38"/>
        <v>#N/A</v>
      </c>
      <c r="W919" s="55" t="e">
        <f>VLOOKUP($I919,'Pricing Table - eff 27-Jan-2026'!$A:$R,18,FALSE)</f>
        <v>#N/A</v>
      </c>
    </row>
    <row r="920" spans="1:23" hidden="1" x14ac:dyDescent="0.3">
      <c r="A920" s="55"/>
      <c r="B920" s="55"/>
      <c r="C920" s="55">
        <f>VLOOKUP(A920&amp;"-"&amp;B920,'Order Summary'!$D:$E,2,FALSE)</f>
        <v>0</v>
      </c>
      <c r="D920" s="216" t="str">
        <f>IF($A920="","",VLOOKUP($A920&amp;"-"&amp;$B920,'Order Summary'!$D:$U,3,FALSE))</f>
        <v/>
      </c>
      <c r="E920" s="55" t="str">
        <f>VLOOKUP(A920&amp;"-"&amp;B920,'Order Summary'!$D:$G,4,FALSE)</f>
        <v>Yes</v>
      </c>
      <c r="F920" s="55" t="e">
        <f>VLOOKUP($A920,'Order Summary'!$B:$I,8,FALSE)</f>
        <v>#N/A</v>
      </c>
      <c r="G920" s="216" t="str">
        <f>IF($A920="","",VLOOKUP($A920&amp;"-"&amp;$B920,'Order Summary'!$D:$U,18,FALSE))</f>
        <v/>
      </c>
      <c r="H920" s="55"/>
      <c r="I920" s="55"/>
      <c r="J920" s="55" t="e">
        <f>VLOOKUP($I920,'Pricing Table - eff 27-Jan-2026'!$A:$R,2,FALSE)</f>
        <v>#N/A</v>
      </c>
      <c r="K920" s="55" t="e">
        <f>VLOOKUP($I920,'Pricing Table - eff 27-Jan-2026'!$A:$R,6,FALSE)&amp;" "&amp;VLOOKUP($I920,'Pricing Table - eff 27-Jan-2026'!$A:$R,7,FALSE)&amp;""" x "&amp;VLOOKUP($I920,'Pricing Table - eff 27-Jan-2026'!$A:$R,9,FALSE)&amp;""" "&amp;VLOOKUP($I920,'Pricing Table - eff 27-Jan-2026'!$A:$R,5,FALSE)</f>
        <v>#N/A</v>
      </c>
      <c r="L920" s="55" t="e">
        <f>VLOOKUP($I920,'Pricing Table - eff 27-Jan-2026'!$A:$K,8,FALSE)</f>
        <v>#N/A</v>
      </c>
      <c r="M920" s="55" t="e">
        <f>VLOOKUP($I920,'Pricing Table - eff 27-Jan-2026'!$A:$K,10,FALSE)</f>
        <v>#N/A</v>
      </c>
      <c r="N920" s="55" t="e">
        <f>VLOOKUP($I920,'Pricing Table - eff 27-Jan-2026'!$A:$R,13,FALSE)&amp;" "&amp;VLOOKUP($I920,'Pricing Table - eff 27-Jan-2026'!$A:$R,12,FALSE)</f>
        <v>#N/A</v>
      </c>
      <c r="O920" s="56"/>
      <c r="P920" s="55" t="e">
        <f>(VLOOKUP($I920,'Pricing Table - eff 27-Jan-2026'!$A:$R,8,FALSE)/1000)*(VLOOKUP($I920,'Pricing Table - eff 27-Jan-2026'!$A:$R,10,FALSE)/1000)*Q920</f>
        <v>#N/A</v>
      </c>
      <c r="Q920" s="55" t="e">
        <f>ROUND(('Order Details'!$O920*1000)/((VLOOKUP($I920,'Pricing Table - eff 27-Jan-2026'!$A:$Q,7,FALSE)/12)*(VLOOKUP($I920,'Pricing Table - eff 27-Jan-2026'!$A:$Q,9,FALSE)/12))/5,0)*5</f>
        <v>#N/A</v>
      </c>
      <c r="R920" s="71" t="e">
        <f>$Q920/IFERROR(VLOOKUP($F920&amp;RIGHT($K920,8),'Master Data'!$O$5:$P$10,2,FALSE),'Master Data'!$P$4)</f>
        <v>#N/A</v>
      </c>
      <c r="S920" s="57" t="e">
        <f>VLOOKUP($I920,'Pricing Table - eff 27-Jan-2026'!$A:$Q,16,FALSE)</f>
        <v>#N/A</v>
      </c>
      <c r="T920" s="57" t="e">
        <f>VLOOKUP(I920,'Pricing Table - eff 27-Jan-2026'!$A:$O,15,FALSE)</f>
        <v>#N/A</v>
      </c>
      <c r="U920" s="57" t="e">
        <f t="shared" si="37"/>
        <v>#N/A</v>
      </c>
      <c r="V920" s="111" t="e">
        <f t="shared" si="38"/>
        <v>#N/A</v>
      </c>
      <c r="W920" s="55" t="e">
        <f>VLOOKUP($I920,'Pricing Table - eff 27-Jan-2026'!$A:$R,18,FALSE)</f>
        <v>#N/A</v>
      </c>
    </row>
    <row r="921" spans="1:23" hidden="1" x14ac:dyDescent="0.3">
      <c r="A921" s="55"/>
      <c r="B921" s="55"/>
      <c r="C921" s="55">
        <f>VLOOKUP(A921&amp;"-"&amp;B921,'Order Summary'!$D:$E,2,FALSE)</f>
        <v>0</v>
      </c>
      <c r="D921" s="216" t="str">
        <f>IF($A921="","",VLOOKUP($A921&amp;"-"&amp;$B921,'Order Summary'!$D:$U,3,FALSE))</f>
        <v/>
      </c>
      <c r="E921" s="55" t="str">
        <f>VLOOKUP(A921&amp;"-"&amp;B921,'Order Summary'!$D:$G,4,FALSE)</f>
        <v>Yes</v>
      </c>
      <c r="F921" s="55" t="e">
        <f>VLOOKUP($A921,'Order Summary'!$B:$I,8,FALSE)</f>
        <v>#N/A</v>
      </c>
      <c r="G921" s="216" t="str">
        <f>IF($A921="","",VLOOKUP($A921&amp;"-"&amp;$B921,'Order Summary'!$D:$U,18,FALSE))</f>
        <v/>
      </c>
      <c r="H921" s="55"/>
      <c r="I921" s="55"/>
      <c r="J921" s="55" t="e">
        <f>VLOOKUP($I921,'Pricing Table - eff 27-Jan-2026'!$A:$R,2,FALSE)</f>
        <v>#N/A</v>
      </c>
      <c r="K921" s="55" t="e">
        <f>VLOOKUP($I921,'Pricing Table - eff 27-Jan-2026'!$A:$R,6,FALSE)&amp;" "&amp;VLOOKUP($I921,'Pricing Table - eff 27-Jan-2026'!$A:$R,7,FALSE)&amp;""" x "&amp;VLOOKUP($I921,'Pricing Table - eff 27-Jan-2026'!$A:$R,9,FALSE)&amp;""" "&amp;VLOOKUP($I921,'Pricing Table - eff 27-Jan-2026'!$A:$R,5,FALSE)</f>
        <v>#N/A</v>
      </c>
      <c r="L921" s="55" t="e">
        <f>VLOOKUP($I921,'Pricing Table - eff 27-Jan-2026'!$A:$K,8,FALSE)</f>
        <v>#N/A</v>
      </c>
      <c r="M921" s="55" t="e">
        <f>VLOOKUP($I921,'Pricing Table - eff 27-Jan-2026'!$A:$K,10,FALSE)</f>
        <v>#N/A</v>
      </c>
      <c r="N921" s="55" t="e">
        <f>VLOOKUP($I921,'Pricing Table - eff 27-Jan-2026'!$A:$R,13,FALSE)&amp;" "&amp;VLOOKUP($I921,'Pricing Table - eff 27-Jan-2026'!$A:$R,12,FALSE)</f>
        <v>#N/A</v>
      </c>
      <c r="O921" s="56"/>
      <c r="P921" s="55" t="e">
        <f>(VLOOKUP($I921,'Pricing Table - eff 27-Jan-2026'!$A:$R,8,FALSE)/1000)*(VLOOKUP($I921,'Pricing Table - eff 27-Jan-2026'!$A:$R,10,FALSE)/1000)*Q921</f>
        <v>#N/A</v>
      </c>
      <c r="Q921" s="55" t="e">
        <f>ROUND(('Order Details'!$O921*1000)/((VLOOKUP($I921,'Pricing Table - eff 27-Jan-2026'!$A:$Q,7,FALSE)/12)*(VLOOKUP($I921,'Pricing Table - eff 27-Jan-2026'!$A:$Q,9,FALSE)/12))/5,0)*5</f>
        <v>#N/A</v>
      </c>
      <c r="R921" s="71" t="e">
        <f>$Q921/IFERROR(VLOOKUP($F921&amp;RIGHT($K921,8),'Master Data'!$O$5:$P$10,2,FALSE),'Master Data'!$P$4)</f>
        <v>#N/A</v>
      </c>
      <c r="S921" s="57" t="e">
        <f>VLOOKUP($I921,'Pricing Table - eff 27-Jan-2026'!$A:$Q,16,FALSE)</f>
        <v>#N/A</v>
      </c>
      <c r="T921" s="57" t="e">
        <f>VLOOKUP(I921,'Pricing Table - eff 27-Jan-2026'!$A:$O,15,FALSE)</f>
        <v>#N/A</v>
      </c>
      <c r="U921" s="57" t="e">
        <f t="shared" si="37"/>
        <v>#N/A</v>
      </c>
      <c r="V921" s="111" t="e">
        <f t="shared" si="38"/>
        <v>#N/A</v>
      </c>
      <c r="W921" s="55" t="e">
        <f>VLOOKUP($I921,'Pricing Table - eff 27-Jan-2026'!$A:$R,18,FALSE)</f>
        <v>#N/A</v>
      </c>
    </row>
    <row r="922" spans="1:23" hidden="1" x14ac:dyDescent="0.3">
      <c r="A922" s="55"/>
      <c r="B922" s="55"/>
      <c r="C922" s="55">
        <f>VLOOKUP(A922&amp;"-"&amp;B922,'Order Summary'!$D:$E,2,FALSE)</f>
        <v>0</v>
      </c>
      <c r="D922" s="216" t="str">
        <f>IF($A922="","",VLOOKUP($A922&amp;"-"&amp;$B922,'Order Summary'!$D:$U,3,FALSE))</f>
        <v/>
      </c>
      <c r="E922" s="55" t="str">
        <f>VLOOKUP(A922&amp;"-"&amp;B922,'Order Summary'!$D:$G,4,FALSE)</f>
        <v>Yes</v>
      </c>
      <c r="F922" s="55" t="e">
        <f>VLOOKUP($A922,'Order Summary'!$B:$I,8,FALSE)</f>
        <v>#N/A</v>
      </c>
      <c r="G922" s="216" t="str">
        <f>IF($A922="","",VLOOKUP($A922&amp;"-"&amp;$B922,'Order Summary'!$D:$U,18,FALSE))</f>
        <v/>
      </c>
      <c r="H922" s="55"/>
      <c r="I922" s="55"/>
      <c r="J922" s="55" t="e">
        <f>VLOOKUP($I922,'Pricing Table - eff 27-Jan-2026'!$A:$R,2,FALSE)</f>
        <v>#N/A</v>
      </c>
      <c r="K922" s="55" t="e">
        <f>VLOOKUP($I922,'Pricing Table - eff 27-Jan-2026'!$A:$R,6,FALSE)&amp;" "&amp;VLOOKUP($I922,'Pricing Table - eff 27-Jan-2026'!$A:$R,7,FALSE)&amp;""" x "&amp;VLOOKUP($I922,'Pricing Table - eff 27-Jan-2026'!$A:$R,9,FALSE)&amp;""" "&amp;VLOOKUP($I922,'Pricing Table - eff 27-Jan-2026'!$A:$R,5,FALSE)</f>
        <v>#N/A</v>
      </c>
      <c r="L922" s="55" t="e">
        <f>VLOOKUP($I922,'Pricing Table - eff 27-Jan-2026'!$A:$K,8,FALSE)</f>
        <v>#N/A</v>
      </c>
      <c r="M922" s="55" t="e">
        <f>VLOOKUP($I922,'Pricing Table - eff 27-Jan-2026'!$A:$K,10,FALSE)</f>
        <v>#N/A</v>
      </c>
      <c r="N922" s="55" t="e">
        <f>VLOOKUP($I922,'Pricing Table - eff 27-Jan-2026'!$A:$R,13,FALSE)&amp;" "&amp;VLOOKUP($I922,'Pricing Table - eff 27-Jan-2026'!$A:$R,12,FALSE)</f>
        <v>#N/A</v>
      </c>
      <c r="O922" s="56"/>
      <c r="P922" s="55" t="e">
        <f>(VLOOKUP($I922,'Pricing Table - eff 27-Jan-2026'!$A:$R,8,FALSE)/1000)*(VLOOKUP($I922,'Pricing Table - eff 27-Jan-2026'!$A:$R,10,FALSE)/1000)*Q922</f>
        <v>#N/A</v>
      </c>
      <c r="Q922" s="55" t="e">
        <f>ROUND(('Order Details'!$O922*1000)/((VLOOKUP($I922,'Pricing Table - eff 27-Jan-2026'!$A:$Q,7,FALSE)/12)*(VLOOKUP($I922,'Pricing Table - eff 27-Jan-2026'!$A:$Q,9,FALSE)/12))/5,0)*5</f>
        <v>#N/A</v>
      </c>
      <c r="R922" s="71" t="e">
        <f>$Q922/IFERROR(VLOOKUP($F922&amp;RIGHT($K922,8),'Master Data'!$O$5:$P$10,2,FALSE),'Master Data'!$P$4)</f>
        <v>#N/A</v>
      </c>
      <c r="S922" s="57" t="e">
        <f>VLOOKUP($I922,'Pricing Table - eff 27-Jan-2026'!$A:$Q,16,FALSE)</f>
        <v>#N/A</v>
      </c>
      <c r="T922" s="57" t="e">
        <f>VLOOKUP(I922,'Pricing Table - eff 27-Jan-2026'!$A:$O,15,FALSE)</f>
        <v>#N/A</v>
      </c>
      <c r="U922" s="57" t="e">
        <f t="shared" si="37"/>
        <v>#N/A</v>
      </c>
      <c r="V922" s="111" t="e">
        <f t="shared" si="38"/>
        <v>#N/A</v>
      </c>
      <c r="W922" s="55" t="e">
        <f>VLOOKUP($I922,'Pricing Table - eff 27-Jan-2026'!$A:$R,18,FALSE)</f>
        <v>#N/A</v>
      </c>
    </row>
    <row r="923" spans="1:23" hidden="1" x14ac:dyDescent="0.3">
      <c r="A923" s="55"/>
      <c r="B923" s="55"/>
      <c r="C923" s="55">
        <f>VLOOKUP(A923&amp;"-"&amp;B923,'Order Summary'!$D:$E,2,FALSE)</f>
        <v>0</v>
      </c>
      <c r="D923" s="216" t="str">
        <f>IF($A923="","",VLOOKUP($A923&amp;"-"&amp;$B923,'Order Summary'!$D:$U,3,FALSE))</f>
        <v/>
      </c>
      <c r="E923" s="55" t="str">
        <f>VLOOKUP(A923&amp;"-"&amp;B923,'Order Summary'!$D:$G,4,FALSE)</f>
        <v>Yes</v>
      </c>
      <c r="F923" s="55" t="e">
        <f>VLOOKUP($A923,'Order Summary'!$B:$I,8,FALSE)</f>
        <v>#N/A</v>
      </c>
      <c r="G923" s="216" t="str">
        <f>IF($A923="","",VLOOKUP($A923&amp;"-"&amp;$B923,'Order Summary'!$D:$U,18,FALSE))</f>
        <v/>
      </c>
      <c r="H923" s="55"/>
      <c r="I923" s="55"/>
      <c r="J923" s="55" t="e">
        <f>VLOOKUP($I923,'Pricing Table - eff 27-Jan-2026'!$A:$R,2,FALSE)</f>
        <v>#N/A</v>
      </c>
      <c r="K923" s="55" t="e">
        <f>VLOOKUP($I923,'Pricing Table - eff 27-Jan-2026'!$A:$R,6,FALSE)&amp;" "&amp;VLOOKUP($I923,'Pricing Table - eff 27-Jan-2026'!$A:$R,7,FALSE)&amp;""" x "&amp;VLOOKUP($I923,'Pricing Table - eff 27-Jan-2026'!$A:$R,9,FALSE)&amp;""" "&amp;VLOOKUP($I923,'Pricing Table - eff 27-Jan-2026'!$A:$R,5,FALSE)</f>
        <v>#N/A</v>
      </c>
      <c r="L923" s="55" t="e">
        <f>VLOOKUP($I923,'Pricing Table - eff 27-Jan-2026'!$A:$K,8,FALSE)</f>
        <v>#N/A</v>
      </c>
      <c r="M923" s="55" t="e">
        <f>VLOOKUP($I923,'Pricing Table - eff 27-Jan-2026'!$A:$K,10,FALSE)</f>
        <v>#N/A</v>
      </c>
      <c r="N923" s="55" t="e">
        <f>VLOOKUP($I923,'Pricing Table - eff 27-Jan-2026'!$A:$R,13,FALSE)&amp;" "&amp;VLOOKUP($I923,'Pricing Table - eff 27-Jan-2026'!$A:$R,12,FALSE)</f>
        <v>#N/A</v>
      </c>
      <c r="O923" s="56"/>
      <c r="P923" s="55" t="e">
        <f>(VLOOKUP($I923,'Pricing Table - eff 27-Jan-2026'!$A:$R,8,FALSE)/1000)*(VLOOKUP($I923,'Pricing Table - eff 27-Jan-2026'!$A:$R,10,FALSE)/1000)*Q923</f>
        <v>#N/A</v>
      </c>
      <c r="Q923" s="55" t="e">
        <f>ROUND(('Order Details'!$O923*1000)/((VLOOKUP($I923,'Pricing Table - eff 27-Jan-2026'!$A:$Q,7,FALSE)/12)*(VLOOKUP($I923,'Pricing Table - eff 27-Jan-2026'!$A:$Q,9,FALSE)/12))/5,0)*5</f>
        <v>#N/A</v>
      </c>
      <c r="R923" s="71" t="e">
        <f>$Q923/IFERROR(VLOOKUP($F923&amp;RIGHT($K923,8),'Master Data'!$O$5:$P$10,2,FALSE),'Master Data'!$P$4)</f>
        <v>#N/A</v>
      </c>
      <c r="S923" s="57" t="e">
        <f>VLOOKUP($I923,'Pricing Table - eff 27-Jan-2026'!$A:$Q,16,FALSE)</f>
        <v>#N/A</v>
      </c>
      <c r="T923" s="57" t="e">
        <f>VLOOKUP(I923,'Pricing Table - eff 27-Jan-2026'!$A:$O,15,FALSE)</f>
        <v>#N/A</v>
      </c>
      <c r="U923" s="57" t="e">
        <f t="shared" si="37"/>
        <v>#N/A</v>
      </c>
      <c r="V923" s="111" t="e">
        <f t="shared" si="38"/>
        <v>#N/A</v>
      </c>
      <c r="W923" s="55" t="e">
        <f>VLOOKUP($I923,'Pricing Table - eff 27-Jan-2026'!$A:$R,18,FALSE)</f>
        <v>#N/A</v>
      </c>
    </row>
    <row r="924" spans="1:23" hidden="1" x14ac:dyDescent="0.3">
      <c r="A924" s="55"/>
      <c r="B924" s="55"/>
      <c r="C924" s="55">
        <f>VLOOKUP(A924&amp;"-"&amp;B924,'Order Summary'!$D:$E,2,FALSE)</f>
        <v>0</v>
      </c>
      <c r="D924" s="216" t="str">
        <f>IF($A924="","",VLOOKUP($A924&amp;"-"&amp;$B924,'Order Summary'!$D:$U,3,FALSE))</f>
        <v/>
      </c>
      <c r="E924" s="55" t="str">
        <f>VLOOKUP(A924&amp;"-"&amp;B924,'Order Summary'!$D:$G,4,FALSE)</f>
        <v>Yes</v>
      </c>
      <c r="F924" s="55" t="e">
        <f>VLOOKUP($A924,'Order Summary'!$B:$I,8,FALSE)</f>
        <v>#N/A</v>
      </c>
      <c r="G924" s="216" t="str">
        <f>IF($A924="","",VLOOKUP($A924&amp;"-"&amp;$B924,'Order Summary'!$D:$U,18,FALSE))</f>
        <v/>
      </c>
      <c r="H924" s="55"/>
      <c r="I924" s="55"/>
      <c r="J924" s="55" t="e">
        <f>VLOOKUP($I924,'Pricing Table - eff 27-Jan-2026'!$A:$R,2,FALSE)</f>
        <v>#N/A</v>
      </c>
      <c r="K924" s="55" t="e">
        <f>VLOOKUP($I924,'Pricing Table - eff 27-Jan-2026'!$A:$R,6,FALSE)&amp;" "&amp;VLOOKUP($I924,'Pricing Table - eff 27-Jan-2026'!$A:$R,7,FALSE)&amp;""" x "&amp;VLOOKUP($I924,'Pricing Table - eff 27-Jan-2026'!$A:$R,9,FALSE)&amp;""" "&amp;VLOOKUP($I924,'Pricing Table - eff 27-Jan-2026'!$A:$R,5,FALSE)</f>
        <v>#N/A</v>
      </c>
      <c r="L924" s="55" t="e">
        <f>VLOOKUP($I924,'Pricing Table - eff 27-Jan-2026'!$A:$K,8,FALSE)</f>
        <v>#N/A</v>
      </c>
      <c r="M924" s="55" t="e">
        <f>VLOOKUP($I924,'Pricing Table - eff 27-Jan-2026'!$A:$K,10,FALSE)</f>
        <v>#N/A</v>
      </c>
      <c r="N924" s="55" t="e">
        <f>VLOOKUP($I924,'Pricing Table - eff 27-Jan-2026'!$A:$R,13,FALSE)&amp;" "&amp;VLOOKUP($I924,'Pricing Table - eff 27-Jan-2026'!$A:$R,12,FALSE)</f>
        <v>#N/A</v>
      </c>
      <c r="O924" s="56"/>
      <c r="P924" s="55" t="e">
        <f>(VLOOKUP($I924,'Pricing Table - eff 27-Jan-2026'!$A:$R,8,FALSE)/1000)*(VLOOKUP($I924,'Pricing Table - eff 27-Jan-2026'!$A:$R,10,FALSE)/1000)*Q924</f>
        <v>#N/A</v>
      </c>
      <c r="Q924" s="55" t="e">
        <f>ROUND(('Order Details'!$O924*1000)/((VLOOKUP($I924,'Pricing Table - eff 27-Jan-2026'!$A:$Q,7,FALSE)/12)*(VLOOKUP($I924,'Pricing Table - eff 27-Jan-2026'!$A:$Q,9,FALSE)/12))/5,0)*5</f>
        <v>#N/A</v>
      </c>
      <c r="R924" s="71" t="e">
        <f>$Q924/IFERROR(VLOOKUP($F924&amp;RIGHT($K924,8),'Master Data'!$O$5:$P$10,2,FALSE),'Master Data'!$P$4)</f>
        <v>#N/A</v>
      </c>
      <c r="S924" s="57" t="e">
        <f>VLOOKUP($I924,'Pricing Table - eff 27-Jan-2026'!$A:$Q,16,FALSE)</f>
        <v>#N/A</v>
      </c>
      <c r="T924" s="57" t="e">
        <f>VLOOKUP(I924,'Pricing Table - eff 27-Jan-2026'!$A:$O,15,FALSE)</f>
        <v>#N/A</v>
      </c>
      <c r="U924" s="57" t="e">
        <f t="shared" si="37"/>
        <v>#N/A</v>
      </c>
      <c r="V924" s="111" t="e">
        <f t="shared" si="38"/>
        <v>#N/A</v>
      </c>
      <c r="W924" s="55" t="e">
        <f>VLOOKUP($I924,'Pricing Table - eff 27-Jan-2026'!$A:$R,18,FALSE)</f>
        <v>#N/A</v>
      </c>
    </row>
    <row r="925" spans="1:23" hidden="1" x14ac:dyDescent="0.3">
      <c r="A925" s="55"/>
      <c r="B925" s="55"/>
      <c r="C925" s="55">
        <f>VLOOKUP(A925&amp;"-"&amp;B925,'Order Summary'!$D:$E,2,FALSE)</f>
        <v>0</v>
      </c>
      <c r="D925" s="216" t="str">
        <f>IF($A925="","",VLOOKUP($A925&amp;"-"&amp;$B925,'Order Summary'!$D:$U,3,FALSE))</f>
        <v/>
      </c>
      <c r="E925" s="55" t="str">
        <f>VLOOKUP(A925&amp;"-"&amp;B925,'Order Summary'!$D:$G,4,FALSE)</f>
        <v>Yes</v>
      </c>
      <c r="F925" s="55" t="e">
        <f>VLOOKUP($A925,'Order Summary'!$B:$I,8,FALSE)</f>
        <v>#N/A</v>
      </c>
      <c r="G925" s="216" t="str">
        <f>IF($A925="","",VLOOKUP($A925&amp;"-"&amp;$B925,'Order Summary'!$D:$U,18,FALSE))</f>
        <v/>
      </c>
      <c r="H925" s="55"/>
      <c r="I925" s="55"/>
      <c r="J925" s="55" t="e">
        <f>VLOOKUP($I925,'Pricing Table - eff 27-Jan-2026'!$A:$R,2,FALSE)</f>
        <v>#N/A</v>
      </c>
      <c r="K925" s="55" t="e">
        <f>VLOOKUP($I925,'Pricing Table - eff 27-Jan-2026'!$A:$R,6,FALSE)&amp;" "&amp;VLOOKUP($I925,'Pricing Table - eff 27-Jan-2026'!$A:$R,7,FALSE)&amp;""" x "&amp;VLOOKUP($I925,'Pricing Table - eff 27-Jan-2026'!$A:$R,9,FALSE)&amp;""" "&amp;VLOOKUP($I925,'Pricing Table - eff 27-Jan-2026'!$A:$R,5,FALSE)</f>
        <v>#N/A</v>
      </c>
      <c r="L925" s="55" t="e">
        <f>VLOOKUP($I925,'Pricing Table - eff 27-Jan-2026'!$A:$K,8,FALSE)</f>
        <v>#N/A</v>
      </c>
      <c r="M925" s="55" t="e">
        <f>VLOOKUP($I925,'Pricing Table - eff 27-Jan-2026'!$A:$K,10,FALSE)</f>
        <v>#N/A</v>
      </c>
      <c r="N925" s="55" t="e">
        <f>VLOOKUP($I925,'Pricing Table - eff 27-Jan-2026'!$A:$R,13,FALSE)&amp;" "&amp;VLOOKUP($I925,'Pricing Table - eff 27-Jan-2026'!$A:$R,12,FALSE)</f>
        <v>#N/A</v>
      </c>
      <c r="O925" s="56"/>
      <c r="P925" s="55" t="e">
        <f>(VLOOKUP($I925,'Pricing Table - eff 27-Jan-2026'!$A:$R,8,FALSE)/1000)*(VLOOKUP($I925,'Pricing Table - eff 27-Jan-2026'!$A:$R,10,FALSE)/1000)*Q925</f>
        <v>#N/A</v>
      </c>
      <c r="Q925" s="55" t="e">
        <f>ROUND(('Order Details'!$O925*1000)/((VLOOKUP($I925,'Pricing Table - eff 27-Jan-2026'!$A:$Q,7,FALSE)/12)*(VLOOKUP($I925,'Pricing Table - eff 27-Jan-2026'!$A:$Q,9,FALSE)/12))/5,0)*5</f>
        <v>#N/A</v>
      </c>
      <c r="R925" s="71" t="e">
        <f>$Q925/IFERROR(VLOOKUP($F925&amp;RIGHT($K925,8),'Master Data'!$O$5:$P$10,2,FALSE),'Master Data'!$P$4)</f>
        <v>#N/A</v>
      </c>
      <c r="S925" s="57" t="e">
        <f>VLOOKUP($I925,'Pricing Table - eff 27-Jan-2026'!$A:$Q,16,FALSE)</f>
        <v>#N/A</v>
      </c>
      <c r="T925" s="57" t="e">
        <f>VLOOKUP(I925,'Pricing Table - eff 27-Jan-2026'!$A:$O,15,FALSE)</f>
        <v>#N/A</v>
      </c>
      <c r="U925" s="57" t="e">
        <f t="shared" si="37"/>
        <v>#N/A</v>
      </c>
      <c r="V925" s="111" t="e">
        <f t="shared" si="38"/>
        <v>#N/A</v>
      </c>
      <c r="W925" s="55" t="e">
        <f>VLOOKUP($I925,'Pricing Table - eff 27-Jan-2026'!$A:$R,18,FALSE)</f>
        <v>#N/A</v>
      </c>
    </row>
    <row r="926" spans="1:23" hidden="1" x14ac:dyDescent="0.3">
      <c r="A926" s="55"/>
      <c r="B926" s="55"/>
      <c r="C926" s="55">
        <f>VLOOKUP(A926&amp;"-"&amp;B926,'Order Summary'!$D:$E,2,FALSE)</f>
        <v>0</v>
      </c>
      <c r="D926" s="216" t="str">
        <f>IF($A926="","",VLOOKUP($A926&amp;"-"&amp;$B926,'Order Summary'!$D:$U,3,FALSE))</f>
        <v/>
      </c>
      <c r="E926" s="55" t="str">
        <f>VLOOKUP(A926&amp;"-"&amp;B926,'Order Summary'!$D:$G,4,FALSE)</f>
        <v>Yes</v>
      </c>
      <c r="F926" s="55" t="e">
        <f>VLOOKUP($A926,'Order Summary'!$B:$I,8,FALSE)</f>
        <v>#N/A</v>
      </c>
      <c r="G926" s="216" t="str">
        <f>IF($A926="","",VLOOKUP($A926&amp;"-"&amp;$B926,'Order Summary'!$D:$U,18,FALSE))</f>
        <v/>
      </c>
      <c r="H926" s="55"/>
      <c r="I926" s="55"/>
      <c r="J926" s="55" t="e">
        <f>VLOOKUP($I926,'Pricing Table - eff 27-Jan-2026'!$A:$R,2,FALSE)</f>
        <v>#N/A</v>
      </c>
      <c r="K926" s="55" t="e">
        <f>VLOOKUP($I926,'Pricing Table - eff 27-Jan-2026'!$A:$R,6,FALSE)&amp;" "&amp;VLOOKUP($I926,'Pricing Table - eff 27-Jan-2026'!$A:$R,7,FALSE)&amp;""" x "&amp;VLOOKUP($I926,'Pricing Table - eff 27-Jan-2026'!$A:$R,9,FALSE)&amp;""" "&amp;VLOOKUP($I926,'Pricing Table - eff 27-Jan-2026'!$A:$R,5,FALSE)</f>
        <v>#N/A</v>
      </c>
      <c r="L926" s="55" t="e">
        <f>VLOOKUP($I926,'Pricing Table - eff 27-Jan-2026'!$A:$K,8,FALSE)</f>
        <v>#N/A</v>
      </c>
      <c r="M926" s="55" t="e">
        <f>VLOOKUP($I926,'Pricing Table - eff 27-Jan-2026'!$A:$K,10,FALSE)</f>
        <v>#N/A</v>
      </c>
      <c r="N926" s="55" t="e">
        <f>VLOOKUP($I926,'Pricing Table - eff 27-Jan-2026'!$A:$R,13,FALSE)&amp;" "&amp;VLOOKUP($I926,'Pricing Table - eff 27-Jan-2026'!$A:$R,12,FALSE)</f>
        <v>#N/A</v>
      </c>
      <c r="O926" s="56"/>
      <c r="P926" s="55" t="e">
        <f>(VLOOKUP($I926,'Pricing Table - eff 27-Jan-2026'!$A:$R,8,FALSE)/1000)*(VLOOKUP($I926,'Pricing Table - eff 27-Jan-2026'!$A:$R,10,FALSE)/1000)*Q926</f>
        <v>#N/A</v>
      </c>
      <c r="Q926" s="55" t="e">
        <f>ROUND(('Order Details'!$O926*1000)/((VLOOKUP($I926,'Pricing Table - eff 27-Jan-2026'!$A:$Q,7,FALSE)/12)*(VLOOKUP($I926,'Pricing Table - eff 27-Jan-2026'!$A:$Q,9,FALSE)/12))/5,0)*5</f>
        <v>#N/A</v>
      </c>
      <c r="R926" s="71" t="e">
        <f>$Q926/IFERROR(VLOOKUP($F926&amp;RIGHT($K926,8),'Master Data'!$O$5:$P$10,2,FALSE),'Master Data'!$P$4)</f>
        <v>#N/A</v>
      </c>
      <c r="S926" s="57" t="e">
        <f>VLOOKUP($I926,'Pricing Table - eff 27-Jan-2026'!$A:$Q,16,FALSE)</f>
        <v>#N/A</v>
      </c>
      <c r="T926" s="57" t="e">
        <f>VLOOKUP(I926,'Pricing Table - eff 27-Jan-2026'!$A:$O,15,FALSE)</f>
        <v>#N/A</v>
      </c>
      <c r="U926" s="57" t="e">
        <f t="shared" si="37"/>
        <v>#N/A</v>
      </c>
      <c r="V926" s="111" t="e">
        <f t="shared" si="38"/>
        <v>#N/A</v>
      </c>
      <c r="W926" s="55" t="e">
        <f>VLOOKUP($I926,'Pricing Table - eff 27-Jan-2026'!$A:$R,18,FALSE)</f>
        <v>#N/A</v>
      </c>
    </row>
    <row r="927" spans="1:23" hidden="1" x14ac:dyDescent="0.3">
      <c r="A927" s="55"/>
      <c r="B927" s="55"/>
      <c r="C927" s="55">
        <f>VLOOKUP(A927&amp;"-"&amp;B927,'Order Summary'!$D:$E,2,FALSE)</f>
        <v>0</v>
      </c>
      <c r="D927" s="216" t="str">
        <f>IF($A927="","",VLOOKUP($A927&amp;"-"&amp;$B927,'Order Summary'!$D:$U,3,FALSE))</f>
        <v/>
      </c>
      <c r="E927" s="55" t="str">
        <f>VLOOKUP(A927&amp;"-"&amp;B927,'Order Summary'!$D:$G,4,FALSE)</f>
        <v>Yes</v>
      </c>
      <c r="F927" s="55" t="e">
        <f>VLOOKUP($A927,'Order Summary'!$B:$I,8,FALSE)</f>
        <v>#N/A</v>
      </c>
      <c r="G927" s="216" t="str">
        <f>IF($A927="","",VLOOKUP($A927&amp;"-"&amp;$B927,'Order Summary'!$D:$U,18,FALSE))</f>
        <v/>
      </c>
      <c r="H927" s="55"/>
      <c r="I927" s="55"/>
      <c r="J927" s="55" t="e">
        <f>VLOOKUP($I927,'Pricing Table - eff 27-Jan-2026'!$A:$R,2,FALSE)</f>
        <v>#N/A</v>
      </c>
      <c r="K927" s="55" t="e">
        <f>VLOOKUP($I927,'Pricing Table - eff 27-Jan-2026'!$A:$R,6,FALSE)&amp;" "&amp;VLOOKUP($I927,'Pricing Table - eff 27-Jan-2026'!$A:$R,7,FALSE)&amp;""" x "&amp;VLOOKUP($I927,'Pricing Table - eff 27-Jan-2026'!$A:$R,9,FALSE)&amp;""" "&amp;VLOOKUP($I927,'Pricing Table - eff 27-Jan-2026'!$A:$R,5,FALSE)</f>
        <v>#N/A</v>
      </c>
      <c r="L927" s="55" t="e">
        <f>VLOOKUP($I927,'Pricing Table - eff 27-Jan-2026'!$A:$K,8,FALSE)</f>
        <v>#N/A</v>
      </c>
      <c r="M927" s="55" t="e">
        <f>VLOOKUP($I927,'Pricing Table - eff 27-Jan-2026'!$A:$K,10,FALSE)</f>
        <v>#N/A</v>
      </c>
      <c r="N927" s="55" t="e">
        <f>VLOOKUP($I927,'Pricing Table - eff 27-Jan-2026'!$A:$R,13,FALSE)&amp;" "&amp;VLOOKUP($I927,'Pricing Table - eff 27-Jan-2026'!$A:$R,12,FALSE)</f>
        <v>#N/A</v>
      </c>
      <c r="O927" s="56"/>
      <c r="P927" s="55" t="e">
        <f>(VLOOKUP($I927,'Pricing Table - eff 27-Jan-2026'!$A:$R,8,FALSE)/1000)*(VLOOKUP($I927,'Pricing Table - eff 27-Jan-2026'!$A:$R,10,FALSE)/1000)*Q927</f>
        <v>#N/A</v>
      </c>
      <c r="Q927" s="55" t="e">
        <f>ROUND(('Order Details'!$O927*1000)/((VLOOKUP($I927,'Pricing Table - eff 27-Jan-2026'!$A:$Q,7,FALSE)/12)*(VLOOKUP($I927,'Pricing Table - eff 27-Jan-2026'!$A:$Q,9,FALSE)/12))/5,0)*5</f>
        <v>#N/A</v>
      </c>
      <c r="R927" s="71" t="e">
        <f>$Q927/IFERROR(VLOOKUP($F927&amp;RIGHT($K927,8),'Master Data'!$O$5:$P$10,2,FALSE),'Master Data'!$P$4)</f>
        <v>#N/A</v>
      </c>
      <c r="S927" s="57" t="e">
        <f>VLOOKUP($I927,'Pricing Table - eff 27-Jan-2026'!$A:$Q,16,FALSE)</f>
        <v>#N/A</v>
      </c>
      <c r="T927" s="57" t="e">
        <f>VLOOKUP(I927,'Pricing Table - eff 27-Jan-2026'!$A:$O,15,FALSE)</f>
        <v>#N/A</v>
      </c>
      <c r="U927" s="57" t="e">
        <f t="shared" si="37"/>
        <v>#N/A</v>
      </c>
      <c r="V927" s="111" t="e">
        <f t="shared" si="38"/>
        <v>#N/A</v>
      </c>
      <c r="W927" s="55" t="e">
        <f>VLOOKUP($I927,'Pricing Table - eff 27-Jan-2026'!$A:$R,18,FALSE)</f>
        <v>#N/A</v>
      </c>
    </row>
    <row r="928" spans="1:23" hidden="1" x14ac:dyDescent="0.3">
      <c r="A928" s="55"/>
      <c r="B928" s="55"/>
      <c r="C928" s="55">
        <f>VLOOKUP(A928&amp;"-"&amp;B928,'Order Summary'!$D:$E,2,FALSE)</f>
        <v>0</v>
      </c>
      <c r="D928" s="216" t="str">
        <f>IF($A928="","",VLOOKUP($A928&amp;"-"&amp;$B928,'Order Summary'!$D:$U,3,FALSE))</f>
        <v/>
      </c>
      <c r="E928" s="55" t="str">
        <f>VLOOKUP(A928&amp;"-"&amp;B928,'Order Summary'!$D:$G,4,FALSE)</f>
        <v>Yes</v>
      </c>
      <c r="F928" s="55" t="e">
        <f>VLOOKUP($A928,'Order Summary'!$B:$I,8,FALSE)</f>
        <v>#N/A</v>
      </c>
      <c r="G928" s="216" t="str">
        <f>IF($A928="","",VLOOKUP($A928&amp;"-"&amp;$B928,'Order Summary'!$D:$U,18,FALSE))</f>
        <v/>
      </c>
      <c r="H928" s="55"/>
      <c r="I928" s="55"/>
      <c r="J928" s="55" t="e">
        <f>VLOOKUP($I928,'Pricing Table - eff 27-Jan-2026'!$A:$R,2,FALSE)</f>
        <v>#N/A</v>
      </c>
      <c r="K928" s="55" t="e">
        <f>VLOOKUP($I928,'Pricing Table - eff 27-Jan-2026'!$A:$R,6,FALSE)&amp;" "&amp;VLOOKUP($I928,'Pricing Table - eff 27-Jan-2026'!$A:$R,7,FALSE)&amp;""" x "&amp;VLOOKUP($I928,'Pricing Table - eff 27-Jan-2026'!$A:$R,9,FALSE)&amp;""" "&amp;VLOOKUP($I928,'Pricing Table - eff 27-Jan-2026'!$A:$R,5,FALSE)</f>
        <v>#N/A</v>
      </c>
      <c r="L928" s="55" t="e">
        <f>VLOOKUP($I928,'Pricing Table - eff 27-Jan-2026'!$A:$K,8,FALSE)</f>
        <v>#N/A</v>
      </c>
      <c r="M928" s="55" t="e">
        <f>VLOOKUP($I928,'Pricing Table - eff 27-Jan-2026'!$A:$K,10,FALSE)</f>
        <v>#N/A</v>
      </c>
      <c r="N928" s="55" t="e">
        <f>VLOOKUP($I928,'Pricing Table - eff 27-Jan-2026'!$A:$R,13,FALSE)&amp;" "&amp;VLOOKUP($I928,'Pricing Table - eff 27-Jan-2026'!$A:$R,12,FALSE)</f>
        <v>#N/A</v>
      </c>
      <c r="O928" s="56"/>
      <c r="P928" s="55" t="e">
        <f>(VLOOKUP($I928,'Pricing Table - eff 27-Jan-2026'!$A:$R,8,FALSE)/1000)*(VLOOKUP($I928,'Pricing Table - eff 27-Jan-2026'!$A:$R,10,FALSE)/1000)*Q928</f>
        <v>#N/A</v>
      </c>
      <c r="Q928" s="55" t="e">
        <f>ROUND(('Order Details'!$O928*1000)/((VLOOKUP($I928,'Pricing Table - eff 27-Jan-2026'!$A:$Q,7,FALSE)/12)*(VLOOKUP($I928,'Pricing Table - eff 27-Jan-2026'!$A:$Q,9,FALSE)/12))/5,0)*5</f>
        <v>#N/A</v>
      </c>
      <c r="R928" s="71" t="e">
        <f>$Q928/IFERROR(VLOOKUP($F928&amp;RIGHT($K928,8),'Master Data'!$O$5:$P$10,2,FALSE),'Master Data'!$P$4)</f>
        <v>#N/A</v>
      </c>
      <c r="S928" s="57" t="e">
        <f>VLOOKUP($I928,'Pricing Table - eff 27-Jan-2026'!$A:$Q,16,FALSE)</f>
        <v>#N/A</v>
      </c>
      <c r="T928" s="57" t="e">
        <f>VLOOKUP(I928,'Pricing Table - eff 27-Jan-2026'!$A:$O,15,FALSE)</f>
        <v>#N/A</v>
      </c>
      <c r="U928" s="57" t="e">
        <f t="shared" si="37"/>
        <v>#N/A</v>
      </c>
      <c r="V928" s="111" t="e">
        <f t="shared" si="38"/>
        <v>#N/A</v>
      </c>
      <c r="W928" s="55" t="e">
        <f>VLOOKUP($I928,'Pricing Table - eff 27-Jan-2026'!$A:$R,18,FALSE)</f>
        <v>#N/A</v>
      </c>
    </row>
    <row r="929" spans="1:23" hidden="1" x14ac:dyDescent="0.3">
      <c r="A929" s="55"/>
      <c r="B929" s="55"/>
      <c r="C929" s="55">
        <f>VLOOKUP(A929&amp;"-"&amp;B929,'Order Summary'!$D:$E,2,FALSE)</f>
        <v>0</v>
      </c>
      <c r="D929" s="216" t="str">
        <f>IF($A929="","",VLOOKUP($A929&amp;"-"&amp;$B929,'Order Summary'!$D:$U,3,FALSE))</f>
        <v/>
      </c>
      <c r="E929" s="55" t="str">
        <f>VLOOKUP(A929&amp;"-"&amp;B929,'Order Summary'!$D:$G,4,FALSE)</f>
        <v>Yes</v>
      </c>
      <c r="F929" s="55" t="e">
        <f>VLOOKUP($A929,'Order Summary'!$B:$I,8,FALSE)</f>
        <v>#N/A</v>
      </c>
      <c r="G929" s="216" t="str">
        <f>IF($A929="","",VLOOKUP($A929&amp;"-"&amp;$B929,'Order Summary'!$D:$U,18,FALSE))</f>
        <v/>
      </c>
      <c r="H929" s="55"/>
      <c r="I929" s="55"/>
      <c r="J929" s="55" t="e">
        <f>VLOOKUP($I929,'Pricing Table - eff 27-Jan-2026'!$A:$R,2,FALSE)</f>
        <v>#N/A</v>
      </c>
      <c r="K929" s="55" t="e">
        <f>VLOOKUP($I929,'Pricing Table - eff 27-Jan-2026'!$A:$R,6,FALSE)&amp;" "&amp;VLOOKUP($I929,'Pricing Table - eff 27-Jan-2026'!$A:$R,7,FALSE)&amp;""" x "&amp;VLOOKUP($I929,'Pricing Table - eff 27-Jan-2026'!$A:$R,9,FALSE)&amp;""" "&amp;VLOOKUP($I929,'Pricing Table - eff 27-Jan-2026'!$A:$R,5,FALSE)</f>
        <v>#N/A</v>
      </c>
      <c r="L929" s="55" t="e">
        <f>VLOOKUP($I929,'Pricing Table - eff 27-Jan-2026'!$A:$K,8,FALSE)</f>
        <v>#N/A</v>
      </c>
      <c r="M929" s="55" t="e">
        <f>VLOOKUP($I929,'Pricing Table - eff 27-Jan-2026'!$A:$K,10,FALSE)</f>
        <v>#N/A</v>
      </c>
      <c r="N929" s="55" t="e">
        <f>VLOOKUP($I929,'Pricing Table - eff 27-Jan-2026'!$A:$R,13,FALSE)&amp;" "&amp;VLOOKUP($I929,'Pricing Table - eff 27-Jan-2026'!$A:$R,12,FALSE)</f>
        <v>#N/A</v>
      </c>
      <c r="O929" s="56"/>
      <c r="P929" s="55" t="e">
        <f>(VLOOKUP($I929,'Pricing Table - eff 27-Jan-2026'!$A:$R,8,FALSE)/1000)*(VLOOKUP($I929,'Pricing Table - eff 27-Jan-2026'!$A:$R,10,FALSE)/1000)*Q929</f>
        <v>#N/A</v>
      </c>
      <c r="Q929" s="55" t="e">
        <f>ROUND(('Order Details'!$O929*1000)/((VLOOKUP($I929,'Pricing Table - eff 27-Jan-2026'!$A:$Q,7,FALSE)/12)*(VLOOKUP($I929,'Pricing Table - eff 27-Jan-2026'!$A:$Q,9,FALSE)/12))/5,0)*5</f>
        <v>#N/A</v>
      </c>
      <c r="R929" s="71" t="e">
        <f>$Q929/IFERROR(VLOOKUP($F929&amp;RIGHT($K929,8),'Master Data'!$O$5:$P$10,2,FALSE),'Master Data'!$P$4)</f>
        <v>#N/A</v>
      </c>
      <c r="S929" s="57" t="e">
        <f>VLOOKUP($I929,'Pricing Table - eff 27-Jan-2026'!$A:$Q,16,FALSE)</f>
        <v>#N/A</v>
      </c>
      <c r="T929" s="57" t="e">
        <f>VLOOKUP(I929,'Pricing Table - eff 27-Jan-2026'!$A:$O,15,FALSE)</f>
        <v>#N/A</v>
      </c>
      <c r="U929" s="57" t="e">
        <f t="shared" si="37"/>
        <v>#N/A</v>
      </c>
      <c r="V929" s="111" t="e">
        <f t="shared" si="38"/>
        <v>#N/A</v>
      </c>
      <c r="W929" s="55" t="e">
        <f>VLOOKUP($I929,'Pricing Table - eff 27-Jan-2026'!$A:$R,18,FALSE)</f>
        <v>#N/A</v>
      </c>
    </row>
    <row r="930" spans="1:23" hidden="1" x14ac:dyDescent="0.3">
      <c r="A930" s="55"/>
      <c r="B930" s="55"/>
      <c r="C930" s="55">
        <f>VLOOKUP(A930&amp;"-"&amp;B930,'Order Summary'!$D:$E,2,FALSE)</f>
        <v>0</v>
      </c>
      <c r="D930" s="216" t="str">
        <f>IF($A930="","",VLOOKUP($A930&amp;"-"&amp;$B930,'Order Summary'!$D:$U,3,FALSE))</f>
        <v/>
      </c>
      <c r="E930" s="55" t="str">
        <f>VLOOKUP(A930&amp;"-"&amp;B930,'Order Summary'!$D:$G,4,FALSE)</f>
        <v>Yes</v>
      </c>
      <c r="F930" s="55" t="e">
        <f>VLOOKUP($A930,'Order Summary'!$B:$I,8,FALSE)</f>
        <v>#N/A</v>
      </c>
      <c r="G930" s="216" t="str">
        <f>IF($A930="","",VLOOKUP($A930&amp;"-"&amp;$B930,'Order Summary'!$D:$U,18,FALSE))</f>
        <v/>
      </c>
      <c r="H930" s="55"/>
      <c r="I930" s="55"/>
      <c r="J930" s="55" t="e">
        <f>VLOOKUP($I930,'Pricing Table - eff 27-Jan-2026'!$A:$R,2,FALSE)</f>
        <v>#N/A</v>
      </c>
      <c r="K930" s="55" t="e">
        <f>VLOOKUP($I930,'Pricing Table - eff 27-Jan-2026'!$A:$R,6,FALSE)&amp;" "&amp;VLOOKUP($I930,'Pricing Table - eff 27-Jan-2026'!$A:$R,7,FALSE)&amp;""" x "&amp;VLOOKUP($I930,'Pricing Table - eff 27-Jan-2026'!$A:$R,9,FALSE)&amp;""" "&amp;VLOOKUP($I930,'Pricing Table - eff 27-Jan-2026'!$A:$R,5,FALSE)</f>
        <v>#N/A</v>
      </c>
      <c r="L930" s="55" t="e">
        <f>VLOOKUP($I930,'Pricing Table - eff 27-Jan-2026'!$A:$K,8,FALSE)</f>
        <v>#N/A</v>
      </c>
      <c r="M930" s="55" t="e">
        <f>VLOOKUP($I930,'Pricing Table - eff 27-Jan-2026'!$A:$K,10,FALSE)</f>
        <v>#N/A</v>
      </c>
      <c r="N930" s="55" t="e">
        <f>VLOOKUP($I930,'Pricing Table - eff 27-Jan-2026'!$A:$R,13,FALSE)&amp;" "&amp;VLOOKUP($I930,'Pricing Table - eff 27-Jan-2026'!$A:$R,12,FALSE)</f>
        <v>#N/A</v>
      </c>
      <c r="O930" s="56"/>
      <c r="P930" s="55" t="e">
        <f>(VLOOKUP($I930,'Pricing Table - eff 27-Jan-2026'!$A:$R,8,FALSE)/1000)*(VLOOKUP($I930,'Pricing Table - eff 27-Jan-2026'!$A:$R,10,FALSE)/1000)*Q930</f>
        <v>#N/A</v>
      </c>
      <c r="Q930" s="55" t="e">
        <f>ROUND(('Order Details'!$O930*1000)/((VLOOKUP($I930,'Pricing Table - eff 27-Jan-2026'!$A:$Q,7,FALSE)/12)*(VLOOKUP($I930,'Pricing Table - eff 27-Jan-2026'!$A:$Q,9,FALSE)/12))/5,0)*5</f>
        <v>#N/A</v>
      </c>
      <c r="R930" s="71" t="e">
        <f>$Q930/IFERROR(VLOOKUP($F930&amp;RIGHT($K930,8),'Master Data'!$O$5:$P$10,2,FALSE),'Master Data'!$P$4)</f>
        <v>#N/A</v>
      </c>
      <c r="S930" s="57" t="e">
        <f>VLOOKUP($I930,'Pricing Table - eff 27-Jan-2026'!$A:$Q,16,FALSE)</f>
        <v>#N/A</v>
      </c>
      <c r="T930" s="57" t="e">
        <f>VLOOKUP(I930,'Pricing Table - eff 27-Jan-2026'!$A:$O,15,FALSE)</f>
        <v>#N/A</v>
      </c>
      <c r="U930" s="57" t="e">
        <f t="shared" si="37"/>
        <v>#N/A</v>
      </c>
      <c r="V930" s="111" t="e">
        <f t="shared" si="38"/>
        <v>#N/A</v>
      </c>
      <c r="W930" s="55" t="e">
        <f>VLOOKUP($I930,'Pricing Table - eff 27-Jan-2026'!$A:$R,18,FALSE)</f>
        <v>#N/A</v>
      </c>
    </row>
    <row r="931" spans="1:23" hidden="1" x14ac:dyDescent="0.3">
      <c r="A931" s="55"/>
      <c r="B931" s="55"/>
      <c r="C931" s="55">
        <f>VLOOKUP(A931&amp;"-"&amp;B931,'Order Summary'!$D:$E,2,FALSE)</f>
        <v>0</v>
      </c>
      <c r="D931" s="216" t="str">
        <f>IF($A931="","",VLOOKUP($A931&amp;"-"&amp;$B931,'Order Summary'!$D:$U,3,FALSE))</f>
        <v/>
      </c>
      <c r="E931" s="55" t="str">
        <f>VLOOKUP(A931&amp;"-"&amp;B931,'Order Summary'!$D:$G,4,FALSE)</f>
        <v>Yes</v>
      </c>
      <c r="F931" s="55" t="e">
        <f>VLOOKUP($A931,'Order Summary'!$B:$I,8,FALSE)</f>
        <v>#N/A</v>
      </c>
      <c r="G931" s="216" t="str">
        <f>IF($A931="","",VLOOKUP($A931&amp;"-"&amp;$B931,'Order Summary'!$D:$U,18,FALSE))</f>
        <v/>
      </c>
      <c r="H931" s="55"/>
      <c r="I931" s="55"/>
      <c r="J931" s="55" t="e">
        <f>VLOOKUP($I931,'Pricing Table - eff 27-Jan-2026'!$A:$R,2,FALSE)</f>
        <v>#N/A</v>
      </c>
      <c r="K931" s="55" t="e">
        <f>VLOOKUP($I931,'Pricing Table - eff 27-Jan-2026'!$A:$R,6,FALSE)&amp;" "&amp;VLOOKUP($I931,'Pricing Table - eff 27-Jan-2026'!$A:$R,7,FALSE)&amp;""" x "&amp;VLOOKUP($I931,'Pricing Table - eff 27-Jan-2026'!$A:$R,9,FALSE)&amp;""" "&amp;VLOOKUP($I931,'Pricing Table - eff 27-Jan-2026'!$A:$R,5,FALSE)</f>
        <v>#N/A</v>
      </c>
      <c r="L931" s="55" t="e">
        <f>VLOOKUP($I931,'Pricing Table - eff 27-Jan-2026'!$A:$K,8,FALSE)</f>
        <v>#N/A</v>
      </c>
      <c r="M931" s="55" t="e">
        <f>VLOOKUP($I931,'Pricing Table - eff 27-Jan-2026'!$A:$K,10,FALSE)</f>
        <v>#N/A</v>
      </c>
      <c r="N931" s="55" t="e">
        <f>VLOOKUP($I931,'Pricing Table - eff 27-Jan-2026'!$A:$R,13,FALSE)&amp;" "&amp;VLOOKUP($I931,'Pricing Table - eff 27-Jan-2026'!$A:$R,12,FALSE)</f>
        <v>#N/A</v>
      </c>
      <c r="O931" s="56"/>
      <c r="P931" s="55" t="e">
        <f>(VLOOKUP($I931,'Pricing Table - eff 27-Jan-2026'!$A:$R,8,FALSE)/1000)*(VLOOKUP($I931,'Pricing Table - eff 27-Jan-2026'!$A:$R,10,FALSE)/1000)*Q931</f>
        <v>#N/A</v>
      </c>
      <c r="Q931" s="55" t="e">
        <f>ROUND(('Order Details'!$O931*1000)/((VLOOKUP($I931,'Pricing Table - eff 27-Jan-2026'!$A:$Q,7,FALSE)/12)*(VLOOKUP($I931,'Pricing Table - eff 27-Jan-2026'!$A:$Q,9,FALSE)/12))/5,0)*5</f>
        <v>#N/A</v>
      </c>
      <c r="R931" s="71" t="e">
        <f>$Q931/IFERROR(VLOOKUP($F931&amp;RIGHT($K931,8),'Master Data'!$O$5:$P$10,2,FALSE),'Master Data'!$P$4)</f>
        <v>#N/A</v>
      </c>
      <c r="S931" s="57" t="e">
        <f>VLOOKUP($I931,'Pricing Table - eff 27-Jan-2026'!$A:$Q,16,FALSE)</f>
        <v>#N/A</v>
      </c>
      <c r="T931" s="57" t="e">
        <f>VLOOKUP(I931,'Pricing Table - eff 27-Jan-2026'!$A:$O,15,FALSE)</f>
        <v>#N/A</v>
      </c>
      <c r="U931" s="57" t="e">
        <f t="shared" si="37"/>
        <v>#N/A</v>
      </c>
      <c r="V931" s="111" t="e">
        <f t="shared" si="38"/>
        <v>#N/A</v>
      </c>
      <c r="W931" s="55" t="e">
        <f>VLOOKUP($I931,'Pricing Table - eff 27-Jan-2026'!$A:$R,18,FALSE)</f>
        <v>#N/A</v>
      </c>
    </row>
    <row r="932" spans="1:23" hidden="1" x14ac:dyDescent="0.3">
      <c r="A932" s="55"/>
      <c r="B932" s="55"/>
      <c r="C932" s="55">
        <f>VLOOKUP(A932&amp;"-"&amp;B932,'Order Summary'!$D:$E,2,FALSE)</f>
        <v>0</v>
      </c>
      <c r="D932" s="216" t="str">
        <f>IF($A932="","",VLOOKUP($A932&amp;"-"&amp;$B932,'Order Summary'!$D:$U,3,FALSE))</f>
        <v/>
      </c>
      <c r="E932" s="55" t="str">
        <f>VLOOKUP(A932&amp;"-"&amp;B932,'Order Summary'!$D:$G,4,FALSE)</f>
        <v>Yes</v>
      </c>
      <c r="F932" s="55" t="e">
        <f>VLOOKUP($A932,'Order Summary'!$B:$I,8,FALSE)</f>
        <v>#N/A</v>
      </c>
      <c r="G932" s="216" t="str">
        <f>IF($A932="","",VLOOKUP($A932&amp;"-"&amp;$B932,'Order Summary'!$D:$U,18,FALSE))</f>
        <v/>
      </c>
      <c r="H932" s="55"/>
      <c r="I932" s="55"/>
      <c r="J932" s="55" t="e">
        <f>VLOOKUP($I932,'Pricing Table - eff 27-Jan-2026'!$A:$R,2,FALSE)</f>
        <v>#N/A</v>
      </c>
      <c r="K932" s="55" t="e">
        <f>VLOOKUP($I932,'Pricing Table - eff 27-Jan-2026'!$A:$R,6,FALSE)&amp;" "&amp;VLOOKUP($I932,'Pricing Table - eff 27-Jan-2026'!$A:$R,7,FALSE)&amp;""" x "&amp;VLOOKUP($I932,'Pricing Table - eff 27-Jan-2026'!$A:$R,9,FALSE)&amp;""" "&amp;VLOOKUP($I932,'Pricing Table - eff 27-Jan-2026'!$A:$R,5,FALSE)</f>
        <v>#N/A</v>
      </c>
      <c r="L932" s="55" t="e">
        <f>VLOOKUP($I932,'Pricing Table - eff 27-Jan-2026'!$A:$K,8,FALSE)</f>
        <v>#N/A</v>
      </c>
      <c r="M932" s="55" t="e">
        <f>VLOOKUP($I932,'Pricing Table - eff 27-Jan-2026'!$A:$K,10,FALSE)</f>
        <v>#N/A</v>
      </c>
      <c r="N932" s="55" t="e">
        <f>VLOOKUP($I932,'Pricing Table - eff 27-Jan-2026'!$A:$R,13,FALSE)&amp;" "&amp;VLOOKUP($I932,'Pricing Table - eff 27-Jan-2026'!$A:$R,12,FALSE)</f>
        <v>#N/A</v>
      </c>
      <c r="O932" s="56"/>
      <c r="P932" s="55" t="e">
        <f>(VLOOKUP($I932,'Pricing Table - eff 27-Jan-2026'!$A:$R,8,FALSE)/1000)*(VLOOKUP($I932,'Pricing Table - eff 27-Jan-2026'!$A:$R,10,FALSE)/1000)*Q932</f>
        <v>#N/A</v>
      </c>
      <c r="Q932" s="55" t="e">
        <f>ROUND(('Order Details'!$O932*1000)/((VLOOKUP($I932,'Pricing Table - eff 27-Jan-2026'!$A:$Q,7,FALSE)/12)*(VLOOKUP($I932,'Pricing Table - eff 27-Jan-2026'!$A:$Q,9,FALSE)/12))/5,0)*5</f>
        <v>#N/A</v>
      </c>
      <c r="R932" s="71" t="e">
        <f>$Q932/IFERROR(VLOOKUP($F932&amp;RIGHT($K932,8),'Master Data'!$O$5:$P$10,2,FALSE),'Master Data'!$P$4)</f>
        <v>#N/A</v>
      </c>
      <c r="S932" s="57" t="e">
        <f>VLOOKUP($I932,'Pricing Table - eff 27-Jan-2026'!$A:$Q,16,FALSE)</f>
        <v>#N/A</v>
      </c>
      <c r="T932" s="57" t="e">
        <f>VLOOKUP(I932,'Pricing Table - eff 27-Jan-2026'!$A:$O,15,FALSE)</f>
        <v>#N/A</v>
      </c>
      <c r="U932" s="57" t="e">
        <f t="shared" si="37"/>
        <v>#N/A</v>
      </c>
      <c r="V932" s="111" t="e">
        <f t="shared" si="38"/>
        <v>#N/A</v>
      </c>
      <c r="W932" s="55" t="e">
        <f>VLOOKUP($I932,'Pricing Table - eff 27-Jan-2026'!$A:$R,18,FALSE)</f>
        <v>#N/A</v>
      </c>
    </row>
    <row r="933" spans="1:23" hidden="1" x14ac:dyDescent="0.3">
      <c r="A933" s="55"/>
      <c r="B933" s="55"/>
      <c r="C933" s="55">
        <f>VLOOKUP(A933&amp;"-"&amp;B933,'Order Summary'!$D:$E,2,FALSE)</f>
        <v>0</v>
      </c>
      <c r="D933" s="216" t="str">
        <f>IF($A933="","",VLOOKUP($A933&amp;"-"&amp;$B933,'Order Summary'!$D:$U,3,FALSE))</f>
        <v/>
      </c>
      <c r="E933" s="55" t="str">
        <f>VLOOKUP(A933&amp;"-"&amp;B933,'Order Summary'!$D:$G,4,FALSE)</f>
        <v>Yes</v>
      </c>
      <c r="F933" s="55" t="e">
        <f>VLOOKUP($A933,'Order Summary'!$B:$I,8,FALSE)</f>
        <v>#N/A</v>
      </c>
      <c r="G933" s="216" t="str">
        <f>IF($A933="","",VLOOKUP($A933&amp;"-"&amp;$B933,'Order Summary'!$D:$U,18,FALSE))</f>
        <v/>
      </c>
      <c r="H933" s="55"/>
      <c r="I933" s="55"/>
      <c r="J933" s="55" t="e">
        <f>VLOOKUP($I933,'Pricing Table - eff 27-Jan-2026'!$A:$R,2,FALSE)</f>
        <v>#N/A</v>
      </c>
      <c r="K933" s="55" t="e">
        <f>VLOOKUP($I933,'Pricing Table - eff 27-Jan-2026'!$A:$R,6,FALSE)&amp;" "&amp;VLOOKUP($I933,'Pricing Table - eff 27-Jan-2026'!$A:$R,7,FALSE)&amp;""" x "&amp;VLOOKUP($I933,'Pricing Table - eff 27-Jan-2026'!$A:$R,9,FALSE)&amp;""" "&amp;VLOOKUP($I933,'Pricing Table - eff 27-Jan-2026'!$A:$R,5,FALSE)</f>
        <v>#N/A</v>
      </c>
      <c r="L933" s="55" t="e">
        <f>VLOOKUP($I933,'Pricing Table - eff 27-Jan-2026'!$A:$K,8,FALSE)</f>
        <v>#N/A</v>
      </c>
      <c r="M933" s="55" t="e">
        <f>VLOOKUP($I933,'Pricing Table - eff 27-Jan-2026'!$A:$K,10,FALSE)</f>
        <v>#N/A</v>
      </c>
      <c r="N933" s="55" t="e">
        <f>VLOOKUP($I933,'Pricing Table - eff 27-Jan-2026'!$A:$R,13,FALSE)&amp;" "&amp;VLOOKUP($I933,'Pricing Table - eff 27-Jan-2026'!$A:$R,12,FALSE)</f>
        <v>#N/A</v>
      </c>
      <c r="O933" s="56"/>
      <c r="P933" s="55" t="e">
        <f>(VLOOKUP($I933,'Pricing Table - eff 27-Jan-2026'!$A:$R,8,FALSE)/1000)*(VLOOKUP($I933,'Pricing Table - eff 27-Jan-2026'!$A:$R,10,FALSE)/1000)*Q933</f>
        <v>#N/A</v>
      </c>
      <c r="Q933" s="55" t="e">
        <f>ROUND(('Order Details'!$O933*1000)/((VLOOKUP($I933,'Pricing Table - eff 27-Jan-2026'!$A:$Q,7,FALSE)/12)*(VLOOKUP($I933,'Pricing Table - eff 27-Jan-2026'!$A:$Q,9,FALSE)/12))/5,0)*5</f>
        <v>#N/A</v>
      </c>
      <c r="R933" s="71" t="e">
        <f>$Q933/IFERROR(VLOOKUP($F933&amp;RIGHT($K933,8),'Master Data'!$O$5:$P$10,2,FALSE),'Master Data'!$P$4)</f>
        <v>#N/A</v>
      </c>
      <c r="S933" s="57" t="e">
        <f>VLOOKUP($I933,'Pricing Table - eff 27-Jan-2026'!$A:$Q,16,FALSE)</f>
        <v>#N/A</v>
      </c>
      <c r="T933" s="57" t="e">
        <f>VLOOKUP(I933,'Pricing Table - eff 27-Jan-2026'!$A:$O,15,FALSE)</f>
        <v>#N/A</v>
      </c>
      <c r="U933" s="57" t="e">
        <f t="shared" si="37"/>
        <v>#N/A</v>
      </c>
      <c r="V933" s="111" t="e">
        <f t="shared" si="38"/>
        <v>#N/A</v>
      </c>
      <c r="W933" s="55" t="e">
        <f>VLOOKUP($I933,'Pricing Table - eff 27-Jan-2026'!$A:$R,18,FALSE)</f>
        <v>#N/A</v>
      </c>
    </row>
    <row r="934" spans="1:23" hidden="1" x14ac:dyDescent="0.3">
      <c r="A934" s="55"/>
      <c r="B934" s="55"/>
      <c r="C934" s="55">
        <f>VLOOKUP(A934&amp;"-"&amp;B934,'Order Summary'!$D:$E,2,FALSE)</f>
        <v>0</v>
      </c>
      <c r="D934" s="216" t="str">
        <f>IF($A934="","",VLOOKUP($A934&amp;"-"&amp;$B934,'Order Summary'!$D:$U,3,FALSE))</f>
        <v/>
      </c>
      <c r="E934" s="55" t="str">
        <f>VLOOKUP(A934&amp;"-"&amp;B934,'Order Summary'!$D:$G,4,FALSE)</f>
        <v>Yes</v>
      </c>
      <c r="F934" s="55" t="e">
        <f>VLOOKUP($A934,'Order Summary'!$B:$I,8,FALSE)</f>
        <v>#N/A</v>
      </c>
      <c r="G934" s="216" t="str">
        <f>IF($A934="","",VLOOKUP($A934&amp;"-"&amp;$B934,'Order Summary'!$D:$U,18,FALSE))</f>
        <v/>
      </c>
      <c r="H934" s="55"/>
      <c r="I934" s="55"/>
      <c r="J934" s="55" t="e">
        <f>VLOOKUP($I934,'Pricing Table - eff 27-Jan-2026'!$A:$R,2,FALSE)</f>
        <v>#N/A</v>
      </c>
      <c r="K934" s="55" t="e">
        <f>VLOOKUP($I934,'Pricing Table - eff 27-Jan-2026'!$A:$R,6,FALSE)&amp;" "&amp;VLOOKUP($I934,'Pricing Table - eff 27-Jan-2026'!$A:$R,7,FALSE)&amp;""" x "&amp;VLOOKUP($I934,'Pricing Table - eff 27-Jan-2026'!$A:$R,9,FALSE)&amp;""" "&amp;VLOOKUP($I934,'Pricing Table - eff 27-Jan-2026'!$A:$R,5,FALSE)</f>
        <v>#N/A</v>
      </c>
      <c r="L934" s="55" t="e">
        <f>VLOOKUP($I934,'Pricing Table - eff 27-Jan-2026'!$A:$K,8,FALSE)</f>
        <v>#N/A</v>
      </c>
      <c r="M934" s="55" t="e">
        <f>VLOOKUP($I934,'Pricing Table - eff 27-Jan-2026'!$A:$K,10,FALSE)</f>
        <v>#N/A</v>
      </c>
      <c r="N934" s="55" t="e">
        <f>VLOOKUP($I934,'Pricing Table - eff 27-Jan-2026'!$A:$R,13,FALSE)&amp;" "&amp;VLOOKUP($I934,'Pricing Table - eff 27-Jan-2026'!$A:$R,12,FALSE)</f>
        <v>#N/A</v>
      </c>
      <c r="O934" s="56"/>
      <c r="P934" s="55" t="e">
        <f>(VLOOKUP($I934,'Pricing Table - eff 27-Jan-2026'!$A:$R,8,FALSE)/1000)*(VLOOKUP($I934,'Pricing Table - eff 27-Jan-2026'!$A:$R,10,FALSE)/1000)*Q934</f>
        <v>#N/A</v>
      </c>
      <c r="Q934" s="55" t="e">
        <f>ROUND(('Order Details'!$O934*1000)/((VLOOKUP($I934,'Pricing Table - eff 27-Jan-2026'!$A:$Q,7,FALSE)/12)*(VLOOKUP($I934,'Pricing Table - eff 27-Jan-2026'!$A:$Q,9,FALSE)/12))/5,0)*5</f>
        <v>#N/A</v>
      </c>
      <c r="R934" s="71" t="e">
        <f>$Q934/IFERROR(VLOOKUP($F934&amp;RIGHT($K934,8),'Master Data'!$O$5:$P$10,2,FALSE),'Master Data'!$P$4)</f>
        <v>#N/A</v>
      </c>
      <c r="S934" s="57" t="e">
        <f>VLOOKUP($I934,'Pricing Table - eff 27-Jan-2026'!$A:$Q,16,FALSE)</f>
        <v>#N/A</v>
      </c>
      <c r="T934" s="57" t="e">
        <f>VLOOKUP(I934,'Pricing Table - eff 27-Jan-2026'!$A:$O,15,FALSE)</f>
        <v>#N/A</v>
      </c>
      <c r="U934" s="57" t="e">
        <f t="shared" si="37"/>
        <v>#N/A</v>
      </c>
      <c r="V934" s="111" t="e">
        <f t="shared" si="38"/>
        <v>#N/A</v>
      </c>
      <c r="W934" s="55" t="e">
        <f>VLOOKUP($I934,'Pricing Table - eff 27-Jan-2026'!$A:$R,18,FALSE)</f>
        <v>#N/A</v>
      </c>
    </row>
    <row r="935" spans="1:23" hidden="1" x14ac:dyDescent="0.3">
      <c r="A935" s="55"/>
      <c r="B935" s="55"/>
      <c r="C935" s="55">
        <f>VLOOKUP(A935&amp;"-"&amp;B935,'Order Summary'!$D:$E,2,FALSE)</f>
        <v>0</v>
      </c>
      <c r="D935" s="216" t="str">
        <f>IF($A935="","",VLOOKUP($A935&amp;"-"&amp;$B935,'Order Summary'!$D:$U,3,FALSE))</f>
        <v/>
      </c>
      <c r="E935" s="55" t="str">
        <f>VLOOKUP(A935&amp;"-"&amp;B935,'Order Summary'!$D:$G,4,FALSE)</f>
        <v>Yes</v>
      </c>
      <c r="F935" s="55" t="e">
        <f>VLOOKUP($A935,'Order Summary'!$B:$I,8,FALSE)</f>
        <v>#N/A</v>
      </c>
      <c r="G935" s="216" t="str">
        <f>IF($A935="","",VLOOKUP($A935&amp;"-"&amp;$B935,'Order Summary'!$D:$U,18,FALSE))</f>
        <v/>
      </c>
      <c r="H935" s="55"/>
      <c r="I935" s="55"/>
      <c r="J935" s="55" t="e">
        <f>VLOOKUP($I935,'Pricing Table - eff 27-Jan-2026'!$A:$R,2,FALSE)</f>
        <v>#N/A</v>
      </c>
      <c r="K935" s="55" t="e">
        <f>VLOOKUP($I935,'Pricing Table - eff 27-Jan-2026'!$A:$R,6,FALSE)&amp;" "&amp;VLOOKUP($I935,'Pricing Table - eff 27-Jan-2026'!$A:$R,7,FALSE)&amp;""" x "&amp;VLOOKUP($I935,'Pricing Table - eff 27-Jan-2026'!$A:$R,9,FALSE)&amp;""" "&amp;VLOOKUP($I935,'Pricing Table - eff 27-Jan-2026'!$A:$R,5,FALSE)</f>
        <v>#N/A</v>
      </c>
      <c r="L935" s="55" t="e">
        <f>VLOOKUP($I935,'Pricing Table - eff 27-Jan-2026'!$A:$K,8,FALSE)</f>
        <v>#N/A</v>
      </c>
      <c r="M935" s="55" t="e">
        <f>VLOOKUP($I935,'Pricing Table - eff 27-Jan-2026'!$A:$K,10,FALSE)</f>
        <v>#N/A</v>
      </c>
      <c r="N935" s="55" t="e">
        <f>VLOOKUP($I935,'Pricing Table - eff 27-Jan-2026'!$A:$R,13,FALSE)&amp;" "&amp;VLOOKUP($I935,'Pricing Table - eff 27-Jan-2026'!$A:$R,12,FALSE)</f>
        <v>#N/A</v>
      </c>
      <c r="O935" s="56"/>
      <c r="P935" s="55" t="e">
        <f>(VLOOKUP($I935,'Pricing Table - eff 27-Jan-2026'!$A:$R,8,FALSE)/1000)*(VLOOKUP($I935,'Pricing Table - eff 27-Jan-2026'!$A:$R,10,FALSE)/1000)*Q935</f>
        <v>#N/A</v>
      </c>
      <c r="Q935" s="55" t="e">
        <f>ROUND(('Order Details'!$O935*1000)/((VLOOKUP($I935,'Pricing Table - eff 27-Jan-2026'!$A:$Q,7,FALSE)/12)*(VLOOKUP($I935,'Pricing Table - eff 27-Jan-2026'!$A:$Q,9,FALSE)/12))/5,0)*5</f>
        <v>#N/A</v>
      </c>
      <c r="R935" s="71" t="e">
        <f>$Q935/IFERROR(VLOOKUP($F935&amp;RIGHT($K935,8),'Master Data'!$O$5:$P$10,2,FALSE),'Master Data'!$P$4)</f>
        <v>#N/A</v>
      </c>
      <c r="S935" s="57" t="e">
        <f>VLOOKUP($I935,'Pricing Table - eff 27-Jan-2026'!$A:$Q,16,FALSE)</f>
        <v>#N/A</v>
      </c>
      <c r="T935" s="57" t="e">
        <f>VLOOKUP(I935,'Pricing Table - eff 27-Jan-2026'!$A:$O,15,FALSE)</f>
        <v>#N/A</v>
      </c>
      <c r="U935" s="57" t="e">
        <f t="shared" ref="U935:U983" si="39">O935*S935</f>
        <v>#N/A</v>
      </c>
      <c r="V935" s="111" t="e">
        <f t="shared" si="38"/>
        <v>#N/A</v>
      </c>
      <c r="W935" s="55" t="e">
        <f>VLOOKUP($I935,'Pricing Table - eff 27-Jan-2026'!$A:$R,18,FALSE)</f>
        <v>#N/A</v>
      </c>
    </row>
    <row r="936" spans="1:23" hidden="1" x14ac:dyDescent="0.3">
      <c r="A936" s="55"/>
      <c r="B936" s="55"/>
      <c r="C936" s="55">
        <f>VLOOKUP(A936&amp;"-"&amp;B936,'Order Summary'!$D:$E,2,FALSE)</f>
        <v>0</v>
      </c>
      <c r="D936" s="216" t="str">
        <f>IF($A936="","",VLOOKUP($A936&amp;"-"&amp;$B936,'Order Summary'!$D:$U,3,FALSE))</f>
        <v/>
      </c>
      <c r="E936" s="55" t="str">
        <f>VLOOKUP(A936&amp;"-"&amp;B936,'Order Summary'!$D:$G,4,FALSE)</f>
        <v>Yes</v>
      </c>
      <c r="F936" s="55" t="e">
        <f>VLOOKUP($A936,'Order Summary'!$B:$I,8,FALSE)</f>
        <v>#N/A</v>
      </c>
      <c r="G936" s="216" t="str">
        <f>IF($A936="","",VLOOKUP($A936&amp;"-"&amp;$B936,'Order Summary'!$D:$U,18,FALSE))</f>
        <v/>
      </c>
      <c r="H936" s="55"/>
      <c r="I936" s="55"/>
      <c r="J936" s="55" t="e">
        <f>VLOOKUP($I936,'Pricing Table - eff 27-Jan-2026'!$A:$R,2,FALSE)</f>
        <v>#N/A</v>
      </c>
      <c r="K936" s="55" t="e">
        <f>VLOOKUP($I936,'Pricing Table - eff 27-Jan-2026'!$A:$R,6,FALSE)&amp;" "&amp;VLOOKUP($I936,'Pricing Table - eff 27-Jan-2026'!$A:$R,7,FALSE)&amp;""" x "&amp;VLOOKUP($I936,'Pricing Table - eff 27-Jan-2026'!$A:$R,9,FALSE)&amp;""" "&amp;VLOOKUP($I936,'Pricing Table - eff 27-Jan-2026'!$A:$R,5,FALSE)</f>
        <v>#N/A</v>
      </c>
      <c r="L936" s="55" t="e">
        <f>VLOOKUP($I936,'Pricing Table - eff 27-Jan-2026'!$A:$K,8,FALSE)</f>
        <v>#N/A</v>
      </c>
      <c r="M936" s="55" t="e">
        <f>VLOOKUP($I936,'Pricing Table - eff 27-Jan-2026'!$A:$K,10,FALSE)</f>
        <v>#N/A</v>
      </c>
      <c r="N936" s="55" t="e">
        <f>VLOOKUP($I936,'Pricing Table - eff 27-Jan-2026'!$A:$R,13,FALSE)&amp;" "&amp;VLOOKUP($I936,'Pricing Table - eff 27-Jan-2026'!$A:$R,12,FALSE)</f>
        <v>#N/A</v>
      </c>
      <c r="O936" s="56"/>
      <c r="P936" s="55" t="e">
        <f>(VLOOKUP($I936,'Pricing Table - eff 27-Jan-2026'!$A:$R,8,FALSE)/1000)*(VLOOKUP($I936,'Pricing Table - eff 27-Jan-2026'!$A:$R,10,FALSE)/1000)*Q936</f>
        <v>#N/A</v>
      </c>
      <c r="Q936" s="55" t="e">
        <f>ROUND(('Order Details'!$O936*1000)/((VLOOKUP($I936,'Pricing Table - eff 27-Jan-2026'!$A:$Q,7,FALSE)/12)*(VLOOKUP($I936,'Pricing Table - eff 27-Jan-2026'!$A:$Q,9,FALSE)/12))/5,0)*5</f>
        <v>#N/A</v>
      </c>
      <c r="R936" s="71" t="e">
        <f>$Q936/IFERROR(VLOOKUP($F936&amp;RIGHT($K936,8),'Master Data'!$O$5:$P$10,2,FALSE),'Master Data'!$P$4)</f>
        <v>#N/A</v>
      </c>
      <c r="S936" s="57" t="e">
        <f>VLOOKUP($I936,'Pricing Table - eff 27-Jan-2026'!$A:$Q,16,FALSE)</f>
        <v>#N/A</v>
      </c>
      <c r="T936" s="57" t="e">
        <f>VLOOKUP(I936,'Pricing Table - eff 27-Jan-2026'!$A:$O,15,FALSE)</f>
        <v>#N/A</v>
      </c>
      <c r="U936" s="57" t="e">
        <f t="shared" si="39"/>
        <v>#N/A</v>
      </c>
      <c r="V936" s="111" t="e">
        <f t="shared" si="38"/>
        <v>#N/A</v>
      </c>
      <c r="W936" s="55" t="e">
        <f>VLOOKUP($I936,'Pricing Table - eff 27-Jan-2026'!$A:$R,18,FALSE)</f>
        <v>#N/A</v>
      </c>
    </row>
    <row r="937" spans="1:23" hidden="1" x14ac:dyDescent="0.3">
      <c r="A937" s="55"/>
      <c r="B937" s="55"/>
      <c r="C937" s="55">
        <f>VLOOKUP(A937&amp;"-"&amp;B937,'Order Summary'!$D:$E,2,FALSE)</f>
        <v>0</v>
      </c>
      <c r="D937" s="216" t="str">
        <f>IF($A937="","",VLOOKUP($A937&amp;"-"&amp;$B937,'Order Summary'!$D:$U,3,FALSE))</f>
        <v/>
      </c>
      <c r="E937" s="55" t="str">
        <f>VLOOKUP(A937&amp;"-"&amp;B937,'Order Summary'!$D:$G,4,FALSE)</f>
        <v>Yes</v>
      </c>
      <c r="F937" s="55" t="e">
        <f>VLOOKUP($A937,'Order Summary'!$B:$I,8,FALSE)</f>
        <v>#N/A</v>
      </c>
      <c r="G937" s="216" t="str">
        <f>IF($A937="","",VLOOKUP($A937&amp;"-"&amp;$B937,'Order Summary'!$D:$U,18,FALSE))</f>
        <v/>
      </c>
      <c r="H937" s="55"/>
      <c r="I937" s="55"/>
      <c r="J937" s="55" t="e">
        <f>VLOOKUP($I937,'Pricing Table - eff 27-Jan-2026'!$A:$R,2,FALSE)</f>
        <v>#N/A</v>
      </c>
      <c r="K937" s="55" t="e">
        <f>VLOOKUP($I937,'Pricing Table - eff 27-Jan-2026'!$A:$R,6,FALSE)&amp;" "&amp;VLOOKUP($I937,'Pricing Table - eff 27-Jan-2026'!$A:$R,7,FALSE)&amp;""" x "&amp;VLOOKUP($I937,'Pricing Table - eff 27-Jan-2026'!$A:$R,9,FALSE)&amp;""" "&amp;VLOOKUP($I937,'Pricing Table - eff 27-Jan-2026'!$A:$R,5,FALSE)</f>
        <v>#N/A</v>
      </c>
      <c r="L937" s="55" t="e">
        <f>VLOOKUP($I937,'Pricing Table - eff 27-Jan-2026'!$A:$K,8,FALSE)</f>
        <v>#N/A</v>
      </c>
      <c r="M937" s="55" t="e">
        <f>VLOOKUP($I937,'Pricing Table - eff 27-Jan-2026'!$A:$K,10,FALSE)</f>
        <v>#N/A</v>
      </c>
      <c r="N937" s="55" t="e">
        <f>VLOOKUP($I937,'Pricing Table - eff 27-Jan-2026'!$A:$R,13,FALSE)&amp;" "&amp;VLOOKUP($I937,'Pricing Table - eff 27-Jan-2026'!$A:$R,12,FALSE)</f>
        <v>#N/A</v>
      </c>
      <c r="O937" s="56"/>
      <c r="P937" s="55" t="e">
        <f>(VLOOKUP($I937,'Pricing Table - eff 27-Jan-2026'!$A:$R,8,FALSE)/1000)*(VLOOKUP($I937,'Pricing Table - eff 27-Jan-2026'!$A:$R,10,FALSE)/1000)*Q937</f>
        <v>#N/A</v>
      </c>
      <c r="Q937" s="55" t="e">
        <f>ROUND(('Order Details'!$O937*1000)/((VLOOKUP($I937,'Pricing Table - eff 27-Jan-2026'!$A:$Q,7,FALSE)/12)*(VLOOKUP($I937,'Pricing Table - eff 27-Jan-2026'!$A:$Q,9,FALSE)/12))/5,0)*5</f>
        <v>#N/A</v>
      </c>
      <c r="R937" s="71" t="e">
        <f>$Q937/IFERROR(VLOOKUP($F937&amp;RIGHT($K937,8),'Master Data'!$O$5:$P$10,2,FALSE),'Master Data'!$P$4)</f>
        <v>#N/A</v>
      </c>
      <c r="S937" s="57" t="e">
        <f>VLOOKUP($I937,'Pricing Table - eff 27-Jan-2026'!$A:$Q,16,FALSE)</f>
        <v>#N/A</v>
      </c>
      <c r="T937" s="57" t="e">
        <f>VLOOKUP(I937,'Pricing Table - eff 27-Jan-2026'!$A:$O,15,FALSE)</f>
        <v>#N/A</v>
      </c>
      <c r="U937" s="57" t="e">
        <f t="shared" si="39"/>
        <v>#N/A</v>
      </c>
      <c r="V937" s="111" t="e">
        <f t="shared" si="38"/>
        <v>#N/A</v>
      </c>
      <c r="W937" s="55" t="e">
        <f>VLOOKUP($I937,'Pricing Table - eff 27-Jan-2026'!$A:$R,18,FALSE)</f>
        <v>#N/A</v>
      </c>
    </row>
    <row r="938" spans="1:23" hidden="1" x14ac:dyDescent="0.3">
      <c r="A938" s="55"/>
      <c r="B938" s="55"/>
      <c r="C938" s="55">
        <f>VLOOKUP(A938&amp;"-"&amp;B938,'Order Summary'!$D:$E,2,FALSE)</f>
        <v>0</v>
      </c>
      <c r="D938" s="216" t="str">
        <f>IF($A938="","",VLOOKUP($A938&amp;"-"&amp;$B938,'Order Summary'!$D:$U,3,FALSE))</f>
        <v/>
      </c>
      <c r="E938" s="55" t="str">
        <f>VLOOKUP(A938&amp;"-"&amp;B938,'Order Summary'!$D:$G,4,FALSE)</f>
        <v>Yes</v>
      </c>
      <c r="F938" s="55" t="e">
        <f>VLOOKUP($A938,'Order Summary'!$B:$I,8,FALSE)</f>
        <v>#N/A</v>
      </c>
      <c r="G938" s="216" t="str">
        <f>IF($A938="","",VLOOKUP($A938&amp;"-"&amp;$B938,'Order Summary'!$D:$U,18,FALSE))</f>
        <v/>
      </c>
      <c r="H938" s="55"/>
      <c r="I938" s="55"/>
      <c r="J938" s="55" t="e">
        <f>VLOOKUP($I938,'Pricing Table - eff 27-Jan-2026'!$A:$R,2,FALSE)</f>
        <v>#N/A</v>
      </c>
      <c r="K938" s="55" t="e">
        <f>VLOOKUP($I938,'Pricing Table - eff 27-Jan-2026'!$A:$R,6,FALSE)&amp;" "&amp;VLOOKUP($I938,'Pricing Table - eff 27-Jan-2026'!$A:$R,7,FALSE)&amp;""" x "&amp;VLOOKUP($I938,'Pricing Table - eff 27-Jan-2026'!$A:$R,9,FALSE)&amp;""" "&amp;VLOOKUP($I938,'Pricing Table - eff 27-Jan-2026'!$A:$R,5,FALSE)</f>
        <v>#N/A</v>
      </c>
      <c r="L938" s="55" t="e">
        <f>VLOOKUP($I938,'Pricing Table - eff 27-Jan-2026'!$A:$K,8,FALSE)</f>
        <v>#N/A</v>
      </c>
      <c r="M938" s="55" t="e">
        <f>VLOOKUP($I938,'Pricing Table - eff 27-Jan-2026'!$A:$K,10,FALSE)</f>
        <v>#N/A</v>
      </c>
      <c r="N938" s="55" t="e">
        <f>VLOOKUP($I938,'Pricing Table - eff 27-Jan-2026'!$A:$R,13,FALSE)&amp;" "&amp;VLOOKUP($I938,'Pricing Table - eff 27-Jan-2026'!$A:$R,12,FALSE)</f>
        <v>#N/A</v>
      </c>
      <c r="O938" s="56"/>
      <c r="P938" s="55" t="e">
        <f>(VLOOKUP($I938,'Pricing Table - eff 27-Jan-2026'!$A:$R,8,FALSE)/1000)*(VLOOKUP($I938,'Pricing Table - eff 27-Jan-2026'!$A:$R,10,FALSE)/1000)*Q938</f>
        <v>#N/A</v>
      </c>
      <c r="Q938" s="55" t="e">
        <f>ROUND(('Order Details'!$O938*1000)/((VLOOKUP($I938,'Pricing Table - eff 27-Jan-2026'!$A:$Q,7,FALSE)/12)*(VLOOKUP($I938,'Pricing Table - eff 27-Jan-2026'!$A:$Q,9,FALSE)/12))/5,0)*5</f>
        <v>#N/A</v>
      </c>
      <c r="R938" s="71" t="e">
        <f>$Q938/IFERROR(VLOOKUP($F938&amp;RIGHT($K938,8),'Master Data'!$O$5:$P$10,2,FALSE),'Master Data'!$P$4)</f>
        <v>#N/A</v>
      </c>
      <c r="S938" s="57" t="e">
        <f>VLOOKUP($I938,'Pricing Table - eff 27-Jan-2026'!$A:$Q,16,FALSE)</f>
        <v>#N/A</v>
      </c>
      <c r="T938" s="57" t="e">
        <f>VLOOKUP(I938,'Pricing Table - eff 27-Jan-2026'!$A:$O,15,FALSE)</f>
        <v>#N/A</v>
      </c>
      <c r="U938" s="57" t="e">
        <f t="shared" si="39"/>
        <v>#N/A</v>
      </c>
      <c r="V938" s="111" t="e">
        <f t="shared" si="38"/>
        <v>#N/A</v>
      </c>
      <c r="W938" s="55" t="e">
        <f>VLOOKUP($I938,'Pricing Table - eff 27-Jan-2026'!$A:$R,18,FALSE)</f>
        <v>#N/A</v>
      </c>
    </row>
    <row r="939" spans="1:23" hidden="1" x14ac:dyDescent="0.3">
      <c r="A939" s="55"/>
      <c r="B939" s="55"/>
      <c r="C939" s="55">
        <f>VLOOKUP(A939&amp;"-"&amp;B939,'Order Summary'!$D:$E,2,FALSE)</f>
        <v>0</v>
      </c>
      <c r="D939" s="216" t="str">
        <f>IF($A939="","",VLOOKUP($A939&amp;"-"&amp;$B939,'Order Summary'!$D:$U,3,FALSE))</f>
        <v/>
      </c>
      <c r="E939" s="55" t="str">
        <f>VLOOKUP(A939&amp;"-"&amp;B939,'Order Summary'!$D:$G,4,FALSE)</f>
        <v>Yes</v>
      </c>
      <c r="F939" s="55" t="e">
        <f>VLOOKUP($A939,'Order Summary'!$B:$I,8,FALSE)</f>
        <v>#N/A</v>
      </c>
      <c r="G939" s="216" t="str">
        <f>IF($A939="","",VLOOKUP($A939&amp;"-"&amp;$B939,'Order Summary'!$D:$U,18,FALSE))</f>
        <v/>
      </c>
      <c r="H939" s="55"/>
      <c r="I939" s="55"/>
      <c r="J939" s="55" t="e">
        <f>VLOOKUP($I939,'Pricing Table - eff 27-Jan-2026'!$A:$R,2,FALSE)</f>
        <v>#N/A</v>
      </c>
      <c r="K939" s="55" t="e">
        <f>VLOOKUP($I939,'Pricing Table - eff 27-Jan-2026'!$A:$R,6,FALSE)&amp;" "&amp;VLOOKUP($I939,'Pricing Table - eff 27-Jan-2026'!$A:$R,7,FALSE)&amp;""" x "&amp;VLOOKUP($I939,'Pricing Table - eff 27-Jan-2026'!$A:$R,9,FALSE)&amp;""" "&amp;VLOOKUP($I939,'Pricing Table - eff 27-Jan-2026'!$A:$R,5,FALSE)</f>
        <v>#N/A</v>
      </c>
      <c r="L939" s="55" t="e">
        <f>VLOOKUP($I939,'Pricing Table - eff 27-Jan-2026'!$A:$K,8,FALSE)</f>
        <v>#N/A</v>
      </c>
      <c r="M939" s="55" t="e">
        <f>VLOOKUP($I939,'Pricing Table - eff 27-Jan-2026'!$A:$K,10,FALSE)</f>
        <v>#N/A</v>
      </c>
      <c r="N939" s="55" t="e">
        <f>VLOOKUP($I939,'Pricing Table - eff 27-Jan-2026'!$A:$R,13,FALSE)&amp;" "&amp;VLOOKUP($I939,'Pricing Table - eff 27-Jan-2026'!$A:$R,12,FALSE)</f>
        <v>#N/A</v>
      </c>
      <c r="O939" s="56"/>
      <c r="P939" s="55" t="e">
        <f>(VLOOKUP($I939,'Pricing Table - eff 27-Jan-2026'!$A:$R,8,FALSE)/1000)*(VLOOKUP($I939,'Pricing Table - eff 27-Jan-2026'!$A:$R,10,FALSE)/1000)*Q939</f>
        <v>#N/A</v>
      </c>
      <c r="Q939" s="55" t="e">
        <f>ROUND(('Order Details'!$O939*1000)/((VLOOKUP($I939,'Pricing Table - eff 27-Jan-2026'!$A:$Q,7,FALSE)/12)*(VLOOKUP($I939,'Pricing Table - eff 27-Jan-2026'!$A:$Q,9,FALSE)/12))/5,0)*5</f>
        <v>#N/A</v>
      </c>
      <c r="R939" s="71" t="e">
        <f>$Q939/IFERROR(VLOOKUP($F939&amp;RIGHT($K939,8),'Master Data'!$O$5:$P$10,2,FALSE),'Master Data'!$P$4)</f>
        <v>#N/A</v>
      </c>
      <c r="S939" s="57" t="e">
        <f>VLOOKUP($I939,'Pricing Table - eff 27-Jan-2026'!$A:$Q,16,FALSE)</f>
        <v>#N/A</v>
      </c>
      <c r="T939" s="57" t="e">
        <f>VLOOKUP(I939,'Pricing Table - eff 27-Jan-2026'!$A:$O,15,FALSE)</f>
        <v>#N/A</v>
      </c>
      <c r="U939" s="57" t="e">
        <f t="shared" si="39"/>
        <v>#N/A</v>
      </c>
      <c r="V939" s="111" t="e">
        <f t="shared" si="38"/>
        <v>#N/A</v>
      </c>
      <c r="W939" s="55" t="e">
        <f>VLOOKUP($I939,'Pricing Table - eff 27-Jan-2026'!$A:$R,18,FALSE)</f>
        <v>#N/A</v>
      </c>
    </row>
    <row r="940" spans="1:23" hidden="1" x14ac:dyDescent="0.3">
      <c r="A940" s="55"/>
      <c r="B940" s="55"/>
      <c r="C940" s="55">
        <f>VLOOKUP(A940&amp;"-"&amp;B940,'Order Summary'!$D:$E,2,FALSE)</f>
        <v>0</v>
      </c>
      <c r="D940" s="216" t="str">
        <f>IF($A940="","",VLOOKUP($A940&amp;"-"&amp;$B940,'Order Summary'!$D:$U,3,FALSE))</f>
        <v/>
      </c>
      <c r="E940" s="55" t="str">
        <f>VLOOKUP(A940&amp;"-"&amp;B940,'Order Summary'!$D:$G,4,FALSE)</f>
        <v>Yes</v>
      </c>
      <c r="F940" s="55" t="e">
        <f>VLOOKUP($A940,'Order Summary'!$B:$I,8,FALSE)</f>
        <v>#N/A</v>
      </c>
      <c r="G940" s="216" t="str">
        <f>IF($A940="","",VLOOKUP($A940&amp;"-"&amp;$B940,'Order Summary'!$D:$U,18,FALSE))</f>
        <v/>
      </c>
      <c r="H940" s="55"/>
      <c r="I940" s="55"/>
      <c r="J940" s="55" t="e">
        <f>VLOOKUP($I940,'Pricing Table - eff 27-Jan-2026'!$A:$R,2,FALSE)</f>
        <v>#N/A</v>
      </c>
      <c r="K940" s="55" t="e">
        <f>VLOOKUP($I940,'Pricing Table - eff 27-Jan-2026'!$A:$R,6,FALSE)&amp;" "&amp;VLOOKUP($I940,'Pricing Table - eff 27-Jan-2026'!$A:$R,7,FALSE)&amp;""" x "&amp;VLOOKUP($I940,'Pricing Table - eff 27-Jan-2026'!$A:$R,9,FALSE)&amp;""" "&amp;VLOOKUP($I940,'Pricing Table - eff 27-Jan-2026'!$A:$R,5,FALSE)</f>
        <v>#N/A</v>
      </c>
      <c r="L940" s="55" t="e">
        <f>VLOOKUP($I940,'Pricing Table - eff 27-Jan-2026'!$A:$K,8,FALSE)</f>
        <v>#N/A</v>
      </c>
      <c r="M940" s="55" t="e">
        <f>VLOOKUP($I940,'Pricing Table - eff 27-Jan-2026'!$A:$K,10,FALSE)</f>
        <v>#N/A</v>
      </c>
      <c r="N940" s="55" t="e">
        <f>VLOOKUP($I940,'Pricing Table - eff 27-Jan-2026'!$A:$R,13,FALSE)&amp;" "&amp;VLOOKUP($I940,'Pricing Table - eff 27-Jan-2026'!$A:$R,12,FALSE)</f>
        <v>#N/A</v>
      </c>
      <c r="O940" s="56"/>
      <c r="P940" s="55" t="e">
        <f>(VLOOKUP($I940,'Pricing Table - eff 27-Jan-2026'!$A:$R,8,FALSE)/1000)*(VLOOKUP($I940,'Pricing Table - eff 27-Jan-2026'!$A:$R,10,FALSE)/1000)*Q940</f>
        <v>#N/A</v>
      </c>
      <c r="Q940" s="55" t="e">
        <f>ROUND(('Order Details'!$O940*1000)/((VLOOKUP($I940,'Pricing Table - eff 27-Jan-2026'!$A:$Q,7,FALSE)/12)*(VLOOKUP($I940,'Pricing Table - eff 27-Jan-2026'!$A:$Q,9,FALSE)/12))/5,0)*5</f>
        <v>#N/A</v>
      </c>
      <c r="R940" s="71" t="e">
        <f>$Q940/IFERROR(VLOOKUP($F940&amp;RIGHT($K940,8),'Master Data'!$O$5:$P$10,2,FALSE),'Master Data'!$P$4)</f>
        <v>#N/A</v>
      </c>
      <c r="S940" s="57" t="e">
        <f>VLOOKUP($I940,'Pricing Table - eff 27-Jan-2026'!$A:$Q,16,FALSE)</f>
        <v>#N/A</v>
      </c>
      <c r="T940" s="57" t="e">
        <f>VLOOKUP(I940,'Pricing Table - eff 27-Jan-2026'!$A:$O,15,FALSE)</f>
        <v>#N/A</v>
      </c>
      <c r="U940" s="57" t="e">
        <f t="shared" si="39"/>
        <v>#N/A</v>
      </c>
      <c r="V940" s="111" t="e">
        <f t="shared" si="38"/>
        <v>#N/A</v>
      </c>
      <c r="W940" s="55" t="e">
        <f>VLOOKUP($I940,'Pricing Table - eff 27-Jan-2026'!$A:$R,18,FALSE)</f>
        <v>#N/A</v>
      </c>
    </row>
    <row r="941" spans="1:23" hidden="1" x14ac:dyDescent="0.3">
      <c r="A941" s="55"/>
      <c r="B941" s="55"/>
      <c r="C941" s="55">
        <f>VLOOKUP(A941&amp;"-"&amp;B941,'Order Summary'!$D:$E,2,FALSE)</f>
        <v>0</v>
      </c>
      <c r="D941" s="216" t="str">
        <f>IF($A941="","",VLOOKUP($A941&amp;"-"&amp;$B941,'Order Summary'!$D:$U,3,FALSE))</f>
        <v/>
      </c>
      <c r="E941" s="55" t="str">
        <f>VLOOKUP(A941&amp;"-"&amp;B941,'Order Summary'!$D:$G,4,FALSE)</f>
        <v>Yes</v>
      </c>
      <c r="F941" s="55" t="e">
        <f>VLOOKUP($A941,'Order Summary'!$B:$I,8,FALSE)</f>
        <v>#N/A</v>
      </c>
      <c r="G941" s="216" t="str">
        <f>IF($A941="","",VLOOKUP($A941&amp;"-"&amp;$B941,'Order Summary'!$D:$U,18,FALSE))</f>
        <v/>
      </c>
      <c r="H941" s="55"/>
      <c r="I941" s="55"/>
      <c r="J941" s="55" t="e">
        <f>VLOOKUP($I941,'Pricing Table - eff 27-Jan-2026'!$A:$R,2,FALSE)</f>
        <v>#N/A</v>
      </c>
      <c r="K941" s="55" t="e">
        <f>VLOOKUP($I941,'Pricing Table - eff 27-Jan-2026'!$A:$R,6,FALSE)&amp;" "&amp;VLOOKUP($I941,'Pricing Table - eff 27-Jan-2026'!$A:$R,7,FALSE)&amp;""" x "&amp;VLOOKUP($I941,'Pricing Table - eff 27-Jan-2026'!$A:$R,9,FALSE)&amp;""" "&amp;VLOOKUP($I941,'Pricing Table - eff 27-Jan-2026'!$A:$R,5,FALSE)</f>
        <v>#N/A</v>
      </c>
      <c r="L941" s="55" t="e">
        <f>VLOOKUP($I941,'Pricing Table - eff 27-Jan-2026'!$A:$K,8,FALSE)</f>
        <v>#N/A</v>
      </c>
      <c r="M941" s="55" t="e">
        <f>VLOOKUP($I941,'Pricing Table - eff 27-Jan-2026'!$A:$K,10,FALSE)</f>
        <v>#N/A</v>
      </c>
      <c r="N941" s="55" t="e">
        <f>VLOOKUP($I941,'Pricing Table - eff 27-Jan-2026'!$A:$R,13,FALSE)&amp;" "&amp;VLOOKUP($I941,'Pricing Table - eff 27-Jan-2026'!$A:$R,12,FALSE)</f>
        <v>#N/A</v>
      </c>
      <c r="O941" s="56"/>
      <c r="P941" s="55" t="e">
        <f>(VLOOKUP($I941,'Pricing Table - eff 27-Jan-2026'!$A:$R,8,FALSE)/1000)*(VLOOKUP($I941,'Pricing Table - eff 27-Jan-2026'!$A:$R,10,FALSE)/1000)*Q941</f>
        <v>#N/A</v>
      </c>
      <c r="Q941" s="55" t="e">
        <f>ROUND(('Order Details'!$O941*1000)/((VLOOKUP($I941,'Pricing Table - eff 27-Jan-2026'!$A:$Q,7,FALSE)/12)*(VLOOKUP($I941,'Pricing Table - eff 27-Jan-2026'!$A:$Q,9,FALSE)/12))/5,0)*5</f>
        <v>#N/A</v>
      </c>
      <c r="R941" s="71" t="e">
        <f>$Q941/IFERROR(VLOOKUP($F941&amp;RIGHT($K941,8),'Master Data'!$O$5:$P$10,2,FALSE),'Master Data'!$P$4)</f>
        <v>#N/A</v>
      </c>
      <c r="S941" s="57" t="e">
        <f>VLOOKUP($I941,'Pricing Table - eff 27-Jan-2026'!$A:$Q,16,FALSE)</f>
        <v>#N/A</v>
      </c>
      <c r="T941" s="57" t="e">
        <f>VLOOKUP(I941,'Pricing Table - eff 27-Jan-2026'!$A:$O,15,FALSE)</f>
        <v>#N/A</v>
      </c>
      <c r="U941" s="57" t="e">
        <f t="shared" si="39"/>
        <v>#N/A</v>
      </c>
      <c r="V941" s="111" t="e">
        <f t="shared" si="38"/>
        <v>#N/A</v>
      </c>
      <c r="W941" s="55" t="e">
        <f>VLOOKUP($I941,'Pricing Table - eff 27-Jan-2026'!$A:$R,18,FALSE)</f>
        <v>#N/A</v>
      </c>
    </row>
    <row r="942" spans="1:23" hidden="1" x14ac:dyDescent="0.3">
      <c r="A942" s="55"/>
      <c r="B942" s="55"/>
      <c r="C942" s="55">
        <f>VLOOKUP(A942&amp;"-"&amp;B942,'Order Summary'!$D:$E,2,FALSE)</f>
        <v>0</v>
      </c>
      <c r="D942" s="216" t="str">
        <f>IF($A942="","",VLOOKUP($A942&amp;"-"&amp;$B942,'Order Summary'!$D:$U,3,FALSE))</f>
        <v/>
      </c>
      <c r="E942" s="55" t="str">
        <f>VLOOKUP(A942&amp;"-"&amp;B942,'Order Summary'!$D:$G,4,FALSE)</f>
        <v>Yes</v>
      </c>
      <c r="F942" s="55" t="e">
        <f>VLOOKUP($A942,'Order Summary'!$B:$I,8,FALSE)</f>
        <v>#N/A</v>
      </c>
      <c r="G942" s="216" t="str">
        <f>IF($A942="","",VLOOKUP($A942&amp;"-"&amp;$B942,'Order Summary'!$D:$U,18,FALSE))</f>
        <v/>
      </c>
      <c r="H942" s="55"/>
      <c r="I942" s="55"/>
      <c r="J942" s="55" t="e">
        <f>VLOOKUP($I942,'Pricing Table - eff 27-Jan-2026'!$A:$R,2,FALSE)</f>
        <v>#N/A</v>
      </c>
      <c r="K942" s="55" t="e">
        <f>VLOOKUP($I942,'Pricing Table - eff 27-Jan-2026'!$A:$R,6,FALSE)&amp;" "&amp;VLOOKUP($I942,'Pricing Table - eff 27-Jan-2026'!$A:$R,7,FALSE)&amp;""" x "&amp;VLOOKUP($I942,'Pricing Table - eff 27-Jan-2026'!$A:$R,9,FALSE)&amp;""" "&amp;VLOOKUP($I942,'Pricing Table - eff 27-Jan-2026'!$A:$R,5,FALSE)</f>
        <v>#N/A</v>
      </c>
      <c r="L942" s="55" t="e">
        <f>VLOOKUP($I942,'Pricing Table - eff 27-Jan-2026'!$A:$K,8,FALSE)</f>
        <v>#N/A</v>
      </c>
      <c r="M942" s="55" t="e">
        <f>VLOOKUP($I942,'Pricing Table - eff 27-Jan-2026'!$A:$K,10,FALSE)</f>
        <v>#N/A</v>
      </c>
      <c r="N942" s="55" t="e">
        <f>VLOOKUP($I942,'Pricing Table - eff 27-Jan-2026'!$A:$R,13,FALSE)&amp;" "&amp;VLOOKUP($I942,'Pricing Table - eff 27-Jan-2026'!$A:$R,12,FALSE)</f>
        <v>#N/A</v>
      </c>
      <c r="O942" s="56"/>
      <c r="P942" s="55" t="e">
        <f>(VLOOKUP($I942,'Pricing Table - eff 27-Jan-2026'!$A:$R,8,FALSE)/1000)*(VLOOKUP($I942,'Pricing Table - eff 27-Jan-2026'!$A:$R,10,FALSE)/1000)*Q942</f>
        <v>#N/A</v>
      </c>
      <c r="Q942" s="55" t="e">
        <f>ROUND(('Order Details'!$O942*1000)/((VLOOKUP($I942,'Pricing Table - eff 27-Jan-2026'!$A:$Q,7,FALSE)/12)*(VLOOKUP($I942,'Pricing Table - eff 27-Jan-2026'!$A:$Q,9,FALSE)/12))/5,0)*5</f>
        <v>#N/A</v>
      </c>
      <c r="R942" s="71" t="e">
        <f>$Q942/IFERROR(VLOOKUP($F942&amp;RIGHT($K942,8),'Master Data'!$O$5:$P$10,2,FALSE),'Master Data'!$P$4)</f>
        <v>#N/A</v>
      </c>
      <c r="S942" s="57" t="e">
        <f>VLOOKUP($I942,'Pricing Table - eff 27-Jan-2026'!$A:$Q,16,FALSE)</f>
        <v>#N/A</v>
      </c>
      <c r="T942" s="57" t="e">
        <f>VLOOKUP(I942,'Pricing Table - eff 27-Jan-2026'!$A:$O,15,FALSE)</f>
        <v>#N/A</v>
      </c>
      <c r="U942" s="57" t="e">
        <f t="shared" si="39"/>
        <v>#N/A</v>
      </c>
      <c r="V942" s="111" t="e">
        <f t="shared" si="38"/>
        <v>#N/A</v>
      </c>
      <c r="W942" s="55" t="e">
        <f>VLOOKUP($I942,'Pricing Table - eff 27-Jan-2026'!$A:$R,18,FALSE)</f>
        <v>#N/A</v>
      </c>
    </row>
    <row r="943" spans="1:23" hidden="1" x14ac:dyDescent="0.3">
      <c r="A943" s="55"/>
      <c r="B943" s="55"/>
      <c r="C943" s="55">
        <f>VLOOKUP(A943&amp;"-"&amp;B943,'Order Summary'!$D:$E,2,FALSE)</f>
        <v>0</v>
      </c>
      <c r="D943" s="216" t="str">
        <f>IF($A943="","",VLOOKUP($A943&amp;"-"&amp;$B943,'Order Summary'!$D:$U,3,FALSE))</f>
        <v/>
      </c>
      <c r="E943" s="55" t="str">
        <f>VLOOKUP(A943&amp;"-"&amp;B943,'Order Summary'!$D:$G,4,FALSE)</f>
        <v>Yes</v>
      </c>
      <c r="F943" s="55" t="e">
        <f>VLOOKUP($A943,'Order Summary'!$B:$I,8,FALSE)</f>
        <v>#N/A</v>
      </c>
      <c r="G943" s="216" t="str">
        <f>IF($A943="","",VLOOKUP($A943&amp;"-"&amp;$B943,'Order Summary'!$D:$U,18,FALSE))</f>
        <v/>
      </c>
      <c r="H943" s="55"/>
      <c r="I943" s="55"/>
      <c r="J943" s="55" t="e">
        <f>VLOOKUP($I943,'Pricing Table - eff 27-Jan-2026'!$A:$R,2,FALSE)</f>
        <v>#N/A</v>
      </c>
      <c r="K943" s="55" t="e">
        <f>VLOOKUP($I943,'Pricing Table - eff 27-Jan-2026'!$A:$R,6,FALSE)&amp;" "&amp;VLOOKUP($I943,'Pricing Table - eff 27-Jan-2026'!$A:$R,7,FALSE)&amp;""" x "&amp;VLOOKUP($I943,'Pricing Table - eff 27-Jan-2026'!$A:$R,9,FALSE)&amp;""" "&amp;VLOOKUP($I943,'Pricing Table - eff 27-Jan-2026'!$A:$R,5,FALSE)</f>
        <v>#N/A</v>
      </c>
      <c r="L943" s="55" t="e">
        <f>VLOOKUP($I943,'Pricing Table - eff 27-Jan-2026'!$A:$K,8,FALSE)</f>
        <v>#N/A</v>
      </c>
      <c r="M943" s="55" t="e">
        <f>VLOOKUP($I943,'Pricing Table - eff 27-Jan-2026'!$A:$K,10,FALSE)</f>
        <v>#N/A</v>
      </c>
      <c r="N943" s="55" t="e">
        <f>VLOOKUP($I943,'Pricing Table - eff 27-Jan-2026'!$A:$R,13,FALSE)&amp;" "&amp;VLOOKUP($I943,'Pricing Table - eff 27-Jan-2026'!$A:$R,12,FALSE)</f>
        <v>#N/A</v>
      </c>
      <c r="O943" s="56"/>
      <c r="P943" s="55" t="e">
        <f>(VLOOKUP($I943,'Pricing Table - eff 27-Jan-2026'!$A:$R,8,FALSE)/1000)*(VLOOKUP($I943,'Pricing Table - eff 27-Jan-2026'!$A:$R,10,FALSE)/1000)*Q943</f>
        <v>#N/A</v>
      </c>
      <c r="Q943" s="55" t="e">
        <f>ROUND(('Order Details'!$O943*1000)/((VLOOKUP($I943,'Pricing Table - eff 27-Jan-2026'!$A:$Q,7,FALSE)/12)*(VLOOKUP($I943,'Pricing Table - eff 27-Jan-2026'!$A:$Q,9,FALSE)/12))/5,0)*5</f>
        <v>#N/A</v>
      </c>
      <c r="R943" s="71" t="e">
        <f>$Q943/IFERROR(VLOOKUP($F943&amp;RIGHT($K943,8),'Master Data'!$O$5:$P$10,2,FALSE),'Master Data'!$P$4)</f>
        <v>#N/A</v>
      </c>
      <c r="S943" s="57" t="e">
        <f>VLOOKUP($I943,'Pricing Table - eff 27-Jan-2026'!$A:$Q,16,FALSE)</f>
        <v>#N/A</v>
      </c>
      <c r="T943" s="57" t="e">
        <f>VLOOKUP(I943,'Pricing Table - eff 27-Jan-2026'!$A:$O,15,FALSE)</f>
        <v>#N/A</v>
      </c>
      <c r="U943" s="57" t="e">
        <f t="shared" si="39"/>
        <v>#N/A</v>
      </c>
      <c r="V943" s="111" t="e">
        <f t="shared" si="38"/>
        <v>#N/A</v>
      </c>
      <c r="W943" s="55" t="e">
        <f>VLOOKUP($I943,'Pricing Table - eff 27-Jan-2026'!$A:$R,18,FALSE)</f>
        <v>#N/A</v>
      </c>
    </row>
    <row r="944" spans="1:23" hidden="1" x14ac:dyDescent="0.3">
      <c r="A944" s="55"/>
      <c r="B944" s="55"/>
      <c r="C944" s="55">
        <f>VLOOKUP(A944&amp;"-"&amp;B944,'Order Summary'!$D:$E,2,FALSE)</f>
        <v>0</v>
      </c>
      <c r="D944" s="216" t="str">
        <f>IF($A944="","",VLOOKUP($A944&amp;"-"&amp;$B944,'Order Summary'!$D:$U,3,FALSE))</f>
        <v/>
      </c>
      <c r="E944" s="55" t="str">
        <f>VLOOKUP(A944&amp;"-"&amp;B944,'Order Summary'!$D:$G,4,FALSE)</f>
        <v>Yes</v>
      </c>
      <c r="F944" s="55" t="e">
        <f>VLOOKUP($A944,'Order Summary'!$B:$I,8,FALSE)</f>
        <v>#N/A</v>
      </c>
      <c r="G944" s="216" t="str">
        <f>IF($A944="","",VLOOKUP($A944&amp;"-"&amp;$B944,'Order Summary'!$D:$U,18,FALSE))</f>
        <v/>
      </c>
      <c r="H944" s="55"/>
      <c r="I944" s="55"/>
      <c r="J944" s="55" t="e">
        <f>VLOOKUP($I944,'Pricing Table - eff 27-Jan-2026'!$A:$R,2,FALSE)</f>
        <v>#N/A</v>
      </c>
      <c r="K944" s="55" t="e">
        <f>VLOOKUP($I944,'Pricing Table - eff 27-Jan-2026'!$A:$R,6,FALSE)&amp;" "&amp;VLOOKUP($I944,'Pricing Table - eff 27-Jan-2026'!$A:$R,7,FALSE)&amp;""" x "&amp;VLOOKUP($I944,'Pricing Table - eff 27-Jan-2026'!$A:$R,9,FALSE)&amp;""" "&amp;VLOOKUP($I944,'Pricing Table - eff 27-Jan-2026'!$A:$R,5,FALSE)</f>
        <v>#N/A</v>
      </c>
      <c r="L944" s="55" t="e">
        <f>VLOOKUP($I944,'Pricing Table - eff 27-Jan-2026'!$A:$K,8,FALSE)</f>
        <v>#N/A</v>
      </c>
      <c r="M944" s="55" t="e">
        <f>VLOOKUP($I944,'Pricing Table - eff 27-Jan-2026'!$A:$K,10,FALSE)</f>
        <v>#N/A</v>
      </c>
      <c r="N944" s="55" t="e">
        <f>VLOOKUP($I944,'Pricing Table - eff 27-Jan-2026'!$A:$R,13,FALSE)&amp;" "&amp;VLOOKUP($I944,'Pricing Table - eff 27-Jan-2026'!$A:$R,12,FALSE)</f>
        <v>#N/A</v>
      </c>
      <c r="O944" s="56"/>
      <c r="P944" s="55" t="e">
        <f>(VLOOKUP($I944,'Pricing Table - eff 27-Jan-2026'!$A:$R,8,FALSE)/1000)*(VLOOKUP($I944,'Pricing Table - eff 27-Jan-2026'!$A:$R,10,FALSE)/1000)*Q944</f>
        <v>#N/A</v>
      </c>
      <c r="Q944" s="55" t="e">
        <f>ROUND(('Order Details'!$O944*1000)/((VLOOKUP($I944,'Pricing Table - eff 27-Jan-2026'!$A:$Q,7,FALSE)/12)*(VLOOKUP($I944,'Pricing Table - eff 27-Jan-2026'!$A:$Q,9,FALSE)/12))/5,0)*5</f>
        <v>#N/A</v>
      </c>
      <c r="R944" s="71" t="e">
        <f>$Q944/IFERROR(VLOOKUP($F944&amp;RIGHT($K944,8),'Master Data'!$O$5:$P$10,2,FALSE),'Master Data'!$P$4)</f>
        <v>#N/A</v>
      </c>
      <c r="S944" s="57" t="e">
        <f>VLOOKUP($I944,'Pricing Table - eff 27-Jan-2026'!$A:$Q,16,FALSE)</f>
        <v>#N/A</v>
      </c>
      <c r="T944" s="57" t="e">
        <f>VLOOKUP(I944,'Pricing Table - eff 27-Jan-2026'!$A:$O,15,FALSE)</f>
        <v>#N/A</v>
      </c>
      <c r="U944" s="57" t="e">
        <f t="shared" si="39"/>
        <v>#N/A</v>
      </c>
      <c r="V944" s="111" t="e">
        <f t="shared" si="38"/>
        <v>#N/A</v>
      </c>
      <c r="W944" s="55" t="e">
        <f>VLOOKUP($I944,'Pricing Table - eff 27-Jan-2026'!$A:$R,18,FALSE)</f>
        <v>#N/A</v>
      </c>
    </row>
    <row r="945" spans="1:23" hidden="1" x14ac:dyDescent="0.3">
      <c r="A945" s="55"/>
      <c r="B945" s="55"/>
      <c r="C945" s="55">
        <f>VLOOKUP(A945&amp;"-"&amp;B945,'Order Summary'!$D:$E,2,FALSE)</f>
        <v>0</v>
      </c>
      <c r="D945" s="216" t="str">
        <f>IF($A945="","",VLOOKUP($A945&amp;"-"&amp;$B945,'Order Summary'!$D:$U,3,FALSE))</f>
        <v/>
      </c>
      <c r="E945" s="55" t="str">
        <f>VLOOKUP(A945&amp;"-"&amp;B945,'Order Summary'!$D:$G,4,FALSE)</f>
        <v>Yes</v>
      </c>
      <c r="F945" s="55" t="e">
        <f>VLOOKUP($A945,'Order Summary'!$B:$I,8,FALSE)</f>
        <v>#N/A</v>
      </c>
      <c r="G945" s="216" t="str">
        <f>IF($A945="","",VLOOKUP($A945&amp;"-"&amp;$B945,'Order Summary'!$D:$U,18,FALSE))</f>
        <v/>
      </c>
      <c r="H945" s="55"/>
      <c r="I945" s="55"/>
      <c r="J945" s="55" t="e">
        <f>VLOOKUP($I945,'Pricing Table - eff 27-Jan-2026'!$A:$R,2,FALSE)</f>
        <v>#N/A</v>
      </c>
      <c r="K945" s="55" t="e">
        <f>VLOOKUP($I945,'Pricing Table - eff 27-Jan-2026'!$A:$R,6,FALSE)&amp;" "&amp;VLOOKUP($I945,'Pricing Table - eff 27-Jan-2026'!$A:$R,7,FALSE)&amp;""" x "&amp;VLOOKUP($I945,'Pricing Table - eff 27-Jan-2026'!$A:$R,9,FALSE)&amp;""" "&amp;VLOOKUP($I945,'Pricing Table - eff 27-Jan-2026'!$A:$R,5,FALSE)</f>
        <v>#N/A</v>
      </c>
      <c r="L945" s="55" t="e">
        <f>VLOOKUP($I945,'Pricing Table - eff 27-Jan-2026'!$A:$K,8,FALSE)</f>
        <v>#N/A</v>
      </c>
      <c r="M945" s="55" t="e">
        <f>VLOOKUP($I945,'Pricing Table - eff 27-Jan-2026'!$A:$K,10,FALSE)</f>
        <v>#N/A</v>
      </c>
      <c r="N945" s="55" t="e">
        <f>VLOOKUP($I945,'Pricing Table - eff 27-Jan-2026'!$A:$R,13,FALSE)&amp;" "&amp;VLOOKUP($I945,'Pricing Table - eff 27-Jan-2026'!$A:$R,12,FALSE)</f>
        <v>#N/A</v>
      </c>
      <c r="O945" s="56"/>
      <c r="P945" s="55" t="e">
        <f>(VLOOKUP($I945,'Pricing Table - eff 27-Jan-2026'!$A:$R,8,FALSE)/1000)*(VLOOKUP($I945,'Pricing Table - eff 27-Jan-2026'!$A:$R,10,FALSE)/1000)*Q945</f>
        <v>#N/A</v>
      </c>
      <c r="Q945" s="55" t="e">
        <f>ROUND(('Order Details'!$O945*1000)/((VLOOKUP($I945,'Pricing Table - eff 27-Jan-2026'!$A:$Q,7,FALSE)/12)*(VLOOKUP($I945,'Pricing Table - eff 27-Jan-2026'!$A:$Q,9,FALSE)/12))/5,0)*5</f>
        <v>#N/A</v>
      </c>
      <c r="R945" s="71" t="e">
        <f>$Q945/IFERROR(VLOOKUP($F945&amp;RIGHT($K945,8),'Master Data'!$O$5:$P$10,2,FALSE),'Master Data'!$P$4)</f>
        <v>#N/A</v>
      </c>
      <c r="S945" s="57" t="e">
        <f>VLOOKUP($I945,'Pricing Table - eff 27-Jan-2026'!$A:$Q,16,FALSE)</f>
        <v>#N/A</v>
      </c>
      <c r="T945" s="57" t="e">
        <f>VLOOKUP(I945,'Pricing Table - eff 27-Jan-2026'!$A:$O,15,FALSE)</f>
        <v>#N/A</v>
      </c>
      <c r="U945" s="57" t="e">
        <f t="shared" si="39"/>
        <v>#N/A</v>
      </c>
      <c r="V945" s="111" t="e">
        <f t="shared" si="38"/>
        <v>#N/A</v>
      </c>
      <c r="W945" s="55" t="e">
        <f>VLOOKUP($I945,'Pricing Table - eff 27-Jan-2026'!$A:$R,18,FALSE)</f>
        <v>#N/A</v>
      </c>
    </row>
    <row r="946" spans="1:23" hidden="1" x14ac:dyDescent="0.3">
      <c r="A946" s="55"/>
      <c r="B946" s="55"/>
      <c r="C946" s="55">
        <f>VLOOKUP(A946&amp;"-"&amp;B946,'Order Summary'!$D:$E,2,FALSE)</f>
        <v>0</v>
      </c>
      <c r="D946" s="216" t="str">
        <f>IF($A946="","",VLOOKUP($A946&amp;"-"&amp;$B946,'Order Summary'!$D:$U,3,FALSE))</f>
        <v/>
      </c>
      <c r="E946" s="55" t="str">
        <f>VLOOKUP(A946&amp;"-"&amp;B946,'Order Summary'!$D:$G,4,FALSE)</f>
        <v>Yes</v>
      </c>
      <c r="F946" s="55" t="e">
        <f>VLOOKUP($A946,'Order Summary'!$B:$I,8,FALSE)</f>
        <v>#N/A</v>
      </c>
      <c r="G946" s="216" t="str">
        <f>IF($A946="","",VLOOKUP($A946&amp;"-"&amp;$B946,'Order Summary'!$D:$U,18,FALSE))</f>
        <v/>
      </c>
      <c r="H946" s="55"/>
      <c r="I946" s="55"/>
      <c r="J946" s="55" t="e">
        <f>VLOOKUP($I946,'Pricing Table - eff 27-Jan-2026'!$A:$R,2,FALSE)</f>
        <v>#N/A</v>
      </c>
      <c r="K946" s="55" t="e">
        <f>VLOOKUP($I946,'Pricing Table - eff 27-Jan-2026'!$A:$R,6,FALSE)&amp;" "&amp;VLOOKUP($I946,'Pricing Table - eff 27-Jan-2026'!$A:$R,7,FALSE)&amp;""" x "&amp;VLOOKUP($I946,'Pricing Table - eff 27-Jan-2026'!$A:$R,9,FALSE)&amp;""" "&amp;VLOOKUP($I946,'Pricing Table - eff 27-Jan-2026'!$A:$R,5,FALSE)</f>
        <v>#N/A</v>
      </c>
      <c r="L946" s="55" t="e">
        <f>VLOOKUP($I946,'Pricing Table - eff 27-Jan-2026'!$A:$K,8,FALSE)</f>
        <v>#N/A</v>
      </c>
      <c r="M946" s="55" t="e">
        <f>VLOOKUP($I946,'Pricing Table - eff 27-Jan-2026'!$A:$K,10,FALSE)</f>
        <v>#N/A</v>
      </c>
      <c r="N946" s="55" t="e">
        <f>VLOOKUP($I946,'Pricing Table - eff 27-Jan-2026'!$A:$R,13,FALSE)&amp;" "&amp;VLOOKUP($I946,'Pricing Table - eff 27-Jan-2026'!$A:$R,12,FALSE)</f>
        <v>#N/A</v>
      </c>
      <c r="O946" s="56"/>
      <c r="P946" s="55" t="e">
        <f>(VLOOKUP($I946,'Pricing Table - eff 27-Jan-2026'!$A:$R,8,FALSE)/1000)*(VLOOKUP($I946,'Pricing Table - eff 27-Jan-2026'!$A:$R,10,FALSE)/1000)*Q946</f>
        <v>#N/A</v>
      </c>
      <c r="Q946" s="55" t="e">
        <f>ROUND(('Order Details'!$O946*1000)/((VLOOKUP($I946,'Pricing Table - eff 27-Jan-2026'!$A:$Q,7,FALSE)/12)*(VLOOKUP($I946,'Pricing Table - eff 27-Jan-2026'!$A:$Q,9,FALSE)/12))/5,0)*5</f>
        <v>#N/A</v>
      </c>
      <c r="R946" s="71" t="e">
        <f>$Q946/IFERROR(VLOOKUP($F946&amp;RIGHT($K946,8),'Master Data'!$O$5:$P$10,2,FALSE),'Master Data'!$P$4)</f>
        <v>#N/A</v>
      </c>
      <c r="S946" s="57" t="e">
        <f>VLOOKUP($I946,'Pricing Table - eff 27-Jan-2026'!$A:$Q,16,FALSE)</f>
        <v>#N/A</v>
      </c>
      <c r="T946" s="57" t="e">
        <f>VLOOKUP(I946,'Pricing Table - eff 27-Jan-2026'!$A:$O,15,FALSE)</f>
        <v>#N/A</v>
      </c>
      <c r="U946" s="57" t="e">
        <f t="shared" si="39"/>
        <v>#N/A</v>
      </c>
      <c r="V946" s="111" t="e">
        <f t="shared" si="38"/>
        <v>#N/A</v>
      </c>
      <c r="W946" s="55" t="e">
        <f>VLOOKUP($I946,'Pricing Table - eff 27-Jan-2026'!$A:$R,18,FALSE)</f>
        <v>#N/A</v>
      </c>
    </row>
    <row r="947" spans="1:23" hidden="1" x14ac:dyDescent="0.3">
      <c r="A947" s="55"/>
      <c r="B947" s="55"/>
      <c r="C947" s="55">
        <f>VLOOKUP(A947&amp;"-"&amp;B947,'Order Summary'!$D:$E,2,FALSE)</f>
        <v>0</v>
      </c>
      <c r="D947" s="216" t="str">
        <f>IF($A947="","",VLOOKUP($A947&amp;"-"&amp;$B947,'Order Summary'!$D:$U,3,FALSE))</f>
        <v/>
      </c>
      <c r="E947" s="55" t="str">
        <f>VLOOKUP(A947&amp;"-"&amp;B947,'Order Summary'!$D:$G,4,FALSE)</f>
        <v>Yes</v>
      </c>
      <c r="F947" s="55" t="e">
        <f>VLOOKUP($A947,'Order Summary'!$B:$I,8,FALSE)</f>
        <v>#N/A</v>
      </c>
      <c r="G947" s="216" t="str">
        <f>IF($A947="","",VLOOKUP($A947&amp;"-"&amp;$B947,'Order Summary'!$D:$U,18,FALSE))</f>
        <v/>
      </c>
      <c r="H947" s="55"/>
      <c r="I947" s="55"/>
      <c r="J947" s="55" t="e">
        <f>VLOOKUP($I947,'Pricing Table - eff 27-Jan-2026'!$A:$R,2,FALSE)</f>
        <v>#N/A</v>
      </c>
      <c r="K947" s="55" t="e">
        <f>VLOOKUP($I947,'Pricing Table - eff 27-Jan-2026'!$A:$R,6,FALSE)&amp;" "&amp;VLOOKUP($I947,'Pricing Table - eff 27-Jan-2026'!$A:$R,7,FALSE)&amp;""" x "&amp;VLOOKUP($I947,'Pricing Table - eff 27-Jan-2026'!$A:$R,9,FALSE)&amp;""" "&amp;VLOOKUP($I947,'Pricing Table - eff 27-Jan-2026'!$A:$R,5,FALSE)</f>
        <v>#N/A</v>
      </c>
      <c r="L947" s="55" t="e">
        <f>VLOOKUP($I947,'Pricing Table - eff 27-Jan-2026'!$A:$K,8,FALSE)</f>
        <v>#N/A</v>
      </c>
      <c r="M947" s="55" t="e">
        <f>VLOOKUP($I947,'Pricing Table - eff 27-Jan-2026'!$A:$K,10,FALSE)</f>
        <v>#N/A</v>
      </c>
      <c r="N947" s="55" t="e">
        <f>VLOOKUP($I947,'Pricing Table - eff 27-Jan-2026'!$A:$R,13,FALSE)&amp;" "&amp;VLOOKUP($I947,'Pricing Table - eff 27-Jan-2026'!$A:$R,12,FALSE)</f>
        <v>#N/A</v>
      </c>
      <c r="O947" s="56"/>
      <c r="P947" s="55" t="e">
        <f>(VLOOKUP($I947,'Pricing Table - eff 27-Jan-2026'!$A:$R,8,FALSE)/1000)*(VLOOKUP($I947,'Pricing Table - eff 27-Jan-2026'!$A:$R,10,FALSE)/1000)*Q947</f>
        <v>#N/A</v>
      </c>
      <c r="Q947" s="55" t="e">
        <f>ROUND(('Order Details'!$O947*1000)/((VLOOKUP($I947,'Pricing Table - eff 27-Jan-2026'!$A:$Q,7,FALSE)/12)*(VLOOKUP($I947,'Pricing Table - eff 27-Jan-2026'!$A:$Q,9,FALSE)/12))/5,0)*5</f>
        <v>#N/A</v>
      </c>
      <c r="R947" s="71" t="e">
        <f>$Q947/IFERROR(VLOOKUP($F947&amp;RIGHT($K947,8),'Master Data'!$O$5:$P$10,2,FALSE),'Master Data'!$P$4)</f>
        <v>#N/A</v>
      </c>
      <c r="S947" s="57" t="e">
        <f>VLOOKUP($I947,'Pricing Table - eff 27-Jan-2026'!$A:$Q,16,FALSE)</f>
        <v>#N/A</v>
      </c>
      <c r="T947" s="57" t="e">
        <f>VLOOKUP(I947,'Pricing Table - eff 27-Jan-2026'!$A:$O,15,FALSE)</f>
        <v>#N/A</v>
      </c>
      <c r="U947" s="57" t="e">
        <f t="shared" si="39"/>
        <v>#N/A</v>
      </c>
      <c r="V947" s="111" t="e">
        <f t="shared" si="38"/>
        <v>#N/A</v>
      </c>
      <c r="W947" s="55" t="e">
        <f>VLOOKUP($I947,'Pricing Table - eff 27-Jan-2026'!$A:$R,18,FALSE)</f>
        <v>#N/A</v>
      </c>
    </row>
    <row r="948" spans="1:23" hidden="1" x14ac:dyDescent="0.3">
      <c r="A948" s="55"/>
      <c r="B948" s="55"/>
      <c r="C948" s="55">
        <f>VLOOKUP(A948&amp;"-"&amp;B948,'Order Summary'!$D:$E,2,FALSE)</f>
        <v>0</v>
      </c>
      <c r="D948" s="216" t="str">
        <f>IF($A948="","",VLOOKUP($A948&amp;"-"&amp;$B948,'Order Summary'!$D:$U,3,FALSE))</f>
        <v/>
      </c>
      <c r="E948" s="55" t="str">
        <f>VLOOKUP(A948&amp;"-"&amp;B948,'Order Summary'!$D:$G,4,FALSE)</f>
        <v>Yes</v>
      </c>
      <c r="F948" s="55" t="e">
        <f>VLOOKUP($A948,'Order Summary'!$B:$I,8,FALSE)</f>
        <v>#N/A</v>
      </c>
      <c r="G948" s="216" t="str">
        <f>IF($A948="","",VLOOKUP($A948&amp;"-"&amp;$B948,'Order Summary'!$D:$U,18,FALSE))</f>
        <v/>
      </c>
      <c r="H948" s="55"/>
      <c r="I948" s="55"/>
      <c r="J948" s="55" t="e">
        <f>VLOOKUP($I948,'Pricing Table - eff 27-Jan-2026'!$A:$R,2,FALSE)</f>
        <v>#N/A</v>
      </c>
      <c r="K948" s="55" t="e">
        <f>VLOOKUP($I948,'Pricing Table - eff 27-Jan-2026'!$A:$R,6,FALSE)&amp;" "&amp;VLOOKUP($I948,'Pricing Table - eff 27-Jan-2026'!$A:$R,7,FALSE)&amp;""" x "&amp;VLOOKUP($I948,'Pricing Table - eff 27-Jan-2026'!$A:$R,9,FALSE)&amp;""" "&amp;VLOOKUP($I948,'Pricing Table - eff 27-Jan-2026'!$A:$R,5,FALSE)</f>
        <v>#N/A</v>
      </c>
      <c r="L948" s="55" t="e">
        <f>VLOOKUP($I948,'Pricing Table - eff 27-Jan-2026'!$A:$K,8,FALSE)</f>
        <v>#N/A</v>
      </c>
      <c r="M948" s="55" t="e">
        <f>VLOOKUP($I948,'Pricing Table - eff 27-Jan-2026'!$A:$K,10,FALSE)</f>
        <v>#N/A</v>
      </c>
      <c r="N948" s="55" t="e">
        <f>VLOOKUP($I948,'Pricing Table - eff 27-Jan-2026'!$A:$R,13,FALSE)&amp;" "&amp;VLOOKUP($I948,'Pricing Table - eff 27-Jan-2026'!$A:$R,12,FALSE)</f>
        <v>#N/A</v>
      </c>
      <c r="O948" s="56"/>
      <c r="P948" s="55" t="e">
        <f>(VLOOKUP($I948,'Pricing Table - eff 27-Jan-2026'!$A:$R,8,FALSE)/1000)*(VLOOKUP($I948,'Pricing Table - eff 27-Jan-2026'!$A:$R,10,FALSE)/1000)*Q948</f>
        <v>#N/A</v>
      </c>
      <c r="Q948" s="55" t="e">
        <f>ROUND(('Order Details'!$O948*1000)/((VLOOKUP($I948,'Pricing Table - eff 27-Jan-2026'!$A:$Q,7,FALSE)/12)*(VLOOKUP($I948,'Pricing Table - eff 27-Jan-2026'!$A:$Q,9,FALSE)/12))/5,0)*5</f>
        <v>#N/A</v>
      </c>
      <c r="R948" s="71" t="e">
        <f>$Q948/IFERROR(VLOOKUP($F948&amp;RIGHT($K948,8),'Master Data'!$O$5:$P$10,2,FALSE),'Master Data'!$P$4)</f>
        <v>#N/A</v>
      </c>
      <c r="S948" s="57" t="e">
        <f>VLOOKUP($I948,'Pricing Table - eff 27-Jan-2026'!$A:$Q,16,FALSE)</f>
        <v>#N/A</v>
      </c>
      <c r="T948" s="57" t="e">
        <f>VLOOKUP(I948,'Pricing Table - eff 27-Jan-2026'!$A:$O,15,FALSE)</f>
        <v>#N/A</v>
      </c>
      <c r="U948" s="57" t="e">
        <f t="shared" si="39"/>
        <v>#N/A</v>
      </c>
      <c r="V948" s="111" t="e">
        <f t="shared" si="38"/>
        <v>#N/A</v>
      </c>
      <c r="W948" s="55" t="e">
        <f>VLOOKUP($I948,'Pricing Table - eff 27-Jan-2026'!$A:$R,18,FALSE)</f>
        <v>#N/A</v>
      </c>
    </row>
    <row r="949" spans="1:23" hidden="1" x14ac:dyDescent="0.3">
      <c r="A949" s="55"/>
      <c r="B949" s="55"/>
      <c r="C949" s="55">
        <f>VLOOKUP(A949&amp;"-"&amp;B949,'Order Summary'!$D:$E,2,FALSE)</f>
        <v>0</v>
      </c>
      <c r="D949" s="216" t="str">
        <f>IF($A949="","",VLOOKUP($A949&amp;"-"&amp;$B949,'Order Summary'!$D:$U,3,FALSE))</f>
        <v/>
      </c>
      <c r="E949" s="55" t="str">
        <f>VLOOKUP(A949&amp;"-"&amp;B949,'Order Summary'!$D:$G,4,FALSE)</f>
        <v>Yes</v>
      </c>
      <c r="F949" s="55" t="e">
        <f>VLOOKUP($A949,'Order Summary'!$B:$I,8,FALSE)</f>
        <v>#N/A</v>
      </c>
      <c r="G949" s="216" t="str">
        <f>IF($A949="","",VLOOKUP($A949&amp;"-"&amp;$B949,'Order Summary'!$D:$U,18,FALSE))</f>
        <v/>
      </c>
      <c r="H949" s="55"/>
      <c r="I949" s="55"/>
      <c r="J949" s="55" t="e">
        <f>VLOOKUP($I949,'Pricing Table - eff 27-Jan-2026'!$A:$R,2,FALSE)</f>
        <v>#N/A</v>
      </c>
      <c r="K949" s="55" t="e">
        <f>VLOOKUP($I949,'Pricing Table - eff 27-Jan-2026'!$A:$R,6,FALSE)&amp;" "&amp;VLOOKUP($I949,'Pricing Table - eff 27-Jan-2026'!$A:$R,7,FALSE)&amp;""" x "&amp;VLOOKUP($I949,'Pricing Table - eff 27-Jan-2026'!$A:$R,9,FALSE)&amp;""" "&amp;VLOOKUP($I949,'Pricing Table - eff 27-Jan-2026'!$A:$R,5,FALSE)</f>
        <v>#N/A</v>
      </c>
      <c r="L949" s="55" t="e">
        <f>VLOOKUP($I949,'Pricing Table - eff 27-Jan-2026'!$A:$K,8,FALSE)</f>
        <v>#N/A</v>
      </c>
      <c r="M949" s="55" t="e">
        <f>VLOOKUP($I949,'Pricing Table - eff 27-Jan-2026'!$A:$K,10,FALSE)</f>
        <v>#N/A</v>
      </c>
      <c r="N949" s="55" t="e">
        <f>VLOOKUP($I949,'Pricing Table - eff 27-Jan-2026'!$A:$R,13,FALSE)&amp;" "&amp;VLOOKUP($I949,'Pricing Table - eff 27-Jan-2026'!$A:$R,12,FALSE)</f>
        <v>#N/A</v>
      </c>
      <c r="O949" s="56"/>
      <c r="P949" s="55" t="e">
        <f>(VLOOKUP($I949,'Pricing Table - eff 27-Jan-2026'!$A:$R,8,FALSE)/1000)*(VLOOKUP($I949,'Pricing Table - eff 27-Jan-2026'!$A:$R,10,FALSE)/1000)*Q949</f>
        <v>#N/A</v>
      </c>
      <c r="Q949" s="55" t="e">
        <f>ROUND(('Order Details'!$O949*1000)/((VLOOKUP($I949,'Pricing Table - eff 27-Jan-2026'!$A:$Q,7,FALSE)/12)*(VLOOKUP($I949,'Pricing Table - eff 27-Jan-2026'!$A:$Q,9,FALSE)/12))/5,0)*5</f>
        <v>#N/A</v>
      </c>
      <c r="R949" s="71" t="e">
        <f>$Q949/IFERROR(VLOOKUP($F949&amp;RIGHT($K949,8),'Master Data'!$O$5:$P$10,2,FALSE),'Master Data'!$P$4)</f>
        <v>#N/A</v>
      </c>
      <c r="S949" s="57" t="e">
        <f>VLOOKUP($I949,'Pricing Table - eff 27-Jan-2026'!$A:$Q,16,FALSE)</f>
        <v>#N/A</v>
      </c>
      <c r="T949" s="57" t="e">
        <f>VLOOKUP(I949,'Pricing Table - eff 27-Jan-2026'!$A:$O,15,FALSE)</f>
        <v>#N/A</v>
      </c>
      <c r="U949" s="57" t="e">
        <f t="shared" si="39"/>
        <v>#N/A</v>
      </c>
      <c r="V949" s="111" t="e">
        <f t="shared" si="38"/>
        <v>#N/A</v>
      </c>
      <c r="W949" s="55" t="e">
        <f>VLOOKUP($I949,'Pricing Table - eff 27-Jan-2026'!$A:$R,18,FALSE)</f>
        <v>#N/A</v>
      </c>
    </row>
    <row r="950" spans="1:23" hidden="1" x14ac:dyDescent="0.3">
      <c r="A950" s="55"/>
      <c r="B950" s="55"/>
      <c r="C950" s="55">
        <f>VLOOKUP(A950&amp;"-"&amp;B950,'Order Summary'!$D:$E,2,FALSE)</f>
        <v>0</v>
      </c>
      <c r="D950" s="216" t="str">
        <f>IF($A950="","",VLOOKUP($A950&amp;"-"&amp;$B950,'Order Summary'!$D:$U,3,FALSE))</f>
        <v/>
      </c>
      <c r="E950" s="55" t="str">
        <f>VLOOKUP(A950&amp;"-"&amp;B950,'Order Summary'!$D:$G,4,FALSE)</f>
        <v>Yes</v>
      </c>
      <c r="F950" s="55" t="e">
        <f>VLOOKUP($A950,'Order Summary'!$B:$I,8,FALSE)</f>
        <v>#N/A</v>
      </c>
      <c r="G950" s="216" t="str">
        <f>IF($A950="","",VLOOKUP($A950&amp;"-"&amp;$B950,'Order Summary'!$D:$U,18,FALSE))</f>
        <v/>
      </c>
      <c r="H950" s="55"/>
      <c r="I950" s="55"/>
      <c r="J950" s="55" t="e">
        <f>VLOOKUP($I950,'Pricing Table - eff 27-Jan-2026'!$A:$R,2,FALSE)</f>
        <v>#N/A</v>
      </c>
      <c r="K950" s="55" t="e">
        <f>VLOOKUP($I950,'Pricing Table - eff 27-Jan-2026'!$A:$R,6,FALSE)&amp;" "&amp;VLOOKUP($I950,'Pricing Table - eff 27-Jan-2026'!$A:$R,7,FALSE)&amp;""" x "&amp;VLOOKUP($I950,'Pricing Table - eff 27-Jan-2026'!$A:$R,9,FALSE)&amp;""" "&amp;VLOOKUP($I950,'Pricing Table - eff 27-Jan-2026'!$A:$R,5,FALSE)</f>
        <v>#N/A</v>
      </c>
      <c r="L950" s="55" t="e">
        <f>VLOOKUP($I950,'Pricing Table - eff 27-Jan-2026'!$A:$K,8,FALSE)</f>
        <v>#N/A</v>
      </c>
      <c r="M950" s="55" t="e">
        <f>VLOOKUP($I950,'Pricing Table - eff 27-Jan-2026'!$A:$K,10,FALSE)</f>
        <v>#N/A</v>
      </c>
      <c r="N950" s="55" t="e">
        <f>VLOOKUP($I950,'Pricing Table - eff 27-Jan-2026'!$A:$R,13,FALSE)&amp;" "&amp;VLOOKUP($I950,'Pricing Table - eff 27-Jan-2026'!$A:$R,12,FALSE)</f>
        <v>#N/A</v>
      </c>
      <c r="O950" s="56"/>
      <c r="P950" s="55" t="e">
        <f>(VLOOKUP($I950,'Pricing Table - eff 27-Jan-2026'!$A:$R,8,FALSE)/1000)*(VLOOKUP($I950,'Pricing Table - eff 27-Jan-2026'!$A:$R,10,FALSE)/1000)*Q950</f>
        <v>#N/A</v>
      </c>
      <c r="Q950" s="55" t="e">
        <f>ROUND(('Order Details'!$O950*1000)/((VLOOKUP($I950,'Pricing Table - eff 27-Jan-2026'!$A:$Q,7,FALSE)/12)*(VLOOKUP($I950,'Pricing Table - eff 27-Jan-2026'!$A:$Q,9,FALSE)/12))/5,0)*5</f>
        <v>#N/A</v>
      </c>
      <c r="R950" s="71" t="e">
        <f>$Q950/IFERROR(VLOOKUP($F950&amp;RIGHT($K950,8),'Master Data'!$O$5:$P$10,2,FALSE),'Master Data'!$P$4)</f>
        <v>#N/A</v>
      </c>
      <c r="S950" s="57" t="e">
        <f>VLOOKUP($I950,'Pricing Table - eff 27-Jan-2026'!$A:$Q,16,FALSE)</f>
        <v>#N/A</v>
      </c>
      <c r="T950" s="57" t="e">
        <f>VLOOKUP(I950,'Pricing Table - eff 27-Jan-2026'!$A:$O,15,FALSE)</f>
        <v>#N/A</v>
      </c>
      <c r="U950" s="57" t="e">
        <f t="shared" si="39"/>
        <v>#N/A</v>
      </c>
      <c r="V950" s="111" t="e">
        <f t="shared" si="38"/>
        <v>#N/A</v>
      </c>
      <c r="W950" s="55" t="e">
        <f>VLOOKUP($I950,'Pricing Table - eff 27-Jan-2026'!$A:$R,18,FALSE)</f>
        <v>#N/A</v>
      </c>
    </row>
    <row r="951" spans="1:23" hidden="1" x14ac:dyDescent="0.3">
      <c r="A951" s="55"/>
      <c r="B951" s="55"/>
      <c r="C951" s="55">
        <f>VLOOKUP(A951&amp;"-"&amp;B951,'Order Summary'!$D:$E,2,FALSE)</f>
        <v>0</v>
      </c>
      <c r="D951" s="216" t="str">
        <f>IF($A951="","",VLOOKUP($A951&amp;"-"&amp;$B951,'Order Summary'!$D:$U,3,FALSE))</f>
        <v/>
      </c>
      <c r="E951" s="55" t="str">
        <f>VLOOKUP(A951&amp;"-"&amp;B951,'Order Summary'!$D:$G,4,FALSE)</f>
        <v>Yes</v>
      </c>
      <c r="F951" s="55" t="e">
        <f>VLOOKUP($A951,'Order Summary'!$B:$I,8,FALSE)</f>
        <v>#N/A</v>
      </c>
      <c r="G951" s="216" t="str">
        <f>IF($A951="","",VLOOKUP($A951&amp;"-"&amp;$B951,'Order Summary'!$D:$U,18,FALSE))</f>
        <v/>
      </c>
      <c r="H951" s="55"/>
      <c r="I951" s="55"/>
      <c r="J951" s="55" t="e">
        <f>VLOOKUP($I951,'Pricing Table - eff 27-Jan-2026'!$A:$R,2,FALSE)</f>
        <v>#N/A</v>
      </c>
      <c r="K951" s="55" t="e">
        <f>VLOOKUP($I951,'Pricing Table - eff 27-Jan-2026'!$A:$R,6,FALSE)&amp;" "&amp;VLOOKUP($I951,'Pricing Table - eff 27-Jan-2026'!$A:$R,7,FALSE)&amp;""" x "&amp;VLOOKUP($I951,'Pricing Table - eff 27-Jan-2026'!$A:$R,9,FALSE)&amp;""" "&amp;VLOOKUP($I951,'Pricing Table - eff 27-Jan-2026'!$A:$R,5,FALSE)</f>
        <v>#N/A</v>
      </c>
      <c r="L951" s="55" t="e">
        <f>VLOOKUP($I951,'Pricing Table - eff 27-Jan-2026'!$A:$K,8,FALSE)</f>
        <v>#N/A</v>
      </c>
      <c r="M951" s="55" t="e">
        <f>VLOOKUP($I951,'Pricing Table - eff 27-Jan-2026'!$A:$K,10,FALSE)</f>
        <v>#N/A</v>
      </c>
      <c r="N951" s="55" t="e">
        <f>VLOOKUP($I951,'Pricing Table - eff 27-Jan-2026'!$A:$R,13,FALSE)&amp;" "&amp;VLOOKUP($I951,'Pricing Table - eff 27-Jan-2026'!$A:$R,12,FALSE)</f>
        <v>#N/A</v>
      </c>
      <c r="O951" s="56"/>
      <c r="P951" s="55" t="e">
        <f>(VLOOKUP($I951,'Pricing Table - eff 27-Jan-2026'!$A:$R,8,FALSE)/1000)*(VLOOKUP($I951,'Pricing Table - eff 27-Jan-2026'!$A:$R,10,FALSE)/1000)*Q951</f>
        <v>#N/A</v>
      </c>
      <c r="Q951" s="55" t="e">
        <f>ROUND(('Order Details'!$O951*1000)/((VLOOKUP($I951,'Pricing Table - eff 27-Jan-2026'!$A:$Q,7,FALSE)/12)*(VLOOKUP($I951,'Pricing Table - eff 27-Jan-2026'!$A:$Q,9,FALSE)/12))/5,0)*5</f>
        <v>#N/A</v>
      </c>
      <c r="R951" s="71" t="e">
        <f>$Q951/IFERROR(VLOOKUP($F951&amp;RIGHT($K951,8),'Master Data'!$O$5:$P$10,2,FALSE),'Master Data'!$P$4)</f>
        <v>#N/A</v>
      </c>
      <c r="S951" s="57" t="e">
        <f>VLOOKUP($I951,'Pricing Table - eff 27-Jan-2026'!$A:$Q,16,FALSE)</f>
        <v>#N/A</v>
      </c>
      <c r="T951" s="57" t="e">
        <f>VLOOKUP(I951,'Pricing Table - eff 27-Jan-2026'!$A:$O,15,FALSE)</f>
        <v>#N/A</v>
      </c>
      <c r="U951" s="57" t="e">
        <f t="shared" si="39"/>
        <v>#N/A</v>
      </c>
      <c r="V951" s="111" t="e">
        <f t="shared" si="38"/>
        <v>#N/A</v>
      </c>
      <c r="W951" s="55" t="e">
        <f>VLOOKUP($I951,'Pricing Table - eff 27-Jan-2026'!$A:$R,18,FALSE)</f>
        <v>#N/A</v>
      </c>
    </row>
    <row r="952" spans="1:23" hidden="1" x14ac:dyDescent="0.3">
      <c r="A952" s="55"/>
      <c r="B952" s="55"/>
      <c r="C952" s="55">
        <f>VLOOKUP(A952&amp;"-"&amp;B952,'Order Summary'!$D:$E,2,FALSE)</f>
        <v>0</v>
      </c>
      <c r="D952" s="216" t="str">
        <f>IF($A952="","",VLOOKUP($A952&amp;"-"&amp;$B952,'Order Summary'!$D:$U,3,FALSE))</f>
        <v/>
      </c>
      <c r="E952" s="55" t="str">
        <f>VLOOKUP(A952&amp;"-"&amp;B952,'Order Summary'!$D:$G,4,FALSE)</f>
        <v>Yes</v>
      </c>
      <c r="F952" s="55" t="e">
        <f>VLOOKUP($A952,'Order Summary'!$B:$I,8,FALSE)</f>
        <v>#N/A</v>
      </c>
      <c r="G952" s="216" t="str">
        <f>IF($A952="","",VLOOKUP($A952&amp;"-"&amp;$B952,'Order Summary'!$D:$U,18,FALSE))</f>
        <v/>
      </c>
      <c r="H952" s="55"/>
      <c r="I952" s="55"/>
      <c r="J952" s="55" t="e">
        <f>VLOOKUP($I952,'Pricing Table - eff 27-Jan-2026'!$A:$R,2,FALSE)</f>
        <v>#N/A</v>
      </c>
      <c r="K952" s="55" t="e">
        <f>VLOOKUP($I952,'Pricing Table - eff 27-Jan-2026'!$A:$R,6,FALSE)&amp;" "&amp;VLOOKUP($I952,'Pricing Table - eff 27-Jan-2026'!$A:$R,7,FALSE)&amp;""" x "&amp;VLOOKUP($I952,'Pricing Table - eff 27-Jan-2026'!$A:$R,9,FALSE)&amp;""" "&amp;VLOOKUP($I952,'Pricing Table - eff 27-Jan-2026'!$A:$R,5,FALSE)</f>
        <v>#N/A</v>
      </c>
      <c r="L952" s="55" t="e">
        <f>VLOOKUP($I952,'Pricing Table - eff 27-Jan-2026'!$A:$K,8,FALSE)</f>
        <v>#N/A</v>
      </c>
      <c r="M952" s="55" t="e">
        <f>VLOOKUP($I952,'Pricing Table - eff 27-Jan-2026'!$A:$K,10,FALSE)</f>
        <v>#N/A</v>
      </c>
      <c r="N952" s="55" t="e">
        <f>VLOOKUP($I952,'Pricing Table - eff 27-Jan-2026'!$A:$R,13,FALSE)&amp;" "&amp;VLOOKUP($I952,'Pricing Table - eff 27-Jan-2026'!$A:$R,12,FALSE)</f>
        <v>#N/A</v>
      </c>
      <c r="O952" s="56"/>
      <c r="P952" s="55" t="e">
        <f>(VLOOKUP($I952,'Pricing Table - eff 27-Jan-2026'!$A:$R,8,FALSE)/1000)*(VLOOKUP($I952,'Pricing Table - eff 27-Jan-2026'!$A:$R,10,FALSE)/1000)*Q952</f>
        <v>#N/A</v>
      </c>
      <c r="Q952" s="55" t="e">
        <f>ROUND(('Order Details'!$O952*1000)/((VLOOKUP($I952,'Pricing Table - eff 27-Jan-2026'!$A:$Q,7,FALSE)/12)*(VLOOKUP($I952,'Pricing Table - eff 27-Jan-2026'!$A:$Q,9,FALSE)/12))/5,0)*5</f>
        <v>#N/A</v>
      </c>
      <c r="R952" s="71" t="e">
        <f>$Q952/IFERROR(VLOOKUP($F952&amp;RIGHT($K952,8),'Master Data'!$O$5:$P$10,2,FALSE),'Master Data'!$P$4)</f>
        <v>#N/A</v>
      </c>
      <c r="S952" s="57" t="e">
        <f>VLOOKUP($I952,'Pricing Table - eff 27-Jan-2026'!$A:$Q,16,FALSE)</f>
        <v>#N/A</v>
      </c>
      <c r="T952" s="57" t="e">
        <f>VLOOKUP(I952,'Pricing Table - eff 27-Jan-2026'!$A:$O,15,FALSE)</f>
        <v>#N/A</v>
      </c>
      <c r="U952" s="57" t="e">
        <f t="shared" si="39"/>
        <v>#N/A</v>
      </c>
      <c r="V952" s="111" t="e">
        <f t="shared" si="38"/>
        <v>#N/A</v>
      </c>
      <c r="W952" s="55" t="e">
        <f>VLOOKUP($I952,'Pricing Table - eff 27-Jan-2026'!$A:$R,18,FALSE)</f>
        <v>#N/A</v>
      </c>
    </row>
    <row r="953" spans="1:23" hidden="1" x14ac:dyDescent="0.3">
      <c r="A953" s="55"/>
      <c r="B953" s="55"/>
      <c r="C953" s="55">
        <f>VLOOKUP(A953&amp;"-"&amp;B953,'Order Summary'!$D:$E,2,FALSE)</f>
        <v>0</v>
      </c>
      <c r="D953" s="216" t="str">
        <f>IF($A953="","",VLOOKUP($A953&amp;"-"&amp;$B953,'Order Summary'!$D:$U,3,FALSE))</f>
        <v/>
      </c>
      <c r="E953" s="55" t="str">
        <f>VLOOKUP(A953&amp;"-"&amp;B953,'Order Summary'!$D:$G,4,FALSE)</f>
        <v>Yes</v>
      </c>
      <c r="F953" s="55" t="e">
        <f>VLOOKUP($A953,'Order Summary'!$B:$I,8,FALSE)</f>
        <v>#N/A</v>
      </c>
      <c r="G953" s="216" t="str">
        <f>IF($A953="","",VLOOKUP($A953&amp;"-"&amp;$B953,'Order Summary'!$D:$U,18,FALSE))</f>
        <v/>
      </c>
      <c r="H953" s="55"/>
      <c r="I953" s="55"/>
      <c r="J953" s="55" t="e">
        <f>VLOOKUP($I953,'Pricing Table - eff 27-Jan-2026'!$A:$R,2,FALSE)</f>
        <v>#N/A</v>
      </c>
      <c r="K953" s="55" t="e">
        <f>VLOOKUP($I953,'Pricing Table - eff 27-Jan-2026'!$A:$R,6,FALSE)&amp;" "&amp;VLOOKUP($I953,'Pricing Table - eff 27-Jan-2026'!$A:$R,7,FALSE)&amp;""" x "&amp;VLOOKUP($I953,'Pricing Table - eff 27-Jan-2026'!$A:$R,9,FALSE)&amp;""" "&amp;VLOOKUP($I953,'Pricing Table - eff 27-Jan-2026'!$A:$R,5,FALSE)</f>
        <v>#N/A</v>
      </c>
      <c r="L953" s="55" t="e">
        <f>VLOOKUP($I953,'Pricing Table - eff 27-Jan-2026'!$A:$K,8,FALSE)</f>
        <v>#N/A</v>
      </c>
      <c r="M953" s="55" t="e">
        <f>VLOOKUP($I953,'Pricing Table - eff 27-Jan-2026'!$A:$K,10,FALSE)</f>
        <v>#N/A</v>
      </c>
      <c r="N953" s="55" t="e">
        <f>VLOOKUP($I953,'Pricing Table - eff 27-Jan-2026'!$A:$R,13,FALSE)&amp;" "&amp;VLOOKUP($I953,'Pricing Table - eff 27-Jan-2026'!$A:$R,12,FALSE)</f>
        <v>#N/A</v>
      </c>
      <c r="O953" s="56"/>
      <c r="P953" s="55" t="e">
        <f>(VLOOKUP($I953,'Pricing Table - eff 27-Jan-2026'!$A:$R,8,FALSE)/1000)*(VLOOKUP($I953,'Pricing Table - eff 27-Jan-2026'!$A:$R,10,FALSE)/1000)*Q953</f>
        <v>#N/A</v>
      </c>
      <c r="Q953" s="55" t="e">
        <f>ROUND(('Order Details'!$O953*1000)/((VLOOKUP($I953,'Pricing Table - eff 27-Jan-2026'!$A:$Q,7,FALSE)/12)*(VLOOKUP($I953,'Pricing Table - eff 27-Jan-2026'!$A:$Q,9,FALSE)/12))/5,0)*5</f>
        <v>#N/A</v>
      </c>
      <c r="R953" s="71" t="e">
        <f>$Q953/IFERROR(VLOOKUP($F953&amp;RIGHT($K953,8),'Master Data'!$O$5:$P$10,2,FALSE),'Master Data'!$P$4)</f>
        <v>#N/A</v>
      </c>
      <c r="S953" s="57" t="e">
        <f>VLOOKUP($I953,'Pricing Table - eff 27-Jan-2026'!$A:$Q,16,FALSE)</f>
        <v>#N/A</v>
      </c>
      <c r="T953" s="57" t="e">
        <f>VLOOKUP(I953,'Pricing Table - eff 27-Jan-2026'!$A:$O,15,FALSE)</f>
        <v>#N/A</v>
      </c>
      <c r="U953" s="57" t="e">
        <f t="shared" si="39"/>
        <v>#N/A</v>
      </c>
      <c r="V953" s="111" t="e">
        <f t="shared" si="38"/>
        <v>#N/A</v>
      </c>
      <c r="W953" s="55" t="e">
        <f>VLOOKUP($I953,'Pricing Table - eff 27-Jan-2026'!$A:$R,18,FALSE)</f>
        <v>#N/A</v>
      </c>
    </row>
    <row r="954" spans="1:23" hidden="1" x14ac:dyDescent="0.3">
      <c r="A954" s="55"/>
      <c r="B954" s="55"/>
      <c r="C954" s="55">
        <f>VLOOKUP(A954&amp;"-"&amp;B954,'Order Summary'!$D:$E,2,FALSE)</f>
        <v>0</v>
      </c>
      <c r="D954" s="216" t="str">
        <f>IF($A954="","",VLOOKUP($A954&amp;"-"&amp;$B954,'Order Summary'!$D:$U,3,FALSE))</f>
        <v/>
      </c>
      <c r="E954" s="55" t="str">
        <f>VLOOKUP(A954&amp;"-"&amp;B954,'Order Summary'!$D:$G,4,FALSE)</f>
        <v>Yes</v>
      </c>
      <c r="F954" s="55" t="e">
        <f>VLOOKUP($A954,'Order Summary'!$B:$I,8,FALSE)</f>
        <v>#N/A</v>
      </c>
      <c r="G954" s="216" t="str">
        <f>IF($A954="","",VLOOKUP($A954&amp;"-"&amp;$B954,'Order Summary'!$D:$U,18,FALSE))</f>
        <v/>
      </c>
      <c r="H954" s="55"/>
      <c r="I954" s="55"/>
      <c r="J954" s="55" t="e">
        <f>VLOOKUP($I954,'Pricing Table - eff 27-Jan-2026'!$A:$R,2,FALSE)</f>
        <v>#N/A</v>
      </c>
      <c r="K954" s="55" t="e">
        <f>VLOOKUP($I954,'Pricing Table - eff 27-Jan-2026'!$A:$R,6,FALSE)&amp;" "&amp;VLOOKUP($I954,'Pricing Table - eff 27-Jan-2026'!$A:$R,7,FALSE)&amp;""" x "&amp;VLOOKUP($I954,'Pricing Table - eff 27-Jan-2026'!$A:$R,9,FALSE)&amp;""" "&amp;VLOOKUP($I954,'Pricing Table - eff 27-Jan-2026'!$A:$R,5,FALSE)</f>
        <v>#N/A</v>
      </c>
      <c r="L954" s="55" t="e">
        <f>VLOOKUP($I954,'Pricing Table - eff 27-Jan-2026'!$A:$K,8,FALSE)</f>
        <v>#N/A</v>
      </c>
      <c r="M954" s="55" t="e">
        <f>VLOOKUP($I954,'Pricing Table - eff 27-Jan-2026'!$A:$K,10,FALSE)</f>
        <v>#N/A</v>
      </c>
      <c r="N954" s="55" t="e">
        <f>VLOOKUP($I954,'Pricing Table - eff 27-Jan-2026'!$A:$R,13,FALSE)&amp;" "&amp;VLOOKUP($I954,'Pricing Table - eff 27-Jan-2026'!$A:$R,12,FALSE)</f>
        <v>#N/A</v>
      </c>
      <c r="O954" s="56"/>
      <c r="P954" s="55" t="e">
        <f>(VLOOKUP($I954,'Pricing Table - eff 27-Jan-2026'!$A:$R,8,FALSE)/1000)*(VLOOKUP($I954,'Pricing Table - eff 27-Jan-2026'!$A:$R,10,FALSE)/1000)*Q954</f>
        <v>#N/A</v>
      </c>
      <c r="Q954" s="55" t="e">
        <f>ROUND(('Order Details'!$O954*1000)/((VLOOKUP($I954,'Pricing Table - eff 27-Jan-2026'!$A:$Q,7,FALSE)/12)*(VLOOKUP($I954,'Pricing Table - eff 27-Jan-2026'!$A:$Q,9,FALSE)/12))/5,0)*5</f>
        <v>#N/A</v>
      </c>
      <c r="R954" s="71" t="e">
        <f>$Q954/IFERROR(VLOOKUP($F954&amp;RIGHT($K954,8),'Master Data'!$O$5:$P$10,2,FALSE),'Master Data'!$P$4)</f>
        <v>#N/A</v>
      </c>
      <c r="S954" s="57" t="e">
        <f>VLOOKUP($I954,'Pricing Table - eff 27-Jan-2026'!$A:$Q,16,FALSE)</f>
        <v>#N/A</v>
      </c>
      <c r="T954" s="57" t="e">
        <f>VLOOKUP(I954,'Pricing Table - eff 27-Jan-2026'!$A:$O,15,FALSE)</f>
        <v>#N/A</v>
      </c>
      <c r="U954" s="57" t="e">
        <f t="shared" si="39"/>
        <v>#N/A</v>
      </c>
      <c r="V954" s="111" t="e">
        <f t="shared" si="38"/>
        <v>#N/A</v>
      </c>
      <c r="W954" s="55" t="e">
        <f>VLOOKUP($I954,'Pricing Table - eff 27-Jan-2026'!$A:$R,18,FALSE)</f>
        <v>#N/A</v>
      </c>
    </row>
    <row r="955" spans="1:23" hidden="1" x14ac:dyDescent="0.3">
      <c r="A955" s="55"/>
      <c r="B955" s="55"/>
      <c r="C955" s="55">
        <f>VLOOKUP(A955&amp;"-"&amp;B955,'Order Summary'!$D:$E,2,FALSE)</f>
        <v>0</v>
      </c>
      <c r="D955" s="216" t="str">
        <f>IF($A955="","",VLOOKUP($A955&amp;"-"&amp;$B955,'Order Summary'!$D:$U,3,FALSE))</f>
        <v/>
      </c>
      <c r="E955" s="55" t="str">
        <f>VLOOKUP(A955&amp;"-"&amp;B955,'Order Summary'!$D:$G,4,FALSE)</f>
        <v>Yes</v>
      </c>
      <c r="F955" s="55" t="e">
        <f>VLOOKUP($A955,'Order Summary'!$B:$I,8,FALSE)</f>
        <v>#N/A</v>
      </c>
      <c r="G955" s="216" t="str">
        <f>IF($A955="","",VLOOKUP($A955&amp;"-"&amp;$B955,'Order Summary'!$D:$U,18,FALSE))</f>
        <v/>
      </c>
      <c r="H955" s="55"/>
      <c r="I955" s="55"/>
      <c r="J955" s="55" t="e">
        <f>VLOOKUP($I955,'Pricing Table - eff 27-Jan-2026'!$A:$R,2,FALSE)</f>
        <v>#N/A</v>
      </c>
      <c r="K955" s="55" t="e">
        <f>VLOOKUP($I955,'Pricing Table - eff 27-Jan-2026'!$A:$R,6,FALSE)&amp;" "&amp;VLOOKUP($I955,'Pricing Table - eff 27-Jan-2026'!$A:$R,7,FALSE)&amp;""" x "&amp;VLOOKUP($I955,'Pricing Table - eff 27-Jan-2026'!$A:$R,9,FALSE)&amp;""" "&amp;VLOOKUP($I955,'Pricing Table - eff 27-Jan-2026'!$A:$R,5,FALSE)</f>
        <v>#N/A</v>
      </c>
      <c r="L955" s="55" t="e">
        <f>VLOOKUP($I955,'Pricing Table - eff 27-Jan-2026'!$A:$K,8,FALSE)</f>
        <v>#N/A</v>
      </c>
      <c r="M955" s="55" t="e">
        <f>VLOOKUP($I955,'Pricing Table - eff 27-Jan-2026'!$A:$K,10,FALSE)</f>
        <v>#N/A</v>
      </c>
      <c r="N955" s="55" t="e">
        <f>VLOOKUP($I955,'Pricing Table - eff 27-Jan-2026'!$A:$R,13,FALSE)&amp;" "&amp;VLOOKUP($I955,'Pricing Table - eff 27-Jan-2026'!$A:$R,12,FALSE)</f>
        <v>#N/A</v>
      </c>
      <c r="O955" s="56"/>
      <c r="P955" s="55" t="e">
        <f>(VLOOKUP($I955,'Pricing Table - eff 27-Jan-2026'!$A:$R,8,FALSE)/1000)*(VLOOKUP($I955,'Pricing Table - eff 27-Jan-2026'!$A:$R,10,FALSE)/1000)*Q955</f>
        <v>#N/A</v>
      </c>
      <c r="Q955" s="55" t="e">
        <f>ROUND(('Order Details'!$O955*1000)/((VLOOKUP($I955,'Pricing Table - eff 27-Jan-2026'!$A:$Q,7,FALSE)/12)*(VLOOKUP($I955,'Pricing Table - eff 27-Jan-2026'!$A:$Q,9,FALSE)/12))/5,0)*5</f>
        <v>#N/A</v>
      </c>
      <c r="R955" s="71" t="e">
        <f>$Q955/IFERROR(VLOOKUP($F955&amp;RIGHT($K955,8),'Master Data'!$O$5:$P$10,2,FALSE),'Master Data'!$P$4)</f>
        <v>#N/A</v>
      </c>
      <c r="S955" s="57" t="e">
        <f>VLOOKUP($I955,'Pricing Table - eff 27-Jan-2026'!$A:$Q,16,FALSE)</f>
        <v>#N/A</v>
      </c>
      <c r="T955" s="57" t="e">
        <f>VLOOKUP(I955,'Pricing Table - eff 27-Jan-2026'!$A:$O,15,FALSE)</f>
        <v>#N/A</v>
      </c>
      <c r="U955" s="57" t="e">
        <f t="shared" si="39"/>
        <v>#N/A</v>
      </c>
      <c r="V955" s="111" t="e">
        <f t="shared" si="38"/>
        <v>#N/A</v>
      </c>
      <c r="W955" s="55" t="e">
        <f>VLOOKUP($I955,'Pricing Table - eff 27-Jan-2026'!$A:$R,18,FALSE)</f>
        <v>#N/A</v>
      </c>
    </row>
    <row r="956" spans="1:23" hidden="1" x14ac:dyDescent="0.3">
      <c r="A956" s="55"/>
      <c r="B956" s="55"/>
      <c r="C956" s="55">
        <f>VLOOKUP(A956&amp;"-"&amp;B956,'Order Summary'!$D:$E,2,FALSE)</f>
        <v>0</v>
      </c>
      <c r="D956" s="216" t="str">
        <f>IF($A956="","",VLOOKUP($A956&amp;"-"&amp;$B956,'Order Summary'!$D:$U,3,FALSE))</f>
        <v/>
      </c>
      <c r="E956" s="55" t="str">
        <f>VLOOKUP(A956&amp;"-"&amp;B956,'Order Summary'!$D:$G,4,FALSE)</f>
        <v>Yes</v>
      </c>
      <c r="F956" s="55" t="e">
        <f>VLOOKUP($A956,'Order Summary'!$B:$I,8,FALSE)</f>
        <v>#N/A</v>
      </c>
      <c r="G956" s="216" t="str">
        <f>IF($A956="","",VLOOKUP($A956&amp;"-"&amp;$B956,'Order Summary'!$D:$U,18,FALSE))</f>
        <v/>
      </c>
      <c r="H956" s="55"/>
      <c r="I956" s="55"/>
      <c r="J956" s="55" t="e">
        <f>VLOOKUP($I956,'Pricing Table - eff 27-Jan-2026'!$A:$R,2,FALSE)</f>
        <v>#N/A</v>
      </c>
      <c r="K956" s="55" t="e">
        <f>VLOOKUP($I956,'Pricing Table - eff 27-Jan-2026'!$A:$R,6,FALSE)&amp;" "&amp;VLOOKUP($I956,'Pricing Table - eff 27-Jan-2026'!$A:$R,7,FALSE)&amp;""" x "&amp;VLOOKUP($I956,'Pricing Table - eff 27-Jan-2026'!$A:$R,9,FALSE)&amp;""" "&amp;VLOOKUP($I956,'Pricing Table - eff 27-Jan-2026'!$A:$R,5,FALSE)</f>
        <v>#N/A</v>
      </c>
      <c r="L956" s="55" t="e">
        <f>VLOOKUP($I956,'Pricing Table - eff 27-Jan-2026'!$A:$K,8,FALSE)</f>
        <v>#N/A</v>
      </c>
      <c r="M956" s="55" t="e">
        <f>VLOOKUP($I956,'Pricing Table - eff 27-Jan-2026'!$A:$K,10,FALSE)</f>
        <v>#N/A</v>
      </c>
      <c r="N956" s="55" t="e">
        <f>VLOOKUP($I956,'Pricing Table - eff 27-Jan-2026'!$A:$R,13,FALSE)&amp;" "&amp;VLOOKUP($I956,'Pricing Table - eff 27-Jan-2026'!$A:$R,12,FALSE)</f>
        <v>#N/A</v>
      </c>
      <c r="O956" s="56"/>
      <c r="P956" s="55" t="e">
        <f>(VLOOKUP($I956,'Pricing Table - eff 27-Jan-2026'!$A:$R,8,FALSE)/1000)*(VLOOKUP($I956,'Pricing Table - eff 27-Jan-2026'!$A:$R,10,FALSE)/1000)*Q956</f>
        <v>#N/A</v>
      </c>
      <c r="Q956" s="55" t="e">
        <f>ROUND(('Order Details'!$O956*1000)/((VLOOKUP($I956,'Pricing Table - eff 27-Jan-2026'!$A:$Q,7,FALSE)/12)*(VLOOKUP($I956,'Pricing Table - eff 27-Jan-2026'!$A:$Q,9,FALSE)/12))/5,0)*5</f>
        <v>#N/A</v>
      </c>
      <c r="R956" s="71" t="e">
        <f>$Q956/IFERROR(VLOOKUP($F956&amp;RIGHT($K956,8),'Master Data'!$O$5:$P$10,2,FALSE),'Master Data'!$P$4)</f>
        <v>#N/A</v>
      </c>
      <c r="S956" s="57" t="e">
        <f>VLOOKUP($I956,'Pricing Table - eff 27-Jan-2026'!$A:$Q,16,FALSE)</f>
        <v>#N/A</v>
      </c>
      <c r="T956" s="57" t="e">
        <f>VLOOKUP(I956,'Pricing Table - eff 27-Jan-2026'!$A:$O,15,FALSE)</f>
        <v>#N/A</v>
      </c>
      <c r="U956" s="57" t="e">
        <f t="shared" si="39"/>
        <v>#N/A</v>
      </c>
      <c r="V956" s="111" t="e">
        <f t="shared" si="38"/>
        <v>#N/A</v>
      </c>
      <c r="W956" s="55" t="e">
        <f>VLOOKUP($I956,'Pricing Table - eff 27-Jan-2026'!$A:$R,18,FALSE)</f>
        <v>#N/A</v>
      </c>
    </row>
    <row r="957" spans="1:23" hidden="1" x14ac:dyDescent="0.3">
      <c r="A957" s="55"/>
      <c r="B957" s="55"/>
      <c r="C957" s="55">
        <f>VLOOKUP(A957&amp;"-"&amp;B957,'Order Summary'!$D:$E,2,FALSE)</f>
        <v>0</v>
      </c>
      <c r="D957" s="216" t="str">
        <f>IF($A957="","",VLOOKUP($A957&amp;"-"&amp;$B957,'Order Summary'!$D:$U,3,FALSE))</f>
        <v/>
      </c>
      <c r="E957" s="55" t="str">
        <f>VLOOKUP(A957&amp;"-"&amp;B957,'Order Summary'!$D:$G,4,FALSE)</f>
        <v>Yes</v>
      </c>
      <c r="F957" s="55" t="e">
        <f>VLOOKUP($A957,'Order Summary'!$B:$I,8,FALSE)</f>
        <v>#N/A</v>
      </c>
      <c r="G957" s="216" t="str">
        <f>IF($A957="","",VLOOKUP($A957&amp;"-"&amp;$B957,'Order Summary'!$D:$U,18,FALSE))</f>
        <v/>
      </c>
      <c r="H957" s="55"/>
      <c r="I957" s="55"/>
      <c r="J957" s="55" t="e">
        <f>VLOOKUP($I957,'Pricing Table - eff 27-Jan-2026'!$A:$R,2,FALSE)</f>
        <v>#N/A</v>
      </c>
      <c r="K957" s="55" t="e">
        <f>VLOOKUP($I957,'Pricing Table - eff 27-Jan-2026'!$A:$R,6,FALSE)&amp;" "&amp;VLOOKUP($I957,'Pricing Table - eff 27-Jan-2026'!$A:$R,7,FALSE)&amp;""" x "&amp;VLOOKUP($I957,'Pricing Table - eff 27-Jan-2026'!$A:$R,9,FALSE)&amp;""" "&amp;VLOOKUP($I957,'Pricing Table - eff 27-Jan-2026'!$A:$R,5,FALSE)</f>
        <v>#N/A</v>
      </c>
      <c r="L957" s="55" t="e">
        <f>VLOOKUP($I957,'Pricing Table - eff 27-Jan-2026'!$A:$K,8,FALSE)</f>
        <v>#N/A</v>
      </c>
      <c r="M957" s="55" t="e">
        <f>VLOOKUP($I957,'Pricing Table - eff 27-Jan-2026'!$A:$K,10,FALSE)</f>
        <v>#N/A</v>
      </c>
      <c r="N957" s="55" t="e">
        <f>VLOOKUP($I957,'Pricing Table - eff 27-Jan-2026'!$A:$R,13,FALSE)&amp;" "&amp;VLOOKUP($I957,'Pricing Table - eff 27-Jan-2026'!$A:$R,12,FALSE)</f>
        <v>#N/A</v>
      </c>
      <c r="O957" s="56"/>
      <c r="P957" s="55" t="e">
        <f>(VLOOKUP($I957,'Pricing Table - eff 27-Jan-2026'!$A:$R,8,FALSE)/1000)*(VLOOKUP($I957,'Pricing Table - eff 27-Jan-2026'!$A:$R,10,FALSE)/1000)*Q957</f>
        <v>#N/A</v>
      </c>
      <c r="Q957" s="55" t="e">
        <f>ROUND(('Order Details'!$O957*1000)/((VLOOKUP($I957,'Pricing Table - eff 27-Jan-2026'!$A:$Q,7,FALSE)/12)*(VLOOKUP($I957,'Pricing Table - eff 27-Jan-2026'!$A:$Q,9,FALSE)/12))/5,0)*5</f>
        <v>#N/A</v>
      </c>
      <c r="R957" s="71" t="e">
        <f>$Q957/IFERROR(VLOOKUP($F957&amp;RIGHT($K957,8),'Master Data'!$O$5:$P$10,2,FALSE),'Master Data'!$P$4)</f>
        <v>#N/A</v>
      </c>
      <c r="S957" s="57" t="e">
        <f>VLOOKUP($I957,'Pricing Table - eff 27-Jan-2026'!$A:$Q,16,FALSE)</f>
        <v>#N/A</v>
      </c>
      <c r="T957" s="57" t="e">
        <f>VLOOKUP(I957,'Pricing Table - eff 27-Jan-2026'!$A:$O,15,FALSE)</f>
        <v>#N/A</v>
      </c>
      <c r="U957" s="57" t="e">
        <f t="shared" si="39"/>
        <v>#N/A</v>
      </c>
      <c r="V957" s="111" t="e">
        <f t="shared" si="38"/>
        <v>#N/A</v>
      </c>
      <c r="W957" s="55" t="e">
        <f>VLOOKUP($I957,'Pricing Table - eff 27-Jan-2026'!$A:$R,18,FALSE)</f>
        <v>#N/A</v>
      </c>
    </row>
    <row r="958" spans="1:23" hidden="1" x14ac:dyDescent="0.3">
      <c r="A958" s="55"/>
      <c r="B958" s="55"/>
      <c r="C958" s="55">
        <f>VLOOKUP(A958&amp;"-"&amp;B958,'Order Summary'!$D:$E,2,FALSE)</f>
        <v>0</v>
      </c>
      <c r="D958" s="216" t="str">
        <f>IF($A958="","",VLOOKUP($A958&amp;"-"&amp;$B958,'Order Summary'!$D:$U,3,FALSE))</f>
        <v/>
      </c>
      <c r="E958" s="55" t="str">
        <f>VLOOKUP(A958&amp;"-"&amp;B958,'Order Summary'!$D:$G,4,FALSE)</f>
        <v>Yes</v>
      </c>
      <c r="F958" s="55" t="e">
        <f>VLOOKUP($A958,'Order Summary'!$B:$I,8,FALSE)</f>
        <v>#N/A</v>
      </c>
      <c r="G958" s="216" t="str">
        <f>IF($A958="","",VLOOKUP($A958&amp;"-"&amp;$B958,'Order Summary'!$D:$U,18,FALSE))</f>
        <v/>
      </c>
      <c r="H958" s="55"/>
      <c r="I958" s="55"/>
      <c r="J958" s="55" t="e">
        <f>VLOOKUP($I958,'Pricing Table - eff 27-Jan-2026'!$A:$R,2,FALSE)</f>
        <v>#N/A</v>
      </c>
      <c r="K958" s="55" t="e">
        <f>VLOOKUP($I958,'Pricing Table - eff 27-Jan-2026'!$A:$R,6,FALSE)&amp;" "&amp;VLOOKUP($I958,'Pricing Table - eff 27-Jan-2026'!$A:$R,7,FALSE)&amp;""" x "&amp;VLOOKUP($I958,'Pricing Table - eff 27-Jan-2026'!$A:$R,9,FALSE)&amp;""" "&amp;VLOOKUP($I958,'Pricing Table - eff 27-Jan-2026'!$A:$R,5,FALSE)</f>
        <v>#N/A</v>
      </c>
      <c r="L958" s="55" t="e">
        <f>VLOOKUP($I958,'Pricing Table - eff 27-Jan-2026'!$A:$K,8,FALSE)</f>
        <v>#N/A</v>
      </c>
      <c r="M958" s="55" t="e">
        <f>VLOOKUP($I958,'Pricing Table - eff 27-Jan-2026'!$A:$K,10,FALSE)</f>
        <v>#N/A</v>
      </c>
      <c r="N958" s="55" t="e">
        <f>VLOOKUP($I958,'Pricing Table - eff 27-Jan-2026'!$A:$R,13,FALSE)&amp;" "&amp;VLOOKUP($I958,'Pricing Table - eff 27-Jan-2026'!$A:$R,12,FALSE)</f>
        <v>#N/A</v>
      </c>
      <c r="O958" s="56"/>
      <c r="P958" s="55" t="e">
        <f>(VLOOKUP($I958,'Pricing Table - eff 27-Jan-2026'!$A:$R,8,FALSE)/1000)*(VLOOKUP($I958,'Pricing Table - eff 27-Jan-2026'!$A:$R,10,FALSE)/1000)*Q958</f>
        <v>#N/A</v>
      </c>
      <c r="Q958" s="55" t="e">
        <f>ROUND(('Order Details'!$O958*1000)/((VLOOKUP($I958,'Pricing Table - eff 27-Jan-2026'!$A:$Q,7,FALSE)/12)*(VLOOKUP($I958,'Pricing Table - eff 27-Jan-2026'!$A:$Q,9,FALSE)/12))/5,0)*5</f>
        <v>#N/A</v>
      </c>
      <c r="R958" s="71" t="e">
        <f>$Q958/IFERROR(VLOOKUP($F958&amp;RIGHT($K958,8),'Master Data'!$O$5:$P$10,2,FALSE),'Master Data'!$P$4)</f>
        <v>#N/A</v>
      </c>
      <c r="S958" s="57" t="e">
        <f>VLOOKUP($I958,'Pricing Table - eff 27-Jan-2026'!$A:$Q,16,FALSE)</f>
        <v>#N/A</v>
      </c>
      <c r="T958" s="57" t="e">
        <f>VLOOKUP(I958,'Pricing Table - eff 27-Jan-2026'!$A:$O,15,FALSE)</f>
        <v>#N/A</v>
      </c>
      <c r="U958" s="57" t="e">
        <f t="shared" si="39"/>
        <v>#N/A</v>
      </c>
      <c r="V958" s="111" t="e">
        <f t="shared" ref="V958:V983" si="40">P958*T958</f>
        <v>#N/A</v>
      </c>
      <c r="W958" s="55" t="e">
        <f>VLOOKUP($I958,'Pricing Table - eff 27-Jan-2026'!$A:$R,18,FALSE)</f>
        <v>#N/A</v>
      </c>
    </row>
    <row r="959" spans="1:23" hidden="1" x14ac:dyDescent="0.3">
      <c r="A959" s="55"/>
      <c r="B959" s="55"/>
      <c r="C959" s="55">
        <f>VLOOKUP(A959&amp;"-"&amp;B959,'Order Summary'!$D:$E,2,FALSE)</f>
        <v>0</v>
      </c>
      <c r="D959" s="216" t="str">
        <f>IF($A959="","",VLOOKUP($A959&amp;"-"&amp;$B959,'Order Summary'!$D:$U,3,FALSE))</f>
        <v/>
      </c>
      <c r="E959" s="55" t="str">
        <f>VLOOKUP(A959&amp;"-"&amp;B959,'Order Summary'!$D:$G,4,FALSE)</f>
        <v>Yes</v>
      </c>
      <c r="F959" s="55" t="e">
        <f>VLOOKUP($A959,'Order Summary'!$B:$I,8,FALSE)</f>
        <v>#N/A</v>
      </c>
      <c r="G959" s="216" t="str">
        <f>IF($A959="","",VLOOKUP($A959&amp;"-"&amp;$B959,'Order Summary'!$D:$U,18,FALSE))</f>
        <v/>
      </c>
      <c r="H959" s="55"/>
      <c r="I959" s="55"/>
      <c r="J959" s="55" t="e">
        <f>VLOOKUP($I959,'Pricing Table - eff 27-Jan-2026'!$A:$R,2,FALSE)</f>
        <v>#N/A</v>
      </c>
      <c r="K959" s="55" t="e">
        <f>VLOOKUP($I959,'Pricing Table - eff 27-Jan-2026'!$A:$R,6,FALSE)&amp;" "&amp;VLOOKUP($I959,'Pricing Table - eff 27-Jan-2026'!$A:$R,7,FALSE)&amp;""" x "&amp;VLOOKUP($I959,'Pricing Table - eff 27-Jan-2026'!$A:$R,9,FALSE)&amp;""" "&amp;VLOOKUP($I959,'Pricing Table - eff 27-Jan-2026'!$A:$R,5,FALSE)</f>
        <v>#N/A</v>
      </c>
      <c r="L959" s="55" t="e">
        <f>VLOOKUP($I959,'Pricing Table - eff 27-Jan-2026'!$A:$K,8,FALSE)</f>
        <v>#N/A</v>
      </c>
      <c r="M959" s="55" t="e">
        <f>VLOOKUP($I959,'Pricing Table - eff 27-Jan-2026'!$A:$K,10,FALSE)</f>
        <v>#N/A</v>
      </c>
      <c r="N959" s="55" t="e">
        <f>VLOOKUP($I959,'Pricing Table - eff 27-Jan-2026'!$A:$R,13,FALSE)&amp;" "&amp;VLOOKUP($I959,'Pricing Table - eff 27-Jan-2026'!$A:$R,12,FALSE)</f>
        <v>#N/A</v>
      </c>
      <c r="O959" s="56"/>
      <c r="P959" s="55" t="e">
        <f>(VLOOKUP($I959,'Pricing Table - eff 27-Jan-2026'!$A:$R,8,FALSE)/1000)*(VLOOKUP($I959,'Pricing Table - eff 27-Jan-2026'!$A:$R,10,FALSE)/1000)*Q959</f>
        <v>#N/A</v>
      </c>
      <c r="Q959" s="55" t="e">
        <f>ROUND(('Order Details'!$O959*1000)/((VLOOKUP($I959,'Pricing Table - eff 27-Jan-2026'!$A:$Q,7,FALSE)/12)*(VLOOKUP($I959,'Pricing Table - eff 27-Jan-2026'!$A:$Q,9,FALSE)/12))/5,0)*5</f>
        <v>#N/A</v>
      </c>
      <c r="R959" s="71" t="e">
        <f>$Q959/IFERROR(VLOOKUP($F959&amp;RIGHT($K959,8),'Master Data'!$O$5:$P$10,2,FALSE),'Master Data'!$P$4)</f>
        <v>#N/A</v>
      </c>
      <c r="S959" s="57" t="e">
        <f>VLOOKUP($I959,'Pricing Table - eff 27-Jan-2026'!$A:$Q,16,FALSE)</f>
        <v>#N/A</v>
      </c>
      <c r="T959" s="57" t="e">
        <f>VLOOKUP(I959,'Pricing Table - eff 27-Jan-2026'!$A:$O,15,FALSE)</f>
        <v>#N/A</v>
      </c>
      <c r="U959" s="57" t="e">
        <f t="shared" si="39"/>
        <v>#N/A</v>
      </c>
      <c r="V959" s="111" t="e">
        <f t="shared" si="40"/>
        <v>#N/A</v>
      </c>
      <c r="W959" s="55" t="e">
        <f>VLOOKUP($I959,'Pricing Table - eff 27-Jan-2026'!$A:$R,18,FALSE)</f>
        <v>#N/A</v>
      </c>
    </row>
    <row r="960" spans="1:23" hidden="1" x14ac:dyDescent="0.3">
      <c r="A960" s="55"/>
      <c r="B960" s="55"/>
      <c r="C960" s="55">
        <f>VLOOKUP(A960&amp;"-"&amp;B960,'Order Summary'!$D:$E,2,FALSE)</f>
        <v>0</v>
      </c>
      <c r="D960" s="216" t="str">
        <f>IF($A960="","",VLOOKUP($A960&amp;"-"&amp;$B960,'Order Summary'!$D:$U,3,FALSE))</f>
        <v/>
      </c>
      <c r="E960" s="55" t="str">
        <f>VLOOKUP(A960&amp;"-"&amp;B960,'Order Summary'!$D:$G,4,FALSE)</f>
        <v>Yes</v>
      </c>
      <c r="F960" s="55" t="e">
        <f>VLOOKUP($A960,'Order Summary'!$B:$I,8,FALSE)</f>
        <v>#N/A</v>
      </c>
      <c r="G960" s="216" t="str">
        <f>IF($A960="","",VLOOKUP($A960&amp;"-"&amp;$B960,'Order Summary'!$D:$U,18,FALSE))</f>
        <v/>
      </c>
      <c r="H960" s="55"/>
      <c r="I960" s="55"/>
      <c r="J960" s="55" t="e">
        <f>VLOOKUP($I960,'Pricing Table - eff 27-Jan-2026'!$A:$R,2,FALSE)</f>
        <v>#N/A</v>
      </c>
      <c r="K960" s="55" t="e">
        <f>VLOOKUP($I960,'Pricing Table - eff 27-Jan-2026'!$A:$R,6,FALSE)&amp;" "&amp;VLOOKUP($I960,'Pricing Table - eff 27-Jan-2026'!$A:$R,7,FALSE)&amp;""" x "&amp;VLOOKUP($I960,'Pricing Table - eff 27-Jan-2026'!$A:$R,9,FALSE)&amp;""" "&amp;VLOOKUP($I960,'Pricing Table - eff 27-Jan-2026'!$A:$R,5,FALSE)</f>
        <v>#N/A</v>
      </c>
      <c r="L960" s="55" t="e">
        <f>VLOOKUP($I960,'Pricing Table - eff 27-Jan-2026'!$A:$K,8,FALSE)</f>
        <v>#N/A</v>
      </c>
      <c r="M960" s="55" t="e">
        <f>VLOOKUP($I960,'Pricing Table - eff 27-Jan-2026'!$A:$K,10,FALSE)</f>
        <v>#N/A</v>
      </c>
      <c r="N960" s="55" t="e">
        <f>VLOOKUP($I960,'Pricing Table - eff 27-Jan-2026'!$A:$R,13,FALSE)&amp;" "&amp;VLOOKUP($I960,'Pricing Table - eff 27-Jan-2026'!$A:$R,12,FALSE)</f>
        <v>#N/A</v>
      </c>
      <c r="O960" s="56"/>
      <c r="P960" s="55" t="e">
        <f>(VLOOKUP($I960,'Pricing Table - eff 27-Jan-2026'!$A:$R,8,FALSE)/1000)*(VLOOKUP($I960,'Pricing Table - eff 27-Jan-2026'!$A:$R,10,FALSE)/1000)*Q960</f>
        <v>#N/A</v>
      </c>
      <c r="Q960" s="55" t="e">
        <f>ROUND(('Order Details'!$O960*1000)/((VLOOKUP($I960,'Pricing Table - eff 27-Jan-2026'!$A:$Q,7,FALSE)/12)*(VLOOKUP($I960,'Pricing Table - eff 27-Jan-2026'!$A:$Q,9,FALSE)/12))/5,0)*5</f>
        <v>#N/A</v>
      </c>
      <c r="R960" s="71" t="e">
        <f>$Q960/IFERROR(VLOOKUP($F960&amp;RIGHT($K960,8),'Master Data'!$O$5:$P$10,2,FALSE),'Master Data'!$P$4)</f>
        <v>#N/A</v>
      </c>
      <c r="S960" s="57" t="e">
        <f>VLOOKUP($I960,'Pricing Table - eff 27-Jan-2026'!$A:$Q,16,FALSE)</f>
        <v>#N/A</v>
      </c>
      <c r="T960" s="57" t="e">
        <f>VLOOKUP(I960,'Pricing Table - eff 27-Jan-2026'!$A:$O,15,FALSE)</f>
        <v>#N/A</v>
      </c>
      <c r="U960" s="57" t="e">
        <f t="shared" si="39"/>
        <v>#N/A</v>
      </c>
      <c r="V960" s="111" t="e">
        <f t="shared" si="40"/>
        <v>#N/A</v>
      </c>
      <c r="W960" s="55" t="e">
        <f>VLOOKUP($I960,'Pricing Table - eff 27-Jan-2026'!$A:$R,18,FALSE)</f>
        <v>#N/A</v>
      </c>
    </row>
    <row r="961" spans="1:23" hidden="1" x14ac:dyDescent="0.3">
      <c r="A961" s="55"/>
      <c r="B961" s="55"/>
      <c r="C961" s="55">
        <f>VLOOKUP(A961&amp;"-"&amp;B961,'Order Summary'!$D:$E,2,FALSE)</f>
        <v>0</v>
      </c>
      <c r="D961" s="216" t="str">
        <f>IF($A961="","",VLOOKUP($A961&amp;"-"&amp;$B961,'Order Summary'!$D:$U,3,FALSE))</f>
        <v/>
      </c>
      <c r="E961" s="55" t="str">
        <f>VLOOKUP(A961&amp;"-"&amp;B961,'Order Summary'!$D:$G,4,FALSE)</f>
        <v>Yes</v>
      </c>
      <c r="F961" s="55" t="e">
        <f>VLOOKUP($A961,'Order Summary'!$B:$I,8,FALSE)</f>
        <v>#N/A</v>
      </c>
      <c r="G961" s="216" t="str">
        <f>IF($A961="","",VLOOKUP($A961&amp;"-"&amp;$B961,'Order Summary'!$D:$U,18,FALSE))</f>
        <v/>
      </c>
      <c r="H961" s="55"/>
      <c r="I961" s="55"/>
      <c r="J961" s="55" t="e">
        <f>VLOOKUP($I961,'Pricing Table - eff 27-Jan-2026'!$A:$R,2,FALSE)</f>
        <v>#N/A</v>
      </c>
      <c r="K961" s="55" t="e">
        <f>VLOOKUP($I961,'Pricing Table - eff 27-Jan-2026'!$A:$R,6,FALSE)&amp;" "&amp;VLOOKUP($I961,'Pricing Table - eff 27-Jan-2026'!$A:$R,7,FALSE)&amp;""" x "&amp;VLOOKUP($I961,'Pricing Table - eff 27-Jan-2026'!$A:$R,9,FALSE)&amp;""" "&amp;VLOOKUP($I961,'Pricing Table - eff 27-Jan-2026'!$A:$R,5,FALSE)</f>
        <v>#N/A</v>
      </c>
      <c r="L961" s="55" t="e">
        <f>VLOOKUP($I961,'Pricing Table - eff 27-Jan-2026'!$A:$K,8,FALSE)</f>
        <v>#N/A</v>
      </c>
      <c r="M961" s="55" t="e">
        <f>VLOOKUP($I961,'Pricing Table - eff 27-Jan-2026'!$A:$K,10,FALSE)</f>
        <v>#N/A</v>
      </c>
      <c r="N961" s="55" t="e">
        <f>VLOOKUP($I961,'Pricing Table - eff 27-Jan-2026'!$A:$R,13,FALSE)&amp;" "&amp;VLOOKUP($I961,'Pricing Table - eff 27-Jan-2026'!$A:$R,12,FALSE)</f>
        <v>#N/A</v>
      </c>
      <c r="O961" s="56"/>
      <c r="P961" s="55" t="e">
        <f>(VLOOKUP($I961,'Pricing Table - eff 27-Jan-2026'!$A:$R,8,FALSE)/1000)*(VLOOKUP($I961,'Pricing Table - eff 27-Jan-2026'!$A:$R,10,FALSE)/1000)*Q961</f>
        <v>#N/A</v>
      </c>
      <c r="Q961" s="55" t="e">
        <f>ROUND(('Order Details'!$O961*1000)/((VLOOKUP($I961,'Pricing Table - eff 27-Jan-2026'!$A:$Q,7,FALSE)/12)*(VLOOKUP($I961,'Pricing Table - eff 27-Jan-2026'!$A:$Q,9,FALSE)/12))/5,0)*5</f>
        <v>#N/A</v>
      </c>
      <c r="R961" s="71" t="e">
        <f>$Q961/IFERROR(VLOOKUP($F961&amp;RIGHT($K961,8),'Master Data'!$O$5:$P$10,2,FALSE),'Master Data'!$P$4)</f>
        <v>#N/A</v>
      </c>
      <c r="S961" s="57" t="e">
        <f>VLOOKUP($I961,'Pricing Table - eff 27-Jan-2026'!$A:$Q,16,FALSE)</f>
        <v>#N/A</v>
      </c>
      <c r="T961" s="57" t="e">
        <f>VLOOKUP(I961,'Pricing Table - eff 27-Jan-2026'!$A:$O,15,FALSE)</f>
        <v>#N/A</v>
      </c>
      <c r="U961" s="57" t="e">
        <f t="shared" si="39"/>
        <v>#N/A</v>
      </c>
      <c r="V961" s="111" t="e">
        <f t="shared" si="40"/>
        <v>#N/A</v>
      </c>
      <c r="W961" s="55" t="e">
        <f>VLOOKUP($I961,'Pricing Table - eff 27-Jan-2026'!$A:$R,18,FALSE)</f>
        <v>#N/A</v>
      </c>
    </row>
    <row r="962" spans="1:23" hidden="1" x14ac:dyDescent="0.3">
      <c r="A962" s="55"/>
      <c r="B962" s="55"/>
      <c r="C962" s="55">
        <f>VLOOKUP(A962&amp;"-"&amp;B962,'Order Summary'!$D:$E,2,FALSE)</f>
        <v>0</v>
      </c>
      <c r="D962" s="216" t="str">
        <f>IF($A962="","",VLOOKUP($A962&amp;"-"&amp;$B962,'Order Summary'!$D:$U,3,FALSE))</f>
        <v/>
      </c>
      <c r="E962" s="55" t="str">
        <f>VLOOKUP(A962&amp;"-"&amp;B962,'Order Summary'!$D:$G,4,FALSE)</f>
        <v>Yes</v>
      </c>
      <c r="F962" s="55" t="e">
        <f>VLOOKUP($A962,'Order Summary'!$B:$I,8,FALSE)</f>
        <v>#N/A</v>
      </c>
      <c r="G962" s="216" t="str">
        <f>IF($A962="","",VLOOKUP($A962&amp;"-"&amp;$B962,'Order Summary'!$D:$U,18,FALSE))</f>
        <v/>
      </c>
      <c r="H962" s="55"/>
      <c r="I962" s="55"/>
      <c r="J962" s="55" t="e">
        <f>VLOOKUP($I962,'Pricing Table - eff 27-Jan-2026'!$A:$R,2,FALSE)</f>
        <v>#N/A</v>
      </c>
      <c r="K962" s="55" t="e">
        <f>VLOOKUP($I962,'Pricing Table - eff 27-Jan-2026'!$A:$R,6,FALSE)&amp;" "&amp;VLOOKUP($I962,'Pricing Table - eff 27-Jan-2026'!$A:$R,7,FALSE)&amp;""" x "&amp;VLOOKUP($I962,'Pricing Table - eff 27-Jan-2026'!$A:$R,9,FALSE)&amp;""" "&amp;VLOOKUP($I962,'Pricing Table - eff 27-Jan-2026'!$A:$R,5,FALSE)</f>
        <v>#N/A</v>
      </c>
      <c r="L962" s="55" t="e">
        <f>VLOOKUP($I962,'Pricing Table - eff 27-Jan-2026'!$A:$K,8,FALSE)</f>
        <v>#N/A</v>
      </c>
      <c r="M962" s="55" t="e">
        <f>VLOOKUP($I962,'Pricing Table - eff 27-Jan-2026'!$A:$K,10,FALSE)</f>
        <v>#N/A</v>
      </c>
      <c r="N962" s="55" t="e">
        <f>VLOOKUP($I962,'Pricing Table - eff 27-Jan-2026'!$A:$R,13,FALSE)&amp;" "&amp;VLOOKUP($I962,'Pricing Table - eff 27-Jan-2026'!$A:$R,12,FALSE)</f>
        <v>#N/A</v>
      </c>
      <c r="O962" s="56"/>
      <c r="P962" s="55" t="e">
        <f>(VLOOKUP($I962,'Pricing Table - eff 27-Jan-2026'!$A:$R,8,FALSE)/1000)*(VLOOKUP($I962,'Pricing Table - eff 27-Jan-2026'!$A:$R,10,FALSE)/1000)*Q962</f>
        <v>#N/A</v>
      </c>
      <c r="Q962" s="55" t="e">
        <f>ROUND(('Order Details'!$O962*1000)/((VLOOKUP($I962,'Pricing Table - eff 27-Jan-2026'!$A:$Q,7,FALSE)/12)*(VLOOKUP($I962,'Pricing Table - eff 27-Jan-2026'!$A:$Q,9,FALSE)/12))/5,0)*5</f>
        <v>#N/A</v>
      </c>
      <c r="R962" s="71" t="e">
        <f>$Q962/IFERROR(VLOOKUP($F962&amp;RIGHT($K962,8),'Master Data'!$O$5:$P$10,2,FALSE),'Master Data'!$P$4)</f>
        <v>#N/A</v>
      </c>
      <c r="S962" s="57" t="e">
        <f>VLOOKUP($I962,'Pricing Table - eff 27-Jan-2026'!$A:$Q,16,FALSE)</f>
        <v>#N/A</v>
      </c>
      <c r="T962" s="57" t="e">
        <f>VLOOKUP(I962,'Pricing Table - eff 27-Jan-2026'!$A:$O,15,FALSE)</f>
        <v>#N/A</v>
      </c>
      <c r="U962" s="57" t="e">
        <f t="shared" si="39"/>
        <v>#N/A</v>
      </c>
      <c r="V962" s="111" t="e">
        <f t="shared" si="40"/>
        <v>#N/A</v>
      </c>
      <c r="W962" s="55" t="e">
        <f>VLOOKUP($I962,'Pricing Table - eff 27-Jan-2026'!$A:$R,18,FALSE)</f>
        <v>#N/A</v>
      </c>
    </row>
    <row r="963" spans="1:23" hidden="1" x14ac:dyDescent="0.3">
      <c r="A963" s="55"/>
      <c r="B963" s="55"/>
      <c r="C963" s="55">
        <f>VLOOKUP(A963&amp;"-"&amp;B963,'Order Summary'!$D:$E,2,FALSE)</f>
        <v>0</v>
      </c>
      <c r="D963" s="216" t="str">
        <f>IF($A963="","",VLOOKUP($A963&amp;"-"&amp;$B963,'Order Summary'!$D:$U,3,FALSE))</f>
        <v/>
      </c>
      <c r="E963" s="55" t="str">
        <f>VLOOKUP(A963&amp;"-"&amp;B963,'Order Summary'!$D:$G,4,FALSE)</f>
        <v>Yes</v>
      </c>
      <c r="F963" s="55" t="e">
        <f>VLOOKUP($A963,'Order Summary'!$B:$I,8,FALSE)</f>
        <v>#N/A</v>
      </c>
      <c r="G963" s="216" t="str">
        <f>IF($A963="","",VLOOKUP($A963&amp;"-"&amp;$B963,'Order Summary'!$D:$U,18,FALSE))</f>
        <v/>
      </c>
      <c r="H963" s="55"/>
      <c r="I963" s="55"/>
      <c r="J963" s="55" t="e">
        <f>VLOOKUP($I963,'Pricing Table - eff 27-Jan-2026'!$A:$R,2,FALSE)</f>
        <v>#N/A</v>
      </c>
      <c r="K963" s="55" t="e">
        <f>VLOOKUP($I963,'Pricing Table - eff 27-Jan-2026'!$A:$R,6,FALSE)&amp;" "&amp;VLOOKUP($I963,'Pricing Table - eff 27-Jan-2026'!$A:$R,7,FALSE)&amp;""" x "&amp;VLOOKUP($I963,'Pricing Table - eff 27-Jan-2026'!$A:$R,9,FALSE)&amp;""" "&amp;VLOOKUP($I963,'Pricing Table - eff 27-Jan-2026'!$A:$R,5,FALSE)</f>
        <v>#N/A</v>
      </c>
      <c r="L963" s="55" t="e">
        <f>VLOOKUP($I963,'Pricing Table - eff 27-Jan-2026'!$A:$K,8,FALSE)</f>
        <v>#N/A</v>
      </c>
      <c r="M963" s="55" t="e">
        <f>VLOOKUP($I963,'Pricing Table - eff 27-Jan-2026'!$A:$K,10,FALSE)</f>
        <v>#N/A</v>
      </c>
      <c r="N963" s="55" t="e">
        <f>VLOOKUP($I963,'Pricing Table - eff 27-Jan-2026'!$A:$R,13,FALSE)&amp;" "&amp;VLOOKUP($I963,'Pricing Table - eff 27-Jan-2026'!$A:$R,12,FALSE)</f>
        <v>#N/A</v>
      </c>
      <c r="O963" s="56"/>
      <c r="P963" s="55" t="e">
        <f>(VLOOKUP($I963,'Pricing Table - eff 27-Jan-2026'!$A:$R,8,FALSE)/1000)*(VLOOKUP($I963,'Pricing Table - eff 27-Jan-2026'!$A:$R,10,FALSE)/1000)*Q963</f>
        <v>#N/A</v>
      </c>
      <c r="Q963" s="55" t="e">
        <f>ROUND(('Order Details'!$O963*1000)/((VLOOKUP($I963,'Pricing Table - eff 27-Jan-2026'!$A:$Q,7,FALSE)/12)*(VLOOKUP($I963,'Pricing Table - eff 27-Jan-2026'!$A:$Q,9,FALSE)/12))/5,0)*5</f>
        <v>#N/A</v>
      </c>
      <c r="R963" s="71" t="e">
        <f>$Q963/IFERROR(VLOOKUP($F963&amp;RIGHT($K963,8),'Master Data'!$O$5:$P$10,2,FALSE),'Master Data'!$P$4)</f>
        <v>#N/A</v>
      </c>
      <c r="S963" s="57" t="e">
        <f>VLOOKUP($I963,'Pricing Table - eff 27-Jan-2026'!$A:$Q,16,FALSE)</f>
        <v>#N/A</v>
      </c>
      <c r="T963" s="57" t="e">
        <f>VLOOKUP(I963,'Pricing Table - eff 27-Jan-2026'!$A:$O,15,FALSE)</f>
        <v>#N/A</v>
      </c>
      <c r="U963" s="57" t="e">
        <f t="shared" si="39"/>
        <v>#N/A</v>
      </c>
      <c r="V963" s="111" t="e">
        <f t="shared" si="40"/>
        <v>#N/A</v>
      </c>
      <c r="W963" s="55" t="e">
        <f>VLOOKUP($I963,'Pricing Table - eff 27-Jan-2026'!$A:$R,18,FALSE)</f>
        <v>#N/A</v>
      </c>
    </row>
    <row r="964" spans="1:23" hidden="1" x14ac:dyDescent="0.3">
      <c r="A964" s="55"/>
      <c r="B964" s="55"/>
      <c r="C964" s="55">
        <f>VLOOKUP(A964&amp;"-"&amp;B964,'Order Summary'!$D:$E,2,FALSE)</f>
        <v>0</v>
      </c>
      <c r="D964" s="216" t="str">
        <f>IF($A964="","",VLOOKUP($A964&amp;"-"&amp;$B964,'Order Summary'!$D:$U,3,FALSE))</f>
        <v/>
      </c>
      <c r="E964" s="55" t="str">
        <f>VLOOKUP(A964&amp;"-"&amp;B964,'Order Summary'!$D:$G,4,FALSE)</f>
        <v>Yes</v>
      </c>
      <c r="F964" s="55" t="e">
        <f>VLOOKUP($A964,'Order Summary'!$B:$I,8,FALSE)</f>
        <v>#N/A</v>
      </c>
      <c r="G964" s="216" t="str">
        <f>IF($A964="","",VLOOKUP($A964&amp;"-"&amp;$B964,'Order Summary'!$D:$U,18,FALSE))</f>
        <v/>
      </c>
      <c r="H964" s="55"/>
      <c r="I964" s="55"/>
      <c r="J964" s="55" t="e">
        <f>VLOOKUP($I964,'Pricing Table - eff 27-Jan-2026'!$A:$R,2,FALSE)</f>
        <v>#N/A</v>
      </c>
      <c r="K964" s="55" t="e">
        <f>VLOOKUP($I964,'Pricing Table - eff 27-Jan-2026'!$A:$R,6,FALSE)&amp;" "&amp;VLOOKUP($I964,'Pricing Table - eff 27-Jan-2026'!$A:$R,7,FALSE)&amp;""" x "&amp;VLOOKUP($I964,'Pricing Table - eff 27-Jan-2026'!$A:$R,9,FALSE)&amp;""" "&amp;VLOOKUP($I964,'Pricing Table - eff 27-Jan-2026'!$A:$R,5,FALSE)</f>
        <v>#N/A</v>
      </c>
      <c r="L964" s="55" t="e">
        <f>VLOOKUP($I964,'Pricing Table - eff 27-Jan-2026'!$A:$K,8,FALSE)</f>
        <v>#N/A</v>
      </c>
      <c r="M964" s="55" t="e">
        <f>VLOOKUP($I964,'Pricing Table - eff 27-Jan-2026'!$A:$K,10,FALSE)</f>
        <v>#N/A</v>
      </c>
      <c r="N964" s="55" t="e">
        <f>VLOOKUP($I964,'Pricing Table - eff 27-Jan-2026'!$A:$R,13,FALSE)&amp;" "&amp;VLOOKUP($I964,'Pricing Table - eff 27-Jan-2026'!$A:$R,12,FALSE)</f>
        <v>#N/A</v>
      </c>
      <c r="O964" s="56"/>
      <c r="P964" s="55" t="e">
        <f>(VLOOKUP($I964,'Pricing Table - eff 27-Jan-2026'!$A:$R,8,FALSE)/1000)*(VLOOKUP($I964,'Pricing Table - eff 27-Jan-2026'!$A:$R,10,FALSE)/1000)*Q964</f>
        <v>#N/A</v>
      </c>
      <c r="Q964" s="55" t="e">
        <f>ROUND(('Order Details'!$O964*1000)/((VLOOKUP($I964,'Pricing Table - eff 27-Jan-2026'!$A:$Q,7,FALSE)/12)*(VLOOKUP($I964,'Pricing Table - eff 27-Jan-2026'!$A:$Q,9,FALSE)/12))/5,0)*5</f>
        <v>#N/A</v>
      </c>
      <c r="R964" s="71" t="e">
        <f>$Q964/IFERROR(VLOOKUP($F964&amp;RIGHT($K964,8),'Master Data'!$O$5:$P$10,2,FALSE),'Master Data'!$P$4)</f>
        <v>#N/A</v>
      </c>
      <c r="S964" s="57" t="e">
        <f>VLOOKUP($I964,'Pricing Table - eff 27-Jan-2026'!$A:$Q,16,FALSE)</f>
        <v>#N/A</v>
      </c>
      <c r="T964" s="57" t="e">
        <f>VLOOKUP(I964,'Pricing Table - eff 27-Jan-2026'!$A:$O,15,FALSE)</f>
        <v>#N/A</v>
      </c>
      <c r="U964" s="57" t="e">
        <f t="shared" si="39"/>
        <v>#N/A</v>
      </c>
      <c r="V964" s="111" t="e">
        <f t="shared" si="40"/>
        <v>#N/A</v>
      </c>
      <c r="W964" s="55" t="e">
        <f>VLOOKUP($I964,'Pricing Table - eff 27-Jan-2026'!$A:$R,18,FALSE)</f>
        <v>#N/A</v>
      </c>
    </row>
    <row r="965" spans="1:23" hidden="1" x14ac:dyDescent="0.3">
      <c r="A965" s="55"/>
      <c r="B965" s="55"/>
      <c r="C965" s="55">
        <f>VLOOKUP(A965&amp;"-"&amp;B965,'Order Summary'!$D:$E,2,FALSE)</f>
        <v>0</v>
      </c>
      <c r="D965" s="216" t="str">
        <f>IF($A965="","",VLOOKUP($A965&amp;"-"&amp;$B965,'Order Summary'!$D:$U,3,FALSE))</f>
        <v/>
      </c>
      <c r="E965" s="55" t="str">
        <f>VLOOKUP(A965&amp;"-"&amp;B965,'Order Summary'!$D:$G,4,FALSE)</f>
        <v>Yes</v>
      </c>
      <c r="F965" s="55" t="e">
        <f>VLOOKUP($A965,'Order Summary'!$B:$I,8,FALSE)</f>
        <v>#N/A</v>
      </c>
      <c r="G965" s="216" t="str">
        <f>IF($A965="","",VLOOKUP($A965&amp;"-"&amp;$B965,'Order Summary'!$D:$U,18,FALSE))</f>
        <v/>
      </c>
      <c r="H965" s="55"/>
      <c r="I965" s="55"/>
      <c r="J965" s="55" t="e">
        <f>VLOOKUP($I965,'Pricing Table - eff 27-Jan-2026'!$A:$R,2,FALSE)</f>
        <v>#N/A</v>
      </c>
      <c r="K965" s="55" t="e">
        <f>VLOOKUP($I965,'Pricing Table - eff 27-Jan-2026'!$A:$R,6,FALSE)&amp;" "&amp;VLOOKUP($I965,'Pricing Table - eff 27-Jan-2026'!$A:$R,7,FALSE)&amp;""" x "&amp;VLOOKUP($I965,'Pricing Table - eff 27-Jan-2026'!$A:$R,9,FALSE)&amp;""" "&amp;VLOOKUP($I965,'Pricing Table - eff 27-Jan-2026'!$A:$R,5,FALSE)</f>
        <v>#N/A</v>
      </c>
      <c r="L965" s="55" t="e">
        <f>VLOOKUP($I965,'Pricing Table - eff 27-Jan-2026'!$A:$K,8,FALSE)</f>
        <v>#N/A</v>
      </c>
      <c r="M965" s="55" t="e">
        <f>VLOOKUP($I965,'Pricing Table - eff 27-Jan-2026'!$A:$K,10,FALSE)</f>
        <v>#N/A</v>
      </c>
      <c r="N965" s="55" t="e">
        <f>VLOOKUP($I965,'Pricing Table - eff 27-Jan-2026'!$A:$R,13,FALSE)&amp;" "&amp;VLOOKUP($I965,'Pricing Table - eff 27-Jan-2026'!$A:$R,12,FALSE)</f>
        <v>#N/A</v>
      </c>
      <c r="O965" s="56"/>
      <c r="P965" s="55" t="e">
        <f>(VLOOKUP($I965,'Pricing Table - eff 27-Jan-2026'!$A:$R,8,FALSE)/1000)*(VLOOKUP($I965,'Pricing Table - eff 27-Jan-2026'!$A:$R,10,FALSE)/1000)*Q965</f>
        <v>#N/A</v>
      </c>
      <c r="Q965" s="55" t="e">
        <f>ROUND(('Order Details'!$O965*1000)/((VLOOKUP($I965,'Pricing Table - eff 27-Jan-2026'!$A:$Q,7,FALSE)/12)*(VLOOKUP($I965,'Pricing Table - eff 27-Jan-2026'!$A:$Q,9,FALSE)/12))/5,0)*5</f>
        <v>#N/A</v>
      </c>
      <c r="R965" s="71" t="e">
        <f>$Q965/IFERROR(VLOOKUP($F965&amp;RIGHT($K965,8),'Master Data'!$O$5:$P$10,2,FALSE),'Master Data'!$P$4)</f>
        <v>#N/A</v>
      </c>
      <c r="S965" s="57" t="e">
        <f>VLOOKUP($I965,'Pricing Table - eff 27-Jan-2026'!$A:$Q,16,FALSE)</f>
        <v>#N/A</v>
      </c>
      <c r="T965" s="57" t="e">
        <f>VLOOKUP(I965,'Pricing Table - eff 27-Jan-2026'!$A:$O,15,FALSE)</f>
        <v>#N/A</v>
      </c>
      <c r="U965" s="57" t="e">
        <f t="shared" si="39"/>
        <v>#N/A</v>
      </c>
      <c r="V965" s="111" t="e">
        <f t="shared" si="40"/>
        <v>#N/A</v>
      </c>
      <c r="W965" s="55" t="e">
        <f>VLOOKUP($I965,'Pricing Table - eff 27-Jan-2026'!$A:$R,18,FALSE)</f>
        <v>#N/A</v>
      </c>
    </row>
    <row r="966" spans="1:23" hidden="1" x14ac:dyDescent="0.3">
      <c r="A966" s="55"/>
      <c r="B966" s="55"/>
      <c r="C966" s="55">
        <f>VLOOKUP(A966&amp;"-"&amp;B966,'Order Summary'!$D:$E,2,FALSE)</f>
        <v>0</v>
      </c>
      <c r="D966" s="216" t="str">
        <f>IF($A966="","",VLOOKUP($A966&amp;"-"&amp;$B966,'Order Summary'!$D:$U,3,FALSE))</f>
        <v/>
      </c>
      <c r="E966" s="55" t="str">
        <f>VLOOKUP(A966&amp;"-"&amp;B966,'Order Summary'!$D:$G,4,FALSE)</f>
        <v>Yes</v>
      </c>
      <c r="F966" s="55" t="e">
        <f>VLOOKUP($A966,'Order Summary'!$B:$I,8,FALSE)</f>
        <v>#N/A</v>
      </c>
      <c r="G966" s="216" t="str">
        <f>IF($A966="","",VLOOKUP($A966&amp;"-"&amp;$B966,'Order Summary'!$D:$U,18,FALSE))</f>
        <v/>
      </c>
      <c r="H966" s="55"/>
      <c r="I966" s="55"/>
      <c r="J966" s="55" t="e">
        <f>VLOOKUP($I966,'Pricing Table - eff 27-Jan-2026'!$A:$R,2,FALSE)</f>
        <v>#N/A</v>
      </c>
      <c r="K966" s="55" t="e">
        <f>VLOOKUP($I966,'Pricing Table - eff 27-Jan-2026'!$A:$R,6,FALSE)&amp;" "&amp;VLOOKUP($I966,'Pricing Table - eff 27-Jan-2026'!$A:$R,7,FALSE)&amp;""" x "&amp;VLOOKUP($I966,'Pricing Table - eff 27-Jan-2026'!$A:$R,9,FALSE)&amp;""" "&amp;VLOOKUP($I966,'Pricing Table - eff 27-Jan-2026'!$A:$R,5,FALSE)</f>
        <v>#N/A</v>
      </c>
      <c r="L966" s="55" t="e">
        <f>VLOOKUP($I966,'Pricing Table - eff 27-Jan-2026'!$A:$K,8,FALSE)</f>
        <v>#N/A</v>
      </c>
      <c r="M966" s="55" t="e">
        <f>VLOOKUP($I966,'Pricing Table - eff 27-Jan-2026'!$A:$K,10,FALSE)</f>
        <v>#N/A</v>
      </c>
      <c r="N966" s="55" t="e">
        <f>VLOOKUP($I966,'Pricing Table - eff 27-Jan-2026'!$A:$R,13,FALSE)&amp;" "&amp;VLOOKUP($I966,'Pricing Table - eff 27-Jan-2026'!$A:$R,12,FALSE)</f>
        <v>#N/A</v>
      </c>
      <c r="O966" s="56"/>
      <c r="P966" s="55" t="e">
        <f>(VLOOKUP($I966,'Pricing Table - eff 27-Jan-2026'!$A:$R,8,FALSE)/1000)*(VLOOKUP($I966,'Pricing Table - eff 27-Jan-2026'!$A:$R,10,FALSE)/1000)*Q966</f>
        <v>#N/A</v>
      </c>
      <c r="Q966" s="55" t="e">
        <f>ROUND(('Order Details'!$O966*1000)/((VLOOKUP($I966,'Pricing Table - eff 27-Jan-2026'!$A:$Q,7,FALSE)/12)*(VLOOKUP($I966,'Pricing Table - eff 27-Jan-2026'!$A:$Q,9,FALSE)/12))/5,0)*5</f>
        <v>#N/A</v>
      </c>
      <c r="R966" s="71" t="e">
        <f>$Q966/IFERROR(VLOOKUP($F966&amp;RIGHT($K966,8),'Master Data'!$O$5:$P$10,2,FALSE),'Master Data'!$P$4)</f>
        <v>#N/A</v>
      </c>
      <c r="S966" s="57" t="e">
        <f>VLOOKUP($I966,'Pricing Table - eff 27-Jan-2026'!$A:$Q,16,FALSE)</f>
        <v>#N/A</v>
      </c>
      <c r="T966" s="57" t="e">
        <f>VLOOKUP(I966,'Pricing Table - eff 27-Jan-2026'!$A:$O,15,FALSE)</f>
        <v>#N/A</v>
      </c>
      <c r="U966" s="57" t="e">
        <f t="shared" si="39"/>
        <v>#N/A</v>
      </c>
      <c r="V966" s="111" t="e">
        <f t="shared" si="40"/>
        <v>#N/A</v>
      </c>
      <c r="W966" s="55" t="e">
        <f>VLOOKUP($I966,'Pricing Table - eff 27-Jan-2026'!$A:$R,18,FALSE)</f>
        <v>#N/A</v>
      </c>
    </row>
    <row r="967" spans="1:23" hidden="1" x14ac:dyDescent="0.3">
      <c r="A967" s="55"/>
      <c r="B967" s="55"/>
      <c r="C967" s="55">
        <f>VLOOKUP(A967&amp;"-"&amp;B967,'Order Summary'!$D:$E,2,FALSE)</f>
        <v>0</v>
      </c>
      <c r="D967" s="216" t="str">
        <f>IF($A967="","",VLOOKUP($A967&amp;"-"&amp;$B967,'Order Summary'!$D:$U,3,FALSE))</f>
        <v/>
      </c>
      <c r="E967" s="55" t="str">
        <f>VLOOKUP(A967&amp;"-"&amp;B967,'Order Summary'!$D:$G,4,FALSE)</f>
        <v>Yes</v>
      </c>
      <c r="F967" s="55" t="e">
        <f>VLOOKUP($A967,'Order Summary'!$B:$I,8,FALSE)</f>
        <v>#N/A</v>
      </c>
      <c r="G967" s="216" t="str">
        <f>IF($A967="","",VLOOKUP($A967&amp;"-"&amp;$B967,'Order Summary'!$D:$U,18,FALSE))</f>
        <v/>
      </c>
      <c r="H967" s="55"/>
      <c r="I967" s="55"/>
      <c r="J967" s="55" t="e">
        <f>VLOOKUP($I967,'Pricing Table - eff 27-Jan-2026'!$A:$R,2,FALSE)</f>
        <v>#N/A</v>
      </c>
      <c r="K967" s="55" t="e">
        <f>VLOOKUP($I967,'Pricing Table - eff 27-Jan-2026'!$A:$R,6,FALSE)&amp;" "&amp;VLOOKUP($I967,'Pricing Table - eff 27-Jan-2026'!$A:$R,7,FALSE)&amp;""" x "&amp;VLOOKUP($I967,'Pricing Table - eff 27-Jan-2026'!$A:$R,9,FALSE)&amp;""" "&amp;VLOOKUP($I967,'Pricing Table - eff 27-Jan-2026'!$A:$R,5,FALSE)</f>
        <v>#N/A</v>
      </c>
      <c r="L967" s="55" t="e">
        <f>VLOOKUP($I967,'Pricing Table - eff 27-Jan-2026'!$A:$K,8,FALSE)</f>
        <v>#N/A</v>
      </c>
      <c r="M967" s="55" t="e">
        <f>VLOOKUP($I967,'Pricing Table - eff 27-Jan-2026'!$A:$K,10,FALSE)</f>
        <v>#N/A</v>
      </c>
      <c r="N967" s="55" t="e">
        <f>VLOOKUP($I967,'Pricing Table - eff 27-Jan-2026'!$A:$R,13,FALSE)&amp;" "&amp;VLOOKUP($I967,'Pricing Table - eff 27-Jan-2026'!$A:$R,12,FALSE)</f>
        <v>#N/A</v>
      </c>
      <c r="O967" s="56"/>
      <c r="P967" s="55" t="e">
        <f>(VLOOKUP($I967,'Pricing Table - eff 27-Jan-2026'!$A:$R,8,FALSE)/1000)*(VLOOKUP($I967,'Pricing Table - eff 27-Jan-2026'!$A:$R,10,FALSE)/1000)*Q967</f>
        <v>#N/A</v>
      </c>
      <c r="Q967" s="55" t="e">
        <f>ROUND(('Order Details'!$O967*1000)/((VLOOKUP($I967,'Pricing Table - eff 27-Jan-2026'!$A:$Q,7,FALSE)/12)*(VLOOKUP($I967,'Pricing Table - eff 27-Jan-2026'!$A:$Q,9,FALSE)/12))/5,0)*5</f>
        <v>#N/A</v>
      </c>
      <c r="R967" s="71" t="e">
        <f>$Q967/IFERROR(VLOOKUP($F967&amp;RIGHT($K967,8),'Master Data'!$O$5:$P$10,2,FALSE),'Master Data'!$P$4)</f>
        <v>#N/A</v>
      </c>
      <c r="S967" s="57" t="e">
        <f>VLOOKUP($I967,'Pricing Table - eff 27-Jan-2026'!$A:$Q,16,FALSE)</f>
        <v>#N/A</v>
      </c>
      <c r="T967" s="57" t="e">
        <f>VLOOKUP(I967,'Pricing Table - eff 27-Jan-2026'!$A:$O,15,FALSE)</f>
        <v>#N/A</v>
      </c>
      <c r="U967" s="57" t="e">
        <f t="shared" si="39"/>
        <v>#N/A</v>
      </c>
      <c r="V967" s="111" t="e">
        <f t="shared" si="40"/>
        <v>#N/A</v>
      </c>
      <c r="W967" s="55" t="e">
        <f>VLOOKUP($I967,'Pricing Table - eff 27-Jan-2026'!$A:$R,18,FALSE)</f>
        <v>#N/A</v>
      </c>
    </row>
    <row r="968" spans="1:23" hidden="1" x14ac:dyDescent="0.3">
      <c r="A968" s="55"/>
      <c r="B968" s="55"/>
      <c r="C968" s="55">
        <f>VLOOKUP(A968&amp;"-"&amp;B968,'Order Summary'!$D:$E,2,FALSE)</f>
        <v>0</v>
      </c>
      <c r="D968" s="216" t="str">
        <f>IF($A968="","",VLOOKUP($A968&amp;"-"&amp;$B968,'Order Summary'!$D:$U,3,FALSE))</f>
        <v/>
      </c>
      <c r="E968" s="55" t="str">
        <f>VLOOKUP(A968&amp;"-"&amp;B968,'Order Summary'!$D:$G,4,FALSE)</f>
        <v>Yes</v>
      </c>
      <c r="F968" s="55" t="e">
        <f>VLOOKUP($A968,'Order Summary'!$B:$I,8,FALSE)</f>
        <v>#N/A</v>
      </c>
      <c r="G968" s="216" t="str">
        <f>IF($A968="","",VLOOKUP($A968&amp;"-"&amp;$B968,'Order Summary'!$D:$U,18,FALSE))</f>
        <v/>
      </c>
      <c r="H968" s="55"/>
      <c r="I968" s="55"/>
      <c r="J968" s="55" t="e">
        <f>VLOOKUP($I968,'Pricing Table - eff 27-Jan-2026'!$A:$R,2,FALSE)</f>
        <v>#N/A</v>
      </c>
      <c r="K968" s="55" t="e">
        <f>VLOOKUP($I968,'Pricing Table - eff 27-Jan-2026'!$A:$R,6,FALSE)&amp;" "&amp;VLOOKUP($I968,'Pricing Table - eff 27-Jan-2026'!$A:$R,7,FALSE)&amp;""" x "&amp;VLOOKUP($I968,'Pricing Table - eff 27-Jan-2026'!$A:$R,9,FALSE)&amp;""" "&amp;VLOOKUP($I968,'Pricing Table - eff 27-Jan-2026'!$A:$R,5,FALSE)</f>
        <v>#N/A</v>
      </c>
      <c r="L968" s="55" t="e">
        <f>VLOOKUP($I968,'Pricing Table - eff 27-Jan-2026'!$A:$K,8,FALSE)</f>
        <v>#N/A</v>
      </c>
      <c r="M968" s="55" t="e">
        <f>VLOOKUP($I968,'Pricing Table - eff 27-Jan-2026'!$A:$K,10,FALSE)</f>
        <v>#N/A</v>
      </c>
      <c r="N968" s="55" t="e">
        <f>VLOOKUP($I968,'Pricing Table - eff 27-Jan-2026'!$A:$R,13,FALSE)&amp;" "&amp;VLOOKUP($I968,'Pricing Table - eff 27-Jan-2026'!$A:$R,12,FALSE)</f>
        <v>#N/A</v>
      </c>
      <c r="O968" s="56"/>
      <c r="P968" s="55" t="e">
        <f>(VLOOKUP($I968,'Pricing Table - eff 27-Jan-2026'!$A:$R,8,FALSE)/1000)*(VLOOKUP($I968,'Pricing Table - eff 27-Jan-2026'!$A:$R,10,FALSE)/1000)*Q968</f>
        <v>#N/A</v>
      </c>
      <c r="Q968" s="55" t="e">
        <f>ROUND(('Order Details'!$O968*1000)/((VLOOKUP($I968,'Pricing Table - eff 27-Jan-2026'!$A:$Q,7,FALSE)/12)*(VLOOKUP($I968,'Pricing Table - eff 27-Jan-2026'!$A:$Q,9,FALSE)/12))/5,0)*5</f>
        <v>#N/A</v>
      </c>
      <c r="R968" s="71" t="e">
        <f>$Q968/IFERROR(VLOOKUP($F968&amp;RIGHT($K968,8),'Master Data'!$O$5:$P$10,2,FALSE),'Master Data'!$P$4)</f>
        <v>#N/A</v>
      </c>
      <c r="S968" s="57" t="e">
        <f>VLOOKUP($I968,'Pricing Table - eff 27-Jan-2026'!$A:$Q,16,FALSE)</f>
        <v>#N/A</v>
      </c>
      <c r="T968" s="57" t="e">
        <f>VLOOKUP(I968,'Pricing Table - eff 27-Jan-2026'!$A:$O,15,FALSE)</f>
        <v>#N/A</v>
      </c>
      <c r="U968" s="57" t="e">
        <f t="shared" si="39"/>
        <v>#N/A</v>
      </c>
      <c r="V968" s="111" t="e">
        <f t="shared" si="40"/>
        <v>#N/A</v>
      </c>
      <c r="W968" s="55" t="e">
        <f>VLOOKUP($I968,'Pricing Table - eff 27-Jan-2026'!$A:$R,18,FALSE)</f>
        <v>#N/A</v>
      </c>
    </row>
    <row r="969" spans="1:23" hidden="1" x14ac:dyDescent="0.3">
      <c r="A969" s="55"/>
      <c r="B969" s="55"/>
      <c r="C969" s="55">
        <f>VLOOKUP(A969&amp;"-"&amp;B969,'Order Summary'!$D:$E,2,FALSE)</f>
        <v>0</v>
      </c>
      <c r="D969" s="216" t="str">
        <f>IF($A969="","",VLOOKUP($A969&amp;"-"&amp;$B969,'Order Summary'!$D:$U,3,FALSE))</f>
        <v/>
      </c>
      <c r="E969" s="55" t="str">
        <f>VLOOKUP(A969&amp;"-"&amp;B969,'Order Summary'!$D:$G,4,FALSE)</f>
        <v>Yes</v>
      </c>
      <c r="F969" s="55" t="e">
        <f>VLOOKUP($A969,'Order Summary'!$B:$I,8,FALSE)</f>
        <v>#N/A</v>
      </c>
      <c r="G969" s="216" t="str">
        <f>IF($A969="","",VLOOKUP($A969&amp;"-"&amp;$B969,'Order Summary'!$D:$U,18,FALSE))</f>
        <v/>
      </c>
      <c r="H969" s="55"/>
      <c r="I969" s="55"/>
      <c r="J969" s="55" t="e">
        <f>VLOOKUP($I969,'Pricing Table - eff 27-Jan-2026'!$A:$R,2,FALSE)</f>
        <v>#N/A</v>
      </c>
      <c r="K969" s="55" t="e">
        <f>VLOOKUP($I969,'Pricing Table - eff 27-Jan-2026'!$A:$R,6,FALSE)&amp;" "&amp;VLOOKUP($I969,'Pricing Table - eff 27-Jan-2026'!$A:$R,7,FALSE)&amp;""" x "&amp;VLOOKUP($I969,'Pricing Table - eff 27-Jan-2026'!$A:$R,9,FALSE)&amp;""" "&amp;VLOOKUP($I969,'Pricing Table - eff 27-Jan-2026'!$A:$R,5,FALSE)</f>
        <v>#N/A</v>
      </c>
      <c r="L969" s="55" t="e">
        <f>VLOOKUP($I969,'Pricing Table - eff 27-Jan-2026'!$A:$K,8,FALSE)</f>
        <v>#N/A</v>
      </c>
      <c r="M969" s="55" t="e">
        <f>VLOOKUP($I969,'Pricing Table - eff 27-Jan-2026'!$A:$K,10,FALSE)</f>
        <v>#N/A</v>
      </c>
      <c r="N969" s="55" t="e">
        <f>VLOOKUP($I969,'Pricing Table - eff 27-Jan-2026'!$A:$R,13,FALSE)&amp;" "&amp;VLOOKUP($I969,'Pricing Table - eff 27-Jan-2026'!$A:$R,12,FALSE)</f>
        <v>#N/A</v>
      </c>
      <c r="O969" s="56"/>
      <c r="P969" s="55" t="e">
        <f>(VLOOKUP($I969,'Pricing Table - eff 27-Jan-2026'!$A:$R,8,FALSE)/1000)*(VLOOKUP($I969,'Pricing Table - eff 27-Jan-2026'!$A:$R,10,FALSE)/1000)*Q969</f>
        <v>#N/A</v>
      </c>
      <c r="Q969" s="55" t="e">
        <f>ROUND(('Order Details'!$O969*1000)/((VLOOKUP($I969,'Pricing Table - eff 27-Jan-2026'!$A:$Q,7,FALSE)/12)*(VLOOKUP($I969,'Pricing Table - eff 27-Jan-2026'!$A:$Q,9,FALSE)/12))/5,0)*5</f>
        <v>#N/A</v>
      </c>
      <c r="R969" s="71" t="e">
        <f>$Q969/IFERROR(VLOOKUP($F969&amp;RIGHT($K969,8),'Master Data'!$O$5:$P$10,2,FALSE),'Master Data'!$P$4)</f>
        <v>#N/A</v>
      </c>
      <c r="S969" s="57" t="e">
        <f>VLOOKUP($I969,'Pricing Table - eff 27-Jan-2026'!$A:$Q,16,FALSE)</f>
        <v>#N/A</v>
      </c>
      <c r="T969" s="57" t="e">
        <f>VLOOKUP(I969,'Pricing Table - eff 27-Jan-2026'!$A:$O,15,FALSE)</f>
        <v>#N/A</v>
      </c>
      <c r="U969" s="57" t="e">
        <f t="shared" si="39"/>
        <v>#N/A</v>
      </c>
      <c r="V969" s="111" t="e">
        <f t="shared" si="40"/>
        <v>#N/A</v>
      </c>
      <c r="W969" s="55" t="e">
        <f>VLOOKUP($I969,'Pricing Table - eff 27-Jan-2026'!$A:$R,18,FALSE)</f>
        <v>#N/A</v>
      </c>
    </row>
    <row r="970" spans="1:23" hidden="1" x14ac:dyDescent="0.3">
      <c r="A970" s="55"/>
      <c r="B970" s="55"/>
      <c r="C970" s="55">
        <f>VLOOKUP(A970&amp;"-"&amp;B970,'Order Summary'!$D:$E,2,FALSE)</f>
        <v>0</v>
      </c>
      <c r="D970" s="216" t="str">
        <f>IF($A970="","",VLOOKUP($A970&amp;"-"&amp;$B970,'Order Summary'!$D:$U,3,FALSE))</f>
        <v/>
      </c>
      <c r="E970" s="55" t="str">
        <f>VLOOKUP(A970&amp;"-"&amp;B970,'Order Summary'!$D:$G,4,FALSE)</f>
        <v>Yes</v>
      </c>
      <c r="F970" s="55" t="e">
        <f>VLOOKUP($A970,'Order Summary'!$B:$I,8,FALSE)</f>
        <v>#N/A</v>
      </c>
      <c r="G970" s="216" t="str">
        <f>IF($A970="","",VLOOKUP($A970&amp;"-"&amp;$B970,'Order Summary'!$D:$U,18,FALSE))</f>
        <v/>
      </c>
      <c r="H970" s="55"/>
      <c r="I970" s="55"/>
      <c r="J970" s="55" t="e">
        <f>VLOOKUP($I970,'Pricing Table - eff 27-Jan-2026'!$A:$R,2,FALSE)</f>
        <v>#N/A</v>
      </c>
      <c r="K970" s="55" t="e">
        <f>VLOOKUP($I970,'Pricing Table - eff 27-Jan-2026'!$A:$R,6,FALSE)&amp;" "&amp;VLOOKUP($I970,'Pricing Table - eff 27-Jan-2026'!$A:$R,7,FALSE)&amp;""" x "&amp;VLOOKUP($I970,'Pricing Table - eff 27-Jan-2026'!$A:$R,9,FALSE)&amp;""" "&amp;VLOOKUP($I970,'Pricing Table - eff 27-Jan-2026'!$A:$R,5,FALSE)</f>
        <v>#N/A</v>
      </c>
      <c r="L970" s="55" t="e">
        <f>VLOOKUP($I970,'Pricing Table - eff 27-Jan-2026'!$A:$K,8,FALSE)</f>
        <v>#N/A</v>
      </c>
      <c r="M970" s="55" t="e">
        <f>VLOOKUP($I970,'Pricing Table - eff 27-Jan-2026'!$A:$K,10,FALSE)</f>
        <v>#N/A</v>
      </c>
      <c r="N970" s="55" t="e">
        <f>VLOOKUP($I970,'Pricing Table - eff 27-Jan-2026'!$A:$R,13,FALSE)&amp;" "&amp;VLOOKUP($I970,'Pricing Table - eff 27-Jan-2026'!$A:$R,12,FALSE)</f>
        <v>#N/A</v>
      </c>
      <c r="O970" s="56"/>
      <c r="P970" s="55" t="e">
        <f>(VLOOKUP($I970,'Pricing Table - eff 27-Jan-2026'!$A:$R,8,FALSE)/1000)*(VLOOKUP($I970,'Pricing Table - eff 27-Jan-2026'!$A:$R,10,FALSE)/1000)*Q970</f>
        <v>#N/A</v>
      </c>
      <c r="Q970" s="55" t="e">
        <f>ROUND(('Order Details'!$O970*1000)/((VLOOKUP($I970,'Pricing Table - eff 27-Jan-2026'!$A:$Q,7,FALSE)/12)*(VLOOKUP($I970,'Pricing Table - eff 27-Jan-2026'!$A:$Q,9,FALSE)/12))/5,0)*5</f>
        <v>#N/A</v>
      </c>
      <c r="R970" s="71" t="e">
        <f>$Q970/IFERROR(VLOOKUP($F970&amp;RIGHT($K970,8),'Master Data'!$O$5:$P$10,2,FALSE),'Master Data'!$P$4)</f>
        <v>#N/A</v>
      </c>
      <c r="S970" s="57" t="e">
        <f>VLOOKUP($I970,'Pricing Table - eff 27-Jan-2026'!$A:$Q,16,FALSE)</f>
        <v>#N/A</v>
      </c>
      <c r="T970" s="57" t="e">
        <f>VLOOKUP(I970,'Pricing Table - eff 27-Jan-2026'!$A:$O,15,FALSE)</f>
        <v>#N/A</v>
      </c>
      <c r="U970" s="57" t="e">
        <f t="shared" si="39"/>
        <v>#N/A</v>
      </c>
      <c r="V970" s="111" t="e">
        <f t="shared" si="40"/>
        <v>#N/A</v>
      </c>
      <c r="W970" s="55" t="e">
        <f>VLOOKUP($I970,'Pricing Table - eff 27-Jan-2026'!$A:$R,18,FALSE)</f>
        <v>#N/A</v>
      </c>
    </row>
    <row r="971" spans="1:23" hidden="1" x14ac:dyDescent="0.3">
      <c r="A971" s="55"/>
      <c r="B971" s="55"/>
      <c r="C971" s="55">
        <f>VLOOKUP(A971&amp;"-"&amp;B971,'Order Summary'!$D:$E,2,FALSE)</f>
        <v>0</v>
      </c>
      <c r="D971" s="216" t="str">
        <f>IF($A971="","",VLOOKUP($A971&amp;"-"&amp;$B971,'Order Summary'!$D:$U,3,FALSE))</f>
        <v/>
      </c>
      <c r="E971" s="55" t="str">
        <f>VLOOKUP(A971&amp;"-"&amp;B971,'Order Summary'!$D:$G,4,FALSE)</f>
        <v>Yes</v>
      </c>
      <c r="F971" s="55" t="e">
        <f>VLOOKUP($A971,'Order Summary'!$B:$I,8,FALSE)</f>
        <v>#N/A</v>
      </c>
      <c r="G971" s="216" t="str">
        <f>IF($A971="","",VLOOKUP($A971&amp;"-"&amp;$B971,'Order Summary'!$D:$U,18,FALSE))</f>
        <v/>
      </c>
      <c r="H971" s="55"/>
      <c r="I971" s="55"/>
      <c r="J971" s="55" t="e">
        <f>VLOOKUP($I971,'Pricing Table - eff 27-Jan-2026'!$A:$R,2,FALSE)</f>
        <v>#N/A</v>
      </c>
      <c r="K971" s="55" t="e">
        <f>VLOOKUP($I971,'Pricing Table - eff 27-Jan-2026'!$A:$R,6,FALSE)&amp;" "&amp;VLOOKUP($I971,'Pricing Table - eff 27-Jan-2026'!$A:$R,7,FALSE)&amp;""" x "&amp;VLOOKUP($I971,'Pricing Table - eff 27-Jan-2026'!$A:$R,9,FALSE)&amp;""" "&amp;VLOOKUP($I971,'Pricing Table - eff 27-Jan-2026'!$A:$R,5,FALSE)</f>
        <v>#N/A</v>
      </c>
      <c r="L971" s="55" t="e">
        <f>VLOOKUP($I971,'Pricing Table - eff 27-Jan-2026'!$A:$K,8,FALSE)</f>
        <v>#N/A</v>
      </c>
      <c r="M971" s="55" t="e">
        <f>VLOOKUP($I971,'Pricing Table - eff 27-Jan-2026'!$A:$K,10,FALSE)</f>
        <v>#N/A</v>
      </c>
      <c r="N971" s="55" t="e">
        <f>VLOOKUP($I971,'Pricing Table - eff 27-Jan-2026'!$A:$R,13,FALSE)&amp;" "&amp;VLOOKUP($I971,'Pricing Table - eff 27-Jan-2026'!$A:$R,12,FALSE)</f>
        <v>#N/A</v>
      </c>
      <c r="O971" s="56"/>
      <c r="P971" s="55" t="e">
        <f>(VLOOKUP($I971,'Pricing Table - eff 27-Jan-2026'!$A:$R,8,FALSE)/1000)*(VLOOKUP($I971,'Pricing Table - eff 27-Jan-2026'!$A:$R,10,FALSE)/1000)*Q971</f>
        <v>#N/A</v>
      </c>
      <c r="Q971" s="55" t="e">
        <f>ROUND(('Order Details'!$O971*1000)/((VLOOKUP($I971,'Pricing Table - eff 27-Jan-2026'!$A:$Q,7,FALSE)/12)*(VLOOKUP($I971,'Pricing Table - eff 27-Jan-2026'!$A:$Q,9,FALSE)/12))/5,0)*5</f>
        <v>#N/A</v>
      </c>
      <c r="R971" s="71" t="e">
        <f>$Q971/IFERROR(VLOOKUP($F971&amp;RIGHT($K971,8),'Master Data'!$O$5:$P$10,2,FALSE),'Master Data'!$P$4)</f>
        <v>#N/A</v>
      </c>
      <c r="S971" s="57" t="e">
        <f>VLOOKUP($I971,'Pricing Table - eff 27-Jan-2026'!$A:$Q,16,FALSE)</f>
        <v>#N/A</v>
      </c>
      <c r="T971" s="57" t="e">
        <f>VLOOKUP(I971,'Pricing Table - eff 27-Jan-2026'!$A:$O,15,FALSE)</f>
        <v>#N/A</v>
      </c>
      <c r="U971" s="57" t="e">
        <f t="shared" si="39"/>
        <v>#N/A</v>
      </c>
      <c r="V971" s="111" t="e">
        <f t="shared" si="40"/>
        <v>#N/A</v>
      </c>
      <c r="W971" s="55" t="e">
        <f>VLOOKUP($I971,'Pricing Table - eff 27-Jan-2026'!$A:$R,18,FALSE)</f>
        <v>#N/A</v>
      </c>
    </row>
    <row r="972" spans="1:23" hidden="1" x14ac:dyDescent="0.3">
      <c r="A972" s="55"/>
      <c r="B972" s="55"/>
      <c r="C972" s="55">
        <f>VLOOKUP(A972&amp;"-"&amp;B972,'Order Summary'!$D:$E,2,FALSE)</f>
        <v>0</v>
      </c>
      <c r="D972" s="216" t="str">
        <f>IF($A972="","",VLOOKUP($A972&amp;"-"&amp;$B972,'Order Summary'!$D:$U,3,FALSE))</f>
        <v/>
      </c>
      <c r="E972" s="55" t="str">
        <f>VLOOKUP(A972&amp;"-"&amp;B972,'Order Summary'!$D:$G,4,FALSE)</f>
        <v>Yes</v>
      </c>
      <c r="F972" s="55" t="e">
        <f>VLOOKUP($A972,'Order Summary'!$B:$I,8,FALSE)</f>
        <v>#N/A</v>
      </c>
      <c r="G972" s="216" t="str">
        <f>IF($A972="","",VLOOKUP($A972&amp;"-"&amp;$B972,'Order Summary'!$D:$U,18,FALSE))</f>
        <v/>
      </c>
      <c r="H972" s="55"/>
      <c r="I972" s="55"/>
      <c r="J972" s="55" t="e">
        <f>VLOOKUP($I972,'Pricing Table - eff 27-Jan-2026'!$A:$R,2,FALSE)</f>
        <v>#N/A</v>
      </c>
      <c r="K972" s="55" t="e">
        <f>VLOOKUP($I972,'Pricing Table - eff 27-Jan-2026'!$A:$R,6,FALSE)&amp;" "&amp;VLOOKUP($I972,'Pricing Table - eff 27-Jan-2026'!$A:$R,7,FALSE)&amp;""" x "&amp;VLOOKUP($I972,'Pricing Table - eff 27-Jan-2026'!$A:$R,9,FALSE)&amp;""" "&amp;VLOOKUP($I972,'Pricing Table - eff 27-Jan-2026'!$A:$R,5,FALSE)</f>
        <v>#N/A</v>
      </c>
      <c r="L972" s="55" t="e">
        <f>VLOOKUP($I972,'Pricing Table - eff 27-Jan-2026'!$A:$K,8,FALSE)</f>
        <v>#N/A</v>
      </c>
      <c r="M972" s="55" t="e">
        <f>VLOOKUP($I972,'Pricing Table - eff 27-Jan-2026'!$A:$K,10,FALSE)</f>
        <v>#N/A</v>
      </c>
      <c r="N972" s="55" t="e">
        <f>VLOOKUP($I972,'Pricing Table - eff 27-Jan-2026'!$A:$R,13,FALSE)&amp;" "&amp;VLOOKUP($I972,'Pricing Table - eff 27-Jan-2026'!$A:$R,12,FALSE)</f>
        <v>#N/A</v>
      </c>
      <c r="O972" s="56"/>
      <c r="P972" s="55" t="e">
        <f>(VLOOKUP($I972,'Pricing Table - eff 27-Jan-2026'!$A:$R,8,FALSE)/1000)*(VLOOKUP($I972,'Pricing Table - eff 27-Jan-2026'!$A:$R,10,FALSE)/1000)*Q972</f>
        <v>#N/A</v>
      </c>
      <c r="Q972" s="55" t="e">
        <f>ROUND(('Order Details'!$O972*1000)/((VLOOKUP($I972,'Pricing Table - eff 27-Jan-2026'!$A:$Q,7,FALSE)/12)*(VLOOKUP($I972,'Pricing Table - eff 27-Jan-2026'!$A:$Q,9,FALSE)/12))/5,0)*5</f>
        <v>#N/A</v>
      </c>
      <c r="R972" s="71" t="e">
        <f>$Q972/IFERROR(VLOOKUP($F972&amp;RIGHT($K972,8),'Master Data'!$O$5:$P$10,2,FALSE),'Master Data'!$P$4)</f>
        <v>#N/A</v>
      </c>
      <c r="S972" s="57" t="e">
        <f>VLOOKUP($I972,'Pricing Table - eff 27-Jan-2026'!$A:$Q,16,FALSE)</f>
        <v>#N/A</v>
      </c>
      <c r="T972" s="57" t="e">
        <f>VLOOKUP(I972,'Pricing Table - eff 27-Jan-2026'!$A:$O,15,FALSE)</f>
        <v>#N/A</v>
      </c>
      <c r="U972" s="57" t="e">
        <f t="shared" si="39"/>
        <v>#N/A</v>
      </c>
      <c r="V972" s="111" t="e">
        <f t="shared" si="40"/>
        <v>#N/A</v>
      </c>
      <c r="W972" s="55" t="e">
        <f>VLOOKUP($I972,'Pricing Table - eff 27-Jan-2026'!$A:$R,18,FALSE)</f>
        <v>#N/A</v>
      </c>
    </row>
    <row r="973" spans="1:23" hidden="1" x14ac:dyDescent="0.3">
      <c r="A973" s="55"/>
      <c r="B973" s="55"/>
      <c r="C973" s="55">
        <f>VLOOKUP(A973&amp;"-"&amp;B973,'Order Summary'!$D:$E,2,FALSE)</f>
        <v>0</v>
      </c>
      <c r="D973" s="216" t="str">
        <f>IF($A973="","",VLOOKUP($A973&amp;"-"&amp;$B973,'Order Summary'!$D:$U,3,FALSE))</f>
        <v/>
      </c>
      <c r="E973" s="55" t="str">
        <f>VLOOKUP(A973&amp;"-"&amp;B973,'Order Summary'!$D:$G,4,FALSE)</f>
        <v>Yes</v>
      </c>
      <c r="F973" s="55" t="e">
        <f>VLOOKUP($A973,'Order Summary'!$B:$I,8,FALSE)</f>
        <v>#N/A</v>
      </c>
      <c r="G973" s="216" t="str">
        <f>IF($A973="","",VLOOKUP($A973&amp;"-"&amp;$B973,'Order Summary'!$D:$U,18,FALSE))</f>
        <v/>
      </c>
      <c r="H973" s="55"/>
      <c r="I973" s="55"/>
      <c r="J973" s="55" t="e">
        <f>VLOOKUP($I973,'Pricing Table - eff 27-Jan-2026'!$A:$R,2,FALSE)</f>
        <v>#N/A</v>
      </c>
      <c r="K973" s="55" t="e">
        <f>VLOOKUP($I973,'Pricing Table - eff 27-Jan-2026'!$A:$R,6,FALSE)&amp;" "&amp;VLOOKUP($I973,'Pricing Table - eff 27-Jan-2026'!$A:$R,7,FALSE)&amp;""" x "&amp;VLOOKUP($I973,'Pricing Table - eff 27-Jan-2026'!$A:$R,9,FALSE)&amp;""" "&amp;VLOOKUP($I973,'Pricing Table - eff 27-Jan-2026'!$A:$R,5,FALSE)</f>
        <v>#N/A</v>
      </c>
      <c r="L973" s="55" t="e">
        <f>VLOOKUP($I973,'Pricing Table - eff 27-Jan-2026'!$A:$K,8,FALSE)</f>
        <v>#N/A</v>
      </c>
      <c r="M973" s="55" t="e">
        <f>VLOOKUP($I973,'Pricing Table - eff 27-Jan-2026'!$A:$K,10,FALSE)</f>
        <v>#N/A</v>
      </c>
      <c r="N973" s="55" t="e">
        <f>VLOOKUP($I973,'Pricing Table - eff 27-Jan-2026'!$A:$R,13,FALSE)&amp;" "&amp;VLOOKUP($I973,'Pricing Table - eff 27-Jan-2026'!$A:$R,12,FALSE)</f>
        <v>#N/A</v>
      </c>
      <c r="O973" s="56"/>
      <c r="P973" s="55" t="e">
        <f>(VLOOKUP($I973,'Pricing Table - eff 27-Jan-2026'!$A:$R,8,FALSE)/1000)*(VLOOKUP($I973,'Pricing Table - eff 27-Jan-2026'!$A:$R,10,FALSE)/1000)*Q973</f>
        <v>#N/A</v>
      </c>
      <c r="Q973" s="55" t="e">
        <f>ROUND(('Order Details'!$O973*1000)/((VLOOKUP($I973,'Pricing Table - eff 27-Jan-2026'!$A:$Q,7,FALSE)/12)*(VLOOKUP($I973,'Pricing Table - eff 27-Jan-2026'!$A:$Q,9,FALSE)/12))/5,0)*5</f>
        <v>#N/A</v>
      </c>
      <c r="R973" s="71" t="e">
        <f>$Q973/IFERROR(VLOOKUP($F973&amp;RIGHT($K973,8),'Master Data'!$O$5:$P$10,2,FALSE),'Master Data'!$P$4)</f>
        <v>#N/A</v>
      </c>
      <c r="S973" s="57" t="e">
        <f>VLOOKUP($I973,'Pricing Table - eff 27-Jan-2026'!$A:$Q,16,FALSE)</f>
        <v>#N/A</v>
      </c>
      <c r="T973" s="57" t="e">
        <f>VLOOKUP(I973,'Pricing Table - eff 27-Jan-2026'!$A:$O,15,FALSE)</f>
        <v>#N/A</v>
      </c>
      <c r="U973" s="57" t="e">
        <f t="shared" si="39"/>
        <v>#N/A</v>
      </c>
      <c r="V973" s="111" t="e">
        <f t="shared" si="40"/>
        <v>#N/A</v>
      </c>
      <c r="W973" s="55" t="e">
        <f>VLOOKUP($I973,'Pricing Table - eff 27-Jan-2026'!$A:$R,18,FALSE)</f>
        <v>#N/A</v>
      </c>
    </row>
    <row r="974" spans="1:23" hidden="1" x14ac:dyDescent="0.3">
      <c r="A974" s="55"/>
      <c r="B974" s="55"/>
      <c r="C974" s="55">
        <f>VLOOKUP(A974&amp;"-"&amp;B974,'Order Summary'!$D:$E,2,FALSE)</f>
        <v>0</v>
      </c>
      <c r="D974" s="216" t="str">
        <f>IF($A974="","",VLOOKUP($A974&amp;"-"&amp;$B974,'Order Summary'!$D:$U,3,FALSE))</f>
        <v/>
      </c>
      <c r="E974" s="55" t="str">
        <f>VLOOKUP(A974&amp;"-"&amp;B974,'Order Summary'!$D:$G,4,FALSE)</f>
        <v>Yes</v>
      </c>
      <c r="F974" s="55" t="e">
        <f>VLOOKUP($A974,'Order Summary'!$B:$I,8,FALSE)</f>
        <v>#N/A</v>
      </c>
      <c r="G974" s="216" t="str">
        <f>IF($A974="","",VLOOKUP($A974&amp;"-"&amp;$B974,'Order Summary'!$D:$U,18,FALSE))</f>
        <v/>
      </c>
      <c r="H974" s="55"/>
      <c r="I974" s="55"/>
      <c r="J974" s="55" t="e">
        <f>VLOOKUP($I974,'Pricing Table - eff 27-Jan-2026'!$A:$R,2,FALSE)</f>
        <v>#N/A</v>
      </c>
      <c r="K974" s="55" t="e">
        <f>VLOOKUP($I974,'Pricing Table - eff 27-Jan-2026'!$A:$R,6,FALSE)&amp;" "&amp;VLOOKUP($I974,'Pricing Table - eff 27-Jan-2026'!$A:$R,7,FALSE)&amp;""" x "&amp;VLOOKUP($I974,'Pricing Table - eff 27-Jan-2026'!$A:$R,9,FALSE)&amp;""" "&amp;VLOOKUP($I974,'Pricing Table - eff 27-Jan-2026'!$A:$R,5,FALSE)</f>
        <v>#N/A</v>
      </c>
      <c r="L974" s="55" t="e">
        <f>VLOOKUP($I974,'Pricing Table - eff 27-Jan-2026'!$A:$K,8,FALSE)</f>
        <v>#N/A</v>
      </c>
      <c r="M974" s="55" t="e">
        <f>VLOOKUP($I974,'Pricing Table - eff 27-Jan-2026'!$A:$K,10,FALSE)</f>
        <v>#N/A</v>
      </c>
      <c r="N974" s="55" t="e">
        <f>VLOOKUP($I974,'Pricing Table - eff 27-Jan-2026'!$A:$R,13,FALSE)&amp;" "&amp;VLOOKUP($I974,'Pricing Table - eff 27-Jan-2026'!$A:$R,12,FALSE)</f>
        <v>#N/A</v>
      </c>
      <c r="O974" s="56"/>
      <c r="P974" s="55" t="e">
        <f>(VLOOKUP($I974,'Pricing Table - eff 27-Jan-2026'!$A:$R,8,FALSE)/1000)*(VLOOKUP($I974,'Pricing Table - eff 27-Jan-2026'!$A:$R,10,FALSE)/1000)*Q974</f>
        <v>#N/A</v>
      </c>
      <c r="Q974" s="55" t="e">
        <f>ROUND(('Order Details'!$O974*1000)/((VLOOKUP($I974,'Pricing Table - eff 27-Jan-2026'!$A:$Q,7,FALSE)/12)*(VLOOKUP($I974,'Pricing Table - eff 27-Jan-2026'!$A:$Q,9,FALSE)/12))/5,0)*5</f>
        <v>#N/A</v>
      </c>
      <c r="R974" s="71" t="e">
        <f>$Q974/IFERROR(VLOOKUP($F974&amp;RIGHT($K974,8),'Master Data'!$O$5:$P$10,2,FALSE),'Master Data'!$P$4)</f>
        <v>#N/A</v>
      </c>
      <c r="S974" s="57" t="e">
        <f>VLOOKUP($I974,'Pricing Table - eff 27-Jan-2026'!$A:$Q,16,FALSE)</f>
        <v>#N/A</v>
      </c>
      <c r="T974" s="57" t="e">
        <f>VLOOKUP(I974,'Pricing Table - eff 27-Jan-2026'!$A:$O,15,FALSE)</f>
        <v>#N/A</v>
      </c>
      <c r="U974" s="57" t="e">
        <f t="shared" si="39"/>
        <v>#N/A</v>
      </c>
      <c r="V974" s="111" t="e">
        <f t="shared" si="40"/>
        <v>#N/A</v>
      </c>
      <c r="W974" s="55" t="e">
        <f>VLOOKUP($I974,'Pricing Table - eff 27-Jan-2026'!$A:$R,18,FALSE)</f>
        <v>#N/A</v>
      </c>
    </row>
    <row r="975" spans="1:23" hidden="1" x14ac:dyDescent="0.3">
      <c r="A975" s="55"/>
      <c r="B975" s="55"/>
      <c r="C975" s="55">
        <f>VLOOKUP(A975&amp;"-"&amp;B975,'Order Summary'!$D:$E,2,FALSE)</f>
        <v>0</v>
      </c>
      <c r="D975" s="216" t="str">
        <f>IF($A975="","",VLOOKUP($A975&amp;"-"&amp;$B975,'Order Summary'!$D:$U,3,FALSE))</f>
        <v/>
      </c>
      <c r="E975" s="55" t="str">
        <f>VLOOKUP(A975&amp;"-"&amp;B975,'Order Summary'!$D:$G,4,FALSE)</f>
        <v>Yes</v>
      </c>
      <c r="F975" s="55" t="e">
        <f>VLOOKUP($A975,'Order Summary'!$B:$I,8,FALSE)</f>
        <v>#N/A</v>
      </c>
      <c r="G975" s="216" t="str">
        <f>IF($A975="","",VLOOKUP($A975&amp;"-"&amp;$B975,'Order Summary'!$D:$U,18,FALSE))</f>
        <v/>
      </c>
      <c r="H975" s="55"/>
      <c r="I975" s="55"/>
      <c r="J975" s="55" t="e">
        <f>VLOOKUP($I975,'Pricing Table - eff 27-Jan-2026'!$A:$R,2,FALSE)</f>
        <v>#N/A</v>
      </c>
      <c r="K975" s="55" t="e">
        <f>VLOOKUP($I975,'Pricing Table - eff 27-Jan-2026'!$A:$R,6,FALSE)&amp;" "&amp;VLOOKUP($I975,'Pricing Table - eff 27-Jan-2026'!$A:$R,7,FALSE)&amp;""" x "&amp;VLOOKUP($I975,'Pricing Table - eff 27-Jan-2026'!$A:$R,9,FALSE)&amp;""" "&amp;VLOOKUP($I975,'Pricing Table - eff 27-Jan-2026'!$A:$R,5,FALSE)</f>
        <v>#N/A</v>
      </c>
      <c r="L975" s="55" t="e">
        <f>VLOOKUP($I975,'Pricing Table - eff 27-Jan-2026'!$A:$K,8,FALSE)</f>
        <v>#N/A</v>
      </c>
      <c r="M975" s="55" t="e">
        <f>VLOOKUP($I975,'Pricing Table - eff 27-Jan-2026'!$A:$K,10,FALSE)</f>
        <v>#N/A</v>
      </c>
      <c r="N975" s="55" t="e">
        <f>VLOOKUP($I975,'Pricing Table - eff 27-Jan-2026'!$A:$R,13,FALSE)&amp;" "&amp;VLOOKUP($I975,'Pricing Table - eff 27-Jan-2026'!$A:$R,12,FALSE)</f>
        <v>#N/A</v>
      </c>
      <c r="O975" s="56"/>
      <c r="P975" s="55" t="e">
        <f>(VLOOKUP($I975,'Pricing Table - eff 27-Jan-2026'!$A:$R,8,FALSE)/1000)*(VLOOKUP($I975,'Pricing Table - eff 27-Jan-2026'!$A:$R,10,FALSE)/1000)*Q975</f>
        <v>#N/A</v>
      </c>
      <c r="Q975" s="55" t="e">
        <f>ROUND(('Order Details'!$O975*1000)/((VLOOKUP($I975,'Pricing Table - eff 27-Jan-2026'!$A:$Q,7,FALSE)/12)*(VLOOKUP($I975,'Pricing Table - eff 27-Jan-2026'!$A:$Q,9,FALSE)/12))/5,0)*5</f>
        <v>#N/A</v>
      </c>
      <c r="R975" s="71" t="e">
        <f>$Q975/IFERROR(VLOOKUP($F975&amp;RIGHT($K975,8),'Master Data'!$O$5:$P$10,2,FALSE),'Master Data'!$P$4)</f>
        <v>#N/A</v>
      </c>
      <c r="S975" s="57" t="e">
        <f>VLOOKUP($I975,'Pricing Table - eff 27-Jan-2026'!$A:$Q,16,FALSE)</f>
        <v>#N/A</v>
      </c>
      <c r="T975" s="57" t="e">
        <f>VLOOKUP(I975,'Pricing Table - eff 27-Jan-2026'!$A:$O,15,FALSE)</f>
        <v>#N/A</v>
      </c>
      <c r="U975" s="57" t="e">
        <f t="shared" si="39"/>
        <v>#N/A</v>
      </c>
      <c r="V975" s="111" t="e">
        <f t="shared" si="40"/>
        <v>#N/A</v>
      </c>
      <c r="W975" s="55" t="e">
        <f>VLOOKUP($I975,'Pricing Table - eff 27-Jan-2026'!$A:$R,18,FALSE)</f>
        <v>#N/A</v>
      </c>
    </row>
    <row r="976" spans="1:23" hidden="1" x14ac:dyDescent="0.3">
      <c r="A976" s="55"/>
      <c r="B976" s="55"/>
      <c r="C976" s="55">
        <f>VLOOKUP(A976&amp;"-"&amp;B976,'Order Summary'!$D:$E,2,FALSE)</f>
        <v>0</v>
      </c>
      <c r="D976" s="216" t="str">
        <f>IF($A976="","",VLOOKUP($A976&amp;"-"&amp;$B976,'Order Summary'!$D:$U,3,FALSE))</f>
        <v/>
      </c>
      <c r="E976" s="55" t="str">
        <f>VLOOKUP(A976&amp;"-"&amp;B976,'Order Summary'!$D:$G,4,FALSE)</f>
        <v>Yes</v>
      </c>
      <c r="F976" s="55" t="e">
        <f>VLOOKUP($A976,'Order Summary'!$B:$I,8,FALSE)</f>
        <v>#N/A</v>
      </c>
      <c r="G976" s="216" t="str">
        <f>IF($A976="","",VLOOKUP($A976&amp;"-"&amp;$B976,'Order Summary'!$D:$U,18,FALSE))</f>
        <v/>
      </c>
      <c r="H976" s="55"/>
      <c r="I976" s="55"/>
      <c r="J976" s="55" t="e">
        <f>VLOOKUP($I976,'Pricing Table - eff 27-Jan-2026'!$A:$R,2,FALSE)</f>
        <v>#N/A</v>
      </c>
      <c r="K976" s="55" t="e">
        <f>VLOOKUP($I976,'Pricing Table - eff 27-Jan-2026'!$A:$R,6,FALSE)&amp;" "&amp;VLOOKUP($I976,'Pricing Table - eff 27-Jan-2026'!$A:$R,7,FALSE)&amp;""" x "&amp;VLOOKUP($I976,'Pricing Table - eff 27-Jan-2026'!$A:$R,9,FALSE)&amp;""" "&amp;VLOOKUP($I976,'Pricing Table - eff 27-Jan-2026'!$A:$R,5,FALSE)</f>
        <v>#N/A</v>
      </c>
      <c r="L976" s="55" t="e">
        <f>VLOOKUP($I976,'Pricing Table - eff 27-Jan-2026'!$A:$K,8,FALSE)</f>
        <v>#N/A</v>
      </c>
      <c r="M976" s="55" t="e">
        <f>VLOOKUP($I976,'Pricing Table - eff 27-Jan-2026'!$A:$K,10,FALSE)</f>
        <v>#N/A</v>
      </c>
      <c r="N976" s="55" t="e">
        <f>VLOOKUP($I976,'Pricing Table - eff 27-Jan-2026'!$A:$R,13,FALSE)&amp;" "&amp;VLOOKUP($I976,'Pricing Table - eff 27-Jan-2026'!$A:$R,12,FALSE)</f>
        <v>#N/A</v>
      </c>
      <c r="O976" s="56"/>
      <c r="P976" s="55" t="e">
        <f>(VLOOKUP($I976,'Pricing Table - eff 27-Jan-2026'!$A:$R,8,FALSE)/1000)*(VLOOKUP($I976,'Pricing Table - eff 27-Jan-2026'!$A:$R,10,FALSE)/1000)*Q976</f>
        <v>#N/A</v>
      </c>
      <c r="Q976" s="55" t="e">
        <f>ROUND(('Order Details'!$O976*1000)/((VLOOKUP($I976,'Pricing Table - eff 27-Jan-2026'!$A:$Q,7,FALSE)/12)*(VLOOKUP($I976,'Pricing Table - eff 27-Jan-2026'!$A:$Q,9,FALSE)/12))/5,0)*5</f>
        <v>#N/A</v>
      </c>
      <c r="R976" s="71" t="e">
        <f>$Q976/IFERROR(VLOOKUP($F976&amp;RIGHT($K976,8),'Master Data'!$O$5:$P$10,2,FALSE),'Master Data'!$P$4)</f>
        <v>#N/A</v>
      </c>
      <c r="S976" s="57" t="e">
        <f>VLOOKUP($I976,'Pricing Table - eff 27-Jan-2026'!$A:$Q,16,FALSE)</f>
        <v>#N/A</v>
      </c>
      <c r="T976" s="57" t="e">
        <f>VLOOKUP(I976,'Pricing Table - eff 27-Jan-2026'!$A:$O,15,FALSE)</f>
        <v>#N/A</v>
      </c>
      <c r="U976" s="57" t="e">
        <f t="shared" si="39"/>
        <v>#N/A</v>
      </c>
      <c r="V976" s="111" t="e">
        <f t="shared" si="40"/>
        <v>#N/A</v>
      </c>
      <c r="W976" s="55" t="e">
        <f>VLOOKUP($I976,'Pricing Table - eff 27-Jan-2026'!$A:$R,18,FALSE)</f>
        <v>#N/A</v>
      </c>
    </row>
    <row r="977" spans="1:23" hidden="1" x14ac:dyDescent="0.3">
      <c r="A977" s="55"/>
      <c r="B977" s="55"/>
      <c r="C977" s="55">
        <f>VLOOKUP(A977&amp;"-"&amp;B977,'Order Summary'!$D:$E,2,FALSE)</f>
        <v>0</v>
      </c>
      <c r="D977" s="216" t="str">
        <f>IF($A977="","",VLOOKUP($A977&amp;"-"&amp;$B977,'Order Summary'!$D:$U,3,FALSE))</f>
        <v/>
      </c>
      <c r="E977" s="55" t="str">
        <f>VLOOKUP(A977&amp;"-"&amp;B977,'Order Summary'!$D:$G,4,FALSE)</f>
        <v>Yes</v>
      </c>
      <c r="F977" s="55" t="e">
        <f>VLOOKUP($A977,'Order Summary'!$B:$I,8,FALSE)</f>
        <v>#N/A</v>
      </c>
      <c r="G977" s="216" t="str">
        <f>IF($A977="","",VLOOKUP($A977&amp;"-"&amp;$B977,'Order Summary'!$D:$U,18,FALSE))</f>
        <v/>
      </c>
      <c r="H977" s="55"/>
      <c r="I977" s="55"/>
      <c r="J977" s="55" t="e">
        <f>VLOOKUP($I977,'Pricing Table - eff 27-Jan-2026'!$A:$R,2,FALSE)</f>
        <v>#N/A</v>
      </c>
      <c r="K977" s="55" t="e">
        <f>VLOOKUP($I977,'Pricing Table - eff 27-Jan-2026'!$A:$R,6,FALSE)&amp;" "&amp;VLOOKUP($I977,'Pricing Table - eff 27-Jan-2026'!$A:$R,7,FALSE)&amp;""" x "&amp;VLOOKUP($I977,'Pricing Table - eff 27-Jan-2026'!$A:$R,9,FALSE)&amp;""" "&amp;VLOOKUP($I977,'Pricing Table - eff 27-Jan-2026'!$A:$R,5,FALSE)</f>
        <v>#N/A</v>
      </c>
      <c r="L977" s="55" t="e">
        <f>VLOOKUP($I977,'Pricing Table - eff 27-Jan-2026'!$A:$K,8,FALSE)</f>
        <v>#N/A</v>
      </c>
      <c r="M977" s="55" t="e">
        <f>VLOOKUP($I977,'Pricing Table - eff 27-Jan-2026'!$A:$K,10,FALSE)</f>
        <v>#N/A</v>
      </c>
      <c r="N977" s="55" t="e">
        <f>VLOOKUP($I977,'Pricing Table - eff 27-Jan-2026'!$A:$R,13,FALSE)&amp;" "&amp;VLOOKUP($I977,'Pricing Table - eff 27-Jan-2026'!$A:$R,12,FALSE)</f>
        <v>#N/A</v>
      </c>
      <c r="O977" s="56"/>
      <c r="P977" s="55" t="e">
        <f>(VLOOKUP($I977,'Pricing Table - eff 27-Jan-2026'!$A:$R,8,FALSE)/1000)*(VLOOKUP($I977,'Pricing Table - eff 27-Jan-2026'!$A:$R,10,FALSE)/1000)*Q977</f>
        <v>#N/A</v>
      </c>
      <c r="Q977" s="55" t="e">
        <f>ROUND(('Order Details'!$O977*1000)/((VLOOKUP($I977,'Pricing Table - eff 27-Jan-2026'!$A:$Q,7,FALSE)/12)*(VLOOKUP($I977,'Pricing Table - eff 27-Jan-2026'!$A:$Q,9,FALSE)/12))/5,0)*5</f>
        <v>#N/A</v>
      </c>
      <c r="R977" s="71" t="e">
        <f>$Q977/IFERROR(VLOOKUP($F977&amp;RIGHT($K977,8),'Master Data'!$O$5:$P$10,2,FALSE),'Master Data'!$P$4)</f>
        <v>#N/A</v>
      </c>
      <c r="S977" s="57" t="e">
        <f>VLOOKUP($I977,'Pricing Table - eff 27-Jan-2026'!$A:$Q,16,FALSE)</f>
        <v>#N/A</v>
      </c>
      <c r="T977" s="57" t="e">
        <f>VLOOKUP(I977,'Pricing Table - eff 27-Jan-2026'!$A:$O,15,FALSE)</f>
        <v>#N/A</v>
      </c>
      <c r="U977" s="57" t="e">
        <f t="shared" si="39"/>
        <v>#N/A</v>
      </c>
      <c r="V977" s="111" t="e">
        <f t="shared" si="40"/>
        <v>#N/A</v>
      </c>
      <c r="W977" s="55" t="e">
        <f>VLOOKUP($I977,'Pricing Table - eff 27-Jan-2026'!$A:$R,18,FALSE)</f>
        <v>#N/A</v>
      </c>
    </row>
    <row r="978" spans="1:23" hidden="1" x14ac:dyDescent="0.3">
      <c r="A978" s="55"/>
      <c r="B978" s="55"/>
      <c r="C978" s="55">
        <f>VLOOKUP(A978&amp;"-"&amp;B978,'Order Summary'!$D:$E,2,FALSE)</f>
        <v>0</v>
      </c>
      <c r="D978" s="216" t="str">
        <f>IF($A978="","",VLOOKUP($A978&amp;"-"&amp;$B978,'Order Summary'!$D:$U,3,FALSE))</f>
        <v/>
      </c>
      <c r="E978" s="55" t="str">
        <f>VLOOKUP(A978&amp;"-"&amp;B978,'Order Summary'!$D:$G,4,FALSE)</f>
        <v>Yes</v>
      </c>
      <c r="F978" s="55" t="e">
        <f>VLOOKUP($A978,'Order Summary'!$B:$I,8,FALSE)</f>
        <v>#N/A</v>
      </c>
      <c r="G978" s="216" t="str">
        <f>IF($A978="","",VLOOKUP($A978&amp;"-"&amp;$B978,'Order Summary'!$D:$U,18,FALSE))</f>
        <v/>
      </c>
      <c r="H978" s="55"/>
      <c r="I978" s="55"/>
      <c r="J978" s="55" t="e">
        <f>VLOOKUP($I978,'Pricing Table - eff 27-Jan-2026'!$A:$R,2,FALSE)</f>
        <v>#N/A</v>
      </c>
      <c r="K978" s="55" t="e">
        <f>VLOOKUP($I978,'Pricing Table - eff 27-Jan-2026'!$A:$R,6,FALSE)&amp;" "&amp;VLOOKUP($I978,'Pricing Table - eff 27-Jan-2026'!$A:$R,7,FALSE)&amp;""" x "&amp;VLOOKUP($I978,'Pricing Table - eff 27-Jan-2026'!$A:$R,9,FALSE)&amp;""" "&amp;VLOOKUP($I978,'Pricing Table - eff 27-Jan-2026'!$A:$R,5,FALSE)</f>
        <v>#N/A</v>
      </c>
      <c r="L978" s="55" t="e">
        <f>VLOOKUP($I978,'Pricing Table - eff 27-Jan-2026'!$A:$K,8,FALSE)</f>
        <v>#N/A</v>
      </c>
      <c r="M978" s="55" t="e">
        <f>VLOOKUP($I978,'Pricing Table - eff 27-Jan-2026'!$A:$K,10,FALSE)</f>
        <v>#N/A</v>
      </c>
      <c r="N978" s="55" t="e">
        <f>VLOOKUP($I978,'Pricing Table - eff 27-Jan-2026'!$A:$R,13,FALSE)&amp;" "&amp;VLOOKUP($I978,'Pricing Table - eff 27-Jan-2026'!$A:$R,12,FALSE)</f>
        <v>#N/A</v>
      </c>
      <c r="O978" s="56"/>
      <c r="P978" s="55" t="e">
        <f>(VLOOKUP($I978,'Pricing Table - eff 27-Jan-2026'!$A:$R,8,FALSE)/1000)*(VLOOKUP($I978,'Pricing Table - eff 27-Jan-2026'!$A:$R,10,FALSE)/1000)*Q978</f>
        <v>#N/A</v>
      </c>
      <c r="Q978" s="55" t="e">
        <f>ROUND(('Order Details'!$O978*1000)/((VLOOKUP($I978,'Pricing Table - eff 27-Jan-2026'!$A:$Q,7,FALSE)/12)*(VLOOKUP($I978,'Pricing Table - eff 27-Jan-2026'!$A:$Q,9,FALSE)/12))/5,0)*5</f>
        <v>#N/A</v>
      </c>
      <c r="R978" s="71" t="e">
        <f>$Q978/IFERROR(VLOOKUP($F978&amp;RIGHT($K978,8),'Master Data'!$O$5:$P$10,2,FALSE),'Master Data'!$P$4)</f>
        <v>#N/A</v>
      </c>
      <c r="S978" s="57" t="e">
        <f>VLOOKUP($I978,'Pricing Table - eff 27-Jan-2026'!$A:$Q,16,FALSE)</f>
        <v>#N/A</v>
      </c>
      <c r="T978" s="57" t="e">
        <f>VLOOKUP(I978,'Pricing Table - eff 27-Jan-2026'!$A:$O,15,FALSE)</f>
        <v>#N/A</v>
      </c>
      <c r="U978" s="57" t="e">
        <f t="shared" si="39"/>
        <v>#N/A</v>
      </c>
      <c r="V978" s="111" t="e">
        <f t="shared" si="40"/>
        <v>#N/A</v>
      </c>
      <c r="W978" s="55" t="e">
        <f>VLOOKUP($I978,'Pricing Table - eff 27-Jan-2026'!$A:$R,18,FALSE)</f>
        <v>#N/A</v>
      </c>
    </row>
    <row r="979" spans="1:23" hidden="1" x14ac:dyDescent="0.3">
      <c r="A979" s="55"/>
      <c r="B979" s="55"/>
      <c r="C979" s="55">
        <f>VLOOKUP(A979&amp;"-"&amp;B979,'Order Summary'!$D:$E,2,FALSE)</f>
        <v>0</v>
      </c>
      <c r="D979" s="216" t="str">
        <f>IF($A979="","",VLOOKUP($A979&amp;"-"&amp;$B979,'Order Summary'!$D:$U,3,FALSE))</f>
        <v/>
      </c>
      <c r="E979" s="55" t="str">
        <f>VLOOKUP(A979&amp;"-"&amp;B979,'Order Summary'!$D:$G,4,FALSE)</f>
        <v>Yes</v>
      </c>
      <c r="F979" s="55" t="e">
        <f>VLOOKUP($A979,'Order Summary'!$B:$I,8,FALSE)</f>
        <v>#N/A</v>
      </c>
      <c r="G979" s="216" t="str">
        <f>IF($A979="","",VLOOKUP($A979&amp;"-"&amp;$B979,'Order Summary'!$D:$U,18,FALSE))</f>
        <v/>
      </c>
      <c r="H979" s="55"/>
      <c r="I979" s="55"/>
      <c r="J979" s="55" t="e">
        <f>VLOOKUP($I979,'Pricing Table - eff 27-Jan-2026'!$A:$R,2,FALSE)</f>
        <v>#N/A</v>
      </c>
      <c r="K979" s="55" t="e">
        <f>VLOOKUP($I979,'Pricing Table - eff 27-Jan-2026'!$A:$R,6,FALSE)&amp;" "&amp;VLOOKUP($I979,'Pricing Table - eff 27-Jan-2026'!$A:$R,7,FALSE)&amp;""" x "&amp;VLOOKUP($I979,'Pricing Table - eff 27-Jan-2026'!$A:$R,9,FALSE)&amp;""" "&amp;VLOOKUP($I979,'Pricing Table - eff 27-Jan-2026'!$A:$R,5,FALSE)</f>
        <v>#N/A</v>
      </c>
      <c r="L979" s="55" t="e">
        <f>VLOOKUP($I979,'Pricing Table - eff 27-Jan-2026'!$A:$K,8,FALSE)</f>
        <v>#N/A</v>
      </c>
      <c r="M979" s="55" t="e">
        <f>VLOOKUP($I979,'Pricing Table - eff 27-Jan-2026'!$A:$K,10,FALSE)</f>
        <v>#N/A</v>
      </c>
      <c r="N979" s="55" t="e">
        <f>VLOOKUP($I979,'Pricing Table - eff 27-Jan-2026'!$A:$R,13,FALSE)&amp;" "&amp;VLOOKUP($I979,'Pricing Table - eff 27-Jan-2026'!$A:$R,12,FALSE)</f>
        <v>#N/A</v>
      </c>
      <c r="O979" s="56"/>
      <c r="P979" s="55" t="e">
        <f>(VLOOKUP($I979,'Pricing Table - eff 27-Jan-2026'!$A:$R,8,FALSE)/1000)*(VLOOKUP($I979,'Pricing Table - eff 27-Jan-2026'!$A:$R,10,FALSE)/1000)*Q979</f>
        <v>#N/A</v>
      </c>
      <c r="Q979" s="55" t="e">
        <f>ROUND(('Order Details'!$O979*1000)/((VLOOKUP($I979,'Pricing Table - eff 27-Jan-2026'!$A:$Q,7,FALSE)/12)*(VLOOKUP($I979,'Pricing Table - eff 27-Jan-2026'!$A:$Q,9,FALSE)/12))/5,0)*5</f>
        <v>#N/A</v>
      </c>
      <c r="R979" s="71" t="e">
        <f>$Q979/IFERROR(VLOOKUP($F979&amp;RIGHT($K979,8),'Master Data'!$O$5:$P$10,2,FALSE),'Master Data'!$P$4)</f>
        <v>#N/A</v>
      </c>
      <c r="S979" s="57" t="e">
        <f>VLOOKUP($I979,'Pricing Table - eff 27-Jan-2026'!$A:$Q,16,FALSE)</f>
        <v>#N/A</v>
      </c>
      <c r="T979" s="57" t="e">
        <f>VLOOKUP(I979,'Pricing Table - eff 27-Jan-2026'!$A:$O,15,FALSE)</f>
        <v>#N/A</v>
      </c>
      <c r="U979" s="57" t="e">
        <f t="shared" si="39"/>
        <v>#N/A</v>
      </c>
      <c r="V979" s="111" t="e">
        <f t="shared" si="40"/>
        <v>#N/A</v>
      </c>
      <c r="W979" s="55" t="e">
        <f>VLOOKUP($I979,'Pricing Table - eff 27-Jan-2026'!$A:$R,18,FALSE)</f>
        <v>#N/A</v>
      </c>
    </row>
    <row r="980" spans="1:23" hidden="1" x14ac:dyDescent="0.3">
      <c r="A980" s="55"/>
      <c r="B980" s="55"/>
      <c r="C980" s="55">
        <f>VLOOKUP(A980&amp;"-"&amp;B980,'Order Summary'!$D:$E,2,FALSE)</f>
        <v>0</v>
      </c>
      <c r="D980" s="216" t="str">
        <f>IF($A980="","",VLOOKUP($A980&amp;"-"&amp;$B980,'Order Summary'!$D:$U,3,FALSE))</f>
        <v/>
      </c>
      <c r="E980" s="55" t="str">
        <f>VLOOKUP(A980&amp;"-"&amp;B980,'Order Summary'!$D:$G,4,FALSE)</f>
        <v>Yes</v>
      </c>
      <c r="F980" s="55" t="e">
        <f>VLOOKUP($A980,'Order Summary'!$B:$I,8,FALSE)</f>
        <v>#N/A</v>
      </c>
      <c r="G980" s="216" t="str">
        <f>IF($A980="","",VLOOKUP($A980&amp;"-"&amp;$B980,'Order Summary'!$D:$U,18,FALSE))</f>
        <v/>
      </c>
      <c r="H980" s="55"/>
      <c r="I980" s="55"/>
      <c r="J980" s="55" t="e">
        <f>VLOOKUP($I980,'Pricing Table - eff 27-Jan-2026'!$A:$R,2,FALSE)</f>
        <v>#N/A</v>
      </c>
      <c r="K980" s="55" t="e">
        <f>VLOOKUP($I980,'Pricing Table - eff 27-Jan-2026'!$A:$R,6,FALSE)&amp;" "&amp;VLOOKUP($I980,'Pricing Table - eff 27-Jan-2026'!$A:$R,7,FALSE)&amp;""" x "&amp;VLOOKUP($I980,'Pricing Table - eff 27-Jan-2026'!$A:$R,9,FALSE)&amp;""" "&amp;VLOOKUP($I980,'Pricing Table - eff 27-Jan-2026'!$A:$R,5,FALSE)</f>
        <v>#N/A</v>
      </c>
      <c r="L980" s="55" t="e">
        <f>VLOOKUP($I980,'Pricing Table - eff 27-Jan-2026'!$A:$K,8,FALSE)</f>
        <v>#N/A</v>
      </c>
      <c r="M980" s="55" t="e">
        <f>VLOOKUP($I980,'Pricing Table - eff 27-Jan-2026'!$A:$K,10,FALSE)</f>
        <v>#N/A</v>
      </c>
      <c r="N980" s="55" t="e">
        <f>VLOOKUP($I980,'Pricing Table - eff 27-Jan-2026'!$A:$R,13,FALSE)&amp;" "&amp;VLOOKUP($I980,'Pricing Table - eff 27-Jan-2026'!$A:$R,12,FALSE)</f>
        <v>#N/A</v>
      </c>
      <c r="O980" s="56"/>
      <c r="P980" s="55" t="e">
        <f>(VLOOKUP($I980,'Pricing Table - eff 27-Jan-2026'!$A:$R,8,FALSE)/1000)*(VLOOKUP($I980,'Pricing Table - eff 27-Jan-2026'!$A:$R,10,FALSE)/1000)*Q980</f>
        <v>#N/A</v>
      </c>
      <c r="Q980" s="55" t="e">
        <f>ROUND(('Order Details'!$O980*1000)/((VLOOKUP($I980,'Pricing Table - eff 27-Jan-2026'!$A:$Q,7,FALSE)/12)*(VLOOKUP($I980,'Pricing Table - eff 27-Jan-2026'!$A:$Q,9,FALSE)/12))/5,0)*5</f>
        <v>#N/A</v>
      </c>
      <c r="R980" s="71" t="e">
        <f>$Q980/IFERROR(VLOOKUP($F980&amp;RIGHT($K980,8),'Master Data'!$O$5:$P$10,2,FALSE),'Master Data'!$P$4)</f>
        <v>#N/A</v>
      </c>
      <c r="S980" s="57" t="e">
        <f>VLOOKUP($I980,'Pricing Table - eff 27-Jan-2026'!$A:$Q,16,FALSE)</f>
        <v>#N/A</v>
      </c>
      <c r="T980" s="57" t="e">
        <f>VLOOKUP(I980,'Pricing Table - eff 27-Jan-2026'!$A:$O,15,FALSE)</f>
        <v>#N/A</v>
      </c>
      <c r="U980" s="57" t="e">
        <f t="shared" si="39"/>
        <v>#N/A</v>
      </c>
      <c r="V980" s="111" t="e">
        <f t="shared" si="40"/>
        <v>#N/A</v>
      </c>
      <c r="W980" s="55" t="e">
        <f>VLOOKUP($I980,'Pricing Table - eff 27-Jan-2026'!$A:$R,18,FALSE)</f>
        <v>#N/A</v>
      </c>
    </row>
    <row r="981" spans="1:23" hidden="1" x14ac:dyDescent="0.3">
      <c r="A981" s="55"/>
      <c r="B981" s="55"/>
      <c r="C981" s="55">
        <f>VLOOKUP(A981&amp;"-"&amp;B981,'Order Summary'!$D:$E,2,FALSE)</f>
        <v>0</v>
      </c>
      <c r="D981" s="216" t="str">
        <f>IF($A981="","",VLOOKUP($A981&amp;"-"&amp;$B981,'Order Summary'!$D:$U,3,FALSE))</f>
        <v/>
      </c>
      <c r="E981" s="55" t="str">
        <f>VLOOKUP(A981&amp;"-"&amp;B981,'Order Summary'!$D:$G,4,FALSE)</f>
        <v>Yes</v>
      </c>
      <c r="F981" s="55" t="e">
        <f>VLOOKUP($A981,'Order Summary'!$B:$I,8,FALSE)</f>
        <v>#N/A</v>
      </c>
      <c r="G981" s="216" t="str">
        <f>IF($A981="","",VLOOKUP($A981&amp;"-"&amp;$B981,'Order Summary'!$D:$U,18,FALSE))</f>
        <v/>
      </c>
      <c r="H981" s="55"/>
      <c r="I981" s="55"/>
      <c r="J981" s="55" t="e">
        <f>VLOOKUP($I981,'Pricing Table - eff 27-Jan-2026'!$A:$R,2,FALSE)</f>
        <v>#N/A</v>
      </c>
      <c r="K981" s="55" t="e">
        <f>VLOOKUP($I981,'Pricing Table - eff 27-Jan-2026'!$A:$R,6,FALSE)&amp;" "&amp;VLOOKUP($I981,'Pricing Table - eff 27-Jan-2026'!$A:$R,7,FALSE)&amp;""" x "&amp;VLOOKUP($I981,'Pricing Table - eff 27-Jan-2026'!$A:$R,9,FALSE)&amp;""" "&amp;VLOOKUP($I981,'Pricing Table - eff 27-Jan-2026'!$A:$R,5,FALSE)</f>
        <v>#N/A</v>
      </c>
      <c r="L981" s="55" t="e">
        <f>VLOOKUP($I981,'Pricing Table - eff 27-Jan-2026'!$A:$K,8,FALSE)</f>
        <v>#N/A</v>
      </c>
      <c r="M981" s="55" t="e">
        <f>VLOOKUP($I981,'Pricing Table - eff 27-Jan-2026'!$A:$K,10,FALSE)</f>
        <v>#N/A</v>
      </c>
      <c r="N981" s="55" t="e">
        <f>VLOOKUP($I981,'Pricing Table - eff 27-Jan-2026'!$A:$R,13,FALSE)&amp;" "&amp;VLOOKUP($I981,'Pricing Table - eff 27-Jan-2026'!$A:$R,12,FALSE)</f>
        <v>#N/A</v>
      </c>
      <c r="O981" s="56"/>
      <c r="P981" s="55" t="e">
        <f>(VLOOKUP($I981,'Pricing Table - eff 27-Jan-2026'!$A:$R,8,FALSE)/1000)*(VLOOKUP($I981,'Pricing Table - eff 27-Jan-2026'!$A:$R,10,FALSE)/1000)*Q981</f>
        <v>#N/A</v>
      </c>
      <c r="Q981" s="55" t="e">
        <f>ROUND(('Order Details'!$O981*1000)/((VLOOKUP($I981,'Pricing Table - eff 27-Jan-2026'!$A:$Q,7,FALSE)/12)*(VLOOKUP($I981,'Pricing Table - eff 27-Jan-2026'!$A:$Q,9,FALSE)/12))/5,0)*5</f>
        <v>#N/A</v>
      </c>
      <c r="R981" s="71" t="e">
        <f>$Q981/IFERROR(VLOOKUP($F981&amp;RIGHT($K981,8),'Master Data'!$O$5:$P$10,2,FALSE),'Master Data'!$P$4)</f>
        <v>#N/A</v>
      </c>
      <c r="S981" s="57" t="e">
        <f>VLOOKUP($I981,'Pricing Table - eff 27-Jan-2026'!$A:$Q,16,FALSE)</f>
        <v>#N/A</v>
      </c>
      <c r="T981" s="57" t="e">
        <f>VLOOKUP(I981,'Pricing Table - eff 27-Jan-2026'!$A:$O,15,FALSE)</f>
        <v>#N/A</v>
      </c>
      <c r="U981" s="57" t="e">
        <f t="shared" si="39"/>
        <v>#N/A</v>
      </c>
      <c r="V981" s="111" t="e">
        <f t="shared" si="40"/>
        <v>#N/A</v>
      </c>
      <c r="W981" s="55" t="e">
        <f>VLOOKUP($I981,'Pricing Table - eff 27-Jan-2026'!$A:$R,18,FALSE)</f>
        <v>#N/A</v>
      </c>
    </row>
    <row r="982" spans="1:23" hidden="1" x14ac:dyDescent="0.3">
      <c r="A982" s="55"/>
      <c r="B982" s="55"/>
      <c r="C982" s="55">
        <f>VLOOKUP(A982&amp;"-"&amp;B982,'Order Summary'!$D:$E,2,FALSE)</f>
        <v>0</v>
      </c>
      <c r="D982" s="216" t="str">
        <f>IF($A982="","",VLOOKUP($A982&amp;"-"&amp;$B982,'Order Summary'!$D:$U,3,FALSE))</f>
        <v/>
      </c>
      <c r="E982" s="55" t="str">
        <f>VLOOKUP(A982&amp;"-"&amp;B982,'Order Summary'!$D:$G,4,FALSE)</f>
        <v>Yes</v>
      </c>
      <c r="F982" s="55" t="e">
        <f>VLOOKUP($A982,'Order Summary'!$B:$I,8,FALSE)</f>
        <v>#N/A</v>
      </c>
      <c r="G982" s="216" t="str">
        <f>IF($A982="","",VLOOKUP($A982&amp;"-"&amp;$B982,'Order Summary'!$D:$U,18,FALSE))</f>
        <v/>
      </c>
      <c r="H982" s="55"/>
      <c r="I982" s="55"/>
      <c r="J982" s="55" t="e">
        <f>VLOOKUP($I982,'Pricing Table - eff 27-Jan-2026'!$A:$R,2,FALSE)</f>
        <v>#N/A</v>
      </c>
      <c r="K982" s="55" t="e">
        <f>VLOOKUP($I982,'Pricing Table - eff 27-Jan-2026'!$A:$R,6,FALSE)&amp;" "&amp;VLOOKUP($I982,'Pricing Table - eff 27-Jan-2026'!$A:$R,7,FALSE)&amp;""" x "&amp;VLOOKUP($I982,'Pricing Table - eff 27-Jan-2026'!$A:$R,9,FALSE)&amp;""" "&amp;VLOOKUP($I982,'Pricing Table - eff 27-Jan-2026'!$A:$R,5,FALSE)</f>
        <v>#N/A</v>
      </c>
      <c r="L982" s="55" t="e">
        <f>VLOOKUP($I982,'Pricing Table - eff 27-Jan-2026'!$A:$K,8,FALSE)</f>
        <v>#N/A</v>
      </c>
      <c r="M982" s="55" t="e">
        <f>VLOOKUP($I982,'Pricing Table - eff 27-Jan-2026'!$A:$K,10,FALSE)</f>
        <v>#N/A</v>
      </c>
      <c r="N982" s="55" t="e">
        <f>VLOOKUP($I982,'Pricing Table - eff 27-Jan-2026'!$A:$R,13,FALSE)&amp;" "&amp;VLOOKUP($I982,'Pricing Table - eff 27-Jan-2026'!$A:$R,12,FALSE)</f>
        <v>#N/A</v>
      </c>
      <c r="O982" s="56"/>
      <c r="P982" s="55" t="e">
        <f>(VLOOKUP($I982,'Pricing Table - eff 27-Jan-2026'!$A:$R,8,FALSE)/1000)*(VLOOKUP($I982,'Pricing Table - eff 27-Jan-2026'!$A:$R,10,FALSE)/1000)*Q982</f>
        <v>#N/A</v>
      </c>
      <c r="Q982" s="55" t="e">
        <f>ROUND(('Order Details'!$O982*1000)/((VLOOKUP($I982,'Pricing Table - eff 27-Jan-2026'!$A:$Q,7,FALSE)/12)*(VLOOKUP($I982,'Pricing Table - eff 27-Jan-2026'!$A:$Q,9,FALSE)/12))/5,0)*5</f>
        <v>#N/A</v>
      </c>
      <c r="R982" s="71" t="e">
        <f>$Q982/IFERROR(VLOOKUP($F982&amp;RIGHT($K982,8),'Master Data'!$O$5:$P$10,2,FALSE),'Master Data'!$P$4)</f>
        <v>#N/A</v>
      </c>
      <c r="S982" s="57" t="e">
        <f>VLOOKUP($I982,'Pricing Table - eff 27-Jan-2026'!$A:$Q,16,FALSE)</f>
        <v>#N/A</v>
      </c>
      <c r="T982" s="57" t="e">
        <f>VLOOKUP(I982,'Pricing Table - eff 27-Jan-2026'!$A:$O,15,FALSE)</f>
        <v>#N/A</v>
      </c>
      <c r="U982" s="57" t="e">
        <f t="shared" si="39"/>
        <v>#N/A</v>
      </c>
      <c r="V982" s="111" t="e">
        <f t="shared" si="40"/>
        <v>#N/A</v>
      </c>
      <c r="W982" s="55" t="e">
        <f>VLOOKUP($I982,'Pricing Table - eff 27-Jan-2026'!$A:$R,18,FALSE)</f>
        <v>#N/A</v>
      </c>
    </row>
    <row r="983" spans="1:23" hidden="1" x14ac:dyDescent="0.3">
      <c r="A983" s="55"/>
      <c r="B983" s="55"/>
      <c r="C983" s="55">
        <f>VLOOKUP(A983&amp;"-"&amp;B983,'Order Summary'!$D:$E,2,FALSE)</f>
        <v>0</v>
      </c>
      <c r="D983" s="216" t="str">
        <f>IF($A983="","",VLOOKUP($A983&amp;"-"&amp;$B983,'Order Summary'!$D:$U,3,FALSE))</f>
        <v/>
      </c>
      <c r="E983" s="55" t="str">
        <f>VLOOKUP(A983&amp;"-"&amp;B983,'Order Summary'!$D:$G,4,FALSE)</f>
        <v>Yes</v>
      </c>
      <c r="F983" s="55" t="e">
        <f>VLOOKUP($A983,'Order Summary'!$B:$I,8,FALSE)</f>
        <v>#N/A</v>
      </c>
      <c r="G983" s="216" t="str">
        <f>IF($A983="","",VLOOKUP($A983&amp;"-"&amp;$B983,'Order Summary'!$D:$U,18,FALSE))</f>
        <v/>
      </c>
      <c r="H983" s="55"/>
      <c r="I983" s="55"/>
      <c r="J983" s="55" t="e">
        <f>VLOOKUP($I983,'Pricing Table - eff 27-Jan-2026'!$A:$R,2,FALSE)</f>
        <v>#N/A</v>
      </c>
      <c r="K983" s="55" t="e">
        <f>VLOOKUP($I983,'Pricing Table - eff 27-Jan-2026'!$A:$R,6,FALSE)&amp;" "&amp;VLOOKUP($I983,'Pricing Table - eff 27-Jan-2026'!$A:$R,7,FALSE)&amp;""" x "&amp;VLOOKUP($I983,'Pricing Table - eff 27-Jan-2026'!$A:$R,9,FALSE)&amp;""" "&amp;VLOOKUP($I983,'Pricing Table - eff 27-Jan-2026'!$A:$R,5,FALSE)</f>
        <v>#N/A</v>
      </c>
      <c r="L983" s="55" t="e">
        <f>VLOOKUP($I983,'Pricing Table - eff 27-Jan-2026'!$A:$K,8,FALSE)</f>
        <v>#N/A</v>
      </c>
      <c r="M983" s="55" t="e">
        <f>VLOOKUP($I983,'Pricing Table - eff 27-Jan-2026'!$A:$K,10,FALSE)</f>
        <v>#N/A</v>
      </c>
      <c r="N983" s="55" t="e">
        <f>VLOOKUP($I983,'Pricing Table - eff 27-Jan-2026'!$A:$R,13,FALSE)&amp;" "&amp;VLOOKUP($I983,'Pricing Table - eff 27-Jan-2026'!$A:$R,12,FALSE)</f>
        <v>#N/A</v>
      </c>
      <c r="O983" s="56"/>
      <c r="P983" s="55" t="e">
        <f>(VLOOKUP($I983,'Pricing Table - eff 27-Jan-2026'!$A:$R,8,FALSE)/1000)*(VLOOKUP($I983,'Pricing Table - eff 27-Jan-2026'!$A:$R,10,FALSE)/1000)*Q983</f>
        <v>#N/A</v>
      </c>
      <c r="Q983" s="55" t="e">
        <f>ROUND(('Order Details'!$O983*1000)/((VLOOKUP($I983,'Pricing Table - eff 27-Jan-2026'!$A:$Q,7,FALSE)/12)*(VLOOKUP($I983,'Pricing Table - eff 27-Jan-2026'!$A:$Q,9,FALSE)/12))/5,0)*5</f>
        <v>#N/A</v>
      </c>
      <c r="R983" s="71" t="e">
        <f>$Q983/IFERROR(VLOOKUP($F983&amp;RIGHT($K983,8),'Master Data'!$O$5:$P$10,2,FALSE),'Master Data'!$P$4)</f>
        <v>#N/A</v>
      </c>
      <c r="S983" s="57" t="e">
        <f>VLOOKUP($I983,'Pricing Table - eff 27-Jan-2026'!$A:$Q,16,FALSE)</f>
        <v>#N/A</v>
      </c>
      <c r="T983" s="57" t="e">
        <f>VLOOKUP(I983,'Pricing Table - eff 27-Jan-2026'!$A:$O,15,FALSE)</f>
        <v>#N/A</v>
      </c>
      <c r="U983" s="57" t="e">
        <f t="shared" si="39"/>
        <v>#N/A</v>
      </c>
      <c r="V983" s="111" t="e">
        <f t="shared" si="40"/>
        <v>#N/A</v>
      </c>
      <c r="W983" s="55" t="e">
        <f>VLOOKUP($I983,'Pricing Table - eff 27-Jan-2026'!$A:$R,18,FALSE)</f>
        <v>#N/A</v>
      </c>
    </row>
    <row r="984" spans="1:23" hidden="1" x14ac:dyDescent="0.3">
      <c r="A984" s="55"/>
      <c r="B984" s="55"/>
      <c r="C984" s="55">
        <f>VLOOKUP(A984&amp;"-"&amp;B984,'Order Summary'!$D:$E,2,FALSE)</f>
        <v>0</v>
      </c>
      <c r="D984" s="216" t="str">
        <f>IF($A984="","",VLOOKUP($A984&amp;"-"&amp;$B984,'Order Summary'!$D:$U,3,FALSE))</f>
        <v/>
      </c>
      <c r="E984" s="55" t="str">
        <f>VLOOKUP(A984&amp;"-"&amp;B984,'Order Summary'!$D:$G,4,FALSE)</f>
        <v>Yes</v>
      </c>
      <c r="F984" s="55" t="e">
        <f>VLOOKUP($A984,'Order Summary'!$B:$I,8,FALSE)</f>
        <v>#N/A</v>
      </c>
      <c r="G984" s="216" t="str">
        <f>IF($A984="","",VLOOKUP($A984&amp;"-"&amp;$B984,'Order Summary'!$D:$U,18,FALSE))</f>
        <v/>
      </c>
      <c r="H984" s="55"/>
      <c r="I984" s="55"/>
      <c r="J984" s="55" t="e">
        <f>VLOOKUP($I984,'Pricing Table - eff 27-Jan-2026'!$A:$R,2,FALSE)</f>
        <v>#N/A</v>
      </c>
      <c r="K984" s="55" t="e">
        <f>VLOOKUP($I984,'Pricing Table - eff 27-Jan-2026'!$A:$R,6,FALSE)&amp;" "&amp;VLOOKUP($I984,'Pricing Table - eff 27-Jan-2026'!$A:$R,7,FALSE)&amp;""" x "&amp;VLOOKUP($I984,'Pricing Table - eff 27-Jan-2026'!$A:$R,9,FALSE)&amp;""" "&amp;VLOOKUP($I984,'Pricing Table - eff 27-Jan-2026'!$A:$R,5,FALSE)</f>
        <v>#N/A</v>
      </c>
      <c r="L984" s="55" t="e">
        <f>VLOOKUP($I984,'Pricing Table - eff 27-Jan-2026'!$A:$K,8,FALSE)</f>
        <v>#N/A</v>
      </c>
      <c r="M984" s="55" t="e">
        <f>VLOOKUP($I984,'Pricing Table - eff 27-Jan-2026'!$A:$K,10,FALSE)</f>
        <v>#N/A</v>
      </c>
      <c r="N984" s="55" t="e">
        <f>VLOOKUP($I984,'Pricing Table - eff 27-Jan-2026'!$A:$R,13,FALSE)&amp;" "&amp;VLOOKUP($I984,'Pricing Table - eff 27-Jan-2026'!$A:$R,12,FALSE)</f>
        <v>#N/A</v>
      </c>
      <c r="O984" s="56"/>
      <c r="P984" s="55" t="e">
        <f>(VLOOKUP($I984,'Pricing Table - eff 27-Jan-2026'!$A:$R,8,FALSE)/1000)*(VLOOKUP($I984,'Pricing Table - eff 27-Jan-2026'!$A:$R,10,FALSE)/1000)*Q984</f>
        <v>#N/A</v>
      </c>
      <c r="Q984" s="55" t="e">
        <f>ROUND(('Order Details'!$O984*1000)/((VLOOKUP($I984,'Pricing Table - eff 27-Jan-2026'!$A:$Q,7,FALSE)/12)*(VLOOKUP($I984,'Pricing Table - eff 27-Jan-2026'!$A:$Q,9,FALSE)/12))/5,0)*5</f>
        <v>#N/A</v>
      </c>
      <c r="R984" s="71" t="e">
        <f>$Q984/IFERROR(VLOOKUP($F984&amp;RIGHT($K984,8),'Master Data'!$O$5:$P$10,2,FALSE),'Master Data'!$P$4)</f>
        <v>#N/A</v>
      </c>
      <c r="S984" s="57" t="e">
        <f>VLOOKUP($I984,'Pricing Table - eff 27-Jan-2026'!$A:$Q,16,FALSE)</f>
        <v>#N/A</v>
      </c>
      <c r="T984" s="57" t="e">
        <f>VLOOKUP(I984,'Pricing Table - eff 27-Jan-2026'!$A:$O,15,FALSE)</f>
        <v>#N/A</v>
      </c>
      <c r="U984" s="57" t="e">
        <f t="shared" ref="U984:U997" si="41">O984*S984</f>
        <v>#N/A</v>
      </c>
      <c r="V984" s="111" t="e">
        <f t="shared" ref="V984:V997" si="42">P984*T984</f>
        <v>#N/A</v>
      </c>
      <c r="W984" s="55" t="e">
        <f>VLOOKUP($I984,'Pricing Table - eff 27-Jan-2026'!$A:$R,18,FALSE)</f>
        <v>#N/A</v>
      </c>
    </row>
    <row r="985" spans="1:23" hidden="1" x14ac:dyDescent="0.3">
      <c r="A985" s="55"/>
      <c r="B985" s="55"/>
      <c r="C985" s="55">
        <f>VLOOKUP(A985&amp;"-"&amp;B985,'Order Summary'!$D:$E,2,FALSE)</f>
        <v>0</v>
      </c>
      <c r="D985" s="216" t="str">
        <f>IF($A985="","",VLOOKUP($A985&amp;"-"&amp;$B985,'Order Summary'!$D:$U,3,FALSE))</f>
        <v/>
      </c>
      <c r="E985" s="55" t="str">
        <f>VLOOKUP(A985&amp;"-"&amp;B985,'Order Summary'!$D:$G,4,FALSE)</f>
        <v>Yes</v>
      </c>
      <c r="F985" s="55" t="e">
        <f>VLOOKUP($A985,'Order Summary'!$B:$I,8,FALSE)</f>
        <v>#N/A</v>
      </c>
      <c r="G985" s="216" t="str">
        <f>IF($A985="","",VLOOKUP($A985&amp;"-"&amp;$B985,'Order Summary'!$D:$U,18,FALSE))</f>
        <v/>
      </c>
      <c r="H985" s="55"/>
      <c r="I985" s="55"/>
      <c r="J985" s="55" t="e">
        <f>VLOOKUP($I985,'Pricing Table - eff 27-Jan-2026'!$A:$R,2,FALSE)</f>
        <v>#N/A</v>
      </c>
      <c r="K985" s="55" t="e">
        <f>VLOOKUP($I985,'Pricing Table - eff 27-Jan-2026'!$A:$R,6,FALSE)&amp;" "&amp;VLOOKUP($I985,'Pricing Table - eff 27-Jan-2026'!$A:$R,7,FALSE)&amp;""" x "&amp;VLOOKUP($I985,'Pricing Table - eff 27-Jan-2026'!$A:$R,9,FALSE)&amp;""" "&amp;VLOOKUP($I985,'Pricing Table - eff 27-Jan-2026'!$A:$R,5,FALSE)</f>
        <v>#N/A</v>
      </c>
      <c r="L985" s="55" t="e">
        <f>VLOOKUP($I985,'Pricing Table - eff 27-Jan-2026'!$A:$K,8,FALSE)</f>
        <v>#N/A</v>
      </c>
      <c r="M985" s="55" t="e">
        <f>VLOOKUP($I985,'Pricing Table - eff 27-Jan-2026'!$A:$K,10,FALSE)</f>
        <v>#N/A</v>
      </c>
      <c r="N985" s="55" t="e">
        <f>VLOOKUP($I985,'Pricing Table - eff 27-Jan-2026'!$A:$R,13,FALSE)&amp;" "&amp;VLOOKUP($I985,'Pricing Table - eff 27-Jan-2026'!$A:$R,12,FALSE)</f>
        <v>#N/A</v>
      </c>
      <c r="O985" s="56"/>
      <c r="P985" s="55" t="e">
        <f>(VLOOKUP($I985,'Pricing Table - eff 27-Jan-2026'!$A:$R,8,FALSE)/1000)*(VLOOKUP($I985,'Pricing Table - eff 27-Jan-2026'!$A:$R,10,FALSE)/1000)*Q985</f>
        <v>#N/A</v>
      </c>
      <c r="Q985" s="55" t="e">
        <f>ROUND(('Order Details'!$O985*1000)/((VLOOKUP($I985,'Pricing Table - eff 27-Jan-2026'!$A:$Q,7,FALSE)/12)*(VLOOKUP($I985,'Pricing Table - eff 27-Jan-2026'!$A:$Q,9,FALSE)/12))/5,0)*5</f>
        <v>#N/A</v>
      </c>
      <c r="R985" s="71" t="e">
        <f>$Q985/IFERROR(VLOOKUP($F985&amp;RIGHT($K985,8),'Master Data'!$O$5:$P$10,2,FALSE),'Master Data'!$P$4)</f>
        <v>#N/A</v>
      </c>
      <c r="S985" s="57" t="e">
        <f>VLOOKUP($I985,'Pricing Table - eff 27-Jan-2026'!$A:$Q,16,FALSE)</f>
        <v>#N/A</v>
      </c>
      <c r="T985" s="57" t="e">
        <f>VLOOKUP(I985,'Pricing Table - eff 27-Jan-2026'!$A:$O,15,FALSE)</f>
        <v>#N/A</v>
      </c>
      <c r="U985" s="57" t="e">
        <f t="shared" si="41"/>
        <v>#N/A</v>
      </c>
      <c r="V985" s="111" t="e">
        <f t="shared" si="42"/>
        <v>#N/A</v>
      </c>
      <c r="W985" s="55" t="e">
        <f>VLOOKUP($I985,'Pricing Table - eff 27-Jan-2026'!$A:$R,18,FALSE)</f>
        <v>#N/A</v>
      </c>
    </row>
    <row r="986" spans="1:23" hidden="1" x14ac:dyDescent="0.3">
      <c r="A986" s="55"/>
      <c r="B986" s="55"/>
      <c r="C986" s="55">
        <f>VLOOKUP(A986&amp;"-"&amp;B986,'Order Summary'!$D:$E,2,FALSE)</f>
        <v>0</v>
      </c>
      <c r="D986" s="216" t="str">
        <f>IF($A986="","",VLOOKUP($A986&amp;"-"&amp;$B986,'Order Summary'!$D:$U,3,FALSE))</f>
        <v/>
      </c>
      <c r="E986" s="55" t="str">
        <f>VLOOKUP(A986&amp;"-"&amp;B986,'Order Summary'!$D:$G,4,FALSE)</f>
        <v>Yes</v>
      </c>
      <c r="F986" s="55" t="e">
        <f>VLOOKUP($A986,'Order Summary'!$B:$I,8,FALSE)</f>
        <v>#N/A</v>
      </c>
      <c r="G986" s="216" t="str">
        <f>IF($A986="","",VLOOKUP($A986&amp;"-"&amp;$B986,'Order Summary'!$D:$U,18,FALSE))</f>
        <v/>
      </c>
      <c r="H986" s="55"/>
      <c r="I986" s="55"/>
      <c r="J986" s="55" t="e">
        <f>VLOOKUP($I986,'Pricing Table - eff 27-Jan-2026'!$A:$R,2,FALSE)</f>
        <v>#N/A</v>
      </c>
      <c r="K986" s="55" t="e">
        <f>VLOOKUP($I986,'Pricing Table - eff 27-Jan-2026'!$A:$R,6,FALSE)&amp;" "&amp;VLOOKUP($I986,'Pricing Table - eff 27-Jan-2026'!$A:$R,7,FALSE)&amp;""" x "&amp;VLOOKUP($I986,'Pricing Table - eff 27-Jan-2026'!$A:$R,9,FALSE)&amp;""" "&amp;VLOOKUP($I986,'Pricing Table - eff 27-Jan-2026'!$A:$R,5,FALSE)</f>
        <v>#N/A</v>
      </c>
      <c r="L986" s="55" t="e">
        <f>VLOOKUP($I986,'Pricing Table - eff 27-Jan-2026'!$A:$K,8,FALSE)</f>
        <v>#N/A</v>
      </c>
      <c r="M986" s="55" t="e">
        <f>VLOOKUP($I986,'Pricing Table - eff 27-Jan-2026'!$A:$K,10,FALSE)</f>
        <v>#N/A</v>
      </c>
      <c r="N986" s="55" t="e">
        <f>VLOOKUP($I986,'Pricing Table - eff 27-Jan-2026'!$A:$R,13,FALSE)&amp;" "&amp;VLOOKUP($I986,'Pricing Table - eff 27-Jan-2026'!$A:$R,12,FALSE)</f>
        <v>#N/A</v>
      </c>
      <c r="O986" s="56"/>
      <c r="P986" s="55" t="e">
        <f>(VLOOKUP($I986,'Pricing Table - eff 27-Jan-2026'!$A:$R,8,FALSE)/1000)*(VLOOKUP($I986,'Pricing Table - eff 27-Jan-2026'!$A:$R,10,FALSE)/1000)*Q986</f>
        <v>#N/A</v>
      </c>
      <c r="Q986" s="55" t="e">
        <f>ROUND(('Order Details'!$O986*1000)/((VLOOKUP($I986,'Pricing Table - eff 27-Jan-2026'!$A:$Q,7,FALSE)/12)*(VLOOKUP($I986,'Pricing Table - eff 27-Jan-2026'!$A:$Q,9,FALSE)/12))/5,0)*5</f>
        <v>#N/A</v>
      </c>
      <c r="R986" s="71" t="e">
        <f>$Q986/IFERROR(VLOOKUP($F986&amp;RIGHT($K986,8),'Master Data'!$O$5:$P$10,2,FALSE),'Master Data'!$P$4)</f>
        <v>#N/A</v>
      </c>
      <c r="S986" s="57" t="e">
        <f>VLOOKUP($I986,'Pricing Table - eff 27-Jan-2026'!$A:$Q,16,FALSE)</f>
        <v>#N/A</v>
      </c>
      <c r="T986" s="57" t="e">
        <f>VLOOKUP(I986,'Pricing Table - eff 27-Jan-2026'!$A:$O,15,FALSE)</f>
        <v>#N/A</v>
      </c>
      <c r="U986" s="57" t="e">
        <f t="shared" si="41"/>
        <v>#N/A</v>
      </c>
      <c r="V986" s="111" t="e">
        <f t="shared" si="42"/>
        <v>#N/A</v>
      </c>
      <c r="W986" s="55" t="e">
        <f>VLOOKUP($I986,'Pricing Table - eff 27-Jan-2026'!$A:$R,18,FALSE)</f>
        <v>#N/A</v>
      </c>
    </row>
    <row r="987" spans="1:23" hidden="1" x14ac:dyDescent="0.3">
      <c r="A987" s="55"/>
      <c r="B987" s="55"/>
      <c r="C987" s="55">
        <f>VLOOKUP(A987&amp;"-"&amp;B987,'Order Summary'!$D:$E,2,FALSE)</f>
        <v>0</v>
      </c>
      <c r="D987" s="216" t="str">
        <f>IF($A987="","",VLOOKUP($A987&amp;"-"&amp;$B987,'Order Summary'!$D:$U,3,FALSE))</f>
        <v/>
      </c>
      <c r="E987" s="55" t="str">
        <f>VLOOKUP(A987&amp;"-"&amp;B987,'Order Summary'!$D:$G,4,FALSE)</f>
        <v>Yes</v>
      </c>
      <c r="F987" s="55" t="e">
        <f>VLOOKUP($A987,'Order Summary'!$B:$I,8,FALSE)</f>
        <v>#N/A</v>
      </c>
      <c r="G987" s="216" t="str">
        <f>IF($A987="","",VLOOKUP($A987&amp;"-"&amp;$B987,'Order Summary'!$D:$U,18,FALSE))</f>
        <v/>
      </c>
      <c r="H987" s="55"/>
      <c r="I987" s="55"/>
      <c r="J987" s="55" t="e">
        <f>VLOOKUP($I987,'Pricing Table - eff 27-Jan-2026'!$A:$R,2,FALSE)</f>
        <v>#N/A</v>
      </c>
      <c r="K987" s="55" t="e">
        <f>VLOOKUP($I987,'Pricing Table - eff 27-Jan-2026'!$A:$R,6,FALSE)&amp;" "&amp;VLOOKUP($I987,'Pricing Table - eff 27-Jan-2026'!$A:$R,7,FALSE)&amp;""" x "&amp;VLOOKUP($I987,'Pricing Table - eff 27-Jan-2026'!$A:$R,9,FALSE)&amp;""" "&amp;VLOOKUP($I987,'Pricing Table - eff 27-Jan-2026'!$A:$R,5,FALSE)</f>
        <v>#N/A</v>
      </c>
      <c r="L987" s="55" t="e">
        <f>VLOOKUP($I987,'Pricing Table - eff 27-Jan-2026'!$A:$K,8,FALSE)</f>
        <v>#N/A</v>
      </c>
      <c r="M987" s="55" t="e">
        <f>VLOOKUP($I987,'Pricing Table - eff 27-Jan-2026'!$A:$K,10,FALSE)</f>
        <v>#N/A</v>
      </c>
      <c r="N987" s="55" t="e">
        <f>VLOOKUP($I987,'Pricing Table - eff 27-Jan-2026'!$A:$R,13,FALSE)&amp;" "&amp;VLOOKUP($I987,'Pricing Table - eff 27-Jan-2026'!$A:$R,12,FALSE)</f>
        <v>#N/A</v>
      </c>
      <c r="O987" s="56"/>
      <c r="P987" s="55" t="e">
        <f>(VLOOKUP($I987,'Pricing Table - eff 27-Jan-2026'!$A:$R,8,FALSE)/1000)*(VLOOKUP($I987,'Pricing Table - eff 27-Jan-2026'!$A:$R,10,FALSE)/1000)*Q987</f>
        <v>#N/A</v>
      </c>
      <c r="Q987" s="55" t="e">
        <f>ROUND(('Order Details'!$O987*1000)/((VLOOKUP($I987,'Pricing Table - eff 27-Jan-2026'!$A:$Q,7,FALSE)/12)*(VLOOKUP($I987,'Pricing Table - eff 27-Jan-2026'!$A:$Q,9,FALSE)/12))/5,0)*5</f>
        <v>#N/A</v>
      </c>
      <c r="R987" s="71" t="e">
        <f>$Q987/IFERROR(VLOOKUP($F987&amp;RIGHT($K987,8),'Master Data'!$O$5:$P$10,2,FALSE),'Master Data'!$P$4)</f>
        <v>#N/A</v>
      </c>
      <c r="S987" s="57" t="e">
        <f>VLOOKUP($I987,'Pricing Table - eff 27-Jan-2026'!$A:$Q,16,FALSE)</f>
        <v>#N/A</v>
      </c>
      <c r="T987" s="57" t="e">
        <f>VLOOKUP(I987,'Pricing Table - eff 27-Jan-2026'!$A:$O,15,FALSE)</f>
        <v>#N/A</v>
      </c>
      <c r="U987" s="57" t="e">
        <f t="shared" si="41"/>
        <v>#N/A</v>
      </c>
      <c r="V987" s="111" t="e">
        <f t="shared" si="42"/>
        <v>#N/A</v>
      </c>
      <c r="W987" s="55" t="e">
        <f>VLOOKUP($I987,'Pricing Table - eff 27-Jan-2026'!$A:$R,18,FALSE)</f>
        <v>#N/A</v>
      </c>
    </row>
    <row r="988" spans="1:23" hidden="1" x14ac:dyDescent="0.3">
      <c r="A988" s="55"/>
      <c r="B988" s="55"/>
      <c r="C988" s="55">
        <f>VLOOKUP(A988&amp;"-"&amp;B988,'Order Summary'!$D:$E,2,FALSE)</f>
        <v>0</v>
      </c>
      <c r="D988" s="216" t="str">
        <f>IF($A988="","",VLOOKUP($A988&amp;"-"&amp;$B988,'Order Summary'!$D:$U,3,FALSE))</f>
        <v/>
      </c>
      <c r="E988" s="55" t="str">
        <f>VLOOKUP(A988&amp;"-"&amp;B988,'Order Summary'!$D:$G,4,FALSE)</f>
        <v>Yes</v>
      </c>
      <c r="F988" s="55" t="e">
        <f>VLOOKUP($A988,'Order Summary'!$B:$I,8,FALSE)</f>
        <v>#N/A</v>
      </c>
      <c r="G988" s="216" t="str">
        <f>IF($A988="","",VLOOKUP($A988&amp;"-"&amp;$B988,'Order Summary'!$D:$U,18,FALSE))</f>
        <v/>
      </c>
      <c r="H988" s="55"/>
      <c r="I988" s="55"/>
      <c r="J988" s="55" t="e">
        <f>VLOOKUP($I988,'Pricing Table - eff 27-Jan-2026'!$A:$R,2,FALSE)</f>
        <v>#N/A</v>
      </c>
      <c r="K988" s="55" t="e">
        <f>VLOOKUP($I988,'Pricing Table - eff 27-Jan-2026'!$A:$R,6,FALSE)&amp;" "&amp;VLOOKUP($I988,'Pricing Table - eff 27-Jan-2026'!$A:$R,7,FALSE)&amp;""" x "&amp;VLOOKUP($I988,'Pricing Table - eff 27-Jan-2026'!$A:$R,9,FALSE)&amp;""" "&amp;VLOOKUP($I988,'Pricing Table - eff 27-Jan-2026'!$A:$R,5,FALSE)</f>
        <v>#N/A</v>
      </c>
      <c r="L988" s="55" t="e">
        <f>VLOOKUP($I988,'Pricing Table - eff 27-Jan-2026'!$A:$K,8,FALSE)</f>
        <v>#N/A</v>
      </c>
      <c r="M988" s="55" t="e">
        <f>VLOOKUP($I988,'Pricing Table - eff 27-Jan-2026'!$A:$K,10,FALSE)</f>
        <v>#N/A</v>
      </c>
      <c r="N988" s="55" t="e">
        <f>VLOOKUP($I988,'Pricing Table - eff 27-Jan-2026'!$A:$R,13,FALSE)&amp;" "&amp;VLOOKUP($I988,'Pricing Table - eff 27-Jan-2026'!$A:$R,12,FALSE)</f>
        <v>#N/A</v>
      </c>
      <c r="O988" s="56"/>
      <c r="P988" s="55" t="e">
        <f>(VLOOKUP($I988,'Pricing Table - eff 27-Jan-2026'!$A:$R,8,FALSE)/1000)*(VLOOKUP($I988,'Pricing Table - eff 27-Jan-2026'!$A:$R,10,FALSE)/1000)*Q988</f>
        <v>#N/A</v>
      </c>
      <c r="Q988" s="55" t="e">
        <f>ROUND(('Order Details'!$O988*1000)/((VLOOKUP($I988,'Pricing Table - eff 27-Jan-2026'!$A:$Q,7,FALSE)/12)*(VLOOKUP($I988,'Pricing Table - eff 27-Jan-2026'!$A:$Q,9,FALSE)/12))/5,0)*5</f>
        <v>#N/A</v>
      </c>
      <c r="R988" s="71" t="e">
        <f>$Q988/IFERROR(VLOOKUP($F988&amp;RIGHT($K988,8),'Master Data'!$O$5:$P$10,2,FALSE),'Master Data'!$P$4)</f>
        <v>#N/A</v>
      </c>
      <c r="S988" s="57" t="e">
        <f>VLOOKUP($I988,'Pricing Table - eff 27-Jan-2026'!$A:$Q,16,FALSE)</f>
        <v>#N/A</v>
      </c>
      <c r="T988" s="57" t="e">
        <f>VLOOKUP(I988,'Pricing Table - eff 27-Jan-2026'!$A:$O,15,FALSE)</f>
        <v>#N/A</v>
      </c>
      <c r="U988" s="57" t="e">
        <f t="shared" si="41"/>
        <v>#N/A</v>
      </c>
      <c r="V988" s="111" t="e">
        <f t="shared" si="42"/>
        <v>#N/A</v>
      </c>
      <c r="W988" s="55" t="e">
        <f>VLOOKUP($I988,'Pricing Table - eff 27-Jan-2026'!$A:$R,18,FALSE)</f>
        <v>#N/A</v>
      </c>
    </row>
    <row r="989" spans="1:23" hidden="1" x14ac:dyDescent="0.3">
      <c r="A989" s="55"/>
      <c r="B989" s="55"/>
      <c r="C989" s="55">
        <f>VLOOKUP(A989&amp;"-"&amp;B989,'Order Summary'!$D:$E,2,FALSE)</f>
        <v>0</v>
      </c>
      <c r="D989" s="216" t="str">
        <f>IF($A989="","",VLOOKUP($A989&amp;"-"&amp;$B989,'Order Summary'!$D:$U,3,FALSE))</f>
        <v/>
      </c>
      <c r="E989" s="55" t="str">
        <f>VLOOKUP(A989&amp;"-"&amp;B989,'Order Summary'!$D:$G,4,FALSE)</f>
        <v>Yes</v>
      </c>
      <c r="F989" s="55" t="e">
        <f>VLOOKUP($A989,'Order Summary'!$B:$I,8,FALSE)</f>
        <v>#N/A</v>
      </c>
      <c r="G989" s="216" t="str">
        <f>IF($A989="","",VLOOKUP($A989&amp;"-"&amp;$B989,'Order Summary'!$D:$U,18,FALSE))</f>
        <v/>
      </c>
      <c r="H989" s="55"/>
      <c r="I989" s="55"/>
      <c r="J989" s="55" t="e">
        <f>VLOOKUP($I989,'Pricing Table - eff 27-Jan-2026'!$A:$R,2,FALSE)</f>
        <v>#N/A</v>
      </c>
      <c r="K989" s="55" t="e">
        <f>VLOOKUP($I989,'Pricing Table - eff 27-Jan-2026'!$A:$R,6,FALSE)&amp;" "&amp;VLOOKUP($I989,'Pricing Table - eff 27-Jan-2026'!$A:$R,7,FALSE)&amp;""" x "&amp;VLOOKUP($I989,'Pricing Table - eff 27-Jan-2026'!$A:$R,9,FALSE)&amp;""" "&amp;VLOOKUP($I989,'Pricing Table - eff 27-Jan-2026'!$A:$R,5,FALSE)</f>
        <v>#N/A</v>
      </c>
      <c r="L989" s="55" t="e">
        <f>VLOOKUP($I989,'Pricing Table - eff 27-Jan-2026'!$A:$K,8,FALSE)</f>
        <v>#N/A</v>
      </c>
      <c r="M989" s="55" t="e">
        <f>VLOOKUP($I989,'Pricing Table - eff 27-Jan-2026'!$A:$K,10,FALSE)</f>
        <v>#N/A</v>
      </c>
      <c r="N989" s="55" t="e">
        <f>VLOOKUP($I989,'Pricing Table - eff 27-Jan-2026'!$A:$R,13,FALSE)&amp;" "&amp;VLOOKUP($I989,'Pricing Table - eff 27-Jan-2026'!$A:$R,12,FALSE)</f>
        <v>#N/A</v>
      </c>
      <c r="O989" s="56"/>
      <c r="P989" s="55" t="e">
        <f>(VLOOKUP($I989,'Pricing Table - eff 27-Jan-2026'!$A:$R,8,FALSE)/1000)*(VLOOKUP($I989,'Pricing Table - eff 27-Jan-2026'!$A:$R,10,FALSE)/1000)*Q989</f>
        <v>#N/A</v>
      </c>
      <c r="Q989" s="55" t="e">
        <f>ROUND(('Order Details'!$O989*1000)/((VLOOKUP($I989,'Pricing Table - eff 27-Jan-2026'!$A:$Q,7,FALSE)/12)*(VLOOKUP($I989,'Pricing Table - eff 27-Jan-2026'!$A:$Q,9,FALSE)/12))/5,0)*5</f>
        <v>#N/A</v>
      </c>
      <c r="R989" s="71" t="e">
        <f>$Q989/IFERROR(VLOOKUP($F989&amp;RIGHT($K989,8),'Master Data'!$O$5:$P$10,2,FALSE),'Master Data'!$P$4)</f>
        <v>#N/A</v>
      </c>
      <c r="S989" s="57" t="e">
        <f>VLOOKUP($I989,'Pricing Table - eff 27-Jan-2026'!$A:$Q,16,FALSE)</f>
        <v>#N/A</v>
      </c>
      <c r="T989" s="57" t="e">
        <f>VLOOKUP(I989,'Pricing Table - eff 27-Jan-2026'!$A:$O,15,FALSE)</f>
        <v>#N/A</v>
      </c>
      <c r="U989" s="57" t="e">
        <f t="shared" si="41"/>
        <v>#N/A</v>
      </c>
      <c r="V989" s="111" t="e">
        <f t="shared" si="42"/>
        <v>#N/A</v>
      </c>
      <c r="W989" s="55" t="e">
        <f>VLOOKUP($I989,'Pricing Table - eff 27-Jan-2026'!$A:$R,18,FALSE)</f>
        <v>#N/A</v>
      </c>
    </row>
    <row r="990" spans="1:23" hidden="1" x14ac:dyDescent="0.3">
      <c r="A990" s="55"/>
      <c r="B990" s="55"/>
      <c r="C990" s="55">
        <f>VLOOKUP(A990&amp;"-"&amp;B990,'Order Summary'!$D:$E,2,FALSE)</f>
        <v>0</v>
      </c>
      <c r="D990" s="216" t="str">
        <f>IF($A990="","",VLOOKUP($A990&amp;"-"&amp;$B990,'Order Summary'!$D:$U,3,FALSE))</f>
        <v/>
      </c>
      <c r="E990" s="55" t="str">
        <f>VLOOKUP(A990&amp;"-"&amp;B990,'Order Summary'!$D:$G,4,FALSE)</f>
        <v>Yes</v>
      </c>
      <c r="F990" s="55" t="e">
        <f>VLOOKUP($A990,'Order Summary'!$B:$I,8,FALSE)</f>
        <v>#N/A</v>
      </c>
      <c r="G990" s="216" t="str">
        <f>IF($A990="","",VLOOKUP($A990&amp;"-"&amp;$B990,'Order Summary'!$D:$U,18,FALSE))</f>
        <v/>
      </c>
      <c r="H990" s="55"/>
      <c r="I990" s="55"/>
      <c r="J990" s="55" t="e">
        <f>VLOOKUP($I990,'Pricing Table - eff 27-Jan-2026'!$A:$R,2,FALSE)</f>
        <v>#N/A</v>
      </c>
      <c r="K990" s="55" t="e">
        <f>VLOOKUP($I990,'Pricing Table - eff 27-Jan-2026'!$A:$R,6,FALSE)&amp;" "&amp;VLOOKUP($I990,'Pricing Table - eff 27-Jan-2026'!$A:$R,7,FALSE)&amp;""" x "&amp;VLOOKUP($I990,'Pricing Table - eff 27-Jan-2026'!$A:$R,9,FALSE)&amp;""" "&amp;VLOOKUP($I990,'Pricing Table - eff 27-Jan-2026'!$A:$R,5,FALSE)</f>
        <v>#N/A</v>
      </c>
      <c r="L990" s="55" t="e">
        <f>VLOOKUP($I990,'Pricing Table - eff 27-Jan-2026'!$A:$K,8,FALSE)</f>
        <v>#N/A</v>
      </c>
      <c r="M990" s="55" t="e">
        <f>VLOOKUP($I990,'Pricing Table - eff 27-Jan-2026'!$A:$K,10,FALSE)</f>
        <v>#N/A</v>
      </c>
      <c r="N990" s="55" t="e">
        <f>VLOOKUP($I990,'Pricing Table - eff 27-Jan-2026'!$A:$R,13,FALSE)&amp;" "&amp;VLOOKUP($I990,'Pricing Table - eff 27-Jan-2026'!$A:$R,12,FALSE)</f>
        <v>#N/A</v>
      </c>
      <c r="O990" s="56"/>
      <c r="P990" s="55" t="e">
        <f>(VLOOKUP($I990,'Pricing Table - eff 27-Jan-2026'!$A:$R,8,FALSE)/1000)*(VLOOKUP($I990,'Pricing Table - eff 27-Jan-2026'!$A:$R,10,FALSE)/1000)*Q990</f>
        <v>#N/A</v>
      </c>
      <c r="Q990" s="55" t="e">
        <f>ROUND(('Order Details'!$O990*1000)/((VLOOKUP($I990,'Pricing Table - eff 27-Jan-2026'!$A:$Q,7,FALSE)/12)*(VLOOKUP($I990,'Pricing Table - eff 27-Jan-2026'!$A:$Q,9,FALSE)/12))/5,0)*5</f>
        <v>#N/A</v>
      </c>
      <c r="R990" s="71" t="e">
        <f>$Q990/IFERROR(VLOOKUP($F990&amp;RIGHT($K990,8),'Master Data'!$O$5:$P$10,2,FALSE),'Master Data'!$P$4)</f>
        <v>#N/A</v>
      </c>
      <c r="S990" s="57" t="e">
        <f>VLOOKUP($I990,'Pricing Table - eff 27-Jan-2026'!$A:$Q,16,FALSE)</f>
        <v>#N/A</v>
      </c>
      <c r="T990" s="57" t="e">
        <f>VLOOKUP(I990,'Pricing Table - eff 27-Jan-2026'!$A:$O,15,FALSE)</f>
        <v>#N/A</v>
      </c>
      <c r="U990" s="57" t="e">
        <f t="shared" si="41"/>
        <v>#N/A</v>
      </c>
      <c r="V990" s="111" t="e">
        <f t="shared" si="42"/>
        <v>#N/A</v>
      </c>
      <c r="W990" s="55" t="e">
        <f>VLOOKUP($I990,'Pricing Table - eff 27-Jan-2026'!$A:$R,18,FALSE)</f>
        <v>#N/A</v>
      </c>
    </row>
    <row r="991" spans="1:23" hidden="1" x14ac:dyDescent="0.3">
      <c r="A991" s="55"/>
      <c r="B991" s="55"/>
      <c r="C991" s="55">
        <f>VLOOKUP(A991&amp;"-"&amp;B991,'Order Summary'!$D:$E,2,FALSE)</f>
        <v>0</v>
      </c>
      <c r="D991" s="216" t="str">
        <f>IF($A991="","",VLOOKUP($A991&amp;"-"&amp;$B991,'Order Summary'!$D:$U,3,FALSE))</f>
        <v/>
      </c>
      <c r="E991" s="55" t="str">
        <f>VLOOKUP(A991&amp;"-"&amp;B991,'Order Summary'!$D:$G,4,FALSE)</f>
        <v>Yes</v>
      </c>
      <c r="F991" s="55" t="e">
        <f>VLOOKUP($A991,'Order Summary'!$B:$I,8,FALSE)</f>
        <v>#N/A</v>
      </c>
      <c r="G991" s="216" t="str">
        <f>IF($A991="","",VLOOKUP($A991&amp;"-"&amp;$B991,'Order Summary'!$D:$U,18,FALSE))</f>
        <v/>
      </c>
      <c r="H991" s="55"/>
      <c r="I991" s="55"/>
      <c r="J991" s="55" t="e">
        <f>VLOOKUP($I991,'Pricing Table - eff 27-Jan-2026'!$A:$R,2,FALSE)</f>
        <v>#N/A</v>
      </c>
      <c r="K991" s="55" t="e">
        <f>VLOOKUP($I991,'Pricing Table - eff 27-Jan-2026'!$A:$R,6,FALSE)&amp;" "&amp;VLOOKUP($I991,'Pricing Table - eff 27-Jan-2026'!$A:$R,7,FALSE)&amp;""" x "&amp;VLOOKUP($I991,'Pricing Table - eff 27-Jan-2026'!$A:$R,9,FALSE)&amp;""" "&amp;VLOOKUP($I991,'Pricing Table - eff 27-Jan-2026'!$A:$R,5,FALSE)</f>
        <v>#N/A</v>
      </c>
      <c r="L991" s="55" t="e">
        <f>VLOOKUP($I991,'Pricing Table - eff 27-Jan-2026'!$A:$K,8,FALSE)</f>
        <v>#N/A</v>
      </c>
      <c r="M991" s="55" t="e">
        <f>VLOOKUP($I991,'Pricing Table - eff 27-Jan-2026'!$A:$K,10,FALSE)</f>
        <v>#N/A</v>
      </c>
      <c r="N991" s="55" t="e">
        <f>VLOOKUP($I991,'Pricing Table - eff 27-Jan-2026'!$A:$R,13,FALSE)&amp;" "&amp;VLOOKUP($I991,'Pricing Table - eff 27-Jan-2026'!$A:$R,12,FALSE)</f>
        <v>#N/A</v>
      </c>
      <c r="O991" s="56"/>
      <c r="P991" s="55" t="e">
        <f>(VLOOKUP($I991,'Pricing Table - eff 27-Jan-2026'!$A:$R,8,FALSE)/1000)*(VLOOKUP($I991,'Pricing Table - eff 27-Jan-2026'!$A:$R,10,FALSE)/1000)*Q991</f>
        <v>#N/A</v>
      </c>
      <c r="Q991" s="55" t="e">
        <f>ROUND(('Order Details'!$O991*1000)/((VLOOKUP($I991,'Pricing Table - eff 27-Jan-2026'!$A:$Q,7,FALSE)/12)*(VLOOKUP($I991,'Pricing Table - eff 27-Jan-2026'!$A:$Q,9,FALSE)/12))/5,0)*5</f>
        <v>#N/A</v>
      </c>
      <c r="R991" s="71" t="e">
        <f>$Q991/IFERROR(VLOOKUP($F991&amp;RIGHT($K991,8),'Master Data'!$O$5:$P$10,2,FALSE),'Master Data'!$P$4)</f>
        <v>#N/A</v>
      </c>
      <c r="S991" s="57" t="e">
        <f>VLOOKUP($I991,'Pricing Table - eff 27-Jan-2026'!$A:$Q,16,FALSE)</f>
        <v>#N/A</v>
      </c>
      <c r="T991" s="57" t="e">
        <f>VLOOKUP(I991,'Pricing Table - eff 27-Jan-2026'!$A:$O,15,FALSE)</f>
        <v>#N/A</v>
      </c>
      <c r="U991" s="57" t="e">
        <f t="shared" si="41"/>
        <v>#N/A</v>
      </c>
      <c r="V991" s="111" t="e">
        <f t="shared" si="42"/>
        <v>#N/A</v>
      </c>
      <c r="W991" s="55" t="e">
        <f>VLOOKUP($I991,'Pricing Table - eff 27-Jan-2026'!$A:$R,18,FALSE)</f>
        <v>#N/A</v>
      </c>
    </row>
    <row r="992" spans="1:23" hidden="1" x14ac:dyDescent="0.3">
      <c r="A992" s="55"/>
      <c r="B992" s="55"/>
      <c r="C992" s="55">
        <f>VLOOKUP(A992&amp;"-"&amp;B992,'Order Summary'!$D:$E,2,FALSE)</f>
        <v>0</v>
      </c>
      <c r="D992" s="216" t="str">
        <f>IF($A992="","",VLOOKUP($A992&amp;"-"&amp;$B992,'Order Summary'!$D:$U,3,FALSE))</f>
        <v/>
      </c>
      <c r="E992" s="55" t="str">
        <f>VLOOKUP(A992&amp;"-"&amp;B992,'Order Summary'!$D:$G,4,FALSE)</f>
        <v>Yes</v>
      </c>
      <c r="F992" s="55" t="e">
        <f>VLOOKUP($A992,'Order Summary'!$B:$I,8,FALSE)</f>
        <v>#N/A</v>
      </c>
      <c r="G992" s="216" t="str">
        <f>IF($A992="","",VLOOKUP($A992&amp;"-"&amp;$B992,'Order Summary'!$D:$U,18,FALSE))</f>
        <v/>
      </c>
      <c r="H992" s="55"/>
      <c r="I992" s="55"/>
      <c r="J992" s="55" t="e">
        <f>VLOOKUP($I992,'Pricing Table - eff 27-Jan-2026'!$A:$R,2,FALSE)</f>
        <v>#N/A</v>
      </c>
      <c r="K992" s="55" t="e">
        <f>VLOOKUP($I992,'Pricing Table - eff 27-Jan-2026'!$A:$R,6,FALSE)&amp;" "&amp;VLOOKUP($I992,'Pricing Table - eff 27-Jan-2026'!$A:$R,7,FALSE)&amp;""" x "&amp;VLOOKUP($I992,'Pricing Table - eff 27-Jan-2026'!$A:$R,9,FALSE)&amp;""" "&amp;VLOOKUP($I992,'Pricing Table - eff 27-Jan-2026'!$A:$R,5,FALSE)</f>
        <v>#N/A</v>
      </c>
      <c r="L992" s="55" t="e">
        <f>VLOOKUP($I992,'Pricing Table - eff 27-Jan-2026'!$A:$K,8,FALSE)</f>
        <v>#N/A</v>
      </c>
      <c r="M992" s="55" t="e">
        <f>VLOOKUP($I992,'Pricing Table - eff 27-Jan-2026'!$A:$K,10,FALSE)</f>
        <v>#N/A</v>
      </c>
      <c r="N992" s="55" t="e">
        <f>VLOOKUP($I992,'Pricing Table - eff 27-Jan-2026'!$A:$R,13,FALSE)&amp;" "&amp;VLOOKUP($I992,'Pricing Table - eff 27-Jan-2026'!$A:$R,12,FALSE)</f>
        <v>#N/A</v>
      </c>
      <c r="O992" s="56"/>
      <c r="P992" s="55" t="e">
        <f>(VLOOKUP($I992,'Pricing Table - eff 27-Jan-2026'!$A:$R,8,FALSE)/1000)*(VLOOKUP($I992,'Pricing Table - eff 27-Jan-2026'!$A:$R,10,FALSE)/1000)*Q992</f>
        <v>#N/A</v>
      </c>
      <c r="Q992" s="55" t="e">
        <f>ROUND(('Order Details'!$O992*1000)/((VLOOKUP($I992,'Pricing Table - eff 27-Jan-2026'!$A:$Q,7,FALSE)/12)*(VLOOKUP($I992,'Pricing Table - eff 27-Jan-2026'!$A:$Q,9,FALSE)/12))/5,0)*5</f>
        <v>#N/A</v>
      </c>
      <c r="R992" s="71" t="e">
        <f>$Q992/IFERROR(VLOOKUP($F992&amp;RIGHT($K992,8),'Master Data'!$O$5:$P$10,2,FALSE),'Master Data'!$P$4)</f>
        <v>#N/A</v>
      </c>
      <c r="S992" s="57" t="e">
        <f>VLOOKUP($I992,'Pricing Table - eff 27-Jan-2026'!$A:$Q,16,FALSE)</f>
        <v>#N/A</v>
      </c>
      <c r="T992" s="57" t="e">
        <f>VLOOKUP(I992,'Pricing Table - eff 27-Jan-2026'!$A:$O,15,FALSE)</f>
        <v>#N/A</v>
      </c>
      <c r="U992" s="57" t="e">
        <f t="shared" si="41"/>
        <v>#N/A</v>
      </c>
      <c r="V992" s="111" t="e">
        <f t="shared" si="42"/>
        <v>#N/A</v>
      </c>
      <c r="W992" s="55" t="e">
        <f>VLOOKUP($I992,'Pricing Table - eff 27-Jan-2026'!$A:$R,18,FALSE)</f>
        <v>#N/A</v>
      </c>
    </row>
    <row r="993" spans="1:23" hidden="1" x14ac:dyDescent="0.3">
      <c r="A993" s="55"/>
      <c r="B993" s="55"/>
      <c r="C993" s="55">
        <f>VLOOKUP(A993&amp;"-"&amp;B993,'Order Summary'!$D:$E,2,FALSE)</f>
        <v>0</v>
      </c>
      <c r="D993" s="216" t="str">
        <f>IF($A993="","",VLOOKUP($A993&amp;"-"&amp;$B993,'Order Summary'!$D:$U,3,FALSE))</f>
        <v/>
      </c>
      <c r="E993" s="55" t="str">
        <f>VLOOKUP(A993&amp;"-"&amp;B993,'Order Summary'!$D:$G,4,FALSE)</f>
        <v>Yes</v>
      </c>
      <c r="F993" s="55" t="e">
        <f>VLOOKUP($A993,'Order Summary'!$B:$I,8,FALSE)</f>
        <v>#N/A</v>
      </c>
      <c r="G993" s="216" t="str">
        <f>IF($A993="","",VLOOKUP($A993&amp;"-"&amp;$B993,'Order Summary'!$D:$U,18,FALSE))</f>
        <v/>
      </c>
      <c r="H993" s="55"/>
      <c r="I993" s="55"/>
      <c r="J993" s="55" t="e">
        <f>VLOOKUP($I993,'Pricing Table - eff 27-Jan-2026'!$A:$R,2,FALSE)</f>
        <v>#N/A</v>
      </c>
      <c r="K993" s="55" t="e">
        <f>VLOOKUP($I993,'Pricing Table - eff 27-Jan-2026'!$A:$R,6,FALSE)&amp;" "&amp;VLOOKUP($I993,'Pricing Table - eff 27-Jan-2026'!$A:$R,7,FALSE)&amp;""" x "&amp;VLOOKUP($I993,'Pricing Table - eff 27-Jan-2026'!$A:$R,9,FALSE)&amp;""" "&amp;VLOOKUP($I993,'Pricing Table - eff 27-Jan-2026'!$A:$R,5,FALSE)</f>
        <v>#N/A</v>
      </c>
      <c r="L993" s="55" t="e">
        <f>VLOOKUP($I993,'Pricing Table - eff 27-Jan-2026'!$A:$K,8,FALSE)</f>
        <v>#N/A</v>
      </c>
      <c r="M993" s="55" t="e">
        <f>VLOOKUP($I993,'Pricing Table - eff 27-Jan-2026'!$A:$K,10,FALSE)</f>
        <v>#N/A</v>
      </c>
      <c r="N993" s="55" t="e">
        <f>VLOOKUP($I993,'Pricing Table - eff 27-Jan-2026'!$A:$R,13,FALSE)&amp;" "&amp;VLOOKUP($I993,'Pricing Table - eff 27-Jan-2026'!$A:$R,12,FALSE)</f>
        <v>#N/A</v>
      </c>
      <c r="O993" s="56"/>
      <c r="P993" s="55" t="e">
        <f>(VLOOKUP($I993,'Pricing Table - eff 27-Jan-2026'!$A:$R,8,FALSE)/1000)*(VLOOKUP($I993,'Pricing Table - eff 27-Jan-2026'!$A:$R,10,FALSE)/1000)*Q993</f>
        <v>#N/A</v>
      </c>
      <c r="Q993" s="55" t="e">
        <f>ROUND(('Order Details'!$O993*1000)/((VLOOKUP($I993,'Pricing Table - eff 27-Jan-2026'!$A:$Q,7,FALSE)/12)*(VLOOKUP($I993,'Pricing Table - eff 27-Jan-2026'!$A:$Q,9,FALSE)/12))/5,0)*5</f>
        <v>#N/A</v>
      </c>
      <c r="R993" s="71" t="e">
        <f>$Q993/IFERROR(VLOOKUP($F993&amp;RIGHT($K993,8),'Master Data'!$O$5:$P$10,2,FALSE),'Master Data'!$P$4)</f>
        <v>#N/A</v>
      </c>
      <c r="S993" s="57" t="e">
        <f>VLOOKUP($I993,'Pricing Table - eff 27-Jan-2026'!$A:$Q,16,FALSE)</f>
        <v>#N/A</v>
      </c>
      <c r="T993" s="57" t="e">
        <f>VLOOKUP(I993,'Pricing Table - eff 27-Jan-2026'!$A:$O,15,FALSE)</f>
        <v>#N/A</v>
      </c>
      <c r="U993" s="57" t="e">
        <f t="shared" si="41"/>
        <v>#N/A</v>
      </c>
      <c r="V993" s="111" t="e">
        <f t="shared" si="42"/>
        <v>#N/A</v>
      </c>
      <c r="W993" s="55" t="e">
        <f>VLOOKUP($I993,'Pricing Table - eff 27-Jan-2026'!$A:$R,18,FALSE)</f>
        <v>#N/A</v>
      </c>
    </row>
    <row r="994" spans="1:23" hidden="1" x14ac:dyDescent="0.3">
      <c r="A994" s="55"/>
      <c r="B994" s="55"/>
      <c r="C994" s="55">
        <f>VLOOKUP(A994&amp;"-"&amp;B994,'Order Summary'!$D:$E,2,FALSE)</f>
        <v>0</v>
      </c>
      <c r="D994" s="216" t="str">
        <f>IF($A994="","",VLOOKUP($A994&amp;"-"&amp;$B994,'Order Summary'!$D:$U,3,FALSE))</f>
        <v/>
      </c>
      <c r="E994" s="55" t="str">
        <f>VLOOKUP(A994&amp;"-"&amp;B994,'Order Summary'!$D:$G,4,FALSE)</f>
        <v>Yes</v>
      </c>
      <c r="F994" s="55" t="e">
        <f>VLOOKUP($A994,'Order Summary'!$B:$I,8,FALSE)</f>
        <v>#N/A</v>
      </c>
      <c r="G994" s="216" t="str">
        <f>IF($A994="","",VLOOKUP($A994&amp;"-"&amp;$B994,'Order Summary'!$D:$U,18,FALSE))</f>
        <v/>
      </c>
      <c r="H994" s="55"/>
      <c r="I994" s="55"/>
      <c r="J994" s="55" t="e">
        <f>VLOOKUP($I994,'Pricing Table - eff 27-Jan-2026'!$A:$R,2,FALSE)</f>
        <v>#N/A</v>
      </c>
      <c r="K994" s="55" t="e">
        <f>VLOOKUP($I994,'Pricing Table - eff 27-Jan-2026'!$A:$R,6,FALSE)&amp;" "&amp;VLOOKUP($I994,'Pricing Table - eff 27-Jan-2026'!$A:$R,7,FALSE)&amp;""" x "&amp;VLOOKUP($I994,'Pricing Table - eff 27-Jan-2026'!$A:$R,9,FALSE)&amp;""" "&amp;VLOOKUP($I994,'Pricing Table - eff 27-Jan-2026'!$A:$R,5,FALSE)</f>
        <v>#N/A</v>
      </c>
      <c r="L994" s="55" t="e">
        <f>VLOOKUP($I994,'Pricing Table - eff 27-Jan-2026'!$A:$K,8,FALSE)</f>
        <v>#N/A</v>
      </c>
      <c r="M994" s="55" t="e">
        <f>VLOOKUP($I994,'Pricing Table - eff 27-Jan-2026'!$A:$K,10,FALSE)</f>
        <v>#N/A</v>
      </c>
      <c r="N994" s="55" t="e">
        <f>VLOOKUP($I994,'Pricing Table - eff 27-Jan-2026'!$A:$R,13,FALSE)&amp;" "&amp;VLOOKUP($I994,'Pricing Table - eff 27-Jan-2026'!$A:$R,12,FALSE)</f>
        <v>#N/A</v>
      </c>
      <c r="O994" s="56"/>
      <c r="P994" s="55" t="e">
        <f>(VLOOKUP($I994,'Pricing Table - eff 27-Jan-2026'!$A:$R,8,FALSE)/1000)*(VLOOKUP($I994,'Pricing Table - eff 27-Jan-2026'!$A:$R,10,FALSE)/1000)*Q994</f>
        <v>#N/A</v>
      </c>
      <c r="Q994" s="55" t="e">
        <f>ROUND(('Order Details'!$O994*1000)/((VLOOKUP($I994,'Pricing Table - eff 27-Jan-2026'!$A:$Q,7,FALSE)/12)*(VLOOKUP($I994,'Pricing Table - eff 27-Jan-2026'!$A:$Q,9,FALSE)/12))/5,0)*5</f>
        <v>#N/A</v>
      </c>
      <c r="R994" s="71" t="e">
        <f>$Q994/IFERROR(VLOOKUP($F994&amp;RIGHT($K994,8),'Master Data'!$O$5:$P$10,2,FALSE),'Master Data'!$P$4)</f>
        <v>#N/A</v>
      </c>
      <c r="S994" s="57" t="e">
        <f>VLOOKUP($I994,'Pricing Table - eff 27-Jan-2026'!$A:$Q,16,FALSE)</f>
        <v>#N/A</v>
      </c>
      <c r="T994" s="57" t="e">
        <f>VLOOKUP(I994,'Pricing Table - eff 27-Jan-2026'!$A:$O,15,FALSE)</f>
        <v>#N/A</v>
      </c>
      <c r="U994" s="57" t="e">
        <f t="shared" si="41"/>
        <v>#N/A</v>
      </c>
      <c r="V994" s="111" t="e">
        <f t="shared" si="42"/>
        <v>#N/A</v>
      </c>
      <c r="W994" s="55" t="e">
        <f>VLOOKUP($I994,'Pricing Table - eff 27-Jan-2026'!$A:$R,18,FALSE)</f>
        <v>#N/A</v>
      </c>
    </row>
    <row r="995" spans="1:23" hidden="1" x14ac:dyDescent="0.3">
      <c r="A995" s="55"/>
      <c r="B995" s="55"/>
      <c r="C995" s="55">
        <f>VLOOKUP(A995&amp;"-"&amp;B995,'Order Summary'!$D:$E,2,FALSE)</f>
        <v>0</v>
      </c>
      <c r="D995" s="216" t="str">
        <f>IF($A995="","",VLOOKUP($A995&amp;"-"&amp;$B995,'Order Summary'!$D:$U,3,FALSE))</f>
        <v/>
      </c>
      <c r="E995" s="55" t="str">
        <f>VLOOKUP(A995&amp;"-"&amp;B995,'Order Summary'!$D:$G,4,FALSE)</f>
        <v>Yes</v>
      </c>
      <c r="F995" s="55" t="e">
        <f>VLOOKUP($A995,'Order Summary'!$B:$I,8,FALSE)</f>
        <v>#N/A</v>
      </c>
      <c r="G995" s="216" t="str">
        <f>IF($A995="","",VLOOKUP($A995&amp;"-"&amp;$B995,'Order Summary'!$D:$U,18,FALSE))</f>
        <v/>
      </c>
      <c r="H995" s="55"/>
      <c r="I995" s="55"/>
      <c r="J995" s="55" t="e">
        <f>VLOOKUP($I995,'Pricing Table - eff 27-Jan-2026'!$A:$R,2,FALSE)</f>
        <v>#N/A</v>
      </c>
      <c r="K995" s="55" t="e">
        <f>VLOOKUP($I995,'Pricing Table - eff 27-Jan-2026'!$A:$R,6,FALSE)&amp;" "&amp;VLOOKUP($I995,'Pricing Table - eff 27-Jan-2026'!$A:$R,7,FALSE)&amp;""" x "&amp;VLOOKUP($I995,'Pricing Table - eff 27-Jan-2026'!$A:$R,9,FALSE)&amp;""" "&amp;VLOOKUP($I995,'Pricing Table - eff 27-Jan-2026'!$A:$R,5,FALSE)</f>
        <v>#N/A</v>
      </c>
      <c r="L995" s="55" t="e">
        <f>VLOOKUP($I995,'Pricing Table - eff 27-Jan-2026'!$A:$K,8,FALSE)</f>
        <v>#N/A</v>
      </c>
      <c r="M995" s="55" t="e">
        <f>VLOOKUP($I995,'Pricing Table - eff 27-Jan-2026'!$A:$K,10,FALSE)</f>
        <v>#N/A</v>
      </c>
      <c r="N995" s="55" t="e">
        <f>VLOOKUP($I995,'Pricing Table - eff 27-Jan-2026'!$A:$R,13,FALSE)&amp;" "&amp;VLOOKUP($I995,'Pricing Table - eff 27-Jan-2026'!$A:$R,12,FALSE)</f>
        <v>#N/A</v>
      </c>
      <c r="O995" s="56"/>
      <c r="P995" s="55" t="e">
        <f>(VLOOKUP($I995,'Pricing Table - eff 27-Jan-2026'!$A:$R,8,FALSE)/1000)*(VLOOKUP($I995,'Pricing Table - eff 27-Jan-2026'!$A:$R,10,FALSE)/1000)*Q995</f>
        <v>#N/A</v>
      </c>
      <c r="Q995" s="55" t="e">
        <f>ROUND(('Order Details'!$O995*1000)/((VLOOKUP($I995,'Pricing Table - eff 27-Jan-2026'!$A:$Q,7,FALSE)/12)*(VLOOKUP($I995,'Pricing Table - eff 27-Jan-2026'!$A:$Q,9,FALSE)/12))/5,0)*5</f>
        <v>#N/A</v>
      </c>
      <c r="R995" s="71" t="e">
        <f>$Q995/IFERROR(VLOOKUP($F995&amp;RIGHT($K995,8),'Master Data'!$O$5:$P$10,2,FALSE),'Master Data'!$P$4)</f>
        <v>#N/A</v>
      </c>
      <c r="S995" s="57" t="e">
        <f>VLOOKUP($I995,'Pricing Table - eff 27-Jan-2026'!$A:$Q,16,FALSE)</f>
        <v>#N/A</v>
      </c>
      <c r="T995" s="57" t="e">
        <f>VLOOKUP(I995,'Pricing Table - eff 27-Jan-2026'!$A:$O,15,FALSE)</f>
        <v>#N/A</v>
      </c>
      <c r="U995" s="57" t="e">
        <f t="shared" si="41"/>
        <v>#N/A</v>
      </c>
      <c r="V995" s="111" t="e">
        <f t="shared" si="42"/>
        <v>#N/A</v>
      </c>
      <c r="W995" s="55" t="e">
        <f>VLOOKUP($I995,'Pricing Table - eff 27-Jan-2026'!$A:$R,18,FALSE)</f>
        <v>#N/A</v>
      </c>
    </row>
    <row r="996" spans="1:23" hidden="1" x14ac:dyDescent="0.3">
      <c r="A996" s="55"/>
      <c r="B996" s="55"/>
      <c r="C996" s="55">
        <f>VLOOKUP(A996&amp;"-"&amp;B996,'Order Summary'!$D:$E,2,FALSE)</f>
        <v>0</v>
      </c>
      <c r="D996" s="216" t="str">
        <f>IF($A996="","",VLOOKUP($A996&amp;"-"&amp;$B996,'Order Summary'!$D:$U,3,FALSE))</f>
        <v/>
      </c>
      <c r="E996" s="55" t="str">
        <f>VLOOKUP(A996&amp;"-"&amp;B996,'Order Summary'!$D:$G,4,FALSE)</f>
        <v>Yes</v>
      </c>
      <c r="F996" s="55" t="e">
        <f>VLOOKUP($A996,'Order Summary'!$B:$I,8,FALSE)</f>
        <v>#N/A</v>
      </c>
      <c r="G996" s="216" t="str">
        <f>IF($A996="","",VLOOKUP($A996&amp;"-"&amp;$B996,'Order Summary'!$D:$U,18,FALSE))</f>
        <v/>
      </c>
      <c r="H996" s="55"/>
      <c r="I996" s="55"/>
      <c r="J996" s="55" t="e">
        <f>VLOOKUP($I996,'Pricing Table - eff 27-Jan-2026'!$A:$R,2,FALSE)</f>
        <v>#N/A</v>
      </c>
      <c r="K996" s="55" t="e">
        <f>VLOOKUP($I996,'Pricing Table - eff 27-Jan-2026'!$A:$R,6,FALSE)&amp;" "&amp;VLOOKUP($I996,'Pricing Table - eff 27-Jan-2026'!$A:$R,7,FALSE)&amp;""" x "&amp;VLOOKUP($I996,'Pricing Table - eff 27-Jan-2026'!$A:$R,9,FALSE)&amp;""" "&amp;VLOOKUP($I996,'Pricing Table - eff 27-Jan-2026'!$A:$R,5,FALSE)</f>
        <v>#N/A</v>
      </c>
      <c r="L996" s="55" t="e">
        <f>VLOOKUP($I996,'Pricing Table - eff 27-Jan-2026'!$A:$K,8,FALSE)</f>
        <v>#N/A</v>
      </c>
      <c r="M996" s="55" t="e">
        <f>VLOOKUP($I996,'Pricing Table - eff 27-Jan-2026'!$A:$K,10,FALSE)</f>
        <v>#N/A</v>
      </c>
      <c r="N996" s="55" t="e">
        <f>VLOOKUP($I996,'Pricing Table - eff 27-Jan-2026'!$A:$R,13,FALSE)&amp;" "&amp;VLOOKUP($I996,'Pricing Table - eff 27-Jan-2026'!$A:$R,12,FALSE)</f>
        <v>#N/A</v>
      </c>
      <c r="O996" s="56"/>
      <c r="P996" s="55" t="e">
        <f>(VLOOKUP($I996,'Pricing Table - eff 27-Jan-2026'!$A:$R,8,FALSE)/1000)*(VLOOKUP($I996,'Pricing Table - eff 27-Jan-2026'!$A:$R,10,FALSE)/1000)*Q996</f>
        <v>#N/A</v>
      </c>
      <c r="Q996" s="55" t="e">
        <f>ROUND(('Order Details'!$O996*1000)/((VLOOKUP($I996,'Pricing Table - eff 27-Jan-2026'!$A:$Q,7,FALSE)/12)*(VLOOKUP($I996,'Pricing Table - eff 27-Jan-2026'!$A:$Q,9,FALSE)/12))/5,0)*5</f>
        <v>#N/A</v>
      </c>
      <c r="R996" s="71" t="e">
        <f>$Q996/IFERROR(VLOOKUP($F996&amp;RIGHT($K996,8),'Master Data'!$O$5:$P$10,2,FALSE),'Master Data'!$P$4)</f>
        <v>#N/A</v>
      </c>
      <c r="S996" s="57" t="e">
        <f>VLOOKUP($I996,'Pricing Table - eff 27-Jan-2026'!$A:$Q,16,FALSE)</f>
        <v>#N/A</v>
      </c>
      <c r="T996" s="57" t="e">
        <f>VLOOKUP(I996,'Pricing Table - eff 27-Jan-2026'!$A:$O,15,FALSE)</f>
        <v>#N/A</v>
      </c>
      <c r="U996" s="57" t="e">
        <f t="shared" si="41"/>
        <v>#N/A</v>
      </c>
      <c r="V996" s="111" t="e">
        <f t="shared" si="42"/>
        <v>#N/A</v>
      </c>
      <c r="W996" s="55" t="e">
        <f>VLOOKUP($I996,'Pricing Table - eff 27-Jan-2026'!$A:$R,18,FALSE)</f>
        <v>#N/A</v>
      </c>
    </row>
    <row r="997" spans="1:23" hidden="1" x14ac:dyDescent="0.3">
      <c r="A997" s="55"/>
      <c r="B997" s="55"/>
      <c r="C997" s="55">
        <f>VLOOKUP(A997&amp;"-"&amp;B997,'Order Summary'!$D:$E,2,FALSE)</f>
        <v>0</v>
      </c>
      <c r="D997" s="216" t="str">
        <f>IF($A997="","",VLOOKUP($A997&amp;"-"&amp;$B997,'Order Summary'!$D:$U,3,FALSE))</f>
        <v/>
      </c>
      <c r="E997" s="55" t="str">
        <f>VLOOKUP(A997&amp;"-"&amp;B997,'Order Summary'!$D:$G,4,FALSE)</f>
        <v>Yes</v>
      </c>
      <c r="F997" s="55" t="e">
        <f>VLOOKUP($A997,'Order Summary'!$B:$I,8,FALSE)</f>
        <v>#N/A</v>
      </c>
      <c r="G997" s="216" t="str">
        <f>IF($A997="","",VLOOKUP($A997&amp;"-"&amp;$B997,'Order Summary'!$D:$U,18,FALSE))</f>
        <v/>
      </c>
      <c r="H997" s="55"/>
      <c r="I997" s="55"/>
      <c r="J997" s="55" t="e">
        <f>VLOOKUP($I997,'Pricing Table - eff 27-Jan-2026'!$A:$R,2,FALSE)</f>
        <v>#N/A</v>
      </c>
      <c r="K997" s="55" t="e">
        <f>VLOOKUP($I997,'Pricing Table - eff 27-Jan-2026'!$A:$R,6,FALSE)&amp;" "&amp;VLOOKUP($I997,'Pricing Table - eff 27-Jan-2026'!$A:$R,7,FALSE)&amp;""" x "&amp;VLOOKUP($I997,'Pricing Table - eff 27-Jan-2026'!$A:$R,9,FALSE)&amp;""" "&amp;VLOOKUP($I997,'Pricing Table - eff 27-Jan-2026'!$A:$R,5,FALSE)</f>
        <v>#N/A</v>
      </c>
      <c r="L997" s="55" t="e">
        <f>VLOOKUP($I997,'Pricing Table - eff 27-Jan-2026'!$A:$K,8,FALSE)</f>
        <v>#N/A</v>
      </c>
      <c r="M997" s="55" t="e">
        <f>VLOOKUP($I997,'Pricing Table - eff 27-Jan-2026'!$A:$K,10,FALSE)</f>
        <v>#N/A</v>
      </c>
      <c r="N997" s="55" t="e">
        <f>VLOOKUP($I997,'Pricing Table - eff 27-Jan-2026'!$A:$R,13,FALSE)&amp;" "&amp;VLOOKUP($I997,'Pricing Table - eff 27-Jan-2026'!$A:$R,12,FALSE)</f>
        <v>#N/A</v>
      </c>
      <c r="O997" s="56"/>
      <c r="P997" s="55" t="e">
        <f>(VLOOKUP($I997,'Pricing Table - eff 27-Jan-2026'!$A:$R,8,FALSE)/1000)*(VLOOKUP($I997,'Pricing Table - eff 27-Jan-2026'!$A:$R,10,FALSE)/1000)*Q997</f>
        <v>#N/A</v>
      </c>
      <c r="Q997" s="55" t="e">
        <f>ROUND(('Order Details'!$O997*1000)/((VLOOKUP($I997,'Pricing Table - eff 27-Jan-2026'!$A:$Q,7,FALSE)/12)*(VLOOKUP($I997,'Pricing Table - eff 27-Jan-2026'!$A:$Q,9,FALSE)/12))/5,0)*5</f>
        <v>#N/A</v>
      </c>
      <c r="R997" s="71" t="e">
        <f>$Q997/IFERROR(VLOOKUP($F997&amp;RIGHT($K997,8),'Master Data'!$O$5:$P$10,2,FALSE),'Master Data'!$P$4)</f>
        <v>#N/A</v>
      </c>
      <c r="S997" s="57" t="e">
        <f>VLOOKUP($I997,'Pricing Table - eff 27-Jan-2026'!$A:$Q,16,FALSE)</f>
        <v>#N/A</v>
      </c>
      <c r="T997" s="57" t="e">
        <f>VLOOKUP(I997,'Pricing Table - eff 27-Jan-2026'!$A:$O,15,FALSE)</f>
        <v>#N/A</v>
      </c>
      <c r="U997" s="57" t="e">
        <f t="shared" si="41"/>
        <v>#N/A</v>
      </c>
      <c r="V997" s="111" t="e">
        <f t="shared" si="42"/>
        <v>#N/A</v>
      </c>
      <c r="W997" s="55" t="e">
        <f>VLOOKUP($I997,'Pricing Table - eff 27-Jan-2026'!$A:$R,18,FALSE)</f>
        <v>#N/A</v>
      </c>
    </row>
  </sheetData>
  <autoFilter ref="A1:AA997" xr:uid="{19F1D7D2-1F85-403A-9FA1-81F3794E1AFE}">
    <filterColumn colId="0">
      <filters>
        <filter val="53036685"/>
      </filters>
    </filterColumn>
  </autoFilter>
  <phoneticPr fontId="12" type="noConversion"/>
  <conditionalFormatting sqref="A2:W649 A650:N650 P650:W650 A651:W679 A680:N680 P680:W680 A681:W2000">
    <cfRule type="expression" dxfId="2" priority="20">
      <formula>IF($E2="No",1,0)</formula>
    </cfRule>
  </conditionalFormatting>
  <dataValidations count="1">
    <dataValidation type="list" allowBlank="1" showInputMessage="1" showErrorMessage="1" sqref="E2:E997" xr:uid="{4539A014-EE39-4563-B386-F3C0D3148727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AAB5-E77C-4767-9F46-7630FF882A78}">
  <sheetPr codeName="Sheet5"/>
  <dimension ref="A1:X69"/>
  <sheetViews>
    <sheetView topLeftCell="H1" zoomScaleNormal="100" workbookViewId="0">
      <selection activeCell="X69" sqref="X69"/>
    </sheetView>
  </sheetViews>
  <sheetFormatPr defaultColWidth="8.6640625" defaultRowHeight="14.4" x14ac:dyDescent="0.3"/>
  <cols>
    <col min="1" max="2" width="14" bestFit="1" customWidth="1"/>
    <col min="3" max="3" width="9.44140625" bestFit="1" customWidth="1"/>
    <col min="4" max="4" width="7.33203125" bestFit="1" customWidth="1"/>
    <col min="5" max="5" width="11.6640625" bestFit="1" customWidth="1"/>
    <col min="6" max="8" width="9.33203125" customWidth="1"/>
    <col min="11" max="11" width="11.33203125" bestFit="1" customWidth="1"/>
    <col min="12" max="12" width="18.88671875" bestFit="1" customWidth="1"/>
    <col min="13" max="13" width="17" bestFit="1" customWidth="1"/>
    <col min="14" max="14" width="16" style="27" customWidth="1"/>
    <col min="15" max="15" width="15.109375" style="28" customWidth="1"/>
    <col min="16" max="16" width="15.109375" style="27" customWidth="1"/>
    <col min="17" max="17" width="12.33203125" customWidth="1"/>
    <col min="18" max="18" width="12.109375" bestFit="1" customWidth="1"/>
    <col min="19" max="19" width="10.5546875" bestFit="1" customWidth="1"/>
  </cols>
  <sheetData>
    <row r="1" spans="1:24" ht="19.2" customHeight="1" x14ac:dyDescent="0.3">
      <c r="A1" s="338" t="s">
        <v>339</v>
      </c>
      <c r="B1" s="338" t="s">
        <v>340</v>
      </c>
      <c r="C1" s="340" t="s">
        <v>341</v>
      </c>
      <c r="D1" s="338" t="s">
        <v>342</v>
      </c>
      <c r="E1" s="338" t="s">
        <v>343</v>
      </c>
      <c r="F1" s="338" t="s">
        <v>344</v>
      </c>
      <c r="G1" s="335" t="s">
        <v>345</v>
      </c>
      <c r="H1" s="336"/>
      <c r="I1" s="337" t="s">
        <v>346</v>
      </c>
      <c r="J1" s="335"/>
      <c r="K1" s="338" t="s">
        <v>347</v>
      </c>
      <c r="L1" s="340" t="s">
        <v>1</v>
      </c>
      <c r="M1" s="338" t="s">
        <v>348</v>
      </c>
      <c r="N1" s="342" t="s">
        <v>349</v>
      </c>
      <c r="O1" s="342" t="s">
        <v>350</v>
      </c>
      <c r="P1" s="342" t="s">
        <v>351</v>
      </c>
      <c r="Q1" s="342" t="s">
        <v>352</v>
      </c>
      <c r="R1" s="342" t="s">
        <v>353</v>
      </c>
      <c r="T1" s="334" t="s">
        <v>354</v>
      </c>
      <c r="U1" s="334"/>
      <c r="V1" s="334"/>
      <c r="W1" s="334"/>
      <c r="X1" s="334"/>
    </row>
    <row r="2" spans="1:24" ht="19.2" customHeight="1" thickBot="1" x14ac:dyDescent="0.35">
      <c r="A2" s="339"/>
      <c r="B2" s="339"/>
      <c r="C2" s="341"/>
      <c r="D2" s="339"/>
      <c r="E2" s="339"/>
      <c r="F2" s="339"/>
      <c r="G2" s="1" t="s">
        <v>355</v>
      </c>
      <c r="H2" s="2" t="s">
        <v>356</v>
      </c>
      <c r="I2" s="3" t="s">
        <v>355</v>
      </c>
      <c r="J2" s="4" t="s">
        <v>356</v>
      </c>
      <c r="K2" s="339"/>
      <c r="L2" s="341"/>
      <c r="M2" s="339"/>
      <c r="N2" s="343"/>
      <c r="O2" s="343"/>
      <c r="P2" s="343"/>
      <c r="Q2" s="343"/>
      <c r="R2" s="343"/>
      <c r="T2" s="334"/>
      <c r="U2" s="334"/>
      <c r="V2" s="334"/>
      <c r="W2" s="334"/>
      <c r="X2" s="334"/>
    </row>
    <row r="3" spans="1:24" s="84" customFormat="1" x14ac:dyDescent="0.3">
      <c r="A3" s="95">
        <v>704984</v>
      </c>
      <c r="B3" s="75" t="str">
        <f t="shared" ref="B3:B34" si="0">"G1S "&amp;A3</f>
        <v>G1S 704984</v>
      </c>
      <c r="C3" s="76" t="s">
        <v>357</v>
      </c>
      <c r="D3" s="77" t="s">
        <v>358</v>
      </c>
      <c r="E3" s="77" t="s">
        <v>359</v>
      </c>
      <c r="F3" s="77" t="s">
        <v>360</v>
      </c>
      <c r="G3" s="78">
        <v>49</v>
      </c>
      <c r="H3" s="79">
        <v>1245</v>
      </c>
      <c r="I3" s="80">
        <v>84</v>
      </c>
      <c r="J3" s="81">
        <v>2135</v>
      </c>
      <c r="K3" s="77" t="s">
        <v>359</v>
      </c>
      <c r="L3" s="76" t="s">
        <v>361</v>
      </c>
      <c r="M3" s="77" t="s">
        <v>362</v>
      </c>
      <c r="N3" s="82">
        <f t="shared" ref="N3:N34" si="1">ROUND(O3/10.764,2)</f>
        <v>0.72</v>
      </c>
      <c r="O3" s="82">
        <v>7.73</v>
      </c>
      <c r="P3" s="82">
        <f t="shared" ref="P3:P34" si="2">N3*1000</f>
        <v>720</v>
      </c>
      <c r="Q3" s="83">
        <f t="shared" ref="Q3:Q34" si="3">(H3*J3/1000000)*O3</f>
        <v>20.546919750000004</v>
      </c>
      <c r="R3" s="204">
        <f>IF(COUNTIFS('Master Data'!$S$8:$S$13,'Pricing Table - eff 27-Jan-2026'!$M3)&gt;0,'Master Data'!$S$4,'Master Data'!$S$5)</f>
        <v>45</v>
      </c>
      <c r="S3" s="85"/>
    </row>
    <row r="4" spans="1:24" x14ac:dyDescent="0.3">
      <c r="A4" s="96">
        <v>694431</v>
      </c>
      <c r="B4" s="32" t="str">
        <f t="shared" si="0"/>
        <v>G1S 694431</v>
      </c>
      <c r="C4" s="6" t="s">
        <v>357</v>
      </c>
      <c r="D4" s="5" t="s">
        <v>358</v>
      </c>
      <c r="E4" s="5" t="s">
        <v>359</v>
      </c>
      <c r="F4" s="5" t="s">
        <v>360</v>
      </c>
      <c r="G4" s="7">
        <v>49</v>
      </c>
      <c r="H4" s="8">
        <v>1245</v>
      </c>
      <c r="I4" s="9">
        <v>90</v>
      </c>
      <c r="J4" s="74">
        <v>2286</v>
      </c>
      <c r="K4" s="5" t="s">
        <v>359</v>
      </c>
      <c r="L4" s="6" t="s">
        <v>361</v>
      </c>
      <c r="M4" s="5" t="s">
        <v>362</v>
      </c>
      <c r="N4" s="10">
        <f t="shared" si="1"/>
        <v>0.72</v>
      </c>
      <c r="O4" s="10">
        <v>7.73</v>
      </c>
      <c r="P4" s="10">
        <f t="shared" si="2"/>
        <v>720</v>
      </c>
      <c r="Q4" s="47">
        <f t="shared" si="3"/>
        <v>22.000121100000001</v>
      </c>
      <c r="R4" s="205">
        <f>IF(COUNTIFS('Master Data'!$S$8:$S$13,'Pricing Table - eff 27-Jan-2026'!$M4)&gt;0,'Master Data'!$S$4,'Master Data'!$S$5)</f>
        <v>45</v>
      </c>
      <c r="S4" s="73"/>
      <c r="V4" s="46"/>
    </row>
    <row r="5" spans="1:24" s="84" customFormat="1" x14ac:dyDescent="0.3">
      <c r="A5" s="95">
        <v>709354</v>
      </c>
      <c r="B5" s="75" t="str">
        <f t="shared" si="0"/>
        <v>G1S 709354</v>
      </c>
      <c r="C5" s="76" t="s">
        <v>357</v>
      </c>
      <c r="D5" s="77" t="s">
        <v>358</v>
      </c>
      <c r="E5" s="77" t="s">
        <v>359</v>
      </c>
      <c r="F5" s="77" t="s">
        <v>360</v>
      </c>
      <c r="G5" s="78">
        <v>49</v>
      </c>
      <c r="H5" s="79">
        <v>1245</v>
      </c>
      <c r="I5" s="80">
        <v>90.5</v>
      </c>
      <c r="J5" s="81">
        <v>2300</v>
      </c>
      <c r="K5" s="77" t="s">
        <v>359</v>
      </c>
      <c r="L5" s="76" t="s">
        <v>361</v>
      </c>
      <c r="M5" s="77" t="s">
        <v>362</v>
      </c>
      <c r="N5" s="82">
        <f t="shared" si="1"/>
        <v>0.72</v>
      </c>
      <c r="O5" s="82">
        <v>7.73</v>
      </c>
      <c r="P5" s="82">
        <f t="shared" si="2"/>
        <v>720</v>
      </c>
      <c r="Q5" s="83">
        <f t="shared" si="3"/>
        <v>22.134855000000002</v>
      </c>
      <c r="R5" s="206">
        <f>IF(COUNTIFS('Master Data'!$S$8:$S$13,'Pricing Table - eff 27-Jan-2026'!$M5)&gt;0,'Master Data'!$S$4,'Master Data'!$S$5)</f>
        <v>45</v>
      </c>
      <c r="S5" s="85"/>
    </row>
    <row r="6" spans="1:24" x14ac:dyDescent="0.3">
      <c r="A6" s="96">
        <v>694432</v>
      </c>
      <c r="B6" s="32" t="str">
        <f t="shared" si="0"/>
        <v>G1S 694432</v>
      </c>
      <c r="C6" s="12" t="s">
        <v>357</v>
      </c>
      <c r="D6" s="11" t="s">
        <v>358</v>
      </c>
      <c r="E6" s="11" t="s">
        <v>359</v>
      </c>
      <c r="F6" s="11" t="s">
        <v>360</v>
      </c>
      <c r="G6" s="13">
        <v>49</v>
      </c>
      <c r="H6" s="14">
        <v>1245</v>
      </c>
      <c r="I6" s="15">
        <v>96</v>
      </c>
      <c r="J6" s="16">
        <v>2440</v>
      </c>
      <c r="K6" s="11" t="s">
        <v>359</v>
      </c>
      <c r="L6" s="12" t="s">
        <v>361</v>
      </c>
      <c r="M6" s="11" t="s">
        <v>362</v>
      </c>
      <c r="N6" s="17">
        <f t="shared" si="1"/>
        <v>0.72</v>
      </c>
      <c r="O6" s="17">
        <v>7.73</v>
      </c>
      <c r="P6" s="17">
        <f t="shared" si="2"/>
        <v>720</v>
      </c>
      <c r="Q6" s="47">
        <f t="shared" si="3"/>
        <v>23.482194</v>
      </c>
      <c r="R6" s="205">
        <f>IF(COUNTIFS('Master Data'!$S$8:$S$13,'Pricing Table - eff 27-Jan-2026'!$M6)&gt;0,'Master Data'!$S$4,'Master Data'!$S$5)</f>
        <v>45</v>
      </c>
      <c r="U6" s="173"/>
      <c r="V6" s="236"/>
    </row>
    <row r="7" spans="1:24" x14ac:dyDescent="0.3">
      <c r="A7" s="96">
        <v>694433</v>
      </c>
      <c r="B7" s="12" t="str">
        <f t="shared" si="0"/>
        <v>G1S 694433</v>
      </c>
      <c r="C7" s="12" t="s">
        <v>357</v>
      </c>
      <c r="D7" s="11" t="s">
        <v>358</v>
      </c>
      <c r="E7" s="11" t="s">
        <v>359</v>
      </c>
      <c r="F7" s="11" t="s">
        <v>360</v>
      </c>
      <c r="G7" s="13">
        <v>49</v>
      </c>
      <c r="H7" s="14">
        <v>1245</v>
      </c>
      <c r="I7" s="15">
        <v>108</v>
      </c>
      <c r="J7" s="16">
        <v>2745</v>
      </c>
      <c r="K7" s="11" t="s">
        <v>359</v>
      </c>
      <c r="L7" s="12" t="s">
        <v>361</v>
      </c>
      <c r="M7" s="11" t="s">
        <v>362</v>
      </c>
      <c r="N7" s="17">
        <f t="shared" si="1"/>
        <v>0.72</v>
      </c>
      <c r="O7" s="17">
        <v>7.73</v>
      </c>
      <c r="P7" s="17">
        <f t="shared" si="2"/>
        <v>720</v>
      </c>
      <c r="Q7" s="48">
        <f t="shared" si="3"/>
        <v>26.417468250000002</v>
      </c>
      <c r="R7" s="205">
        <f>IF(COUNTIFS('Master Data'!$S$8:$S$13,'Pricing Table - eff 27-Jan-2026'!$M7)&gt;0,'Master Data'!$S$4,'Master Data'!$S$5)</f>
        <v>45</v>
      </c>
      <c r="T7" s="46"/>
      <c r="U7" s="173"/>
    </row>
    <row r="8" spans="1:24" x14ac:dyDescent="0.3">
      <c r="A8" s="96">
        <v>694434</v>
      </c>
      <c r="B8" s="12" t="str">
        <f t="shared" si="0"/>
        <v>G1S 694434</v>
      </c>
      <c r="C8" s="12" t="s">
        <v>357</v>
      </c>
      <c r="D8" s="11" t="s">
        <v>358</v>
      </c>
      <c r="E8" s="11" t="s">
        <v>359</v>
      </c>
      <c r="F8" s="11" t="s">
        <v>360</v>
      </c>
      <c r="G8" s="13">
        <v>49</v>
      </c>
      <c r="H8" s="14">
        <v>1245</v>
      </c>
      <c r="I8" s="15">
        <v>144</v>
      </c>
      <c r="J8" s="16">
        <v>3658</v>
      </c>
      <c r="K8" s="11" t="s">
        <v>359</v>
      </c>
      <c r="L8" s="12" t="s">
        <v>361</v>
      </c>
      <c r="M8" s="11" t="s">
        <v>362</v>
      </c>
      <c r="N8" s="17">
        <f t="shared" si="1"/>
        <v>0.72</v>
      </c>
      <c r="O8" s="17">
        <v>7.73</v>
      </c>
      <c r="P8" s="17">
        <f t="shared" si="2"/>
        <v>720</v>
      </c>
      <c r="Q8" s="48">
        <f t="shared" si="3"/>
        <v>35.204043300000002</v>
      </c>
      <c r="R8" s="205">
        <f>IF(COUNTIFS('Master Data'!$S$8:$S$13,'Pricing Table - eff 27-Jan-2026'!$M8)&gt;0,'Master Data'!$S$4,'Master Data'!$S$5)</f>
        <v>45</v>
      </c>
    </row>
    <row r="9" spans="1:24" s="84" customFormat="1" x14ac:dyDescent="0.3">
      <c r="A9" s="95">
        <v>704985</v>
      </c>
      <c r="B9" s="86" t="str">
        <f t="shared" si="0"/>
        <v>G1S 704985</v>
      </c>
      <c r="C9" s="86" t="s">
        <v>357</v>
      </c>
      <c r="D9" s="87" t="s">
        <v>358</v>
      </c>
      <c r="E9" s="87" t="s">
        <v>359</v>
      </c>
      <c r="F9" s="87" t="s">
        <v>360</v>
      </c>
      <c r="G9" s="88">
        <v>49</v>
      </c>
      <c r="H9" s="89">
        <v>1245</v>
      </c>
      <c r="I9" s="90">
        <v>84</v>
      </c>
      <c r="J9" s="81">
        <v>2135</v>
      </c>
      <c r="K9" s="87" t="s">
        <v>359</v>
      </c>
      <c r="L9" s="86" t="s">
        <v>363</v>
      </c>
      <c r="M9" s="87" t="s">
        <v>364</v>
      </c>
      <c r="N9" s="91">
        <f t="shared" si="1"/>
        <v>0.72</v>
      </c>
      <c r="O9" s="91">
        <v>7.73</v>
      </c>
      <c r="P9" s="91">
        <f t="shared" si="2"/>
        <v>720</v>
      </c>
      <c r="Q9" s="92">
        <f t="shared" si="3"/>
        <v>20.546919750000004</v>
      </c>
      <c r="R9" s="206">
        <f>IF(COUNTIFS('Master Data'!$S$8:$S$13,'Pricing Table - eff 27-Jan-2026'!$M9)&gt;0,'Master Data'!$S$4,'Master Data'!$S$5)</f>
        <v>45</v>
      </c>
    </row>
    <row r="10" spans="1:24" x14ac:dyDescent="0.3">
      <c r="A10" s="96">
        <v>694435</v>
      </c>
      <c r="B10" s="12" t="str">
        <f t="shared" si="0"/>
        <v>G1S 694435</v>
      </c>
      <c r="C10" s="12" t="s">
        <v>357</v>
      </c>
      <c r="D10" s="11" t="s">
        <v>358</v>
      </c>
      <c r="E10" s="11" t="s">
        <v>359</v>
      </c>
      <c r="F10" s="11" t="s">
        <v>360</v>
      </c>
      <c r="G10" s="13">
        <v>49</v>
      </c>
      <c r="H10" s="14">
        <v>1245</v>
      </c>
      <c r="I10" s="15">
        <v>90</v>
      </c>
      <c r="J10" s="16">
        <v>2286</v>
      </c>
      <c r="K10" s="11" t="s">
        <v>359</v>
      </c>
      <c r="L10" s="12" t="s">
        <v>363</v>
      </c>
      <c r="M10" s="11" t="s">
        <v>364</v>
      </c>
      <c r="N10" s="17">
        <f t="shared" si="1"/>
        <v>0.72</v>
      </c>
      <c r="O10" s="17">
        <v>7.73</v>
      </c>
      <c r="P10" s="17">
        <f t="shared" si="2"/>
        <v>720</v>
      </c>
      <c r="Q10" s="48">
        <f t="shared" si="3"/>
        <v>22.000121100000001</v>
      </c>
      <c r="R10" s="205">
        <f>IF(COUNTIFS('Master Data'!$S$8:$S$13,'Pricing Table - eff 27-Jan-2026'!$M10)&gt;0,'Master Data'!$S$4,'Master Data'!$S$5)</f>
        <v>45</v>
      </c>
    </row>
    <row r="11" spans="1:24" s="84" customFormat="1" x14ac:dyDescent="0.3">
      <c r="A11" s="95">
        <v>709355</v>
      </c>
      <c r="B11" s="86" t="str">
        <f t="shared" si="0"/>
        <v>G1S 709355</v>
      </c>
      <c r="C11" s="86" t="s">
        <v>357</v>
      </c>
      <c r="D11" s="87" t="s">
        <v>358</v>
      </c>
      <c r="E11" s="87" t="s">
        <v>359</v>
      </c>
      <c r="F11" s="87" t="s">
        <v>360</v>
      </c>
      <c r="G11" s="88">
        <v>49</v>
      </c>
      <c r="H11" s="89">
        <v>1245</v>
      </c>
      <c r="I11" s="90">
        <v>90.5</v>
      </c>
      <c r="J11" s="81">
        <v>2300</v>
      </c>
      <c r="K11" s="87" t="s">
        <v>359</v>
      </c>
      <c r="L11" s="86" t="s">
        <v>363</v>
      </c>
      <c r="M11" s="87" t="s">
        <v>364</v>
      </c>
      <c r="N11" s="91">
        <f t="shared" si="1"/>
        <v>0.72</v>
      </c>
      <c r="O11" s="91">
        <v>7.73</v>
      </c>
      <c r="P11" s="91">
        <f t="shared" si="2"/>
        <v>720</v>
      </c>
      <c r="Q11" s="92">
        <f t="shared" si="3"/>
        <v>22.134855000000002</v>
      </c>
      <c r="R11" s="206">
        <f>IF(COUNTIFS('Master Data'!$S$8:$S$13,'Pricing Table - eff 27-Jan-2026'!$M11)&gt;0,'Master Data'!$S$4,'Master Data'!$S$5)</f>
        <v>45</v>
      </c>
    </row>
    <row r="12" spans="1:24" x14ac:dyDescent="0.3">
      <c r="A12" s="96">
        <v>694436</v>
      </c>
      <c r="B12" s="12" t="str">
        <f t="shared" si="0"/>
        <v>G1S 694436</v>
      </c>
      <c r="C12" s="12" t="s">
        <v>357</v>
      </c>
      <c r="D12" s="11" t="s">
        <v>358</v>
      </c>
      <c r="E12" s="11" t="s">
        <v>359</v>
      </c>
      <c r="F12" s="11" t="s">
        <v>360</v>
      </c>
      <c r="G12" s="13">
        <v>49</v>
      </c>
      <c r="H12" s="14">
        <v>1245</v>
      </c>
      <c r="I12" s="15">
        <v>96</v>
      </c>
      <c r="J12" s="16">
        <v>2440</v>
      </c>
      <c r="K12" s="11" t="s">
        <v>359</v>
      </c>
      <c r="L12" s="12" t="s">
        <v>363</v>
      </c>
      <c r="M12" s="11" t="s">
        <v>364</v>
      </c>
      <c r="N12" s="17">
        <f t="shared" si="1"/>
        <v>0.72</v>
      </c>
      <c r="O12" s="17">
        <v>7.73</v>
      </c>
      <c r="P12" s="17">
        <f t="shared" si="2"/>
        <v>720</v>
      </c>
      <c r="Q12" s="48">
        <f t="shared" si="3"/>
        <v>23.482194</v>
      </c>
      <c r="R12" s="205">
        <f>IF(COUNTIFS('Master Data'!$S$8:$S$13,'Pricing Table - eff 27-Jan-2026'!$M12)&gt;0,'Master Data'!$S$4,'Master Data'!$S$5)</f>
        <v>45</v>
      </c>
      <c r="S12" s="46"/>
    </row>
    <row r="13" spans="1:24" x14ac:dyDescent="0.3">
      <c r="A13" s="96">
        <v>694437</v>
      </c>
      <c r="B13" s="12" t="str">
        <f t="shared" si="0"/>
        <v>G1S 694437</v>
      </c>
      <c r="C13" s="12" t="s">
        <v>357</v>
      </c>
      <c r="D13" s="11" t="s">
        <v>358</v>
      </c>
      <c r="E13" s="11" t="s">
        <v>359</v>
      </c>
      <c r="F13" s="11" t="s">
        <v>360</v>
      </c>
      <c r="G13" s="13">
        <v>49</v>
      </c>
      <c r="H13" s="14">
        <v>1245</v>
      </c>
      <c r="I13" s="15">
        <v>108</v>
      </c>
      <c r="J13" s="16">
        <v>2745</v>
      </c>
      <c r="K13" s="11" t="s">
        <v>359</v>
      </c>
      <c r="L13" s="12" t="s">
        <v>363</v>
      </c>
      <c r="M13" s="11" t="s">
        <v>364</v>
      </c>
      <c r="N13" s="17">
        <f t="shared" si="1"/>
        <v>0.72</v>
      </c>
      <c r="O13" s="17">
        <v>7.73</v>
      </c>
      <c r="P13" s="17">
        <f t="shared" si="2"/>
        <v>720</v>
      </c>
      <c r="Q13" s="48">
        <f t="shared" si="3"/>
        <v>26.417468250000002</v>
      </c>
      <c r="R13" s="205">
        <f>IF(COUNTIFS('Master Data'!$S$8:$S$13,'Pricing Table - eff 27-Jan-2026'!$M13)&gt;0,'Master Data'!$S$4,'Master Data'!$S$5)</f>
        <v>45</v>
      </c>
    </row>
    <row r="14" spans="1:24" x14ac:dyDescent="0.3">
      <c r="A14" s="96">
        <v>694438</v>
      </c>
      <c r="B14" s="12" t="str">
        <f t="shared" si="0"/>
        <v>G1S 694438</v>
      </c>
      <c r="C14" s="12" t="s">
        <v>357</v>
      </c>
      <c r="D14" s="11" t="s">
        <v>358</v>
      </c>
      <c r="E14" s="11" t="s">
        <v>359</v>
      </c>
      <c r="F14" s="11" t="s">
        <v>360</v>
      </c>
      <c r="G14" s="13">
        <v>49</v>
      </c>
      <c r="H14" s="14">
        <v>1245</v>
      </c>
      <c r="I14" s="15">
        <v>144</v>
      </c>
      <c r="J14" s="16">
        <v>3658</v>
      </c>
      <c r="K14" s="11" t="s">
        <v>359</v>
      </c>
      <c r="L14" s="12" t="s">
        <v>363</v>
      </c>
      <c r="M14" s="11" t="s">
        <v>364</v>
      </c>
      <c r="N14" s="17">
        <f t="shared" si="1"/>
        <v>0.72</v>
      </c>
      <c r="O14" s="17">
        <v>7.73</v>
      </c>
      <c r="P14" s="17">
        <f t="shared" si="2"/>
        <v>720</v>
      </c>
      <c r="Q14" s="48">
        <f t="shared" si="3"/>
        <v>35.204043300000002</v>
      </c>
      <c r="R14" s="205">
        <f>IF(COUNTIFS('Master Data'!$S$8:$S$13,'Pricing Table - eff 27-Jan-2026'!$M14)&gt;0,'Master Data'!$S$4,'Master Data'!$S$5)</f>
        <v>45</v>
      </c>
    </row>
    <row r="15" spans="1:24" s="84" customFormat="1" x14ac:dyDescent="0.3">
      <c r="A15" s="95">
        <v>714952</v>
      </c>
      <c r="B15" s="86" t="str">
        <f t="shared" si="0"/>
        <v>G1S 714952</v>
      </c>
      <c r="C15" s="86" t="s">
        <v>357</v>
      </c>
      <c r="D15" s="87" t="s">
        <v>358</v>
      </c>
      <c r="E15" s="87" t="s">
        <v>359</v>
      </c>
      <c r="F15" s="87" t="s">
        <v>360</v>
      </c>
      <c r="G15" s="88">
        <v>49</v>
      </c>
      <c r="H15" s="89">
        <v>1245</v>
      </c>
      <c r="I15" s="90">
        <v>84</v>
      </c>
      <c r="J15" s="81">
        <v>2135</v>
      </c>
      <c r="K15" s="87" t="s">
        <v>359</v>
      </c>
      <c r="L15" s="86" t="s">
        <v>365</v>
      </c>
      <c r="M15" s="87" t="s">
        <v>497</v>
      </c>
      <c r="N15" s="91">
        <f t="shared" si="1"/>
        <v>0.72</v>
      </c>
      <c r="O15" s="91">
        <v>7.73</v>
      </c>
      <c r="P15" s="91">
        <f t="shared" si="2"/>
        <v>720</v>
      </c>
      <c r="Q15" s="92">
        <f t="shared" si="3"/>
        <v>20.546919750000004</v>
      </c>
      <c r="R15" s="206">
        <f>IF(COUNTIFS('Master Data'!$S$8:$S$13,'Pricing Table - eff 27-Jan-2026'!$M15)&gt;0,'Master Data'!$S$4,'Master Data'!$S$5)</f>
        <v>90</v>
      </c>
    </row>
    <row r="16" spans="1:24" x14ac:dyDescent="0.3">
      <c r="A16" s="96">
        <v>694439</v>
      </c>
      <c r="B16" s="12" t="str">
        <f t="shared" si="0"/>
        <v>G1S 694439</v>
      </c>
      <c r="C16" s="12" t="s">
        <v>357</v>
      </c>
      <c r="D16" s="11" t="s">
        <v>358</v>
      </c>
      <c r="E16" s="11" t="s">
        <v>359</v>
      </c>
      <c r="F16" s="11" t="s">
        <v>360</v>
      </c>
      <c r="G16" s="13">
        <v>49</v>
      </c>
      <c r="H16" s="14">
        <v>1245</v>
      </c>
      <c r="I16" s="15">
        <v>90</v>
      </c>
      <c r="J16" s="16">
        <v>2286</v>
      </c>
      <c r="K16" s="11" t="s">
        <v>359</v>
      </c>
      <c r="L16" s="12" t="s">
        <v>365</v>
      </c>
      <c r="M16" s="87" t="s">
        <v>497</v>
      </c>
      <c r="N16" s="17">
        <f t="shared" si="1"/>
        <v>0.72</v>
      </c>
      <c r="O16" s="17">
        <v>7.73</v>
      </c>
      <c r="P16" s="17">
        <f t="shared" si="2"/>
        <v>720</v>
      </c>
      <c r="Q16" s="48">
        <f t="shared" si="3"/>
        <v>22.000121100000001</v>
      </c>
      <c r="R16" s="205">
        <f>IF(COUNTIFS('Master Data'!$S$8:$S$13,'Pricing Table - eff 27-Jan-2026'!$M16)&gt;0,'Master Data'!$S$4,'Master Data'!$S$5)</f>
        <v>90</v>
      </c>
    </row>
    <row r="17" spans="1:18" s="84" customFormat="1" x14ac:dyDescent="0.3">
      <c r="A17" s="95">
        <v>709525</v>
      </c>
      <c r="B17" s="86" t="str">
        <f t="shared" si="0"/>
        <v>G1S 709525</v>
      </c>
      <c r="C17" s="86" t="s">
        <v>357</v>
      </c>
      <c r="D17" s="87" t="s">
        <v>358</v>
      </c>
      <c r="E17" s="87" t="s">
        <v>359</v>
      </c>
      <c r="F17" s="87" t="s">
        <v>360</v>
      </c>
      <c r="G17" s="88">
        <v>49</v>
      </c>
      <c r="H17" s="89">
        <v>1245</v>
      </c>
      <c r="I17" s="90">
        <v>90.5</v>
      </c>
      <c r="J17" s="81">
        <v>2300</v>
      </c>
      <c r="K17" s="87" t="s">
        <v>359</v>
      </c>
      <c r="L17" s="86" t="s">
        <v>365</v>
      </c>
      <c r="M17" s="87" t="s">
        <v>497</v>
      </c>
      <c r="N17" s="91">
        <f t="shared" si="1"/>
        <v>0.72</v>
      </c>
      <c r="O17" s="91">
        <v>7.73</v>
      </c>
      <c r="P17" s="91">
        <f t="shared" si="2"/>
        <v>720</v>
      </c>
      <c r="Q17" s="92">
        <f t="shared" si="3"/>
        <v>22.134855000000002</v>
      </c>
      <c r="R17" s="206">
        <f>IF(COUNTIFS('Master Data'!$S$8:$S$13,'Pricing Table - eff 27-Jan-2026'!$M17)&gt;0,'Master Data'!$S$4,'Master Data'!$S$5)</f>
        <v>90</v>
      </c>
    </row>
    <row r="18" spans="1:18" x14ac:dyDescent="0.3">
      <c r="A18" s="96">
        <v>694440</v>
      </c>
      <c r="B18" s="12" t="str">
        <f t="shared" si="0"/>
        <v>G1S 694440</v>
      </c>
      <c r="C18" s="12" t="s">
        <v>357</v>
      </c>
      <c r="D18" s="11" t="s">
        <v>358</v>
      </c>
      <c r="E18" s="11" t="s">
        <v>359</v>
      </c>
      <c r="F18" s="11" t="s">
        <v>360</v>
      </c>
      <c r="G18" s="13">
        <v>49</v>
      </c>
      <c r="H18" s="14">
        <v>1245</v>
      </c>
      <c r="I18" s="15">
        <v>96</v>
      </c>
      <c r="J18" s="16">
        <v>2440</v>
      </c>
      <c r="K18" s="11" t="s">
        <v>359</v>
      </c>
      <c r="L18" s="12" t="s">
        <v>365</v>
      </c>
      <c r="M18" s="87" t="s">
        <v>497</v>
      </c>
      <c r="N18" s="17">
        <f t="shared" si="1"/>
        <v>0.72</v>
      </c>
      <c r="O18" s="17">
        <v>7.73</v>
      </c>
      <c r="P18" s="17">
        <f t="shared" si="2"/>
        <v>720</v>
      </c>
      <c r="Q18" s="48">
        <f t="shared" si="3"/>
        <v>23.482194</v>
      </c>
      <c r="R18" s="205">
        <f>IF(COUNTIFS('Master Data'!$S$8:$S$13,'Pricing Table - eff 27-Jan-2026'!$M18)&gt;0,'Master Data'!$S$4,'Master Data'!$S$5)</f>
        <v>90</v>
      </c>
    </row>
    <row r="19" spans="1:18" x14ac:dyDescent="0.3">
      <c r="A19" s="96">
        <v>694441</v>
      </c>
      <c r="B19" s="12" t="str">
        <f t="shared" si="0"/>
        <v>G1S 694441</v>
      </c>
      <c r="C19" s="12" t="s">
        <v>357</v>
      </c>
      <c r="D19" s="11" t="s">
        <v>358</v>
      </c>
      <c r="E19" s="11" t="s">
        <v>359</v>
      </c>
      <c r="F19" s="11" t="s">
        <v>360</v>
      </c>
      <c r="G19" s="13">
        <v>49</v>
      </c>
      <c r="H19" s="14">
        <v>1245</v>
      </c>
      <c r="I19" s="15">
        <v>108</v>
      </c>
      <c r="J19" s="16">
        <v>2745</v>
      </c>
      <c r="K19" s="11" t="s">
        <v>359</v>
      </c>
      <c r="L19" s="12" t="s">
        <v>365</v>
      </c>
      <c r="M19" s="87" t="s">
        <v>497</v>
      </c>
      <c r="N19" s="17">
        <f t="shared" si="1"/>
        <v>0.72</v>
      </c>
      <c r="O19" s="17">
        <v>7.73</v>
      </c>
      <c r="P19" s="17">
        <f t="shared" si="2"/>
        <v>720</v>
      </c>
      <c r="Q19" s="48">
        <f t="shared" si="3"/>
        <v>26.417468250000002</v>
      </c>
      <c r="R19" s="205">
        <f>IF(COUNTIFS('Master Data'!$S$8:$S$13,'Pricing Table - eff 27-Jan-2026'!$M19)&gt;0,'Master Data'!$S$4,'Master Data'!$S$5)</f>
        <v>90</v>
      </c>
    </row>
    <row r="20" spans="1:18" x14ac:dyDescent="0.3">
      <c r="A20" s="96">
        <v>694442</v>
      </c>
      <c r="B20" s="12" t="str">
        <f t="shared" si="0"/>
        <v>G1S 694442</v>
      </c>
      <c r="C20" s="12" t="s">
        <v>357</v>
      </c>
      <c r="D20" s="11" t="s">
        <v>358</v>
      </c>
      <c r="E20" s="11" t="s">
        <v>359</v>
      </c>
      <c r="F20" s="11" t="s">
        <v>360</v>
      </c>
      <c r="G20" s="13">
        <v>49</v>
      </c>
      <c r="H20" s="14">
        <v>1245</v>
      </c>
      <c r="I20" s="15">
        <v>144</v>
      </c>
      <c r="J20" s="16">
        <v>3658</v>
      </c>
      <c r="K20" s="11" t="s">
        <v>359</v>
      </c>
      <c r="L20" s="12" t="s">
        <v>365</v>
      </c>
      <c r="M20" s="87" t="s">
        <v>497</v>
      </c>
      <c r="N20" s="17">
        <f t="shared" si="1"/>
        <v>0.72</v>
      </c>
      <c r="O20" s="17">
        <v>7.73</v>
      </c>
      <c r="P20" s="17">
        <f t="shared" si="2"/>
        <v>720</v>
      </c>
      <c r="Q20" s="48">
        <f t="shared" si="3"/>
        <v>35.204043300000002</v>
      </c>
      <c r="R20" s="205">
        <f>IF(COUNTIFS('Master Data'!$S$8:$S$13,'Pricing Table - eff 27-Jan-2026'!$M20)&gt;0,'Master Data'!$S$4,'Master Data'!$S$5)</f>
        <v>90</v>
      </c>
    </row>
    <row r="21" spans="1:18" s="84" customFormat="1" x14ac:dyDescent="0.3">
      <c r="A21" s="95">
        <v>714953</v>
      </c>
      <c r="B21" s="86" t="str">
        <f t="shared" si="0"/>
        <v>G1S 714953</v>
      </c>
      <c r="C21" s="86" t="s">
        <v>357</v>
      </c>
      <c r="D21" s="87" t="s">
        <v>358</v>
      </c>
      <c r="E21" s="87" t="s">
        <v>359</v>
      </c>
      <c r="F21" s="87" t="s">
        <v>360</v>
      </c>
      <c r="G21" s="88">
        <v>49</v>
      </c>
      <c r="H21" s="89">
        <v>1245</v>
      </c>
      <c r="I21" s="90">
        <v>84</v>
      </c>
      <c r="J21" s="81">
        <v>2135</v>
      </c>
      <c r="K21" s="87" t="s">
        <v>359</v>
      </c>
      <c r="L21" s="86" t="s">
        <v>367</v>
      </c>
      <c r="M21" s="87" t="s">
        <v>368</v>
      </c>
      <c r="N21" s="93">
        <f t="shared" si="1"/>
        <v>0.77</v>
      </c>
      <c r="O21" s="91">
        <v>8.27</v>
      </c>
      <c r="P21" s="93">
        <f t="shared" si="2"/>
        <v>770</v>
      </c>
      <c r="Q21" s="94">
        <f t="shared" si="3"/>
        <v>21.982280249999999</v>
      </c>
      <c r="R21" s="206">
        <f>IF(COUNTIFS('Master Data'!$S$8:$S$13,'Pricing Table - eff 27-Jan-2026'!$M21)&gt;0,'Master Data'!$S$4,'Master Data'!$S$5)</f>
        <v>45</v>
      </c>
    </row>
    <row r="22" spans="1:18" x14ac:dyDescent="0.3">
      <c r="A22" s="97">
        <v>694443</v>
      </c>
      <c r="B22" s="19" t="str">
        <f t="shared" si="0"/>
        <v>G1S 694443</v>
      </c>
      <c r="C22" s="19" t="s">
        <v>357</v>
      </c>
      <c r="D22" s="18" t="s">
        <v>358</v>
      </c>
      <c r="E22" s="18" t="s">
        <v>359</v>
      </c>
      <c r="F22" s="18" t="s">
        <v>360</v>
      </c>
      <c r="G22" s="20">
        <v>49</v>
      </c>
      <c r="H22" s="21">
        <v>1245</v>
      </c>
      <c r="I22" s="22">
        <v>90</v>
      </c>
      <c r="J22" s="23">
        <v>2286</v>
      </c>
      <c r="K22" s="18" t="s">
        <v>359</v>
      </c>
      <c r="L22" s="19" t="s">
        <v>367</v>
      </c>
      <c r="M22" s="18" t="s">
        <v>368</v>
      </c>
      <c r="N22" s="24">
        <f t="shared" si="1"/>
        <v>0.77</v>
      </c>
      <c r="O22" s="25">
        <v>8.27</v>
      </c>
      <c r="P22" s="24">
        <f t="shared" si="2"/>
        <v>770</v>
      </c>
      <c r="Q22" s="49">
        <f t="shared" si="3"/>
        <v>23.5369989</v>
      </c>
      <c r="R22" s="205">
        <f>IF(COUNTIFS('Master Data'!$S$8:$S$13,'Pricing Table - eff 27-Jan-2026'!$M22)&gt;0,'Master Data'!$S$4,'Master Data'!$S$5)</f>
        <v>45</v>
      </c>
    </row>
    <row r="23" spans="1:18" s="84" customFormat="1" x14ac:dyDescent="0.3">
      <c r="A23" s="95">
        <v>709356</v>
      </c>
      <c r="B23" s="86" t="str">
        <f t="shared" si="0"/>
        <v>G1S 709356</v>
      </c>
      <c r="C23" s="86" t="s">
        <v>357</v>
      </c>
      <c r="D23" s="87" t="s">
        <v>358</v>
      </c>
      <c r="E23" s="87" t="s">
        <v>359</v>
      </c>
      <c r="F23" s="87" t="s">
        <v>360</v>
      </c>
      <c r="G23" s="88">
        <v>49</v>
      </c>
      <c r="H23" s="89">
        <v>1245</v>
      </c>
      <c r="I23" s="90">
        <v>90.5</v>
      </c>
      <c r="J23" s="81">
        <v>2300</v>
      </c>
      <c r="K23" s="87" t="s">
        <v>359</v>
      </c>
      <c r="L23" s="86" t="s">
        <v>367</v>
      </c>
      <c r="M23" s="87" t="s">
        <v>368</v>
      </c>
      <c r="N23" s="93">
        <f t="shared" si="1"/>
        <v>0.77</v>
      </c>
      <c r="O23" s="91">
        <v>8.27</v>
      </c>
      <c r="P23" s="93">
        <f t="shared" si="2"/>
        <v>770</v>
      </c>
      <c r="Q23" s="94">
        <f t="shared" si="3"/>
        <v>23.681145000000001</v>
      </c>
      <c r="R23" s="206">
        <f>IF(COUNTIFS('Master Data'!$S$8:$S$13,'Pricing Table - eff 27-Jan-2026'!$M23)&gt;0,'Master Data'!$S$4,'Master Data'!$S$5)</f>
        <v>45</v>
      </c>
    </row>
    <row r="24" spans="1:18" x14ac:dyDescent="0.3">
      <c r="A24" s="97">
        <v>694444</v>
      </c>
      <c r="B24" s="19" t="str">
        <f t="shared" si="0"/>
        <v>G1S 694444</v>
      </c>
      <c r="C24" s="19" t="s">
        <v>357</v>
      </c>
      <c r="D24" s="18" t="s">
        <v>358</v>
      </c>
      <c r="E24" s="18" t="s">
        <v>359</v>
      </c>
      <c r="F24" s="18" t="s">
        <v>360</v>
      </c>
      <c r="G24" s="20">
        <v>49</v>
      </c>
      <c r="H24" s="21">
        <v>1245</v>
      </c>
      <c r="I24" s="22">
        <v>96</v>
      </c>
      <c r="J24" s="23">
        <v>2440</v>
      </c>
      <c r="K24" s="18" t="s">
        <v>359</v>
      </c>
      <c r="L24" s="19" t="s">
        <v>367</v>
      </c>
      <c r="M24" s="18" t="s">
        <v>368</v>
      </c>
      <c r="N24" s="24">
        <f t="shared" si="1"/>
        <v>0.77</v>
      </c>
      <c r="O24" s="25">
        <v>8.27</v>
      </c>
      <c r="P24" s="24">
        <f t="shared" si="2"/>
        <v>770</v>
      </c>
      <c r="Q24" s="49">
        <f t="shared" si="3"/>
        <v>25.122605999999998</v>
      </c>
      <c r="R24" s="205">
        <f>IF(COUNTIFS('Master Data'!$S$8:$S$13,'Pricing Table - eff 27-Jan-2026'!$M24)&gt;0,'Master Data'!$S$4,'Master Data'!$S$5)</f>
        <v>45</v>
      </c>
    </row>
    <row r="25" spans="1:18" x14ac:dyDescent="0.3">
      <c r="A25" s="97">
        <v>694445</v>
      </c>
      <c r="B25" s="19" t="str">
        <f t="shared" si="0"/>
        <v>G1S 694445</v>
      </c>
      <c r="C25" s="19" t="s">
        <v>357</v>
      </c>
      <c r="D25" s="18" t="s">
        <v>358</v>
      </c>
      <c r="E25" s="18" t="s">
        <v>359</v>
      </c>
      <c r="F25" s="18" t="s">
        <v>360</v>
      </c>
      <c r="G25" s="20">
        <v>49</v>
      </c>
      <c r="H25" s="21">
        <v>1245</v>
      </c>
      <c r="I25" s="22">
        <v>108</v>
      </c>
      <c r="J25" s="23">
        <v>2745</v>
      </c>
      <c r="K25" s="18" t="s">
        <v>359</v>
      </c>
      <c r="L25" s="19" t="s">
        <v>367</v>
      </c>
      <c r="M25" s="18" t="s">
        <v>368</v>
      </c>
      <c r="N25" s="24">
        <f t="shared" si="1"/>
        <v>0.77</v>
      </c>
      <c r="O25" s="25">
        <v>8.27</v>
      </c>
      <c r="P25" s="24">
        <f t="shared" si="2"/>
        <v>770</v>
      </c>
      <c r="Q25" s="49">
        <f t="shared" si="3"/>
        <v>28.262931749999996</v>
      </c>
      <c r="R25" s="205">
        <f>IF(COUNTIFS('Master Data'!$S$8:$S$13,'Pricing Table - eff 27-Jan-2026'!$M25)&gt;0,'Master Data'!$S$4,'Master Data'!$S$5)</f>
        <v>45</v>
      </c>
    </row>
    <row r="26" spans="1:18" x14ac:dyDescent="0.3">
      <c r="A26" s="97">
        <v>694446</v>
      </c>
      <c r="B26" s="19" t="str">
        <f t="shared" si="0"/>
        <v>G1S 694446</v>
      </c>
      <c r="C26" s="19" t="s">
        <v>357</v>
      </c>
      <c r="D26" s="18" t="s">
        <v>358</v>
      </c>
      <c r="E26" s="18" t="s">
        <v>359</v>
      </c>
      <c r="F26" s="18" t="s">
        <v>360</v>
      </c>
      <c r="G26" s="20">
        <v>49</v>
      </c>
      <c r="H26" s="21">
        <v>1245</v>
      </c>
      <c r="I26" s="22">
        <v>144</v>
      </c>
      <c r="J26" s="23">
        <v>3658</v>
      </c>
      <c r="K26" s="18" t="s">
        <v>359</v>
      </c>
      <c r="L26" s="19" t="s">
        <v>367</v>
      </c>
      <c r="M26" s="18" t="s">
        <v>368</v>
      </c>
      <c r="N26" s="24">
        <f t="shared" si="1"/>
        <v>0.77</v>
      </c>
      <c r="O26" s="25">
        <v>8.27</v>
      </c>
      <c r="P26" s="24">
        <f t="shared" si="2"/>
        <v>770</v>
      </c>
      <c r="Q26" s="49">
        <f t="shared" si="3"/>
        <v>37.663316700000003</v>
      </c>
      <c r="R26" s="205">
        <f>IF(COUNTIFS('Master Data'!$S$8:$S$13,'Pricing Table - eff 27-Jan-2026'!$M26)&gt;0,'Master Data'!$S$4,'Master Data'!$S$5)</f>
        <v>45</v>
      </c>
    </row>
    <row r="27" spans="1:18" x14ac:dyDescent="0.3">
      <c r="A27" s="97">
        <v>694447</v>
      </c>
      <c r="B27" s="19" t="str">
        <f t="shared" si="0"/>
        <v>G1S 694447</v>
      </c>
      <c r="C27" s="19" t="s">
        <v>357</v>
      </c>
      <c r="D27" s="18" t="s">
        <v>358</v>
      </c>
      <c r="E27" s="18" t="s">
        <v>359</v>
      </c>
      <c r="F27" s="18" t="s">
        <v>360</v>
      </c>
      <c r="G27" s="20">
        <v>49</v>
      </c>
      <c r="H27" s="21">
        <v>1245</v>
      </c>
      <c r="I27" s="22">
        <v>90</v>
      </c>
      <c r="J27" s="23">
        <v>2286</v>
      </c>
      <c r="K27" s="18" t="s">
        <v>359</v>
      </c>
      <c r="L27" s="19" t="s">
        <v>369</v>
      </c>
      <c r="M27" s="18" t="s">
        <v>370</v>
      </c>
      <c r="N27" s="24">
        <f t="shared" si="1"/>
        <v>0.77</v>
      </c>
      <c r="O27" s="25">
        <v>8.27</v>
      </c>
      <c r="P27" s="24">
        <f t="shared" si="2"/>
        <v>770</v>
      </c>
      <c r="Q27" s="49">
        <f t="shared" si="3"/>
        <v>23.5369989</v>
      </c>
      <c r="R27" s="205">
        <f>IF(COUNTIFS('Master Data'!$S$8:$S$13,'Pricing Table - eff 27-Jan-2026'!$M27)&gt;0,'Master Data'!$S$4,'Master Data'!$S$5)</f>
        <v>90</v>
      </c>
    </row>
    <row r="28" spans="1:18" x14ac:dyDescent="0.3">
      <c r="A28" s="97">
        <v>694448</v>
      </c>
      <c r="B28" s="19" t="str">
        <f t="shared" si="0"/>
        <v>G1S 694448</v>
      </c>
      <c r="C28" s="19" t="s">
        <v>357</v>
      </c>
      <c r="D28" s="18" t="s">
        <v>358</v>
      </c>
      <c r="E28" s="18" t="s">
        <v>359</v>
      </c>
      <c r="F28" s="18" t="s">
        <v>360</v>
      </c>
      <c r="G28" s="20">
        <v>49</v>
      </c>
      <c r="H28" s="21">
        <v>1245</v>
      </c>
      <c r="I28" s="22">
        <v>96</v>
      </c>
      <c r="J28" s="23">
        <v>2440</v>
      </c>
      <c r="K28" s="18" t="s">
        <v>359</v>
      </c>
      <c r="L28" s="19" t="s">
        <v>369</v>
      </c>
      <c r="M28" s="18" t="s">
        <v>370</v>
      </c>
      <c r="N28" s="24">
        <f t="shared" si="1"/>
        <v>0.77</v>
      </c>
      <c r="O28" s="25">
        <v>8.27</v>
      </c>
      <c r="P28" s="24">
        <f t="shared" si="2"/>
        <v>770</v>
      </c>
      <c r="Q28" s="49">
        <f t="shared" si="3"/>
        <v>25.122605999999998</v>
      </c>
      <c r="R28" s="205">
        <f>IF(COUNTIFS('Master Data'!$S$8:$S$13,'Pricing Table - eff 27-Jan-2026'!$M28)&gt;0,'Master Data'!$S$4,'Master Data'!$S$5)</f>
        <v>90</v>
      </c>
    </row>
    <row r="29" spans="1:18" x14ac:dyDescent="0.3">
      <c r="A29" s="97">
        <v>694449</v>
      </c>
      <c r="B29" s="19" t="str">
        <f t="shared" si="0"/>
        <v>G1S 694449</v>
      </c>
      <c r="C29" s="19" t="s">
        <v>357</v>
      </c>
      <c r="D29" s="18" t="s">
        <v>358</v>
      </c>
      <c r="E29" s="18" t="s">
        <v>359</v>
      </c>
      <c r="F29" s="18" t="s">
        <v>360</v>
      </c>
      <c r="G29" s="20">
        <v>49</v>
      </c>
      <c r="H29" s="21">
        <v>1245</v>
      </c>
      <c r="I29" s="22">
        <v>108</v>
      </c>
      <c r="J29" s="23">
        <v>2745</v>
      </c>
      <c r="K29" s="18" t="s">
        <v>359</v>
      </c>
      <c r="L29" s="19" t="s">
        <v>369</v>
      </c>
      <c r="M29" s="18" t="s">
        <v>370</v>
      </c>
      <c r="N29" s="24">
        <f t="shared" si="1"/>
        <v>0.77</v>
      </c>
      <c r="O29" s="25">
        <v>8.27</v>
      </c>
      <c r="P29" s="24">
        <f t="shared" si="2"/>
        <v>770</v>
      </c>
      <c r="Q29" s="49">
        <f t="shared" si="3"/>
        <v>28.262931749999996</v>
      </c>
      <c r="R29" s="205">
        <f>IF(COUNTIFS('Master Data'!$S$8:$S$13,'Pricing Table - eff 27-Jan-2026'!$M29)&gt;0,'Master Data'!$S$4,'Master Data'!$S$5)</f>
        <v>90</v>
      </c>
    </row>
    <row r="30" spans="1:18" x14ac:dyDescent="0.3">
      <c r="A30" s="97">
        <v>694450</v>
      </c>
      <c r="B30" s="19" t="str">
        <f t="shared" si="0"/>
        <v>G1S 694450</v>
      </c>
      <c r="C30" s="19" t="s">
        <v>357</v>
      </c>
      <c r="D30" s="18" t="s">
        <v>358</v>
      </c>
      <c r="E30" s="18" t="s">
        <v>359</v>
      </c>
      <c r="F30" s="18" t="s">
        <v>360</v>
      </c>
      <c r="G30" s="20">
        <v>49</v>
      </c>
      <c r="H30" s="21">
        <v>1245</v>
      </c>
      <c r="I30" s="22">
        <v>144</v>
      </c>
      <c r="J30" s="23">
        <v>3658</v>
      </c>
      <c r="K30" s="18" t="s">
        <v>359</v>
      </c>
      <c r="L30" s="19" t="s">
        <v>369</v>
      </c>
      <c r="M30" s="18" t="s">
        <v>370</v>
      </c>
      <c r="N30" s="24">
        <f t="shared" si="1"/>
        <v>0.77</v>
      </c>
      <c r="O30" s="25">
        <v>8.27</v>
      </c>
      <c r="P30" s="24">
        <f t="shared" si="2"/>
        <v>770</v>
      </c>
      <c r="Q30" s="49">
        <f t="shared" si="3"/>
        <v>37.663316700000003</v>
      </c>
      <c r="R30" s="205">
        <f>IF(COUNTIFS('Master Data'!$S$8:$S$13,'Pricing Table - eff 27-Jan-2026'!$M30)&gt;0,'Master Data'!$S$4,'Master Data'!$S$5)</f>
        <v>90</v>
      </c>
    </row>
    <row r="31" spans="1:18" x14ac:dyDescent="0.3">
      <c r="A31" s="96">
        <v>694667</v>
      </c>
      <c r="B31" s="12" t="str">
        <f t="shared" si="0"/>
        <v>G1S 694667</v>
      </c>
      <c r="C31" s="12" t="s">
        <v>357</v>
      </c>
      <c r="D31" s="11" t="s">
        <v>358</v>
      </c>
      <c r="E31" s="11" t="s">
        <v>359</v>
      </c>
      <c r="F31" s="11" t="s">
        <v>360</v>
      </c>
      <c r="G31" s="13">
        <v>49</v>
      </c>
      <c r="H31" s="14">
        <v>1245</v>
      </c>
      <c r="I31" s="15">
        <v>90</v>
      </c>
      <c r="J31" s="16">
        <v>2286</v>
      </c>
      <c r="K31" s="11" t="s">
        <v>359</v>
      </c>
      <c r="L31" s="12" t="s">
        <v>371</v>
      </c>
      <c r="M31" s="11" t="s">
        <v>372</v>
      </c>
      <c r="N31" s="17">
        <f t="shared" si="1"/>
        <v>0.72</v>
      </c>
      <c r="O31" s="17">
        <v>7.73</v>
      </c>
      <c r="P31" s="17">
        <f t="shared" si="2"/>
        <v>720</v>
      </c>
      <c r="Q31" s="48">
        <f t="shared" si="3"/>
        <v>22.000121100000001</v>
      </c>
      <c r="R31" s="205">
        <f>IF(COUNTIFS('Master Data'!$S$8:$S$13,'Pricing Table - eff 27-Jan-2026'!$M31)&gt;0,'Master Data'!$S$4,'Master Data'!$S$5)</f>
        <v>90</v>
      </c>
    </row>
    <row r="32" spans="1:18" s="84" customFormat="1" x14ac:dyDescent="0.3">
      <c r="A32" s="100">
        <v>710940</v>
      </c>
      <c r="B32" s="86" t="str">
        <f t="shared" si="0"/>
        <v>G1S 710940</v>
      </c>
      <c r="C32" s="86" t="s">
        <v>357</v>
      </c>
      <c r="D32" s="87" t="s">
        <v>358</v>
      </c>
      <c r="E32" s="87" t="s">
        <v>359</v>
      </c>
      <c r="F32" s="87" t="s">
        <v>360</v>
      </c>
      <c r="G32" s="88">
        <v>49</v>
      </c>
      <c r="H32" s="89">
        <v>1245</v>
      </c>
      <c r="I32" s="90">
        <v>90.5</v>
      </c>
      <c r="J32" s="81">
        <v>2300</v>
      </c>
      <c r="K32" s="87" t="s">
        <v>359</v>
      </c>
      <c r="L32" s="86" t="s">
        <v>371</v>
      </c>
      <c r="M32" s="87" t="s">
        <v>372</v>
      </c>
      <c r="N32" s="91">
        <f t="shared" si="1"/>
        <v>0.72</v>
      </c>
      <c r="O32" s="91">
        <v>7.73</v>
      </c>
      <c r="P32" s="91">
        <f t="shared" si="2"/>
        <v>720</v>
      </c>
      <c r="Q32" s="92">
        <f t="shared" si="3"/>
        <v>22.134855000000002</v>
      </c>
      <c r="R32" s="206">
        <f>IF(COUNTIFS('Master Data'!$S$8:$S$13,'Pricing Table - eff 27-Jan-2026'!$M32)&gt;0,'Master Data'!$S$4,'Master Data'!$S$5)</f>
        <v>90</v>
      </c>
    </row>
    <row r="33" spans="1:18" x14ac:dyDescent="0.3">
      <c r="A33" s="99">
        <v>694668</v>
      </c>
      <c r="B33" s="12" t="str">
        <f t="shared" si="0"/>
        <v>G1S 694668</v>
      </c>
      <c r="C33" s="12" t="s">
        <v>357</v>
      </c>
      <c r="D33" s="11" t="s">
        <v>358</v>
      </c>
      <c r="E33" s="11" t="s">
        <v>359</v>
      </c>
      <c r="F33" s="11" t="s">
        <v>360</v>
      </c>
      <c r="G33" s="13">
        <v>49</v>
      </c>
      <c r="H33" s="14">
        <v>1245</v>
      </c>
      <c r="I33" s="15">
        <v>96</v>
      </c>
      <c r="J33" s="16">
        <v>2440</v>
      </c>
      <c r="K33" s="11" t="s">
        <v>359</v>
      </c>
      <c r="L33" s="12" t="s">
        <v>371</v>
      </c>
      <c r="M33" s="11" t="s">
        <v>372</v>
      </c>
      <c r="N33" s="17">
        <f t="shared" si="1"/>
        <v>0.72</v>
      </c>
      <c r="O33" s="17">
        <v>7.73</v>
      </c>
      <c r="P33" s="17">
        <f t="shared" si="2"/>
        <v>720</v>
      </c>
      <c r="Q33" s="48">
        <f t="shared" si="3"/>
        <v>23.482194</v>
      </c>
      <c r="R33" s="205">
        <f>IF(COUNTIFS('Master Data'!$S$8:$S$13,'Pricing Table - eff 27-Jan-2026'!$M33)&gt;0,'Master Data'!$S$4,'Master Data'!$S$5)</f>
        <v>90</v>
      </c>
    </row>
    <row r="34" spans="1:18" x14ac:dyDescent="0.3">
      <c r="A34" s="99">
        <v>694669</v>
      </c>
      <c r="B34" s="12" t="str">
        <f t="shared" si="0"/>
        <v>G1S 694669</v>
      </c>
      <c r="C34" s="12" t="s">
        <v>357</v>
      </c>
      <c r="D34" s="11" t="s">
        <v>358</v>
      </c>
      <c r="E34" s="11" t="s">
        <v>359</v>
      </c>
      <c r="F34" s="11" t="s">
        <v>360</v>
      </c>
      <c r="G34" s="13">
        <v>49</v>
      </c>
      <c r="H34" s="14">
        <v>1245</v>
      </c>
      <c r="I34" s="15">
        <v>108</v>
      </c>
      <c r="J34" s="16">
        <v>2745</v>
      </c>
      <c r="K34" s="11" t="s">
        <v>359</v>
      </c>
      <c r="L34" s="12" t="s">
        <v>371</v>
      </c>
      <c r="M34" s="11" t="s">
        <v>372</v>
      </c>
      <c r="N34" s="17">
        <f t="shared" si="1"/>
        <v>0.72</v>
      </c>
      <c r="O34" s="17">
        <v>7.73</v>
      </c>
      <c r="P34" s="17">
        <f t="shared" si="2"/>
        <v>720</v>
      </c>
      <c r="Q34" s="48">
        <f t="shared" si="3"/>
        <v>26.417468250000002</v>
      </c>
      <c r="R34" s="205">
        <f>IF(COUNTIFS('Master Data'!$S$8:$S$13,'Pricing Table - eff 27-Jan-2026'!$M34)&gt;0,'Master Data'!$S$4,'Master Data'!$S$5)</f>
        <v>90</v>
      </c>
    </row>
    <row r="35" spans="1:18" s="84" customFormat="1" x14ac:dyDescent="0.3">
      <c r="A35" s="100">
        <v>708895</v>
      </c>
      <c r="B35" s="86" t="str">
        <f t="shared" ref="B35:B65" si="4">"G1S "&amp;A35</f>
        <v>G1S 708895</v>
      </c>
      <c r="C35" s="86" t="s">
        <v>357</v>
      </c>
      <c r="D35" s="87" t="s">
        <v>358</v>
      </c>
      <c r="E35" s="87" t="s">
        <v>359</v>
      </c>
      <c r="F35" s="87" t="s">
        <v>360</v>
      </c>
      <c r="G35" s="88">
        <v>49</v>
      </c>
      <c r="H35" s="89">
        <v>1245</v>
      </c>
      <c r="I35" s="90">
        <v>120</v>
      </c>
      <c r="J35" s="81">
        <v>3050</v>
      </c>
      <c r="K35" s="87" t="s">
        <v>359</v>
      </c>
      <c r="L35" s="86" t="s">
        <v>371</v>
      </c>
      <c r="M35" s="87" t="s">
        <v>372</v>
      </c>
      <c r="N35" s="91">
        <f t="shared" ref="N35:N65" si="5">ROUND(O35/10.764,2)</f>
        <v>0.72</v>
      </c>
      <c r="O35" s="91">
        <v>7.73</v>
      </c>
      <c r="P35" s="91">
        <f t="shared" ref="P35:P65" si="6">N35*1000</f>
        <v>720</v>
      </c>
      <c r="Q35" s="92">
        <f t="shared" ref="Q35:Q65" si="7">(H35*J35/1000000)*O35</f>
        <v>29.352742500000002</v>
      </c>
      <c r="R35" s="206">
        <f>IF(COUNTIFS('Master Data'!$S$8:$S$13,'Pricing Table - eff 27-Jan-2026'!$M35)&gt;0,'Master Data'!$S$4,'Master Data'!$S$5)</f>
        <v>90</v>
      </c>
    </row>
    <row r="36" spans="1:18" x14ac:dyDescent="0.3">
      <c r="A36" s="99">
        <v>694670</v>
      </c>
      <c r="B36" s="12" t="str">
        <f t="shared" si="4"/>
        <v>G1S 694670</v>
      </c>
      <c r="C36" s="12" t="s">
        <v>357</v>
      </c>
      <c r="D36" s="11" t="s">
        <v>358</v>
      </c>
      <c r="E36" s="11" t="s">
        <v>359</v>
      </c>
      <c r="F36" s="11" t="s">
        <v>360</v>
      </c>
      <c r="G36" s="13">
        <v>49</v>
      </c>
      <c r="H36" s="14">
        <v>1245</v>
      </c>
      <c r="I36" s="15">
        <v>144</v>
      </c>
      <c r="J36" s="16">
        <v>3658</v>
      </c>
      <c r="K36" s="11" t="s">
        <v>359</v>
      </c>
      <c r="L36" s="12" t="s">
        <v>371</v>
      </c>
      <c r="M36" s="11" t="s">
        <v>372</v>
      </c>
      <c r="N36" s="17">
        <f t="shared" si="5"/>
        <v>0.72</v>
      </c>
      <c r="O36" s="17">
        <v>7.73</v>
      </c>
      <c r="P36" s="17">
        <f t="shared" si="6"/>
        <v>720</v>
      </c>
      <c r="Q36" s="48">
        <f t="shared" si="7"/>
        <v>35.204043300000002</v>
      </c>
      <c r="R36" s="205">
        <f>IF(COUNTIFS('Master Data'!$S$8:$S$13,'Pricing Table - eff 27-Jan-2026'!$M36)&gt;0,'Master Data'!$S$4,'Master Data'!$S$5)</f>
        <v>90</v>
      </c>
    </row>
    <row r="37" spans="1:18" x14ac:dyDescent="0.3">
      <c r="A37" s="99">
        <v>694671</v>
      </c>
      <c r="B37" s="12" t="str">
        <f t="shared" si="4"/>
        <v>G1S 694671</v>
      </c>
      <c r="C37" s="12" t="s">
        <v>357</v>
      </c>
      <c r="D37" s="11" t="s">
        <v>358</v>
      </c>
      <c r="E37" s="11" t="s">
        <v>359</v>
      </c>
      <c r="F37" s="11" t="s">
        <v>360</v>
      </c>
      <c r="G37" s="13">
        <v>49</v>
      </c>
      <c r="H37" s="14">
        <v>1245</v>
      </c>
      <c r="I37" s="15">
        <v>90</v>
      </c>
      <c r="J37" s="16">
        <v>2286</v>
      </c>
      <c r="K37" s="11" t="s">
        <v>359</v>
      </c>
      <c r="L37" s="12" t="s">
        <v>373</v>
      </c>
      <c r="M37" s="11" t="s">
        <v>374</v>
      </c>
      <c r="N37" s="17">
        <f t="shared" si="5"/>
        <v>0.72</v>
      </c>
      <c r="O37" s="17">
        <v>7.73</v>
      </c>
      <c r="P37" s="17">
        <f t="shared" si="6"/>
        <v>720</v>
      </c>
      <c r="Q37" s="48">
        <f t="shared" si="7"/>
        <v>22.000121100000001</v>
      </c>
      <c r="R37" s="205">
        <f>IF(COUNTIFS('Master Data'!$S$8:$S$13,'Pricing Table - eff 27-Jan-2026'!$M37)&gt;0,'Master Data'!$S$4,'Master Data'!$S$5)</f>
        <v>45</v>
      </c>
    </row>
    <row r="38" spans="1:18" s="84" customFormat="1" x14ac:dyDescent="0.3">
      <c r="A38" s="100">
        <v>710941</v>
      </c>
      <c r="B38" s="86" t="str">
        <f t="shared" si="4"/>
        <v>G1S 710941</v>
      </c>
      <c r="C38" s="86" t="s">
        <v>357</v>
      </c>
      <c r="D38" s="87" t="s">
        <v>358</v>
      </c>
      <c r="E38" s="87" t="s">
        <v>359</v>
      </c>
      <c r="F38" s="87" t="s">
        <v>360</v>
      </c>
      <c r="G38" s="88">
        <v>49</v>
      </c>
      <c r="H38" s="89">
        <v>1245</v>
      </c>
      <c r="I38" s="90">
        <v>90.5</v>
      </c>
      <c r="J38" s="81">
        <v>2300</v>
      </c>
      <c r="K38" s="87" t="s">
        <v>359</v>
      </c>
      <c r="L38" s="86" t="s">
        <v>373</v>
      </c>
      <c r="M38" s="87" t="s">
        <v>374</v>
      </c>
      <c r="N38" s="91">
        <f t="shared" si="5"/>
        <v>0.72</v>
      </c>
      <c r="O38" s="91">
        <v>7.73</v>
      </c>
      <c r="P38" s="91">
        <f t="shared" si="6"/>
        <v>720</v>
      </c>
      <c r="Q38" s="92">
        <f t="shared" si="7"/>
        <v>22.134855000000002</v>
      </c>
      <c r="R38" s="206">
        <f>IF(COUNTIFS('Master Data'!$S$8:$S$13,'Pricing Table - eff 27-Jan-2026'!$M38)&gt;0,'Master Data'!$S$4,'Master Data'!$S$5)</f>
        <v>45</v>
      </c>
    </row>
    <row r="39" spans="1:18" s="84" customFormat="1" x14ac:dyDescent="0.3">
      <c r="A39" s="95">
        <v>709568</v>
      </c>
      <c r="B39" s="86" t="str">
        <f t="shared" si="4"/>
        <v>G1S 709568</v>
      </c>
      <c r="C39" s="86" t="s">
        <v>357</v>
      </c>
      <c r="D39" s="87" t="s">
        <v>358</v>
      </c>
      <c r="E39" s="87" t="s">
        <v>359</v>
      </c>
      <c r="F39" s="87" t="s">
        <v>360</v>
      </c>
      <c r="G39" s="88">
        <v>49</v>
      </c>
      <c r="H39" s="89">
        <v>1245</v>
      </c>
      <c r="I39" s="90">
        <v>91</v>
      </c>
      <c r="J39" s="81">
        <v>2310</v>
      </c>
      <c r="K39" s="87" t="s">
        <v>359</v>
      </c>
      <c r="L39" s="86" t="s">
        <v>373</v>
      </c>
      <c r="M39" s="87" t="s">
        <v>374</v>
      </c>
      <c r="N39" s="91">
        <f t="shared" si="5"/>
        <v>0.72</v>
      </c>
      <c r="O39" s="91">
        <v>7.73</v>
      </c>
      <c r="P39" s="91">
        <f t="shared" si="6"/>
        <v>720</v>
      </c>
      <c r="Q39" s="92">
        <f t="shared" si="7"/>
        <v>22.2310935</v>
      </c>
      <c r="R39" s="206">
        <f>IF(COUNTIFS('Master Data'!$S$8:$S$13,'Pricing Table - eff 27-Jan-2026'!$M39)&gt;0,'Master Data'!$S$4,'Master Data'!$S$5)</f>
        <v>45</v>
      </c>
    </row>
    <row r="40" spans="1:18" x14ac:dyDescent="0.3">
      <c r="A40" s="96">
        <v>694672</v>
      </c>
      <c r="B40" s="12" t="str">
        <f t="shared" si="4"/>
        <v>G1S 694672</v>
      </c>
      <c r="C40" s="12" t="s">
        <v>357</v>
      </c>
      <c r="D40" s="11" t="s">
        <v>358</v>
      </c>
      <c r="E40" s="11" t="s">
        <v>359</v>
      </c>
      <c r="F40" s="11" t="s">
        <v>360</v>
      </c>
      <c r="G40" s="13">
        <v>49</v>
      </c>
      <c r="H40" s="14">
        <v>1245</v>
      </c>
      <c r="I40" s="15">
        <v>96</v>
      </c>
      <c r="J40" s="16">
        <v>2440</v>
      </c>
      <c r="K40" s="11" t="s">
        <v>359</v>
      </c>
      <c r="L40" s="12" t="s">
        <v>373</v>
      </c>
      <c r="M40" s="11" t="s">
        <v>374</v>
      </c>
      <c r="N40" s="17">
        <f t="shared" si="5"/>
        <v>0.72</v>
      </c>
      <c r="O40" s="17">
        <v>7.73</v>
      </c>
      <c r="P40" s="17">
        <f t="shared" si="6"/>
        <v>720</v>
      </c>
      <c r="Q40" s="48">
        <f t="shared" si="7"/>
        <v>23.482194</v>
      </c>
      <c r="R40" s="205">
        <f>IF(COUNTIFS('Master Data'!$S$8:$S$13,'Pricing Table - eff 27-Jan-2026'!$M40)&gt;0,'Master Data'!$S$4,'Master Data'!$S$5)</f>
        <v>45</v>
      </c>
    </row>
    <row r="41" spans="1:18" x14ac:dyDescent="0.3">
      <c r="A41" s="96">
        <v>694673</v>
      </c>
      <c r="B41" s="12" t="str">
        <f t="shared" si="4"/>
        <v>G1S 694673</v>
      </c>
      <c r="C41" s="12" t="s">
        <v>357</v>
      </c>
      <c r="D41" s="11" t="s">
        <v>358</v>
      </c>
      <c r="E41" s="11" t="s">
        <v>359</v>
      </c>
      <c r="F41" s="11" t="s">
        <v>360</v>
      </c>
      <c r="G41" s="13">
        <v>49</v>
      </c>
      <c r="H41" s="14">
        <v>1245</v>
      </c>
      <c r="I41" s="15">
        <v>108</v>
      </c>
      <c r="J41" s="16">
        <v>2745</v>
      </c>
      <c r="K41" s="11" t="s">
        <v>359</v>
      </c>
      <c r="L41" s="12" t="s">
        <v>373</v>
      </c>
      <c r="M41" s="11" t="s">
        <v>374</v>
      </c>
      <c r="N41" s="17">
        <f t="shared" si="5"/>
        <v>0.72</v>
      </c>
      <c r="O41" s="17">
        <v>7.73</v>
      </c>
      <c r="P41" s="17">
        <f t="shared" si="6"/>
        <v>720</v>
      </c>
      <c r="Q41" s="48">
        <f t="shared" si="7"/>
        <v>26.417468250000002</v>
      </c>
      <c r="R41" s="205">
        <f>IF(COUNTIFS('Master Data'!$S$8:$S$13,'Pricing Table - eff 27-Jan-2026'!$M41)&gt;0,'Master Data'!$S$4,'Master Data'!$S$5)</f>
        <v>45</v>
      </c>
    </row>
    <row r="42" spans="1:18" x14ac:dyDescent="0.3">
      <c r="A42" s="96">
        <v>694674</v>
      </c>
      <c r="B42" s="12" t="str">
        <f t="shared" si="4"/>
        <v>G1S 694674</v>
      </c>
      <c r="C42" s="12" t="s">
        <v>357</v>
      </c>
      <c r="D42" s="11" t="s">
        <v>358</v>
      </c>
      <c r="E42" s="11" t="s">
        <v>359</v>
      </c>
      <c r="F42" s="11" t="s">
        <v>360</v>
      </c>
      <c r="G42" s="13">
        <v>49</v>
      </c>
      <c r="H42" s="14">
        <v>1245</v>
      </c>
      <c r="I42" s="15">
        <v>144</v>
      </c>
      <c r="J42" s="16">
        <v>3658</v>
      </c>
      <c r="K42" s="11" t="s">
        <v>359</v>
      </c>
      <c r="L42" s="12" t="s">
        <v>373</v>
      </c>
      <c r="M42" s="11" t="s">
        <v>374</v>
      </c>
      <c r="N42" s="17">
        <f t="shared" si="5"/>
        <v>0.72</v>
      </c>
      <c r="O42" s="17">
        <v>7.73</v>
      </c>
      <c r="P42" s="17">
        <f t="shared" si="6"/>
        <v>720</v>
      </c>
      <c r="Q42" s="48">
        <f t="shared" si="7"/>
        <v>35.204043300000002</v>
      </c>
      <c r="R42" s="205">
        <f>IF(COUNTIFS('Master Data'!$S$8:$S$13,'Pricing Table - eff 27-Jan-2026'!$M42)&gt;0,'Master Data'!$S$4,'Master Data'!$S$5)</f>
        <v>45</v>
      </c>
    </row>
    <row r="43" spans="1:18" x14ac:dyDescent="0.3">
      <c r="A43" s="96">
        <v>695165</v>
      </c>
      <c r="B43" s="12" t="str">
        <f t="shared" si="4"/>
        <v>G1S 695165</v>
      </c>
      <c r="C43" s="12" t="s">
        <v>357</v>
      </c>
      <c r="D43" s="11" t="s">
        <v>358</v>
      </c>
      <c r="E43" s="11" t="s">
        <v>359</v>
      </c>
      <c r="F43" s="11" t="s">
        <v>360</v>
      </c>
      <c r="G43" s="13">
        <v>49</v>
      </c>
      <c r="H43" s="14">
        <v>1245</v>
      </c>
      <c r="I43" s="15">
        <v>96</v>
      </c>
      <c r="J43" s="16">
        <v>2440</v>
      </c>
      <c r="K43" s="11" t="s">
        <v>359</v>
      </c>
      <c r="L43" s="12" t="s">
        <v>375</v>
      </c>
      <c r="M43" s="11" t="s">
        <v>376</v>
      </c>
      <c r="N43" s="17">
        <f t="shared" si="5"/>
        <v>0.72</v>
      </c>
      <c r="O43" s="17">
        <v>7.73</v>
      </c>
      <c r="P43" s="17">
        <f t="shared" si="6"/>
        <v>720</v>
      </c>
      <c r="Q43" s="48">
        <f t="shared" si="7"/>
        <v>23.482194</v>
      </c>
      <c r="R43" s="205">
        <f>IF(COUNTIFS('Master Data'!$S$8:$S$13,'Pricing Table - eff 27-Jan-2026'!$M43)&gt;0,'Master Data'!$S$4,'Master Data'!$S$5)</f>
        <v>90</v>
      </c>
    </row>
    <row r="44" spans="1:18" x14ac:dyDescent="0.3">
      <c r="A44" s="114">
        <v>695619</v>
      </c>
      <c r="B44" s="115" t="str">
        <f t="shared" si="4"/>
        <v>G1S 695619</v>
      </c>
      <c r="C44" s="115" t="s">
        <v>357</v>
      </c>
      <c r="D44" s="116" t="s">
        <v>358</v>
      </c>
      <c r="E44" s="116" t="s">
        <v>359</v>
      </c>
      <c r="F44" s="116" t="s">
        <v>360</v>
      </c>
      <c r="G44" s="117">
        <v>49</v>
      </c>
      <c r="H44" s="118">
        <v>1245</v>
      </c>
      <c r="I44" s="119">
        <v>90</v>
      </c>
      <c r="J44" s="120">
        <v>2286</v>
      </c>
      <c r="K44" s="116" t="s">
        <v>359</v>
      </c>
      <c r="L44" s="115" t="s">
        <v>377</v>
      </c>
      <c r="M44" s="116" t="s">
        <v>378</v>
      </c>
      <c r="N44" s="121">
        <f t="shared" si="5"/>
        <v>0.77</v>
      </c>
      <c r="O44" s="121">
        <v>8.27</v>
      </c>
      <c r="P44" s="121">
        <f t="shared" si="6"/>
        <v>770</v>
      </c>
      <c r="Q44" s="122">
        <f t="shared" si="7"/>
        <v>23.5369989</v>
      </c>
      <c r="R44" s="205">
        <f>IF(COUNTIFS('Master Data'!$S$8:$S$13,'Pricing Table - eff 27-Jan-2026'!$M44)&gt;0,'Master Data'!$S$4,'Master Data'!$S$5)</f>
        <v>45</v>
      </c>
    </row>
    <row r="45" spans="1:18" x14ac:dyDescent="0.3">
      <c r="A45" s="114">
        <v>718152</v>
      </c>
      <c r="B45" s="115" t="s">
        <v>379</v>
      </c>
      <c r="C45" s="115" t="s">
        <v>357</v>
      </c>
      <c r="D45" s="116" t="s">
        <v>358</v>
      </c>
      <c r="E45" s="116" t="s">
        <v>359</v>
      </c>
      <c r="F45" s="116" t="s">
        <v>360</v>
      </c>
      <c r="G45" s="117">
        <v>49</v>
      </c>
      <c r="H45" s="118">
        <v>1245</v>
      </c>
      <c r="I45" s="119">
        <v>90.5</v>
      </c>
      <c r="J45" s="120">
        <v>2300</v>
      </c>
      <c r="K45" s="116" t="s">
        <v>359</v>
      </c>
      <c r="L45" s="115" t="s">
        <v>377</v>
      </c>
      <c r="M45" s="116" t="s">
        <v>378</v>
      </c>
      <c r="N45" s="121">
        <v>0.77</v>
      </c>
      <c r="O45" s="121">
        <v>8.27</v>
      </c>
      <c r="P45" s="121">
        <v>770</v>
      </c>
      <c r="Q45" s="122">
        <v>23.5369989</v>
      </c>
      <c r="R45" s="205">
        <v>45</v>
      </c>
    </row>
    <row r="46" spans="1:18" x14ac:dyDescent="0.3">
      <c r="A46" s="114">
        <v>695620</v>
      </c>
      <c r="B46" s="115" t="str">
        <f t="shared" si="4"/>
        <v>G1S 695620</v>
      </c>
      <c r="C46" s="115" t="s">
        <v>357</v>
      </c>
      <c r="D46" s="116" t="s">
        <v>358</v>
      </c>
      <c r="E46" s="116" t="s">
        <v>359</v>
      </c>
      <c r="F46" s="116" t="s">
        <v>360</v>
      </c>
      <c r="G46" s="117">
        <v>49</v>
      </c>
      <c r="H46" s="118">
        <v>1245</v>
      </c>
      <c r="I46" s="119">
        <v>96</v>
      </c>
      <c r="J46" s="120">
        <v>2440</v>
      </c>
      <c r="K46" s="116" t="s">
        <v>359</v>
      </c>
      <c r="L46" s="115" t="s">
        <v>377</v>
      </c>
      <c r="M46" s="116" t="s">
        <v>378</v>
      </c>
      <c r="N46" s="121">
        <f t="shared" si="5"/>
        <v>0.77</v>
      </c>
      <c r="O46" s="121">
        <v>8.27</v>
      </c>
      <c r="P46" s="121">
        <f t="shared" si="6"/>
        <v>770</v>
      </c>
      <c r="Q46" s="122">
        <f t="shared" si="7"/>
        <v>25.122605999999998</v>
      </c>
      <c r="R46" s="205">
        <f>IF(COUNTIFS('Master Data'!$S$8:$S$13,'Pricing Table - eff 27-Jan-2026'!$M46)&gt;0,'Master Data'!$S$4,'Master Data'!$S$5)</f>
        <v>45</v>
      </c>
    </row>
    <row r="47" spans="1:18" x14ac:dyDescent="0.3">
      <c r="A47" s="114">
        <v>695621</v>
      </c>
      <c r="B47" s="115" t="str">
        <f t="shared" si="4"/>
        <v>G1S 695621</v>
      </c>
      <c r="C47" s="115" t="s">
        <v>357</v>
      </c>
      <c r="D47" s="116" t="s">
        <v>358</v>
      </c>
      <c r="E47" s="116" t="s">
        <v>359</v>
      </c>
      <c r="F47" s="116" t="s">
        <v>360</v>
      </c>
      <c r="G47" s="117">
        <v>49</v>
      </c>
      <c r="H47" s="118">
        <v>1245</v>
      </c>
      <c r="I47" s="119">
        <v>108</v>
      </c>
      <c r="J47" s="120">
        <v>2745</v>
      </c>
      <c r="K47" s="116" t="s">
        <v>359</v>
      </c>
      <c r="L47" s="115" t="s">
        <v>377</v>
      </c>
      <c r="M47" s="116" t="s">
        <v>378</v>
      </c>
      <c r="N47" s="121">
        <f t="shared" si="5"/>
        <v>0.77</v>
      </c>
      <c r="O47" s="121">
        <v>8.27</v>
      </c>
      <c r="P47" s="121">
        <f t="shared" si="6"/>
        <v>770</v>
      </c>
      <c r="Q47" s="122">
        <f t="shared" si="7"/>
        <v>28.262931749999996</v>
      </c>
      <c r="R47" s="205">
        <f>IF(COUNTIFS('Master Data'!$S$8:$S$13,'Pricing Table - eff 27-Jan-2026'!$M47)&gt;0,'Master Data'!$S$4,'Master Data'!$S$5)</f>
        <v>45</v>
      </c>
    </row>
    <row r="48" spans="1:18" x14ac:dyDescent="0.3">
      <c r="A48" s="114">
        <v>695622</v>
      </c>
      <c r="B48" s="115" t="str">
        <f t="shared" si="4"/>
        <v>G1S 695622</v>
      </c>
      <c r="C48" s="115" t="s">
        <v>357</v>
      </c>
      <c r="D48" s="116" t="s">
        <v>358</v>
      </c>
      <c r="E48" s="116" t="s">
        <v>359</v>
      </c>
      <c r="F48" s="116" t="s">
        <v>360</v>
      </c>
      <c r="G48" s="117">
        <v>49</v>
      </c>
      <c r="H48" s="118">
        <v>1245</v>
      </c>
      <c r="I48" s="119">
        <v>144</v>
      </c>
      <c r="J48" s="120">
        <v>3658</v>
      </c>
      <c r="K48" s="116" t="s">
        <v>359</v>
      </c>
      <c r="L48" s="115" t="s">
        <v>377</v>
      </c>
      <c r="M48" s="116" t="s">
        <v>378</v>
      </c>
      <c r="N48" s="121">
        <f t="shared" si="5"/>
        <v>0.77</v>
      </c>
      <c r="O48" s="121">
        <v>8.27</v>
      </c>
      <c r="P48" s="121">
        <f t="shared" si="6"/>
        <v>770</v>
      </c>
      <c r="Q48" s="122">
        <f t="shared" si="7"/>
        <v>37.663316700000003</v>
      </c>
      <c r="R48" s="205">
        <f>IF(COUNTIFS('Master Data'!$S$8:$S$13,'Pricing Table - eff 27-Jan-2026'!$M48)&gt;0,'Master Data'!$S$4,'Master Data'!$S$5)</f>
        <v>45</v>
      </c>
    </row>
    <row r="49" spans="1:20" x14ac:dyDescent="0.3">
      <c r="A49" s="97">
        <v>697407</v>
      </c>
      <c r="B49" s="19" t="str">
        <f t="shared" si="4"/>
        <v>G1S 697407</v>
      </c>
      <c r="C49" s="19" t="s">
        <v>357</v>
      </c>
      <c r="D49" s="18" t="s">
        <v>358</v>
      </c>
      <c r="E49" s="18" t="s">
        <v>359</v>
      </c>
      <c r="F49" s="18" t="s">
        <v>360</v>
      </c>
      <c r="G49" s="20">
        <v>49</v>
      </c>
      <c r="H49" s="21">
        <v>1245</v>
      </c>
      <c r="I49" s="22">
        <v>90</v>
      </c>
      <c r="J49" s="23">
        <v>2286</v>
      </c>
      <c r="K49" s="18" t="s">
        <v>359</v>
      </c>
      <c r="L49" s="19" t="s">
        <v>380</v>
      </c>
      <c r="M49" s="18" t="s">
        <v>381</v>
      </c>
      <c r="N49" s="24">
        <f t="shared" si="5"/>
        <v>0.77</v>
      </c>
      <c r="O49" s="25">
        <v>8.27</v>
      </c>
      <c r="P49" s="24">
        <f t="shared" si="6"/>
        <v>770</v>
      </c>
      <c r="Q49" s="49">
        <f t="shared" si="7"/>
        <v>23.5369989</v>
      </c>
      <c r="R49" s="205">
        <f>IF(COUNTIFS('Master Data'!$S$8:$S$13,'Pricing Table - eff 27-Jan-2026'!$M49)&gt;0,'Master Data'!$S$4,'Master Data'!$S$5)</f>
        <v>90</v>
      </c>
    </row>
    <row r="50" spans="1:20" x14ac:dyDescent="0.3">
      <c r="A50" s="97">
        <v>718722</v>
      </c>
      <c r="B50" s="19" t="s">
        <v>382</v>
      </c>
      <c r="C50" s="19" t="s">
        <v>357</v>
      </c>
      <c r="D50" s="18" t="s">
        <v>358</v>
      </c>
      <c r="E50" s="18" t="s">
        <v>359</v>
      </c>
      <c r="F50" s="18" t="s">
        <v>360</v>
      </c>
      <c r="G50" s="20">
        <v>49</v>
      </c>
      <c r="H50" s="21">
        <v>1245</v>
      </c>
      <c r="I50" s="22">
        <v>90.5</v>
      </c>
      <c r="J50" s="23">
        <v>2300</v>
      </c>
      <c r="K50" s="18" t="s">
        <v>359</v>
      </c>
      <c r="L50" s="19" t="s">
        <v>380</v>
      </c>
      <c r="M50" s="18" t="s">
        <v>381</v>
      </c>
      <c r="N50" s="24">
        <f>ROUND(O50/10.764,2)</f>
        <v>0.77</v>
      </c>
      <c r="O50" s="25">
        <v>8.27</v>
      </c>
      <c r="P50" s="24">
        <f>N50*1000</f>
        <v>770</v>
      </c>
      <c r="Q50" s="49">
        <f>(H50*J50/1000000)*O50</f>
        <v>23.681145000000001</v>
      </c>
      <c r="R50" s="205">
        <v>90</v>
      </c>
    </row>
    <row r="51" spans="1:20" x14ac:dyDescent="0.3">
      <c r="A51" s="97">
        <v>697408</v>
      </c>
      <c r="B51" s="19" t="str">
        <f t="shared" si="4"/>
        <v>G1S 697408</v>
      </c>
      <c r="C51" s="19" t="s">
        <v>357</v>
      </c>
      <c r="D51" s="18" t="s">
        <v>358</v>
      </c>
      <c r="E51" s="18" t="s">
        <v>359</v>
      </c>
      <c r="F51" s="18" t="s">
        <v>360</v>
      </c>
      <c r="G51" s="20">
        <v>49</v>
      </c>
      <c r="H51" s="21">
        <v>1245</v>
      </c>
      <c r="I51" s="22">
        <v>96</v>
      </c>
      <c r="J51" s="23">
        <v>2440</v>
      </c>
      <c r="K51" s="18" t="s">
        <v>359</v>
      </c>
      <c r="L51" s="19" t="s">
        <v>380</v>
      </c>
      <c r="M51" s="18" t="s">
        <v>381</v>
      </c>
      <c r="N51" s="24">
        <f>ROUND(O51/10.764,2)</f>
        <v>0.77</v>
      </c>
      <c r="O51" s="25">
        <v>8.27</v>
      </c>
      <c r="P51" s="24">
        <f t="shared" si="6"/>
        <v>770</v>
      </c>
      <c r="Q51" s="49">
        <f t="shared" si="7"/>
        <v>25.122605999999998</v>
      </c>
      <c r="R51" s="205">
        <f>IF(COUNTIFS('Master Data'!$S$8:$S$13,'Pricing Table - eff 27-Jan-2026'!$M51)&gt;0,'Master Data'!$S$4,'Master Data'!$S$5)</f>
        <v>90</v>
      </c>
    </row>
    <row r="52" spans="1:20" x14ac:dyDescent="0.3">
      <c r="A52" s="97">
        <v>697405</v>
      </c>
      <c r="B52" s="19" t="str">
        <f t="shared" si="4"/>
        <v>G1S 697405</v>
      </c>
      <c r="C52" s="19" t="s">
        <v>357</v>
      </c>
      <c r="D52" s="18" t="s">
        <v>358</v>
      </c>
      <c r="E52" s="18" t="s">
        <v>359</v>
      </c>
      <c r="F52" s="18" t="s">
        <v>360</v>
      </c>
      <c r="G52" s="20">
        <v>49</v>
      </c>
      <c r="H52" s="21">
        <v>1245</v>
      </c>
      <c r="I52" s="22">
        <v>108</v>
      </c>
      <c r="J52" s="23">
        <v>2745</v>
      </c>
      <c r="K52" s="18" t="s">
        <v>359</v>
      </c>
      <c r="L52" s="19" t="s">
        <v>380</v>
      </c>
      <c r="M52" s="18" t="s">
        <v>381</v>
      </c>
      <c r="N52" s="24">
        <f t="shared" si="5"/>
        <v>0.77</v>
      </c>
      <c r="O52" s="25">
        <v>8.27</v>
      </c>
      <c r="P52" s="24">
        <f t="shared" si="6"/>
        <v>770</v>
      </c>
      <c r="Q52" s="49">
        <f t="shared" si="7"/>
        <v>28.262931749999996</v>
      </c>
      <c r="R52" s="205">
        <f>IF(COUNTIFS('Master Data'!$S$8:$S$13,'Pricing Table - eff 27-Jan-2026'!$M52)&gt;0,'Master Data'!$S$4,'Master Data'!$S$5)</f>
        <v>90</v>
      </c>
    </row>
    <row r="53" spans="1:20" x14ac:dyDescent="0.3">
      <c r="A53" s="97">
        <v>697406</v>
      </c>
      <c r="B53" s="19" t="str">
        <f t="shared" si="4"/>
        <v>G1S 697406</v>
      </c>
      <c r="C53" s="19" t="s">
        <v>357</v>
      </c>
      <c r="D53" s="18" t="s">
        <v>358</v>
      </c>
      <c r="E53" s="18" t="s">
        <v>359</v>
      </c>
      <c r="F53" s="18" t="s">
        <v>360</v>
      </c>
      <c r="G53" s="20">
        <v>49</v>
      </c>
      <c r="H53" s="21">
        <v>1245</v>
      </c>
      <c r="I53" s="22">
        <v>144</v>
      </c>
      <c r="J53" s="23">
        <v>3658</v>
      </c>
      <c r="K53" s="18" t="s">
        <v>359</v>
      </c>
      <c r="L53" s="19" t="s">
        <v>380</v>
      </c>
      <c r="M53" s="18" t="s">
        <v>381</v>
      </c>
      <c r="N53" s="24">
        <f t="shared" si="5"/>
        <v>0.77</v>
      </c>
      <c r="O53" s="25">
        <v>8.27</v>
      </c>
      <c r="P53" s="24">
        <f t="shared" si="6"/>
        <v>770</v>
      </c>
      <c r="Q53" s="49">
        <f t="shared" si="7"/>
        <v>37.663316700000003</v>
      </c>
      <c r="R53" s="205">
        <f>IF(COUNTIFS('Master Data'!$S$8:$S$13,'Pricing Table - eff 27-Jan-2026'!$M53)&gt;0,'Master Data'!$S$4,'Master Data'!$S$5)</f>
        <v>90</v>
      </c>
    </row>
    <row r="54" spans="1:20" x14ac:dyDescent="0.3">
      <c r="A54" s="97">
        <v>697411</v>
      </c>
      <c r="B54" s="19" t="str">
        <f t="shared" si="4"/>
        <v>G1S 697411</v>
      </c>
      <c r="C54" s="19" t="s">
        <v>357</v>
      </c>
      <c r="D54" s="18" t="s">
        <v>358</v>
      </c>
      <c r="E54" s="18" t="s">
        <v>359</v>
      </c>
      <c r="F54" s="18" t="s">
        <v>360</v>
      </c>
      <c r="G54" s="20">
        <v>49</v>
      </c>
      <c r="H54" s="21">
        <v>1245</v>
      </c>
      <c r="I54" s="22">
        <v>90</v>
      </c>
      <c r="J54" s="23">
        <v>2286</v>
      </c>
      <c r="K54" s="18" t="s">
        <v>359</v>
      </c>
      <c r="L54" s="19" t="s">
        <v>383</v>
      </c>
      <c r="M54" s="18" t="s">
        <v>384</v>
      </c>
      <c r="N54" s="24">
        <f t="shared" si="5"/>
        <v>0.77</v>
      </c>
      <c r="O54" s="25">
        <v>8.27</v>
      </c>
      <c r="P54" s="24">
        <f t="shared" si="6"/>
        <v>770</v>
      </c>
      <c r="Q54" s="49">
        <f t="shared" ref="Q54:Q56" si="8">(G54*I54/144)*N54</f>
        <v>23.581250000000001</v>
      </c>
      <c r="R54" s="205">
        <f>IF(COUNTIFS('Master Data'!$S$8:$S$13,'Old Pricing - end 26-Jan-2026'!$M54)&gt;0,'Master Data'!$S$4,'Master Data'!$S$5)</f>
        <v>90</v>
      </c>
    </row>
    <row r="55" spans="1:20" x14ac:dyDescent="0.3">
      <c r="A55" s="97">
        <v>697412</v>
      </c>
      <c r="B55" s="19" t="str">
        <f t="shared" si="4"/>
        <v>G1S 697412</v>
      </c>
      <c r="C55" s="19" t="s">
        <v>357</v>
      </c>
      <c r="D55" s="18" t="s">
        <v>358</v>
      </c>
      <c r="E55" s="18" t="s">
        <v>359</v>
      </c>
      <c r="F55" s="18" t="s">
        <v>360</v>
      </c>
      <c r="G55" s="20">
        <v>49</v>
      </c>
      <c r="H55" s="21">
        <v>1245</v>
      </c>
      <c r="I55" s="22">
        <v>96</v>
      </c>
      <c r="J55" s="23">
        <v>2440</v>
      </c>
      <c r="K55" s="18" t="s">
        <v>359</v>
      </c>
      <c r="L55" s="19" t="s">
        <v>383</v>
      </c>
      <c r="M55" s="18" t="s">
        <v>384</v>
      </c>
      <c r="N55" s="24">
        <f t="shared" si="5"/>
        <v>0.77</v>
      </c>
      <c r="O55" s="25">
        <v>8.27</v>
      </c>
      <c r="P55" s="24">
        <f t="shared" si="6"/>
        <v>770</v>
      </c>
      <c r="Q55" s="49">
        <f t="shared" si="8"/>
        <v>25.153333333333332</v>
      </c>
      <c r="R55" s="205">
        <f>IF(COUNTIFS('Master Data'!$S$8:$S$13,'Old Pricing - end 26-Jan-2026'!$M55)&gt;0,'Master Data'!$S$4,'Master Data'!$S$5)</f>
        <v>90</v>
      </c>
    </row>
    <row r="56" spans="1:20" x14ac:dyDescent="0.3">
      <c r="A56" s="97">
        <v>697409</v>
      </c>
      <c r="B56" s="19" t="str">
        <f t="shared" si="4"/>
        <v>G1S 697409</v>
      </c>
      <c r="C56" s="19" t="s">
        <v>357</v>
      </c>
      <c r="D56" s="18" t="s">
        <v>358</v>
      </c>
      <c r="E56" s="18" t="s">
        <v>359</v>
      </c>
      <c r="F56" s="18" t="s">
        <v>360</v>
      </c>
      <c r="G56" s="20">
        <v>49</v>
      </c>
      <c r="H56" s="21">
        <v>1245</v>
      </c>
      <c r="I56" s="22">
        <v>108</v>
      </c>
      <c r="J56" s="23">
        <v>2745</v>
      </c>
      <c r="K56" s="18" t="s">
        <v>359</v>
      </c>
      <c r="L56" s="19" t="s">
        <v>383</v>
      </c>
      <c r="M56" s="18" t="s">
        <v>384</v>
      </c>
      <c r="N56" s="24">
        <f t="shared" si="5"/>
        <v>0.77</v>
      </c>
      <c r="O56" s="25">
        <v>8.27</v>
      </c>
      <c r="P56" s="24">
        <f t="shared" si="6"/>
        <v>770</v>
      </c>
      <c r="Q56" s="49">
        <f t="shared" si="8"/>
        <v>28.297499999999999</v>
      </c>
      <c r="R56" s="205">
        <f>IF(COUNTIFS('Master Data'!$S$8:$S$13,'Old Pricing - end 26-Jan-2026'!$M56)&gt;0,'Master Data'!$S$4,'Master Data'!$S$5)</f>
        <v>90</v>
      </c>
    </row>
    <row r="57" spans="1:20" x14ac:dyDescent="0.3">
      <c r="A57" s="97">
        <v>697410</v>
      </c>
      <c r="B57" s="19" t="str">
        <f>"G1S "&amp;A57</f>
        <v>G1S 697410</v>
      </c>
      <c r="C57" s="19" t="s">
        <v>357</v>
      </c>
      <c r="D57" s="18" t="s">
        <v>358</v>
      </c>
      <c r="E57" s="18" t="s">
        <v>359</v>
      </c>
      <c r="F57" s="18" t="s">
        <v>360</v>
      </c>
      <c r="G57" s="20">
        <v>49</v>
      </c>
      <c r="H57" s="21">
        <v>1245</v>
      </c>
      <c r="I57" s="22">
        <v>144</v>
      </c>
      <c r="J57" s="23">
        <v>3658</v>
      </c>
      <c r="K57" s="18" t="s">
        <v>359</v>
      </c>
      <c r="L57" s="19" t="s">
        <v>383</v>
      </c>
      <c r="M57" s="18" t="s">
        <v>384</v>
      </c>
      <c r="N57" s="24">
        <f t="shared" si="5"/>
        <v>0.77</v>
      </c>
      <c r="O57" s="25">
        <v>8.27</v>
      </c>
      <c r="P57" s="24">
        <f>N57*1000</f>
        <v>770</v>
      </c>
      <c r="Q57" s="49">
        <f>(G57*I57/144)*N57</f>
        <v>37.730000000000004</v>
      </c>
      <c r="R57" s="205">
        <f>IF(COUNTIFS('Master Data'!$S$8:$S$13,'Old Pricing - end 26-Jan-2026'!$M57)&gt;0,'Master Data'!$S$4,'Master Data'!$S$5)</f>
        <v>90</v>
      </c>
    </row>
    <row r="58" spans="1:20" x14ac:dyDescent="0.3">
      <c r="A58" s="97" t="s">
        <v>509</v>
      </c>
      <c r="B58" s="19" t="str">
        <f t="shared" si="4"/>
        <v>G1S SSM90</v>
      </c>
      <c r="C58" s="19" t="s">
        <v>357</v>
      </c>
      <c r="D58" s="18" t="s">
        <v>358</v>
      </c>
      <c r="E58" s="18" t="s">
        <v>359</v>
      </c>
      <c r="F58" s="18" t="s">
        <v>360</v>
      </c>
      <c r="G58" s="20">
        <v>49</v>
      </c>
      <c r="H58" s="21">
        <v>1245</v>
      </c>
      <c r="I58" s="22">
        <v>90</v>
      </c>
      <c r="J58" s="23">
        <v>2286</v>
      </c>
      <c r="K58" s="18" t="s">
        <v>359</v>
      </c>
      <c r="L58" s="19" t="s">
        <v>506</v>
      </c>
      <c r="M58" s="18" t="s">
        <v>505</v>
      </c>
      <c r="N58" s="24">
        <f t="shared" si="5"/>
        <v>0.77</v>
      </c>
      <c r="O58" s="25">
        <v>8.27</v>
      </c>
      <c r="P58" s="24">
        <f t="shared" si="6"/>
        <v>770</v>
      </c>
      <c r="Q58" s="49">
        <f t="shared" si="7"/>
        <v>23.5369989</v>
      </c>
      <c r="R58" s="205">
        <f>IF(COUNTIFS('Master Data'!$S$8:$S$13,'Pricing Table - eff 27-Jan-2026'!$M58)&gt;0,'Master Data'!$S$4,'Master Data'!$S$5)</f>
        <v>90</v>
      </c>
      <c r="T58" t="str">
        <f>M58&amp;" "&amp;L58</f>
        <v>ASC 0208 SAND SAHARA MATTE</v>
      </c>
    </row>
    <row r="59" spans="1:20" x14ac:dyDescent="0.3">
      <c r="A59" s="97">
        <v>721547</v>
      </c>
      <c r="B59" s="19" t="s">
        <v>504</v>
      </c>
      <c r="C59" s="19" t="s">
        <v>357</v>
      </c>
      <c r="D59" s="18" t="s">
        <v>358</v>
      </c>
      <c r="E59" s="18" t="s">
        <v>359</v>
      </c>
      <c r="F59" s="18" t="s">
        <v>360</v>
      </c>
      <c r="G59" s="20">
        <v>49</v>
      </c>
      <c r="H59" s="21">
        <v>1245</v>
      </c>
      <c r="I59" s="22">
        <v>90.5</v>
      </c>
      <c r="J59" s="23">
        <v>2300</v>
      </c>
      <c r="K59" s="18" t="s">
        <v>359</v>
      </c>
      <c r="L59" s="19" t="s">
        <v>506</v>
      </c>
      <c r="M59" s="18" t="s">
        <v>505</v>
      </c>
      <c r="N59" s="24">
        <v>0.77</v>
      </c>
      <c r="O59" s="25">
        <v>8.27</v>
      </c>
      <c r="P59" s="24">
        <v>770</v>
      </c>
      <c r="Q59" s="49">
        <v>23.5369989</v>
      </c>
      <c r="R59" s="205">
        <v>90</v>
      </c>
    </row>
    <row r="60" spans="1:20" x14ac:dyDescent="0.3">
      <c r="A60" s="97">
        <v>721548</v>
      </c>
      <c r="B60" s="19" t="str">
        <f t="shared" si="4"/>
        <v>G1S 721548</v>
      </c>
      <c r="C60" s="19" t="s">
        <v>357</v>
      </c>
      <c r="D60" s="18" t="s">
        <v>358</v>
      </c>
      <c r="E60" s="18" t="s">
        <v>359</v>
      </c>
      <c r="F60" s="18" t="s">
        <v>360</v>
      </c>
      <c r="G60" s="20">
        <v>49</v>
      </c>
      <c r="H60" s="21">
        <v>1245</v>
      </c>
      <c r="I60" s="22">
        <v>96</v>
      </c>
      <c r="J60" s="23">
        <v>2440</v>
      </c>
      <c r="K60" s="18" t="s">
        <v>359</v>
      </c>
      <c r="L60" s="19" t="s">
        <v>506</v>
      </c>
      <c r="M60" s="18" t="s">
        <v>505</v>
      </c>
      <c r="N60" s="24">
        <f t="shared" si="5"/>
        <v>0.77</v>
      </c>
      <c r="O60" s="25">
        <v>8.27</v>
      </c>
      <c r="P60" s="24">
        <f t="shared" si="6"/>
        <v>770</v>
      </c>
      <c r="Q60" s="49">
        <f t="shared" si="7"/>
        <v>25.122605999999998</v>
      </c>
      <c r="R60" s="205">
        <f>IF(COUNTIFS('Master Data'!$S$8:$S$13,'Pricing Table - eff 27-Jan-2026'!$M60)&gt;0,'Master Data'!$S$4,'Master Data'!$S$5)</f>
        <v>90</v>
      </c>
    </row>
    <row r="61" spans="1:20" x14ac:dyDescent="0.3">
      <c r="A61" s="97">
        <v>721549</v>
      </c>
      <c r="B61" s="19" t="str">
        <f t="shared" si="4"/>
        <v>G1S 721549</v>
      </c>
      <c r="C61" s="19" t="s">
        <v>357</v>
      </c>
      <c r="D61" s="18" t="s">
        <v>358</v>
      </c>
      <c r="E61" s="18" t="s">
        <v>359</v>
      </c>
      <c r="F61" s="18" t="s">
        <v>360</v>
      </c>
      <c r="G61" s="20">
        <v>49</v>
      </c>
      <c r="H61" s="21">
        <v>1245</v>
      </c>
      <c r="I61" s="22">
        <v>108</v>
      </c>
      <c r="J61" s="23">
        <v>2745</v>
      </c>
      <c r="K61" s="18" t="s">
        <v>359</v>
      </c>
      <c r="L61" s="19" t="s">
        <v>506</v>
      </c>
      <c r="M61" s="18" t="s">
        <v>505</v>
      </c>
      <c r="N61" s="24">
        <f t="shared" si="5"/>
        <v>0.77</v>
      </c>
      <c r="O61" s="25">
        <v>8.27</v>
      </c>
      <c r="P61" s="24">
        <f t="shared" si="6"/>
        <v>770</v>
      </c>
      <c r="Q61" s="49">
        <f t="shared" si="7"/>
        <v>28.262931749999996</v>
      </c>
      <c r="R61" s="205">
        <f>IF(COUNTIFS('Master Data'!$S$8:$S$13,'Pricing Table - eff 27-Jan-2026'!$M61)&gt;0,'Master Data'!$S$4,'Master Data'!$S$5)</f>
        <v>90</v>
      </c>
    </row>
    <row r="62" spans="1:20" x14ac:dyDescent="0.3">
      <c r="A62" s="97" t="s">
        <v>510</v>
      </c>
      <c r="B62" s="19" t="str">
        <f t="shared" si="4"/>
        <v>G1S SSM144</v>
      </c>
      <c r="C62" s="19" t="s">
        <v>357</v>
      </c>
      <c r="D62" s="18" t="s">
        <v>358</v>
      </c>
      <c r="E62" s="18" t="s">
        <v>359</v>
      </c>
      <c r="F62" s="18" t="s">
        <v>360</v>
      </c>
      <c r="G62" s="20">
        <v>49</v>
      </c>
      <c r="H62" s="21">
        <v>1245</v>
      </c>
      <c r="I62" s="22">
        <v>144</v>
      </c>
      <c r="J62" s="23">
        <v>3658</v>
      </c>
      <c r="K62" s="18" t="s">
        <v>359</v>
      </c>
      <c r="L62" s="19" t="s">
        <v>506</v>
      </c>
      <c r="M62" s="18" t="s">
        <v>505</v>
      </c>
      <c r="N62" s="24">
        <f t="shared" si="5"/>
        <v>0.77</v>
      </c>
      <c r="O62" s="25">
        <v>8.27</v>
      </c>
      <c r="P62" s="24">
        <f t="shared" si="6"/>
        <v>770</v>
      </c>
      <c r="Q62" s="49">
        <f t="shared" si="7"/>
        <v>37.663316700000003</v>
      </c>
      <c r="R62" s="205">
        <f>IF(COUNTIFS('Master Data'!$S$8:$S$13,'Pricing Table - eff 27-Jan-2026'!$M62)&gt;0,'Master Data'!$S$4,'Master Data'!$S$5)</f>
        <v>90</v>
      </c>
    </row>
    <row r="63" spans="1:20" x14ac:dyDescent="0.3">
      <c r="A63" s="186">
        <v>706750</v>
      </c>
      <c r="B63" s="187" t="str">
        <f t="shared" si="4"/>
        <v>G1S 706750</v>
      </c>
      <c r="C63" s="187" t="s">
        <v>357</v>
      </c>
      <c r="D63" s="188" t="s">
        <v>358</v>
      </c>
      <c r="E63" s="188" t="s">
        <v>359</v>
      </c>
      <c r="F63" s="188" t="s">
        <v>360</v>
      </c>
      <c r="G63" s="189">
        <v>49</v>
      </c>
      <c r="H63" s="190">
        <v>1245</v>
      </c>
      <c r="I63" s="191">
        <v>96</v>
      </c>
      <c r="J63" s="192">
        <v>2440</v>
      </c>
      <c r="K63" s="188" t="s">
        <v>359</v>
      </c>
      <c r="L63" s="187" t="s">
        <v>385</v>
      </c>
      <c r="M63" s="188" t="s">
        <v>386</v>
      </c>
      <c r="N63" s="193">
        <f t="shared" si="5"/>
        <v>0.72</v>
      </c>
      <c r="O63" s="193">
        <v>7.73</v>
      </c>
      <c r="P63" s="193">
        <f t="shared" si="6"/>
        <v>720</v>
      </c>
      <c r="Q63" s="194">
        <f t="shared" si="7"/>
        <v>23.482194</v>
      </c>
      <c r="R63" s="205">
        <f>IF(COUNTIFS('Master Data'!$S$8:$S$13,'Pricing Table - eff 27-Jan-2026'!$M63)&gt;0,'Master Data'!$S$4,'Master Data'!$S$5)</f>
        <v>90</v>
      </c>
    </row>
    <row r="64" spans="1:20" x14ac:dyDescent="0.3">
      <c r="A64" s="186">
        <v>706751</v>
      </c>
      <c r="B64" s="187" t="str">
        <f t="shared" si="4"/>
        <v>G1S 706751</v>
      </c>
      <c r="C64" s="187" t="s">
        <v>357</v>
      </c>
      <c r="D64" s="188" t="s">
        <v>358</v>
      </c>
      <c r="E64" s="188" t="s">
        <v>359</v>
      </c>
      <c r="F64" s="188" t="s">
        <v>360</v>
      </c>
      <c r="G64" s="189">
        <v>49</v>
      </c>
      <c r="H64" s="190">
        <v>1245</v>
      </c>
      <c r="I64" s="191">
        <v>96</v>
      </c>
      <c r="J64" s="192">
        <v>2440</v>
      </c>
      <c r="K64" s="188" t="s">
        <v>359</v>
      </c>
      <c r="L64" s="187" t="s">
        <v>387</v>
      </c>
      <c r="M64" s="188" t="s">
        <v>388</v>
      </c>
      <c r="N64" s="193">
        <f t="shared" si="5"/>
        <v>0.72</v>
      </c>
      <c r="O64" s="193">
        <v>7.73</v>
      </c>
      <c r="P64" s="193">
        <f t="shared" si="6"/>
        <v>720</v>
      </c>
      <c r="Q64" s="194">
        <f t="shared" si="7"/>
        <v>23.482194</v>
      </c>
      <c r="R64" s="205">
        <f>IF(COUNTIFS('Master Data'!$S$8:$S$13,'Pricing Table - eff 27-Jan-2026'!$M64)&gt;0,'Master Data'!$S$4,'Master Data'!$S$5)</f>
        <v>90</v>
      </c>
    </row>
    <row r="65" spans="1:18" ht="15" thickBot="1" x14ac:dyDescent="0.35">
      <c r="A65" s="195">
        <v>708236</v>
      </c>
      <c r="B65" s="196" t="str">
        <f t="shared" si="4"/>
        <v>G1S 708236</v>
      </c>
      <c r="C65" s="196" t="s">
        <v>357</v>
      </c>
      <c r="D65" s="197" t="s">
        <v>358</v>
      </c>
      <c r="E65" s="197" t="s">
        <v>359</v>
      </c>
      <c r="F65" s="197" t="s">
        <v>360</v>
      </c>
      <c r="G65" s="198">
        <v>49</v>
      </c>
      <c r="H65" s="199">
        <v>1245</v>
      </c>
      <c r="I65" s="200">
        <v>96</v>
      </c>
      <c r="J65" s="201">
        <v>2440</v>
      </c>
      <c r="K65" s="197" t="s">
        <v>359</v>
      </c>
      <c r="L65" s="196" t="s">
        <v>389</v>
      </c>
      <c r="M65" s="197" t="s">
        <v>390</v>
      </c>
      <c r="N65" s="202">
        <f t="shared" si="5"/>
        <v>0.72</v>
      </c>
      <c r="O65" s="202">
        <v>7.73</v>
      </c>
      <c r="P65" s="202">
        <f t="shared" si="6"/>
        <v>720</v>
      </c>
      <c r="Q65" s="203">
        <f t="shared" si="7"/>
        <v>23.482194</v>
      </c>
      <c r="R65" s="207">
        <f>IF(COUNTIFS('Master Data'!$S$8:$S$13,'Pricing Table - eff 27-Jan-2026'!$M65)&gt;0,'Master Data'!$S$4,'Master Data'!$S$5)</f>
        <v>90</v>
      </c>
    </row>
    <row r="66" spans="1:18" x14ac:dyDescent="0.3">
      <c r="A66" s="26"/>
      <c r="B66" s="26"/>
    </row>
    <row r="67" spans="1:18" x14ac:dyDescent="0.3">
      <c r="A67" s="29" t="s">
        <v>391</v>
      </c>
      <c r="B67" s="29"/>
    </row>
    <row r="68" spans="1:18" ht="15" customHeight="1" x14ac:dyDescent="0.3">
      <c r="A68" s="344" t="s">
        <v>392</v>
      </c>
      <c r="B68" s="344"/>
      <c r="C68" s="344"/>
      <c r="D68" s="344"/>
      <c r="E68" s="344"/>
      <c r="F68" s="344"/>
      <c r="G68" s="344"/>
      <c r="H68" s="344"/>
      <c r="I68" s="344"/>
      <c r="J68" s="344"/>
      <c r="K68" s="344"/>
    </row>
    <row r="69" spans="1:18" ht="14.7" customHeight="1" x14ac:dyDescent="0.3">
      <c r="A69" s="344"/>
      <c r="B69" s="344"/>
      <c r="C69" s="344"/>
      <c r="D69" s="344"/>
      <c r="E69" s="344"/>
      <c r="F69" s="344"/>
      <c r="G69" s="344"/>
      <c r="H69" s="344"/>
      <c r="I69" s="344"/>
      <c r="J69" s="344"/>
      <c r="K69" s="344"/>
    </row>
  </sheetData>
  <autoFilter ref="A1:R65" xr:uid="{719FDA34-361C-4BF6-B559-8300A10EF279}">
    <filterColumn colId="6" showButton="0"/>
    <filterColumn colId="8" showButton="0"/>
  </autoFilter>
  <mergeCells count="18">
    <mergeCell ref="A68:K69"/>
    <mergeCell ref="A1:A2"/>
    <mergeCell ref="B1:B2"/>
    <mergeCell ref="C1:C2"/>
    <mergeCell ref="D1:D2"/>
    <mergeCell ref="E1:E2"/>
    <mergeCell ref="F1:F2"/>
    <mergeCell ref="T1:X2"/>
    <mergeCell ref="G1:H1"/>
    <mergeCell ref="I1:J1"/>
    <mergeCell ref="K1:K2"/>
    <mergeCell ref="L1:L2"/>
    <mergeCell ref="M1:M2"/>
    <mergeCell ref="N1:N2"/>
    <mergeCell ref="O1:O2"/>
    <mergeCell ref="P1:P2"/>
    <mergeCell ref="Q1:Q2"/>
    <mergeCell ref="R1:R2"/>
  </mergeCells>
  <conditionalFormatting sqref="A3:A109">
    <cfRule type="expression" dxfId="1" priority="2">
      <formula>IF(COUNTIFS($A:$A,A3)&gt;1,1,0)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855C-F64D-4DAF-83E6-E5D99BACB1DB}">
  <sheetPr codeName="Sheet6"/>
  <dimension ref="B2:S17"/>
  <sheetViews>
    <sheetView topLeftCell="G1" zoomScale="130" zoomScaleNormal="130" workbookViewId="0">
      <selection activeCell="N15" sqref="N15"/>
    </sheetView>
  </sheetViews>
  <sheetFormatPr defaultRowHeight="14.4" x14ac:dyDescent="0.3"/>
  <cols>
    <col min="2" max="2" width="3.88671875" customWidth="1"/>
    <col min="3" max="3" width="24.6640625" customWidth="1"/>
    <col min="5" max="5" width="3.88671875" customWidth="1"/>
    <col min="6" max="6" width="12.5546875" bestFit="1" customWidth="1"/>
    <col min="8" max="8" width="11.6640625" customWidth="1"/>
    <col min="9" max="9" width="11.5546875" customWidth="1"/>
    <col min="11" max="11" width="3.88671875" customWidth="1"/>
    <col min="12" max="12" width="13.6640625" bestFit="1" customWidth="1"/>
    <col min="13" max="13" width="11" customWidth="1"/>
    <col min="15" max="15" width="19.109375" customWidth="1"/>
    <col min="16" max="16" width="9.33203125" bestFit="1" customWidth="1"/>
    <col min="18" max="18" width="19.109375" bestFit="1" customWidth="1"/>
    <col min="19" max="19" width="9.33203125" customWidth="1"/>
  </cols>
  <sheetData>
    <row r="2" spans="2:19" ht="15" thickBot="1" x14ac:dyDescent="0.35"/>
    <row r="3" spans="2:19" ht="15" thickBot="1" x14ac:dyDescent="0.35">
      <c r="B3" s="345" t="s">
        <v>394</v>
      </c>
      <c r="C3" s="346"/>
      <c r="E3" s="312" t="s">
        <v>395</v>
      </c>
      <c r="F3" s="313"/>
      <c r="G3" s="313"/>
      <c r="H3" s="313"/>
      <c r="I3" s="314"/>
      <c r="K3" s="345" t="s">
        <v>396</v>
      </c>
      <c r="L3" s="352"/>
      <c r="M3" s="346"/>
      <c r="O3" s="317" t="s">
        <v>397</v>
      </c>
      <c r="P3" s="314"/>
      <c r="R3" s="345" t="s">
        <v>398</v>
      </c>
      <c r="S3" s="346"/>
    </row>
    <row r="4" spans="2:19" x14ac:dyDescent="0.3">
      <c r="B4" s="33">
        <v>1</v>
      </c>
      <c r="C4" s="34" t="s">
        <v>313</v>
      </c>
      <c r="E4" s="33"/>
      <c r="F4" s="347" t="s">
        <v>399</v>
      </c>
      <c r="G4" s="347"/>
      <c r="H4" s="61"/>
      <c r="I4" s="58"/>
      <c r="K4" s="350" t="s">
        <v>28</v>
      </c>
      <c r="L4" s="351"/>
      <c r="M4" s="41" t="s">
        <v>400</v>
      </c>
      <c r="O4" s="33" t="s">
        <v>401</v>
      </c>
      <c r="P4" s="34">
        <v>200</v>
      </c>
      <c r="R4" s="33" t="s">
        <v>402</v>
      </c>
      <c r="S4" s="34">
        <v>45</v>
      </c>
    </row>
    <row r="5" spans="2:19" ht="15" thickBot="1" x14ac:dyDescent="0.35">
      <c r="B5" s="33">
        <v>2</v>
      </c>
      <c r="C5" s="34" t="s">
        <v>260</v>
      </c>
      <c r="E5" s="348" t="s">
        <v>403</v>
      </c>
      <c r="F5" s="349"/>
      <c r="G5" s="59" t="s">
        <v>404</v>
      </c>
      <c r="H5" s="59" t="s">
        <v>49</v>
      </c>
      <c r="I5" s="38" t="s">
        <v>50</v>
      </c>
      <c r="K5" s="33">
        <v>1</v>
      </c>
      <c r="L5" t="s">
        <v>155</v>
      </c>
      <c r="M5" s="34" t="s">
        <v>405</v>
      </c>
      <c r="O5" s="33"/>
      <c r="P5" s="34"/>
      <c r="R5" s="35" t="s">
        <v>406</v>
      </c>
      <c r="S5" s="36">
        <v>90</v>
      </c>
    </row>
    <row r="6" spans="2:19" ht="15" thickBot="1" x14ac:dyDescent="0.35">
      <c r="B6" s="33">
        <v>3</v>
      </c>
      <c r="C6" s="34" t="s">
        <v>215</v>
      </c>
      <c r="E6" s="33">
        <v>1</v>
      </c>
      <c r="F6" s="37" t="s">
        <v>405</v>
      </c>
      <c r="G6">
        <f>55+3</f>
        <v>58</v>
      </c>
      <c r="H6" s="50">
        <v>4500</v>
      </c>
      <c r="I6" s="63">
        <v>1000</v>
      </c>
      <c r="K6" s="33">
        <v>2</v>
      </c>
      <c r="L6" t="s">
        <v>116</v>
      </c>
      <c r="M6" s="34" t="s">
        <v>288</v>
      </c>
      <c r="O6" s="67"/>
      <c r="P6" s="68"/>
    </row>
    <row r="7" spans="2:19" x14ac:dyDescent="0.3">
      <c r="B7" s="33">
        <v>4</v>
      </c>
      <c r="C7" s="34" t="s">
        <v>245</v>
      </c>
      <c r="E7" s="33">
        <v>2</v>
      </c>
      <c r="F7" s="37" t="s">
        <v>407</v>
      </c>
      <c r="G7">
        <f>63+3</f>
        <v>66</v>
      </c>
      <c r="H7" s="50">
        <v>4500</v>
      </c>
      <c r="I7" s="63">
        <v>1000</v>
      </c>
      <c r="K7" s="33">
        <v>3</v>
      </c>
      <c r="L7" t="s">
        <v>58</v>
      </c>
      <c r="M7" s="34" t="s">
        <v>408</v>
      </c>
      <c r="O7" s="67"/>
      <c r="P7" s="68"/>
      <c r="R7" s="345" t="s">
        <v>409</v>
      </c>
      <c r="S7" s="346"/>
    </row>
    <row r="8" spans="2:19" x14ac:dyDescent="0.3">
      <c r="B8" s="33">
        <v>5</v>
      </c>
      <c r="C8" s="34" t="s">
        <v>410</v>
      </c>
      <c r="E8" s="33">
        <v>3</v>
      </c>
      <c r="F8" s="37" t="s">
        <v>408</v>
      </c>
      <c r="G8">
        <f>50+3</f>
        <v>53</v>
      </c>
      <c r="H8" s="50">
        <v>4500</v>
      </c>
      <c r="I8" s="63">
        <v>1000</v>
      </c>
      <c r="K8" s="33">
        <v>4</v>
      </c>
      <c r="L8" t="s">
        <v>79</v>
      </c>
      <c r="M8" s="34" t="s">
        <v>407</v>
      </c>
      <c r="O8" s="67"/>
      <c r="P8" s="68"/>
      <c r="R8" s="33" t="s">
        <v>361</v>
      </c>
      <c r="S8" s="34" t="s">
        <v>362</v>
      </c>
    </row>
    <row r="9" spans="2:19" ht="15" thickBot="1" x14ac:dyDescent="0.35">
      <c r="B9" s="33">
        <v>6</v>
      </c>
      <c r="C9" s="34" t="s">
        <v>128</v>
      </c>
      <c r="E9" s="35">
        <v>4</v>
      </c>
      <c r="F9" s="39" t="s">
        <v>288</v>
      </c>
      <c r="G9" s="40">
        <f>43+3</f>
        <v>46</v>
      </c>
      <c r="H9" s="65">
        <v>4500</v>
      </c>
      <c r="I9" s="64">
        <v>1000</v>
      </c>
      <c r="K9" s="33">
        <v>5</v>
      </c>
      <c r="L9" t="s">
        <v>70</v>
      </c>
      <c r="M9" s="34" t="s">
        <v>405</v>
      </c>
      <c r="O9" s="67"/>
      <c r="P9" s="68"/>
      <c r="R9" s="33" t="s">
        <v>363</v>
      </c>
      <c r="S9" s="34" t="s">
        <v>364</v>
      </c>
    </row>
    <row r="10" spans="2:19" ht="15" thickBot="1" x14ac:dyDescent="0.35">
      <c r="B10" s="33">
        <v>7</v>
      </c>
      <c r="C10" s="34" t="s">
        <v>110</v>
      </c>
      <c r="K10" s="33">
        <v>6</v>
      </c>
      <c r="L10" t="s">
        <v>101</v>
      </c>
      <c r="M10" s="34" t="s">
        <v>405</v>
      </c>
      <c r="O10" s="69"/>
      <c r="P10" s="70"/>
      <c r="R10" s="33" t="s">
        <v>365</v>
      </c>
      <c r="S10" s="34" t="s">
        <v>366</v>
      </c>
    </row>
    <row r="11" spans="2:19" ht="15" thickBot="1" x14ac:dyDescent="0.35">
      <c r="B11" s="33">
        <v>8</v>
      </c>
      <c r="C11" s="34" t="s">
        <v>455</v>
      </c>
      <c r="E11" s="355" t="s">
        <v>549</v>
      </c>
      <c r="F11" s="355"/>
      <c r="G11" s="355"/>
      <c r="H11" s="355"/>
      <c r="I11" s="355"/>
      <c r="K11" s="33">
        <v>7</v>
      </c>
      <c r="L11" t="s">
        <v>160</v>
      </c>
      <c r="M11" s="34" t="s">
        <v>408</v>
      </c>
      <c r="O11" s="66"/>
      <c r="P11" s="66"/>
      <c r="R11" s="33" t="s">
        <v>367</v>
      </c>
      <c r="S11" s="34" t="s">
        <v>368</v>
      </c>
    </row>
    <row r="12" spans="2:19" ht="15" thickBot="1" x14ac:dyDescent="0.35">
      <c r="B12" s="33">
        <v>9</v>
      </c>
      <c r="C12" s="34" t="s">
        <v>196</v>
      </c>
      <c r="E12" s="55">
        <v>1</v>
      </c>
      <c r="F12" s="55" t="s">
        <v>63</v>
      </c>
      <c r="G12" s="354" t="s">
        <v>550</v>
      </c>
      <c r="H12" s="354"/>
      <c r="I12" s="354"/>
      <c r="K12" s="33">
        <v>8</v>
      </c>
      <c r="L12" t="s">
        <v>261</v>
      </c>
      <c r="M12" s="34" t="s">
        <v>408</v>
      </c>
      <c r="O12" s="45" t="s">
        <v>411</v>
      </c>
      <c r="P12" s="53">
        <v>0.5</v>
      </c>
      <c r="R12" s="33" t="s">
        <v>373</v>
      </c>
      <c r="S12" s="34" t="s">
        <v>374</v>
      </c>
    </row>
    <row r="13" spans="2:19" ht="15" thickBot="1" x14ac:dyDescent="0.35">
      <c r="B13" s="35">
        <v>10</v>
      </c>
      <c r="C13" s="36" t="s">
        <v>412</v>
      </c>
      <c r="E13" s="55">
        <v>2</v>
      </c>
      <c r="F13" s="55" t="s">
        <v>74</v>
      </c>
      <c r="G13" s="353"/>
      <c r="H13" s="353"/>
      <c r="I13" s="353"/>
      <c r="K13" s="33">
        <v>9</v>
      </c>
      <c r="L13" t="s">
        <v>230</v>
      </c>
      <c r="M13" s="34" t="s">
        <v>288</v>
      </c>
      <c r="R13" s="35" t="s">
        <v>377</v>
      </c>
      <c r="S13" s="36" t="s">
        <v>378</v>
      </c>
    </row>
    <row r="14" spans="2:19" ht="15" thickBot="1" x14ac:dyDescent="0.35">
      <c r="E14" s="55">
        <v>3</v>
      </c>
      <c r="F14" s="55" t="s">
        <v>172</v>
      </c>
      <c r="G14" s="353"/>
      <c r="H14" s="353"/>
      <c r="I14" s="353"/>
      <c r="K14" s="33">
        <v>10</v>
      </c>
      <c r="L14" t="s">
        <v>280</v>
      </c>
      <c r="M14" s="34" t="s">
        <v>407</v>
      </c>
      <c r="O14" s="45" t="s">
        <v>413</v>
      </c>
      <c r="P14" s="102">
        <v>8600</v>
      </c>
    </row>
    <row r="15" spans="2:19" ht="15" thickBot="1" x14ac:dyDescent="0.35">
      <c r="E15" s="55">
        <v>4</v>
      </c>
      <c r="F15" s="55"/>
      <c r="G15" s="353"/>
      <c r="H15" s="353"/>
      <c r="I15" s="353"/>
      <c r="K15" s="35">
        <v>11</v>
      </c>
      <c r="L15" s="40"/>
      <c r="M15" s="36"/>
      <c r="O15" t="s">
        <v>414</v>
      </c>
    </row>
    <row r="16" spans="2:19" x14ac:dyDescent="0.3">
      <c r="E16" s="55">
        <v>5</v>
      </c>
      <c r="F16" s="55"/>
      <c r="G16" s="353"/>
      <c r="H16" s="353"/>
      <c r="I16" s="353"/>
    </row>
    <row r="17" spans="5:9" x14ac:dyDescent="0.3">
      <c r="E17" s="55">
        <v>6</v>
      </c>
      <c r="F17" s="55"/>
      <c r="G17" s="353"/>
      <c r="H17" s="353"/>
      <c r="I17" s="353"/>
    </row>
  </sheetData>
  <mergeCells count="16">
    <mergeCell ref="G16:I16"/>
    <mergeCell ref="G17:I17"/>
    <mergeCell ref="G12:I12"/>
    <mergeCell ref="E11:I11"/>
    <mergeCell ref="G13:I13"/>
    <mergeCell ref="G14:I14"/>
    <mergeCell ref="G15:I15"/>
    <mergeCell ref="R7:S7"/>
    <mergeCell ref="R3:S3"/>
    <mergeCell ref="B3:C3"/>
    <mergeCell ref="F4:G4"/>
    <mergeCell ref="E5:F5"/>
    <mergeCell ref="K4:L4"/>
    <mergeCell ref="K3:M3"/>
    <mergeCell ref="E3:I3"/>
    <mergeCell ref="O3:P3"/>
  </mergeCells>
  <hyperlinks>
    <hyperlink ref="G12" r:id="rId1" display="https://l.uk-1.a.mimecastprotect.com/l?domain=maersk.com&amp;t=AQICAHi-3eFlu40qm0xHsXo2RboSpleH7UbKTLFspGJKOB-l7AEE7JqrwWv37jNw8DwmNoJdAAAAzjCBywYJKoZIhvcNAQcGoIG9MIG6AgEAMIG0BgkqhkiG9w0BBwEwHgYJYIZIAWUDBAEuMBEEDMcvFiU428oh6EJbKgIBEICBhtIMYvvg8vKrJ5kJ_0prUXPEpX9wJDHh_q9X-joW3BcPYTZF-Ncl3AJeB3ovbrGzKSbE1lntGTR9f3XMB7mlpjYENjXMzoNKl9yutRml_o0pKzZGesawkUYgRA0a6-EXmCwfvL2U_CYxn2i0tG4JJ3zfIHmwb8Cqi3B2_Pz3gf1PvuzCKLzC&amp;r=/s/c9k-CzX5zHnlM0MYi4gPXnJimlYQOlcYcGSKEJ" xr:uid="{9B71AB1E-7FBA-4B6D-9E50-C39D72EE05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DA34-361C-4BF6-B559-8300A10EF279}">
  <sheetPr codeName="Sheet4"/>
  <dimension ref="A1:X64"/>
  <sheetViews>
    <sheetView topLeftCell="A9" zoomScaleNormal="100" workbookViewId="0">
      <selection activeCell="M17" sqref="M17"/>
    </sheetView>
  </sheetViews>
  <sheetFormatPr defaultColWidth="8.6640625" defaultRowHeight="14.4" x14ac:dyDescent="0.3"/>
  <cols>
    <col min="1" max="2" width="14" bestFit="1" customWidth="1"/>
    <col min="3" max="3" width="9.44140625" bestFit="1" customWidth="1"/>
    <col min="4" max="4" width="7.33203125" bestFit="1" customWidth="1"/>
    <col min="5" max="5" width="11.6640625" bestFit="1" customWidth="1"/>
    <col min="6" max="8" width="9.33203125" customWidth="1"/>
    <col min="11" max="11" width="11.33203125" bestFit="1" customWidth="1"/>
    <col min="12" max="12" width="18.88671875" bestFit="1" customWidth="1"/>
    <col min="13" max="13" width="17" bestFit="1" customWidth="1"/>
    <col min="14" max="14" width="16" style="27" customWidth="1"/>
    <col min="15" max="15" width="15.109375" style="28" customWidth="1"/>
    <col min="16" max="16" width="15.109375" style="27" customWidth="1"/>
    <col min="17" max="17" width="12.33203125" customWidth="1"/>
    <col min="18" max="18" width="12.109375" bestFit="1" customWidth="1"/>
    <col min="19" max="19" width="10.5546875" bestFit="1" customWidth="1"/>
  </cols>
  <sheetData>
    <row r="1" spans="1:24" ht="19.2" customHeight="1" x14ac:dyDescent="0.3">
      <c r="A1" s="338" t="s">
        <v>339</v>
      </c>
      <c r="B1" s="338" t="s">
        <v>340</v>
      </c>
      <c r="C1" s="340" t="s">
        <v>341</v>
      </c>
      <c r="D1" s="338" t="s">
        <v>342</v>
      </c>
      <c r="E1" s="338" t="s">
        <v>343</v>
      </c>
      <c r="F1" s="338" t="s">
        <v>344</v>
      </c>
      <c r="G1" s="335" t="s">
        <v>345</v>
      </c>
      <c r="H1" s="336"/>
      <c r="I1" s="337" t="s">
        <v>346</v>
      </c>
      <c r="J1" s="335"/>
      <c r="K1" s="338" t="s">
        <v>347</v>
      </c>
      <c r="L1" s="340" t="s">
        <v>1</v>
      </c>
      <c r="M1" s="338" t="s">
        <v>348</v>
      </c>
      <c r="N1" s="342" t="s">
        <v>349</v>
      </c>
      <c r="O1" s="342" t="s">
        <v>350</v>
      </c>
      <c r="P1" s="342" t="s">
        <v>351</v>
      </c>
      <c r="Q1" s="342" t="s">
        <v>352</v>
      </c>
      <c r="R1" s="342" t="s">
        <v>353</v>
      </c>
      <c r="T1" s="334" t="s">
        <v>354</v>
      </c>
      <c r="U1" s="334"/>
      <c r="V1" s="334"/>
      <c r="W1" s="334"/>
      <c r="X1" s="334"/>
    </row>
    <row r="2" spans="1:24" ht="19.2" customHeight="1" thickBot="1" x14ac:dyDescent="0.35">
      <c r="A2" s="339"/>
      <c r="B2" s="339"/>
      <c r="C2" s="341"/>
      <c r="D2" s="339"/>
      <c r="E2" s="339"/>
      <c r="F2" s="339"/>
      <c r="G2" s="1" t="s">
        <v>355</v>
      </c>
      <c r="H2" s="2" t="s">
        <v>356</v>
      </c>
      <c r="I2" s="3" t="s">
        <v>355</v>
      </c>
      <c r="J2" s="4" t="s">
        <v>356</v>
      </c>
      <c r="K2" s="339"/>
      <c r="L2" s="341"/>
      <c r="M2" s="339"/>
      <c r="N2" s="343"/>
      <c r="O2" s="343"/>
      <c r="P2" s="343"/>
      <c r="Q2" s="343"/>
      <c r="R2" s="343"/>
      <c r="T2" s="334"/>
      <c r="U2" s="334"/>
      <c r="V2" s="334"/>
      <c r="W2" s="334"/>
      <c r="X2" s="334"/>
    </row>
    <row r="3" spans="1:24" s="84" customFormat="1" x14ac:dyDescent="0.3">
      <c r="A3" s="95">
        <v>704984</v>
      </c>
      <c r="B3" s="75" t="str">
        <f>"G1S "&amp;A3</f>
        <v>G1S 704984</v>
      </c>
      <c r="C3" s="76" t="s">
        <v>357</v>
      </c>
      <c r="D3" s="77" t="s">
        <v>358</v>
      </c>
      <c r="E3" s="77" t="s">
        <v>359</v>
      </c>
      <c r="F3" s="77" t="s">
        <v>360</v>
      </c>
      <c r="G3" s="78">
        <v>49</v>
      </c>
      <c r="H3" s="79">
        <v>1245</v>
      </c>
      <c r="I3" s="80">
        <v>84</v>
      </c>
      <c r="J3" s="81">
        <v>2135</v>
      </c>
      <c r="K3" s="77" t="s">
        <v>359</v>
      </c>
      <c r="L3" s="76" t="s">
        <v>361</v>
      </c>
      <c r="M3" s="77" t="s">
        <v>362</v>
      </c>
      <c r="N3" s="82">
        <v>0.7</v>
      </c>
      <c r="O3" s="82">
        <v>7.53</v>
      </c>
      <c r="P3" s="82">
        <f>N3*1000</f>
        <v>700</v>
      </c>
      <c r="Q3" s="83">
        <f>(G3*I3/144)*N3</f>
        <v>20.008333333333333</v>
      </c>
      <c r="R3" s="204">
        <f>IF(COUNTIFS('Master Data'!$S$8:$S$13,'Old Pricing - end 26-Jan-2026'!$M3)&gt;0,'Master Data'!$S$4,'Master Data'!$S$5)</f>
        <v>45</v>
      </c>
      <c r="S3" s="85"/>
    </row>
    <row r="4" spans="1:24" x14ac:dyDescent="0.3">
      <c r="A4" s="96">
        <v>694431</v>
      </c>
      <c r="B4" s="32" t="str">
        <f>"G1S "&amp;A4</f>
        <v>G1S 694431</v>
      </c>
      <c r="C4" s="6" t="s">
        <v>357</v>
      </c>
      <c r="D4" s="5" t="s">
        <v>358</v>
      </c>
      <c r="E4" s="5" t="s">
        <v>359</v>
      </c>
      <c r="F4" s="5" t="s">
        <v>360</v>
      </c>
      <c r="G4" s="7">
        <v>49</v>
      </c>
      <c r="H4" s="8">
        <v>1245</v>
      </c>
      <c r="I4" s="9">
        <v>90</v>
      </c>
      <c r="J4" s="74">
        <v>2286</v>
      </c>
      <c r="K4" s="5" t="s">
        <v>359</v>
      </c>
      <c r="L4" s="6" t="s">
        <v>361</v>
      </c>
      <c r="M4" s="5" t="s">
        <v>362</v>
      </c>
      <c r="N4" s="10">
        <v>0.7</v>
      </c>
      <c r="O4" s="10">
        <v>7.53</v>
      </c>
      <c r="P4" s="10">
        <f>N4*1000</f>
        <v>700</v>
      </c>
      <c r="Q4" s="47">
        <f>(G4*I4/144)*N4</f>
        <v>21.4375</v>
      </c>
      <c r="R4" s="205">
        <f>IF(COUNTIFS('Master Data'!$S$8:$S$13,'Old Pricing - end 26-Jan-2026'!$M4)&gt;0,'Master Data'!$S$4,'Master Data'!$S$5)</f>
        <v>45</v>
      </c>
      <c r="S4" s="73"/>
    </row>
    <row r="5" spans="1:24" s="84" customFormat="1" x14ac:dyDescent="0.3">
      <c r="A5" s="95">
        <v>709354</v>
      </c>
      <c r="B5" s="75" t="str">
        <f>"G1S "&amp;A5</f>
        <v>G1S 709354</v>
      </c>
      <c r="C5" s="76" t="s">
        <v>357</v>
      </c>
      <c r="D5" s="77" t="s">
        <v>358</v>
      </c>
      <c r="E5" s="77" t="s">
        <v>359</v>
      </c>
      <c r="F5" s="77" t="s">
        <v>360</v>
      </c>
      <c r="G5" s="78">
        <v>49</v>
      </c>
      <c r="H5" s="79">
        <v>1245</v>
      </c>
      <c r="I5" s="80">
        <v>90.5</v>
      </c>
      <c r="J5" s="81">
        <v>2300</v>
      </c>
      <c r="K5" s="77" t="s">
        <v>359</v>
      </c>
      <c r="L5" s="76" t="s">
        <v>361</v>
      </c>
      <c r="M5" s="77" t="s">
        <v>362</v>
      </c>
      <c r="N5" s="82">
        <v>0.7</v>
      </c>
      <c r="O5" s="82">
        <v>7.53</v>
      </c>
      <c r="P5" s="82">
        <f>N5*1000</f>
        <v>700</v>
      </c>
      <c r="Q5" s="83">
        <f>(G5*I5/144)*N5</f>
        <v>21.556597222222223</v>
      </c>
      <c r="R5" s="206">
        <f>IF(COUNTIFS('Master Data'!$S$8:$S$13,'Old Pricing - end 26-Jan-2026'!$M5)&gt;0,'Master Data'!$S$4,'Master Data'!$S$5)</f>
        <v>45</v>
      </c>
      <c r="S5" s="85"/>
    </row>
    <row r="6" spans="1:24" x14ac:dyDescent="0.3">
      <c r="A6" s="96">
        <v>694432</v>
      </c>
      <c r="B6" s="32" t="str">
        <f>"G1S "&amp;A6</f>
        <v>G1S 694432</v>
      </c>
      <c r="C6" s="12" t="s">
        <v>357</v>
      </c>
      <c r="D6" s="11" t="s">
        <v>358</v>
      </c>
      <c r="E6" s="11" t="s">
        <v>359</v>
      </c>
      <c r="F6" s="11" t="s">
        <v>360</v>
      </c>
      <c r="G6" s="13">
        <v>49</v>
      </c>
      <c r="H6" s="14">
        <v>1245</v>
      </c>
      <c r="I6" s="15">
        <v>96</v>
      </c>
      <c r="J6" s="16">
        <v>2440</v>
      </c>
      <c r="K6" s="11" t="s">
        <v>359</v>
      </c>
      <c r="L6" s="12" t="s">
        <v>361</v>
      </c>
      <c r="M6" s="11" t="s">
        <v>362</v>
      </c>
      <c r="N6" s="17">
        <v>0.7</v>
      </c>
      <c r="O6" s="17">
        <v>7.53</v>
      </c>
      <c r="P6" s="17">
        <f t="shared" ref="P6:P56" si="0">N6*1000</f>
        <v>700</v>
      </c>
      <c r="Q6" s="47">
        <f>(G6*I6/144)*N6</f>
        <v>22.866666666666664</v>
      </c>
      <c r="R6" s="205">
        <f>IF(COUNTIFS('Master Data'!$S$8:$S$13,'Old Pricing - end 26-Jan-2026'!$M6)&gt;0,'Master Data'!$S$4,'Master Data'!$S$5)</f>
        <v>45</v>
      </c>
    </row>
    <row r="7" spans="1:24" x14ac:dyDescent="0.3">
      <c r="A7" s="96">
        <v>694433</v>
      </c>
      <c r="B7" s="12" t="str">
        <f t="shared" ref="B7:B56" si="1">"G1S "&amp;A7</f>
        <v>G1S 694433</v>
      </c>
      <c r="C7" s="12" t="s">
        <v>357</v>
      </c>
      <c r="D7" s="11" t="s">
        <v>358</v>
      </c>
      <c r="E7" s="11" t="s">
        <v>359</v>
      </c>
      <c r="F7" s="11" t="s">
        <v>360</v>
      </c>
      <c r="G7" s="13">
        <v>49</v>
      </c>
      <c r="H7" s="14">
        <v>1245</v>
      </c>
      <c r="I7" s="15">
        <v>108</v>
      </c>
      <c r="J7" s="16">
        <v>2745</v>
      </c>
      <c r="K7" s="11" t="s">
        <v>359</v>
      </c>
      <c r="L7" s="12" t="s">
        <v>361</v>
      </c>
      <c r="M7" s="11" t="s">
        <v>362</v>
      </c>
      <c r="N7" s="17">
        <v>0.7</v>
      </c>
      <c r="O7" s="17">
        <v>7.53</v>
      </c>
      <c r="P7" s="17">
        <f t="shared" si="0"/>
        <v>700</v>
      </c>
      <c r="Q7" s="48">
        <f t="shared" ref="Q7:Q56" si="2">(G7*I7/144)*N7</f>
        <v>25.724999999999998</v>
      </c>
      <c r="R7" s="205">
        <f>IF(COUNTIFS('Master Data'!$S$8:$S$13,'Old Pricing - end 26-Jan-2026'!$M7)&gt;0,'Master Data'!$S$4,'Master Data'!$S$5)</f>
        <v>45</v>
      </c>
    </row>
    <row r="8" spans="1:24" x14ac:dyDescent="0.3">
      <c r="A8" s="96">
        <v>694434</v>
      </c>
      <c r="B8" s="12" t="str">
        <f t="shared" si="1"/>
        <v>G1S 694434</v>
      </c>
      <c r="C8" s="12" t="s">
        <v>357</v>
      </c>
      <c r="D8" s="11" t="s">
        <v>358</v>
      </c>
      <c r="E8" s="11" t="s">
        <v>359</v>
      </c>
      <c r="F8" s="11" t="s">
        <v>360</v>
      </c>
      <c r="G8" s="13">
        <v>49</v>
      </c>
      <c r="H8" s="14">
        <v>1245</v>
      </c>
      <c r="I8" s="15">
        <v>144</v>
      </c>
      <c r="J8" s="16">
        <v>3658</v>
      </c>
      <c r="K8" s="11" t="s">
        <v>359</v>
      </c>
      <c r="L8" s="12" t="s">
        <v>361</v>
      </c>
      <c r="M8" s="11" t="s">
        <v>362</v>
      </c>
      <c r="N8" s="17">
        <v>0.7</v>
      </c>
      <c r="O8" s="17">
        <v>7.53</v>
      </c>
      <c r="P8" s="17">
        <f t="shared" si="0"/>
        <v>700</v>
      </c>
      <c r="Q8" s="48">
        <f t="shared" si="2"/>
        <v>34.299999999999997</v>
      </c>
      <c r="R8" s="205">
        <f>IF(COUNTIFS('Master Data'!$S$8:$S$13,'Old Pricing - end 26-Jan-2026'!$M8)&gt;0,'Master Data'!$S$4,'Master Data'!$S$5)</f>
        <v>45</v>
      </c>
    </row>
    <row r="9" spans="1:24" s="84" customFormat="1" x14ac:dyDescent="0.3">
      <c r="A9" s="95">
        <v>704985</v>
      </c>
      <c r="B9" s="86" t="str">
        <f>"G1S "&amp;A9</f>
        <v>G1S 704985</v>
      </c>
      <c r="C9" s="86" t="s">
        <v>357</v>
      </c>
      <c r="D9" s="87" t="s">
        <v>358</v>
      </c>
      <c r="E9" s="87" t="s">
        <v>359</v>
      </c>
      <c r="F9" s="87" t="s">
        <v>360</v>
      </c>
      <c r="G9" s="88">
        <v>49</v>
      </c>
      <c r="H9" s="89">
        <v>1245</v>
      </c>
      <c r="I9" s="90">
        <v>84</v>
      </c>
      <c r="J9" s="81">
        <v>2135</v>
      </c>
      <c r="K9" s="87" t="s">
        <v>359</v>
      </c>
      <c r="L9" s="86" t="s">
        <v>363</v>
      </c>
      <c r="M9" s="87" t="s">
        <v>364</v>
      </c>
      <c r="N9" s="91">
        <v>0.7</v>
      </c>
      <c r="O9" s="91">
        <v>7.53</v>
      </c>
      <c r="P9" s="91">
        <f>N9*1000</f>
        <v>700</v>
      </c>
      <c r="Q9" s="92">
        <f>(G9*I9/144)*N9</f>
        <v>20.008333333333333</v>
      </c>
      <c r="R9" s="206">
        <f>IF(COUNTIFS('Master Data'!$S$8:$S$13,'Old Pricing - end 26-Jan-2026'!$M9)&gt;0,'Master Data'!$S$4,'Master Data'!$S$5)</f>
        <v>45</v>
      </c>
    </row>
    <row r="10" spans="1:24" x14ac:dyDescent="0.3">
      <c r="A10" s="96">
        <v>694435</v>
      </c>
      <c r="B10" s="12" t="str">
        <f t="shared" si="1"/>
        <v>G1S 694435</v>
      </c>
      <c r="C10" s="12" t="s">
        <v>357</v>
      </c>
      <c r="D10" s="11" t="s">
        <v>358</v>
      </c>
      <c r="E10" s="11" t="s">
        <v>359</v>
      </c>
      <c r="F10" s="11" t="s">
        <v>360</v>
      </c>
      <c r="G10" s="13">
        <v>49</v>
      </c>
      <c r="H10" s="14">
        <v>1245</v>
      </c>
      <c r="I10" s="15">
        <v>90</v>
      </c>
      <c r="J10" s="16">
        <v>2286</v>
      </c>
      <c r="K10" s="11" t="s">
        <v>359</v>
      </c>
      <c r="L10" s="12" t="s">
        <v>363</v>
      </c>
      <c r="M10" s="11" t="s">
        <v>364</v>
      </c>
      <c r="N10" s="17">
        <v>0.7</v>
      </c>
      <c r="O10" s="17">
        <v>7.53</v>
      </c>
      <c r="P10" s="17">
        <f t="shared" si="0"/>
        <v>700</v>
      </c>
      <c r="Q10" s="48">
        <f t="shared" si="2"/>
        <v>21.4375</v>
      </c>
      <c r="R10" s="205">
        <f>IF(COUNTIFS('Master Data'!$S$8:$S$13,'Old Pricing - end 26-Jan-2026'!$M10)&gt;0,'Master Data'!$S$4,'Master Data'!$S$5)</f>
        <v>45</v>
      </c>
    </row>
    <row r="11" spans="1:24" s="84" customFormat="1" x14ac:dyDescent="0.3">
      <c r="A11" s="95">
        <v>709355</v>
      </c>
      <c r="B11" s="86" t="str">
        <f>"G1S "&amp;A11</f>
        <v>G1S 709355</v>
      </c>
      <c r="C11" s="86" t="s">
        <v>357</v>
      </c>
      <c r="D11" s="87" t="s">
        <v>358</v>
      </c>
      <c r="E11" s="87" t="s">
        <v>359</v>
      </c>
      <c r="F11" s="87" t="s">
        <v>360</v>
      </c>
      <c r="G11" s="88">
        <v>49</v>
      </c>
      <c r="H11" s="89">
        <v>1245</v>
      </c>
      <c r="I11" s="90">
        <v>90.5</v>
      </c>
      <c r="J11" s="81">
        <v>2300</v>
      </c>
      <c r="K11" s="87" t="s">
        <v>359</v>
      </c>
      <c r="L11" s="86" t="s">
        <v>363</v>
      </c>
      <c r="M11" s="87" t="s">
        <v>364</v>
      </c>
      <c r="N11" s="91">
        <v>0.7</v>
      </c>
      <c r="O11" s="91">
        <v>7.53</v>
      </c>
      <c r="P11" s="91">
        <f>N11*1000</f>
        <v>700</v>
      </c>
      <c r="Q11" s="92">
        <f>(G11*I11/144)*N11</f>
        <v>21.556597222222223</v>
      </c>
      <c r="R11" s="206">
        <f>IF(COUNTIFS('Master Data'!$S$8:$S$13,'Old Pricing - end 26-Jan-2026'!$M11)&gt;0,'Master Data'!$S$4,'Master Data'!$S$5)</f>
        <v>45</v>
      </c>
    </row>
    <row r="12" spans="1:24" x14ac:dyDescent="0.3">
      <c r="A12" s="96">
        <v>694436</v>
      </c>
      <c r="B12" s="12" t="str">
        <f t="shared" si="1"/>
        <v>G1S 694436</v>
      </c>
      <c r="C12" s="12" t="s">
        <v>357</v>
      </c>
      <c r="D12" s="11" t="s">
        <v>358</v>
      </c>
      <c r="E12" s="11" t="s">
        <v>359</v>
      </c>
      <c r="F12" s="11" t="s">
        <v>360</v>
      </c>
      <c r="G12" s="13">
        <v>49</v>
      </c>
      <c r="H12" s="14">
        <v>1245</v>
      </c>
      <c r="I12" s="15">
        <v>96</v>
      </c>
      <c r="J12" s="16">
        <v>2440</v>
      </c>
      <c r="K12" s="11" t="s">
        <v>359</v>
      </c>
      <c r="L12" s="12" t="s">
        <v>363</v>
      </c>
      <c r="M12" s="11" t="s">
        <v>364</v>
      </c>
      <c r="N12" s="17">
        <v>0.7</v>
      </c>
      <c r="O12" s="17">
        <v>7.53</v>
      </c>
      <c r="P12" s="17">
        <f t="shared" si="0"/>
        <v>700</v>
      </c>
      <c r="Q12" s="48">
        <f t="shared" si="2"/>
        <v>22.866666666666664</v>
      </c>
      <c r="R12" s="205">
        <f>IF(COUNTIFS('Master Data'!$S$8:$S$13,'Old Pricing - end 26-Jan-2026'!$M12)&gt;0,'Master Data'!$S$4,'Master Data'!$S$5)</f>
        <v>45</v>
      </c>
      <c r="S12" s="46"/>
    </row>
    <row r="13" spans="1:24" x14ac:dyDescent="0.3">
      <c r="A13" s="96">
        <v>694437</v>
      </c>
      <c r="B13" s="12" t="str">
        <f t="shared" si="1"/>
        <v>G1S 694437</v>
      </c>
      <c r="C13" s="12" t="s">
        <v>357</v>
      </c>
      <c r="D13" s="11" t="s">
        <v>358</v>
      </c>
      <c r="E13" s="11" t="s">
        <v>359</v>
      </c>
      <c r="F13" s="11" t="s">
        <v>360</v>
      </c>
      <c r="G13" s="13">
        <v>49</v>
      </c>
      <c r="H13" s="14">
        <v>1245</v>
      </c>
      <c r="I13" s="15">
        <v>108</v>
      </c>
      <c r="J13" s="16">
        <v>2745</v>
      </c>
      <c r="K13" s="11" t="s">
        <v>359</v>
      </c>
      <c r="L13" s="12" t="s">
        <v>363</v>
      </c>
      <c r="M13" s="11" t="s">
        <v>364</v>
      </c>
      <c r="N13" s="17">
        <v>0.7</v>
      </c>
      <c r="O13" s="17">
        <v>7.53</v>
      </c>
      <c r="P13" s="17">
        <f t="shared" si="0"/>
        <v>700</v>
      </c>
      <c r="Q13" s="48">
        <f t="shared" si="2"/>
        <v>25.724999999999998</v>
      </c>
      <c r="R13" s="205">
        <f>IF(COUNTIFS('Master Data'!$S$8:$S$13,'Old Pricing - end 26-Jan-2026'!$M13)&gt;0,'Master Data'!$S$4,'Master Data'!$S$5)</f>
        <v>45</v>
      </c>
    </row>
    <row r="14" spans="1:24" x14ac:dyDescent="0.3">
      <c r="A14" s="96">
        <v>694438</v>
      </c>
      <c r="B14" s="12" t="str">
        <f t="shared" si="1"/>
        <v>G1S 694438</v>
      </c>
      <c r="C14" s="12" t="s">
        <v>357</v>
      </c>
      <c r="D14" s="11" t="s">
        <v>358</v>
      </c>
      <c r="E14" s="11" t="s">
        <v>359</v>
      </c>
      <c r="F14" s="11" t="s">
        <v>360</v>
      </c>
      <c r="G14" s="13">
        <v>49</v>
      </c>
      <c r="H14" s="14">
        <v>1245</v>
      </c>
      <c r="I14" s="15">
        <v>144</v>
      </c>
      <c r="J14" s="16">
        <v>3658</v>
      </c>
      <c r="K14" s="11" t="s">
        <v>359</v>
      </c>
      <c r="L14" s="12" t="s">
        <v>363</v>
      </c>
      <c r="M14" s="11" t="s">
        <v>364</v>
      </c>
      <c r="N14" s="17">
        <v>0.7</v>
      </c>
      <c r="O14" s="17">
        <v>7.53</v>
      </c>
      <c r="P14" s="17">
        <f t="shared" si="0"/>
        <v>700</v>
      </c>
      <c r="Q14" s="48">
        <f t="shared" si="2"/>
        <v>34.299999999999997</v>
      </c>
      <c r="R14" s="205">
        <f>IF(COUNTIFS('Master Data'!$S$8:$S$13,'Old Pricing - end 26-Jan-2026'!$M14)&gt;0,'Master Data'!$S$4,'Master Data'!$S$5)</f>
        <v>45</v>
      </c>
    </row>
    <row r="15" spans="1:24" s="84" customFormat="1" x14ac:dyDescent="0.3">
      <c r="A15" s="95">
        <v>714952</v>
      </c>
      <c r="B15" s="86" t="str">
        <f>"G1S "&amp;A15</f>
        <v>G1S 714952</v>
      </c>
      <c r="C15" s="86" t="s">
        <v>357</v>
      </c>
      <c r="D15" s="87" t="s">
        <v>358</v>
      </c>
      <c r="E15" s="87" t="s">
        <v>359</v>
      </c>
      <c r="F15" s="87" t="s">
        <v>360</v>
      </c>
      <c r="G15" s="88">
        <v>49</v>
      </c>
      <c r="H15" s="89">
        <v>1245</v>
      </c>
      <c r="I15" s="90">
        <v>84</v>
      </c>
      <c r="J15" s="81">
        <v>2135</v>
      </c>
      <c r="K15" s="87" t="s">
        <v>359</v>
      </c>
      <c r="L15" s="86" t="s">
        <v>365</v>
      </c>
      <c r="M15" s="87" t="s">
        <v>497</v>
      </c>
      <c r="N15" s="91">
        <v>0.7</v>
      </c>
      <c r="O15" s="91">
        <v>7.53</v>
      </c>
      <c r="P15" s="91">
        <f>N15*1000</f>
        <v>700</v>
      </c>
      <c r="Q15" s="92">
        <f>(G15*I15/144)*N15</f>
        <v>20.008333333333333</v>
      </c>
      <c r="R15" s="206">
        <f>IF(COUNTIFS('Master Data'!$S$8:$S$13,'Old Pricing - end 26-Jan-2026'!$M15)&gt;0,'Master Data'!$S$4,'Master Data'!$S$5)</f>
        <v>90</v>
      </c>
    </row>
    <row r="16" spans="1:24" x14ac:dyDescent="0.3">
      <c r="A16" s="96">
        <v>694439</v>
      </c>
      <c r="B16" s="12" t="str">
        <f t="shared" si="1"/>
        <v>G1S 694439</v>
      </c>
      <c r="C16" s="12" t="s">
        <v>357</v>
      </c>
      <c r="D16" s="11" t="s">
        <v>358</v>
      </c>
      <c r="E16" s="11" t="s">
        <v>359</v>
      </c>
      <c r="F16" s="11" t="s">
        <v>360</v>
      </c>
      <c r="G16" s="13">
        <v>49</v>
      </c>
      <c r="H16" s="14">
        <v>1245</v>
      </c>
      <c r="I16" s="15">
        <v>90</v>
      </c>
      <c r="J16" s="16">
        <v>2286</v>
      </c>
      <c r="K16" s="11" t="s">
        <v>359</v>
      </c>
      <c r="L16" s="12" t="s">
        <v>365</v>
      </c>
      <c r="M16" s="87" t="s">
        <v>497</v>
      </c>
      <c r="N16" s="17">
        <v>0.7</v>
      </c>
      <c r="O16" s="17">
        <v>7.53</v>
      </c>
      <c r="P16" s="17">
        <f t="shared" si="0"/>
        <v>700</v>
      </c>
      <c r="Q16" s="48">
        <f t="shared" si="2"/>
        <v>21.4375</v>
      </c>
      <c r="R16" s="205">
        <f>IF(COUNTIFS('Master Data'!$S$8:$S$13,'Old Pricing - end 26-Jan-2026'!$M16)&gt;0,'Master Data'!$S$4,'Master Data'!$S$5)</f>
        <v>90</v>
      </c>
    </row>
    <row r="17" spans="1:18" s="84" customFormat="1" x14ac:dyDescent="0.3">
      <c r="A17" s="95">
        <v>709525</v>
      </c>
      <c r="B17" s="86" t="str">
        <f>"G1S "&amp;A17</f>
        <v>G1S 709525</v>
      </c>
      <c r="C17" s="86" t="s">
        <v>357</v>
      </c>
      <c r="D17" s="87" t="s">
        <v>358</v>
      </c>
      <c r="E17" s="87" t="s">
        <v>359</v>
      </c>
      <c r="F17" s="87" t="s">
        <v>360</v>
      </c>
      <c r="G17" s="88">
        <v>49</v>
      </c>
      <c r="H17" s="89">
        <v>1245</v>
      </c>
      <c r="I17" s="90">
        <v>90.5</v>
      </c>
      <c r="J17" s="81">
        <v>2300</v>
      </c>
      <c r="K17" s="87" t="s">
        <v>359</v>
      </c>
      <c r="L17" s="86" t="s">
        <v>365</v>
      </c>
      <c r="M17" s="87" t="s">
        <v>497</v>
      </c>
      <c r="N17" s="91">
        <v>0.7</v>
      </c>
      <c r="O17" s="91">
        <v>7.53</v>
      </c>
      <c r="P17" s="91">
        <f>N17*1000</f>
        <v>700</v>
      </c>
      <c r="Q17" s="92">
        <f>(G17*I17/144)*N17</f>
        <v>21.556597222222223</v>
      </c>
      <c r="R17" s="206">
        <f>IF(COUNTIFS('Master Data'!$S$8:$S$13,'Old Pricing - end 26-Jan-2026'!$M17)&gt;0,'Master Data'!$S$4,'Master Data'!$S$5)</f>
        <v>90</v>
      </c>
    </row>
    <row r="18" spans="1:18" x14ac:dyDescent="0.3">
      <c r="A18" s="96">
        <v>694440</v>
      </c>
      <c r="B18" s="12" t="str">
        <f t="shared" si="1"/>
        <v>G1S 694440</v>
      </c>
      <c r="C18" s="12" t="s">
        <v>357</v>
      </c>
      <c r="D18" s="11" t="s">
        <v>358</v>
      </c>
      <c r="E18" s="11" t="s">
        <v>359</v>
      </c>
      <c r="F18" s="11" t="s">
        <v>360</v>
      </c>
      <c r="G18" s="13">
        <v>49</v>
      </c>
      <c r="H18" s="14">
        <v>1245</v>
      </c>
      <c r="I18" s="15">
        <v>96</v>
      </c>
      <c r="J18" s="16">
        <v>2440</v>
      </c>
      <c r="K18" s="11" t="s">
        <v>359</v>
      </c>
      <c r="L18" s="12" t="s">
        <v>365</v>
      </c>
      <c r="M18" s="87" t="s">
        <v>497</v>
      </c>
      <c r="N18" s="17">
        <v>0.7</v>
      </c>
      <c r="O18" s="17">
        <v>7.53</v>
      </c>
      <c r="P18" s="17">
        <f t="shared" si="0"/>
        <v>700</v>
      </c>
      <c r="Q18" s="48">
        <f t="shared" si="2"/>
        <v>22.866666666666664</v>
      </c>
      <c r="R18" s="205">
        <f>IF(COUNTIFS('Master Data'!$S$8:$S$13,'Old Pricing - end 26-Jan-2026'!$M18)&gt;0,'Master Data'!$S$4,'Master Data'!$S$5)</f>
        <v>90</v>
      </c>
    </row>
    <row r="19" spans="1:18" x14ac:dyDescent="0.3">
      <c r="A19" s="96">
        <v>694441</v>
      </c>
      <c r="B19" s="12" t="str">
        <f t="shared" si="1"/>
        <v>G1S 694441</v>
      </c>
      <c r="C19" s="12" t="s">
        <v>357</v>
      </c>
      <c r="D19" s="11" t="s">
        <v>358</v>
      </c>
      <c r="E19" s="11" t="s">
        <v>359</v>
      </c>
      <c r="F19" s="11" t="s">
        <v>360</v>
      </c>
      <c r="G19" s="13">
        <v>49</v>
      </c>
      <c r="H19" s="14">
        <v>1245</v>
      </c>
      <c r="I19" s="15">
        <v>108</v>
      </c>
      <c r="J19" s="16">
        <v>2745</v>
      </c>
      <c r="K19" s="11" t="s">
        <v>359</v>
      </c>
      <c r="L19" s="12" t="s">
        <v>365</v>
      </c>
      <c r="M19" s="87" t="s">
        <v>497</v>
      </c>
      <c r="N19" s="17">
        <v>0.7</v>
      </c>
      <c r="O19" s="17">
        <v>7.53</v>
      </c>
      <c r="P19" s="17">
        <f t="shared" si="0"/>
        <v>700</v>
      </c>
      <c r="Q19" s="48">
        <f t="shared" si="2"/>
        <v>25.724999999999998</v>
      </c>
      <c r="R19" s="205">
        <f>IF(COUNTIFS('Master Data'!$S$8:$S$13,'Old Pricing - end 26-Jan-2026'!$M19)&gt;0,'Master Data'!$S$4,'Master Data'!$S$5)</f>
        <v>90</v>
      </c>
    </row>
    <row r="20" spans="1:18" x14ac:dyDescent="0.3">
      <c r="A20" s="96">
        <v>694442</v>
      </c>
      <c r="B20" s="12" t="str">
        <f t="shared" si="1"/>
        <v>G1S 694442</v>
      </c>
      <c r="C20" s="12" t="s">
        <v>357</v>
      </c>
      <c r="D20" s="11" t="s">
        <v>358</v>
      </c>
      <c r="E20" s="11" t="s">
        <v>359</v>
      </c>
      <c r="F20" s="11" t="s">
        <v>360</v>
      </c>
      <c r="G20" s="13">
        <v>49</v>
      </c>
      <c r="H20" s="14">
        <v>1245</v>
      </c>
      <c r="I20" s="15">
        <v>144</v>
      </c>
      <c r="J20" s="16">
        <v>3658</v>
      </c>
      <c r="K20" s="11" t="s">
        <v>359</v>
      </c>
      <c r="L20" s="12" t="s">
        <v>365</v>
      </c>
      <c r="M20" s="87" t="s">
        <v>497</v>
      </c>
      <c r="N20" s="17">
        <v>0.7</v>
      </c>
      <c r="O20" s="17">
        <v>7.53</v>
      </c>
      <c r="P20" s="17">
        <f t="shared" si="0"/>
        <v>700</v>
      </c>
      <c r="Q20" s="48">
        <f t="shared" si="2"/>
        <v>34.299999999999997</v>
      </c>
      <c r="R20" s="205">
        <f>IF(COUNTIFS('Master Data'!$S$8:$S$13,'Old Pricing - end 26-Jan-2026'!$M20)&gt;0,'Master Data'!$S$4,'Master Data'!$S$5)</f>
        <v>90</v>
      </c>
    </row>
    <row r="21" spans="1:18" s="84" customFormat="1" x14ac:dyDescent="0.3">
      <c r="A21" s="95">
        <v>714953</v>
      </c>
      <c r="B21" s="86" t="str">
        <f t="shared" si="1"/>
        <v>G1S 714953</v>
      </c>
      <c r="C21" s="86" t="s">
        <v>357</v>
      </c>
      <c r="D21" s="87" t="s">
        <v>358</v>
      </c>
      <c r="E21" s="87" t="s">
        <v>359</v>
      </c>
      <c r="F21" s="87" t="s">
        <v>360</v>
      </c>
      <c r="G21" s="88">
        <v>49</v>
      </c>
      <c r="H21" s="89">
        <v>1245</v>
      </c>
      <c r="I21" s="90">
        <v>84</v>
      </c>
      <c r="J21" s="81">
        <v>2135</v>
      </c>
      <c r="K21" s="87" t="s">
        <v>359</v>
      </c>
      <c r="L21" s="86" t="s">
        <v>367</v>
      </c>
      <c r="M21" s="87" t="s">
        <v>368</v>
      </c>
      <c r="N21" s="93">
        <v>0.75</v>
      </c>
      <c r="O21" s="91">
        <v>8.07</v>
      </c>
      <c r="P21" s="93">
        <f t="shared" ref="P21" si="3">N21*1000</f>
        <v>750</v>
      </c>
      <c r="Q21" s="94">
        <f t="shared" ref="Q21" si="4">(G21*I21/144)*N21</f>
        <v>21.4375</v>
      </c>
      <c r="R21" s="206">
        <f>IF(COUNTIFS('Master Data'!$S$8:$S$13,'Old Pricing - end 26-Jan-2026'!$M21)&gt;0,'Master Data'!$S$4,'Master Data'!$S$5)</f>
        <v>45</v>
      </c>
    </row>
    <row r="22" spans="1:18" x14ac:dyDescent="0.3">
      <c r="A22" s="97">
        <v>694443</v>
      </c>
      <c r="B22" s="19" t="str">
        <f t="shared" si="1"/>
        <v>G1S 694443</v>
      </c>
      <c r="C22" s="19" t="s">
        <v>357</v>
      </c>
      <c r="D22" s="18" t="s">
        <v>358</v>
      </c>
      <c r="E22" s="18" t="s">
        <v>359</v>
      </c>
      <c r="F22" s="18" t="s">
        <v>360</v>
      </c>
      <c r="G22" s="20">
        <v>49</v>
      </c>
      <c r="H22" s="21">
        <v>1245</v>
      </c>
      <c r="I22" s="22">
        <v>90</v>
      </c>
      <c r="J22" s="23">
        <v>2286</v>
      </c>
      <c r="K22" s="18" t="s">
        <v>359</v>
      </c>
      <c r="L22" s="19" t="s">
        <v>367</v>
      </c>
      <c r="M22" s="18" t="s">
        <v>368</v>
      </c>
      <c r="N22" s="24">
        <v>0.75</v>
      </c>
      <c r="O22" s="25">
        <v>8.07</v>
      </c>
      <c r="P22" s="24">
        <f t="shared" si="0"/>
        <v>750</v>
      </c>
      <c r="Q22" s="49">
        <f t="shared" si="2"/>
        <v>22.96875</v>
      </c>
      <c r="R22" s="205">
        <f>IF(COUNTIFS('Master Data'!$S$8:$S$13,'Old Pricing - end 26-Jan-2026'!$M22)&gt;0,'Master Data'!$S$4,'Master Data'!$S$5)</f>
        <v>45</v>
      </c>
    </row>
    <row r="23" spans="1:18" s="84" customFormat="1" x14ac:dyDescent="0.3">
      <c r="A23" s="95">
        <v>709356</v>
      </c>
      <c r="B23" s="86" t="str">
        <f>"G1S "&amp;A23</f>
        <v>G1S 709356</v>
      </c>
      <c r="C23" s="86" t="s">
        <v>357</v>
      </c>
      <c r="D23" s="87" t="s">
        <v>358</v>
      </c>
      <c r="E23" s="87" t="s">
        <v>359</v>
      </c>
      <c r="F23" s="87" t="s">
        <v>360</v>
      </c>
      <c r="G23" s="88">
        <v>49</v>
      </c>
      <c r="H23" s="89">
        <v>1245</v>
      </c>
      <c r="I23" s="90">
        <v>90.5</v>
      </c>
      <c r="J23" s="81">
        <v>2300</v>
      </c>
      <c r="K23" s="87" t="s">
        <v>359</v>
      </c>
      <c r="L23" s="86" t="s">
        <v>367</v>
      </c>
      <c r="M23" s="87" t="s">
        <v>368</v>
      </c>
      <c r="N23" s="93">
        <v>0.75</v>
      </c>
      <c r="O23" s="91">
        <v>8.07</v>
      </c>
      <c r="P23" s="93">
        <f>N23*1000</f>
        <v>750</v>
      </c>
      <c r="Q23" s="94">
        <f>(G23*I23/144)*N23</f>
        <v>23.096354166666668</v>
      </c>
      <c r="R23" s="206">
        <f>IF(COUNTIFS('Master Data'!$S$8:$S$13,'Old Pricing - end 26-Jan-2026'!$M23)&gt;0,'Master Data'!$S$4,'Master Data'!$S$5)</f>
        <v>45</v>
      </c>
    </row>
    <row r="24" spans="1:18" x14ac:dyDescent="0.3">
      <c r="A24" s="97">
        <v>694444</v>
      </c>
      <c r="B24" s="19" t="str">
        <f t="shared" si="1"/>
        <v>G1S 694444</v>
      </c>
      <c r="C24" s="19" t="s">
        <v>357</v>
      </c>
      <c r="D24" s="18" t="s">
        <v>358</v>
      </c>
      <c r="E24" s="18" t="s">
        <v>359</v>
      </c>
      <c r="F24" s="18" t="s">
        <v>360</v>
      </c>
      <c r="G24" s="20">
        <v>49</v>
      </c>
      <c r="H24" s="21">
        <v>1245</v>
      </c>
      <c r="I24" s="22">
        <v>96</v>
      </c>
      <c r="J24" s="23">
        <v>2440</v>
      </c>
      <c r="K24" s="18" t="s">
        <v>359</v>
      </c>
      <c r="L24" s="19" t="s">
        <v>367</v>
      </c>
      <c r="M24" s="18" t="s">
        <v>368</v>
      </c>
      <c r="N24" s="24">
        <v>0.75</v>
      </c>
      <c r="O24" s="25">
        <v>8.07</v>
      </c>
      <c r="P24" s="24">
        <f t="shared" si="0"/>
        <v>750</v>
      </c>
      <c r="Q24" s="49">
        <f t="shared" si="2"/>
        <v>24.5</v>
      </c>
      <c r="R24" s="205">
        <f>IF(COUNTIFS('Master Data'!$S$8:$S$13,'Old Pricing - end 26-Jan-2026'!$M24)&gt;0,'Master Data'!$S$4,'Master Data'!$S$5)</f>
        <v>45</v>
      </c>
    </row>
    <row r="25" spans="1:18" x14ac:dyDescent="0.3">
      <c r="A25" s="97">
        <v>694445</v>
      </c>
      <c r="B25" s="19" t="str">
        <f t="shared" si="1"/>
        <v>G1S 694445</v>
      </c>
      <c r="C25" s="19" t="s">
        <v>357</v>
      </c>
      <c r="D25" s="18" t="s">
        <v>358</v>
      </c>
      <c r="E25" s="18" t="s">
        <v>359</v>
      </c>
      <c r="F25" s="18" t="s">
        <v>360</v>
      </c>
      <c r="G25" s="20">
        <v>49</v>
      </c>
      <c r="H25" s="21">
        <v>1245</v>
      </c>
      <c r="I25" s="22">
        <v>108</v>
      </c>
      <c r="J25" s="23">
        <v>2745</v>
      </c>
      <c r="K25" s="18" t="s">
        <v>359</v>
      </c>
      <c r="L25" s="19" t="s">
        <v>367</v>
      </c>
      <c r="M25" s="18" t="s">
        <v>368</v>
      </c>
      <c r="N25" s="24">
        <v>0.75</v>
      </c>
      <c r="O25" s="25">
        <v>8.07</v>
      </c>
      <c r="P25" s="24">
        <f t="shared" si="0"/>
        <v>750</v>
      </c>
      <c r="Q25" s="49">
        <f t="shared" si="2"/>
        <v>27.5625</v>
      </c>
      <c r="R25" s="205">
        <f>IF(COUNTIFS('Master Data'!$S$8:$S$13,'Old Pricing - end 26-Jan-2026'!$M25)&gt;0,'Master Data'!$S$4,'Master Data'!$S$5)</f>
        <v>45</v>
      </c>
    </row>
    <row r="26" spans="1:18" x14ac:dyDescent="0.3">
      <c r="A26" s="97">
        <v>694446</v>
      </c>
      <c r="B26" s="19" t="str">
        <f t="shared" si="1"/>
        <v>G1S 694446</v>
      </c>
      <c r="C26" s="19" t="s">
        <v>357</v>
      </c>
      <c r="D26" s="18" t="s">
        <v>358</v>
      </c>
      <c r="E26" s="18" t="s">
        <v>359</v>
      </c>
      <c r="F26" s="18" t="s">
        <v>360</v>
      </c>
      <c r="G26" s="20">
        <v>49</v>
      </c>
      <c r="H26" s="21">
        <v>1245</v>
      </c>
      <c r="I26" s="22">
        <v>144</v>
      </c>
      <c r="J26" s="23">
        <v>3658</v>
      </c>
      <c r="K26" s="18" t="s">
        <v>359</v>
      </c>
      <c r="L26" s="19" t="s">
        <v>367</v>
      </c>
      <c r="M26" s="18" t="s">
        <v>368</v>
      </c>
      <c r="N26" s="24">
        <v>0.75</v>
      </c>
      <c r="O26" s="25">
        <v>8.07</v>
      </c>
      <c r="P26" s="24">
        <f t="shared" si="0"/>
        <v>750</v>
      </c>
      <c r="Q26" s="49">
        <f t="shared" si="2"/>
        <v>36.75</v>
      </c>
      <c r="R26" s="205">
        <f>IF(COUNTIFS('Master Data'!$S$8:$S$13,'Old Pricing - end 26-Jan-2026'!$M26)&gt;0,'Master Data'!$S$4,'Master Data'!$S$5)</f>
        <v>45</v>
      </c>
    </row>
    <row r="27" spans="1:18" x14ac:dyDescent="0.3">
      <c r="A27" s="97">
        <v>694447</v>
      </c>
      <c r="B27" s="19" t="str">
        <f t="shared" si="1"/>
        <v>G1S 694447</v>
      </c>
      <c r="C27" s="19" t="s">
        <v>357</v>
      </c>
      <c r="D27" s="18" t="s">
        <v>358</v>
      </c>
      <c r="E27" s="18" t="s">
        <v>359</v>
      </c>
      <c r="F27" s="18" t="s">
        <v>360</v>
      </c>
      <c r="G27" s="20">
        <v>49</v>
      </c>
      <c r="H27" s="21">
        <v>1245</v>
      </c>
      <c r="I27" s="22">
        <v>90</v>
      </c>
      <c r="J27" s="23">
        <v>2286</v>
      </c>
      <c r="K27" s="18" t="s">
        <v>359</v>
      </c>
      <c r="L27" s="19" t="s">
        <v>369</v>
      </c>
      <c r="M27" s="18" t="s">
        <v>370</v>
      </c>
      <c r="N27" s="24">
        <v>0.75</v>
      </c>
      <c r="O27" s="25">
        <v>8.07</v>
      </c>
      <c r="P27" s="24">
        <f t="shared" si="0"/>
        <v>750</v>
      </c>
      <c r="Q27" s="49">
        <f t="shared" si="2"/>
        <v>22.96875</v>
      </c>
      <c r="R27" s="205">
        <f>IF(COUNTIFS('Master Data'!$S$8:$S$13,'Old Pricing - end 26-Jan-2026'!$M27)&gt;0,'Master Data'!$S$4,'Master Data'!$S$5)</f>
        <v>90</v>
      </c>
    </row>
    <row r="28" spans="1:18" x14ac:dyDescent="0.3">
      <c r="A28" s="97">
        <v>694448</v>
      </c>
      <c r="B28" s="19" t="str">
        <f t="shared" si="1"/>
        <v>G1S 694448</v>
      </c>
      <c r="C28" s="19" t="s">
        <v>357</v>
      </c>
      <c r="D28" s="18" t="s">
        <v>358</v>
      </c>
      <c r="E28" s="18" t="s">
        <v>359</v>
      </c>
      <c r="F28" s="18" t="s">
        <v>360</v>
      </c>
      <c r="G28" s="20">
        <v>49</v>
      </c>
      <c r="H28" s="21">
        <v>1245</v>
      </c>
      <c r="I28" s="22">
        <v>96</v>
      </c>
      <c r="J28" s="23">
        <v>2440</v>
      </c>
      <c r="K28" s="18" t="s">
        <v>359</v>
      </c>
      <c r="L28" s="19" t="s">
        <v>369</v>
      </c>
      <c r="M28" s="18" t="s">
        <v>370</v>
      </c>
      <c r="N28" s="24">
        <v>0.75</v>
      </c>
      <c r="O28" s="25">
        <v>8.07</v>
      </c>
      <c r="P28" s="24">
        <f t="shared" si="0"/>
        <v>750</v>
      </c>
      <c r="Q28" s="49">
        <f t="shared" si="2"/>
        <v>24.5</v>
      </c>
      <c r="R28" s="205">
        <f>IF(COUNTIFS('Master Data'!$S$8:$S$13,'Old Pricing - end 26-Jan-2026'!$M28)&gt;0,'Master Data'!$S$4,'Master Data'!$S$5)</f>
        <v>90</v>
      </c>
    </row>
    <row r="29" spans="1:18" x14ac:dyDescent="0.3">
      <c r="A29" s="97">
        <v>694449</v>
      </c>
      <c r="B29" s="19" t="str">
        <f t="shared" si="1"/>
        <v>G1S 694449</v>
      </c>
      <c r="C29" s="19" t="s">
        <v>357</v>
      </c>
      <c r="D29" s="18" t="s">
        <v>358</v>
      </c>
      <c r="E29" s="18" t="s">
        <v>359</v>
      </c>
      <c r="F29" s="18" t="s">
        <v>360</v>
      </c>
      <c r="G29" s="20">
        <v>49</v>
      </c>
      <c r="H29" s="21">
        <v>1245</v>
      </c>
      <c r="I29" s="22">
        <v>108</v>
      </c>
      <c r="J29" s="23">
        <v>2745</v>
      </c>
      <c r="K29" s="18" t="s">
        <v>359</v>
      </c>
      <c r="L29" s="19" t="s">
        <v>369</v>
      </c>
      <c r="M29" s="18" t="s">
        <v>370</v>
      </c>
      <c r="N29" s="24">
        <v>0.75</v>
      </c>
      <c r="O29" s="25">
        <v>8.07</v>
      </c>
      <c r="P29" s="24">
        <f t="shared" si="0"/>
        <v>750</v>
      </c>
      <c r="Q29" s="49">
        <f t="shared" si="2"/>
        <v>27.5625</v>
      </c>
      <c r="R29" s="205">
        <f>IF(COUNTIFS('Master Data'!$S$8:$S$13,'Old Pricing - end 26-Jan-2026'!$M29)&gt;0,'Master Data'!$S$4,'Master Data'!$S$5)</f>
        <v>90</v>
      </c>
    </row>
    <row r="30" spans="1:18" x14ac:dyDescent="0.3">
      <c r="A30" s="97">
        <v>694450</v>
      </c>
      <c r="B30" s="19" t="str">
        <f t="shared" si="1"/>
        <v>G1S 694450</v>
      </c>
      <c r="C30" s="19" t="s">
        <v>357</v>
      </c>
      <c r="D30" s="18" t="s">
        <v>358</v>
      </c>
      <c r="E30" s="18" t="s">
        <v>359</v>
      </c>
      <c r="F30" s="18" t="s">
        <v>360</v>
      </c>
      <c r="G30" s="20">
        <v>49</v>
      </c>
      <c r="H30" s="21">
        <v>1245</v>
      </c>
      <c r="I30" s="22">
        <v>144</v>
      </c>
      <c r="J30" s="23">
        <v>3658</v>
      </c>
      <c r="K30" s="18" t="s">
        <v>359</v>
      </c>
      <c r="L30" s="19" t="s">
        <v>369</v>
      </c>
      <c r="M30" s="18" t="s">
        <v>370</v>
      </c>
      <c r="N30" s="24">
        <v>0.75</v>
      </c>
      <c r="O30" s="25">
        <v>8.07</v>
      </c>
      <c r="P30" s="24">
        <f t="shared" si="0"/>
        <v>750</v>
      </c>
      <c r="Q30" s="49">
        <f t="shared" si="2"/>
        <v>36.75</v>
      </c>
      <c r="R30" s="205">
        <f>IF(COUNTIFS('Master Data'!$S$8:$S$13,'Old Pricing - end 26-Jan-2026'!$M30)&gt;0,'Master Data'!$S$4,'Master Data'!$S$5)</f>
        <v>90</v>
      </c>
    </row>
    <row r="31" spans="1:18" x14ac:dyDescent="0.3">
      <c r="A31" s="96">
        <v>694667</v>
      </c>
      <c r="B31" s="12" t="str">
        <f t="shared" si="1"/>
        <v>G1S 694667</v>
      </c>
      <c r="C31" s="12" t="s">
        <v>357</v>
      </c>
      <c r="D31" s="11" t="s">
        <v>358</v>
      </c>
      <c r="E31" s="11" t="s">
        <v>359</v>
      </c>
      <c r="F31" s="11" t="s">
        <v>360</v>
      </c>
      <c r="G31" s="13">
        <v>49</v>
      </c>
      <c r="H31" s="14">
        <v>1245</v>
      </c>
      <c r="I31" s="15">
        <v>90</v>
      </c>
      <c r="J31" s="16">
        <v>2286</v>
      </c>
      <c r="K31" s="11" t="s">
        <v>359</v>
      </c>
      <c r="L31" s="12" t="s">
        <v>371</v>
      </c>
      <c r="M31" s="11" t="s">
        <v>372</v>
      </c>
      <c r="N31" s="17">
        <v>0.7</v>
      </c>
      <c r="O31" s="17">
        <v>7.53</v>
      </c>
      <c r="P31" s="17">
        <f t="shared" si="0"/>
        <v>700</v>
      </c>
      <c r="Q31" s="48">
        <f t="shared" si="2"/>
        <v>21.4375</v>
      </c>
      <c r="R31" s="205">
        <f>IF(COUNTIFS('Master Data'!$S$8:$S$13,'Old Pricing - end 26-Jan-2026'!$M31)&gt;0,'Master Data'!$S$4,'Master Data'!$S$5)</f>
        <v>90</v>
      </c>
    </row>
    <row r="32" spans="1:18" s="84" customFormat="1" x14ac:dyDescent="0.3">
      <c r="A32" s="100">
        <v>710940</v>
      </c>
      <c r="B32" s="86" t="str">
        <f>"G1S "&amp;A32</f>
        <v>G1S 710940</v>
      </c>
      <c r="C32" s="86" t="s">
        <v>357</v>
      </c>
      <c r="D32" s="87" t="s">
        <v>358</v>
      </c>
      <c r="E32" s="87" t="s">
        <v>359</v>
      </c>
      <c r="F32" s="87" t="s">
        <v>360</v>
      </c>
      <c r="G32" s="88">
        <v>49</v>
      </c>
      <c r="H32" s="89">
        <v>1245</v>
      </c>
      <c r="I32" s="90">
        <v>90.5</v>
      </c>
      <c r="J32" s="81">
        <v>2300</v>
      </c>
      <c r="K32" s="87" t="s">
        <v>359</v>
      </c>
      <c r="L32" s="86" t="s">
        <v>371</v>
      </c>
      <c r="M32" s="87" t="s">
        <v>372</v>
      </c>
      <c r="N32" s="91">
        <v>0.7</v>
      </c>
      <c r="O32" s="91">
        <v>7.53</v>
      </c>
      <c r="P32" s="91">
        <f>N32*1000</f>
        <v>700</v>
      </c>
      <c r="Q32" s="92">
        <f>(G32*I32/144)*N32</f>
        <v>21.556597222222223</v>
      </c>
      <c r="R32" s="206">
        <f>IF(COUNTIFS('Master Data'!$S$8:$S$13,'Old Pricing - end 26-Jan-2026'!$M32)&gt;0,'Master Data'!$S$4,'Master Data'!$S$5)</f>
        <v>90</v>
      </c>
    </row>
    <row r="33" spans="1:18" x14ac:dyDescent="0.3">
      <c r="A33" s="99">
        <v>694668</v>
      </c>
      <c r="B33" s="12" t="str">
        <f t="shared" si="1"/>
        <v>G1S 694668</v>
      </c>
      <c r="C33" s="12" t="s">
        <v>357</v>
      </c>
      <c r="D33" s="11" t="s">
        <v>358</v>
      </c>
      <c r="E33" s="11" t="s">
        <v>359</v>
      </c>
      <c r="F33" s="11" t="s">
        <v>360</v>
      </c>
      <c r="G33" s="13">
        <v>49</v>
      </c>
      <c r="H33" s="14">
        <v>1245</v>
      </c>
      <c r="I33" s="15">
        <v>96</v>
      </c>
      <c r="J33" s="16">
        <v>2440</v>
      </c>
      <c r="K33" s="11" t="s">
        <v>359</v>
      </c>
      <c r="L33" s="12" t="s">
        <v>371</v>
      </c>
      <c r="M33" s="11" t="s">
        <v>372</v>
      </c>
      <c r="N33" s="17">
        <v>0.7</v>
      </c>
      <c r="O33" s="17">
        <v>7.53</v>
      </c>
      <c r="P33" s="17">
        <f t="shared" si="0"/>
        <v>700</v>
      </c>
      <c r="Q33" s="48">
        <f t="shared" si="2"/>
        <v>22.866666666666664</v>
      </c>
      <c r="R33" s="205">
        <f>IF(COUNTIFS('Master Data'!$S$8:$S$13,'Old Pricing - end 26-Jan-2026'!$M33)&gt;0,'Master Data'!$S$4,'Master Data'!$S$5)</f>
        <v>90</v>
      </c>
    </row>
    <row r="34" spans="1:18" x14ac:dyDescent="0.3">
      <c r="A34" s="99">
        <v>694669</v>
      </c>
      <c r="B34" s="12" t="str">
        <f t="shared" si="1"/>
        <v>G1S 694669</v>
      </c>
      <c r="C34" s="12" t="s">
        <v>357</v>
      </c>
      <c r="D34" s="11" t="s">
        <v>358</v>
      </c>
      <c r="E34" s="11" t="s">
        <v>359</v>
      </c>
      <c r="F34" s="11" t="s">
        <v>360</v>
      </c>
      <c r="G34" s="13">
        <v>49</v>
      </c>
      <c r="H34" s="14">
        <v>1245</v>
      </c>
      <c r="I34" s="15">
        <v>108</v>
      </c>
      <c r="J34" s="16">
        <v>2745</v>
      </c>
      <c r="K34" s="11" t="s">
        <v>359</v>
      </c>
      <c r="L34" s="12" t="s">
        <v>371</v>
      </c>
      <c r="M34" s="11" t="s">
        <v>372</v>
      </c>
      <c r="N34" s="17">
        <v>0.7</v>
      </c>
      <c r="O34" s="17">
        <v>7.53</v>
      </c>
      <c r="P34" s="17">
        <f t="shared" si="0"/>
        <v>700</v>
      </c>
      <c r="Q34" s="48">
        <f t="shared" si="2"/>
        <v>25.724999999999998</v>
      </c>
      <c r="R34" s="205">
        <f>IF(COUNTIFS('Master Data'!$S$8:$S$13,'Old Pricing - end 26-Jan-2026'!$M34)&gt;0,'Master Data'!$S$4,'Master Data'!$S$5)</f>
        <v>90</v>
      </c>
    </row>
    <row r="35" spans="1:18" s="84" customFormat="1" x14ac:dyDescent="0.3">
      <c r="A35" s="100">
        <v>708895</v>
      </c>
      <c r="B35" s="86" t="str">
        <f>"G1S "&amp;A35</f>
        <v>G1S 708895</v>
      </c>
      <c r="C35" s="86" t="s">
        <v>357</v>
      </c>
      <c r="D35" s="87" t="s">
        <v>358</v>
      </c>
      <c r="E35" s="87" t="s">
        <v>359</v>
      </c>
      <c r="F35" s="87" t="s">
        <v>360</v>
      </c>
      <c r="G35" s="88">
        <v>49</v>
      </c>
      <c r="H35" s="89">
        <v>1245</v>
      </c>
      <c r="I35" s="90">
        <v>120</v>
      </c>
      <c r="J35" s="81">
        <v>3050</v>
      </c>
      <c r="K35" s="87" t="s">
        <v>359</v>
      </c>
      <c r="L35" s="86" t="s">
        <v>371</v>
      </c>
      <c r="M35" s="87" t="s">
        <v>372</v>
      </c>
      <c r="N35" s="91">
        <v>0.7</v>
      </c>
      <c r="O35" s="91">
        <v>7.53</v>
      </c>
      <c r="P35" s="91">
        <f>N35*1000</f>
        <v>700</v>
      </c>
      <c r="Q35" s="92">
        <f>(G35*I35/144)*N35</f>
        <v>28.583333333333332</v>
      </c>
      <c r="R35" s="206">
        <f>IF(COUNTIFS('Master Data'!$S$8:$S$13,'Old Pricing - end 26-Jan-2026'!$M35)&gt;0,'Master Data'!$S$4,'Master Data'!$S$5)</f>
        <v>90</v>
      </c>
    </row>
    <row r="36" spans="1:18" x14ac:dyDescent="0.3">
      <c r="A36" s="99">
        <v>694670</v>
      </c>
      <c r="B36" s="12" t="str">
        <f t="shared" si="1"/>
        <v>G1S 694670</v>
      </c>
      <c r="C36" s="12" t="s">
        <v>357</v>
      </c>
      <c r="D36" s="11" t="s">
        <v>358</v>
      </c>
      <c r="E36" s="11" t="s">
        <v>359</v>
      </c>
      <c r="F36" s="11" t="s">
        <v>360</v>
      </c>
      <c r="G36" s="13">
        <v>49</v>
      </c>
      <c r="H36" s="14">
        <v>1245</v>
      </c>
      <c r="I36" s="15">
        <v>144</v>
      </c>
      <c r="J36" s="16">
        <v>3658</v>
      </c>
      <c r="K36" s="11" t="s">
        <v>359</v>
      </c>
      <c r="L36" s="12" t="s">
        <v>371</v>
      </c>
      <c r="M36" s="11" t="s">
        <v>372</v>
      </c>
      <c r="N36" s="17">
        <v>0.7</v>
      </c>
      <c r="O36" s="17">
        <v>7.53</v>
      </c>
      <c r="P36" s="17">
        <f t="shared" si="0"/>
        <v>700</v>
      </c>
      <c r="Q36" s="48">
        <f t="shared" si="2"/>
        <v>34.299999999999997</v>
      </c>
      <c r="R36" s="205">
        <f>IF(COUNTIFS('Master Data'!$S$8:$S$13,'Old Pricing - end 26-Jan-2026'!$M36)&gt;0,'Master Data'!$S$4,'Master Data'!$S$5)</f>
        <v>90</v>
      </c>
    </row>
    <row r="37" spans="1:18" x14ac:dyDescent="0.3">
      <c r="A37" s="99">
        <v>694671</v>
      </c>
      <c r="B37" s="12" t="str">
        <f t="shared" si="1"/>
        <v>G1S 694671</v>
      </c>
      <c r="C37" s="12" t="s">
        <v>357</v>
      </c>
      <c r="D37" s="11" t="s">
        <v>358</v>
      </c>
      <c r="E37" s="11" t="s">
        <v>359</v>
      </c>
      <c r="F37" s="11" t="s">
        <v>360</v>
      </c>
      <c r="G37" s="13">
        <v>49</v>
      </c>
      <c r="H37" s="14">
        <v>1245</v>
      </c>
      <c r="I37" s="15">
        <v>90</v>
      </c>
      <c r="J37" s="16">
        <v>2286</v>
      </c>
      <c r="K37" s="11" t="s">
        <v>359</v>
      </c>
      <c r="L37" s="12" t="s">
        <v>373</v>
      </c>
      <c r="M37" s="11" t="s">
        <v>374</v>
      </c>
      <c r="N37" s="17">
        <v>0.7</v>
      </c>
      <c r="O37" s="17">
        <v>7.53</v>
      </c>
      <c r="P37" s="17">
        <f t="shared" si="0"/>
        <v>700</v>
      </c>
      <c r="Q37" s="48">
        <f t="shared" si="2"/>
        <v>21.4375</v>
      </c>
      <c r="R37" s="205">
        <f>IF(COUNTIFS('Master Data'!$S$8:$S$13,'Old Pricing - end 26-Jan-2026'!$M37)&gt;0,'Master Data'!$S$4,'Master Data'!$S$5)</f>
        <v>45</v>
      </c>
    </row>
    <row r="38" spans="1:18" s="84" customFormat="1" x14ac:dyDescent="0.3">
      <c r="A38" s="100">
        <v>710941</v>
      </c>
      <c r="B38" s="86" t="str">
        <f>"G1S "&amp;A38</f>
        <v>G1S 710941</v>
      </c>
      <c r="C38" s="86" t="s">
        <v>357</v>
      </c>
      <c r="D38" s="87" t="s">
        <v>358</v>
      </c>
      <c r="E38" s="87" t="s">
        <v>359</v>
      </c>
      <c r="F38" s="87" t="s">
        <v>360</v>
      </c>
      <c r="G38" s="88">
        <v>49</v>
      </c>
      <c r="H38" s="89">
        <v>1245</v>
      </c>
      <c r="I38" s="90">
        <v>90.5</v>
      </c>
      <c r="J38" s="81">
        <v>2300</v>
      </c>
      <c r="K38" s="87" t="s">
        <v>359</v>
      </c>
      <c r="L38" s="86" t="s">
        <v>373</v>
      </c>
      <c r="M38" s="87" t="s">
        <v>374</v>
      </c>
      <c r="N38" s="91">
        <v>0.7</v>
      </c>
      <c r="O38" s="91">
        <v>7.53</v>
      </c>
      <c r="P38" s="91">
        <f>N38*1000</f>
        <v>700</v>
      </c>
      <c r="Q38" s="92">
        <f>(G38*I38/144)*N38</f>
        <v>21.556597222222223</v>
      </c>
      <c r="R38" s="206">
        <f>IF(COUNTIFS('Master Data'!$S$8:$S$13,'Old Pricing - end 26-Jan-2026'!$M38)&gt;0,'Master Data'!$S$4,'Master Data'!$S$5)</f>
        <v>45</v>
      </c>
    </row>
    <row r="39" spans="1:18" s="84" customFormat="1" x14ac:dyDescent="0.3">
      <c r="A39" s="95">
        <v>709568</v>
      </c>
      <c r="B39" s="86" t="str">
        <f>"G1S "&amp;A39</f>
        <v>G1S 709568</v>
      </c>
      <c r="C39" s="86" t="s">
        <v>357</v>
      </c>
      <c r="D39" s="87" t="s">
        <v>358</v>
      </c>
      <c r="E39" s="87" t="s">
        <v>359</v>
      </c>
      <c r="F39" s="87" t="s">
        <v>360</v>
      </c>
      <c r="G39" s="88">
        <v>49</v>
      </c>
      <c r="H39" s="89">
        <v>1245</v>
      </c>
      <c r="I39" s="90">
        <v>91</v>
      </c>
      <c r="J39" s="81">
        <v>2310</v>
      </c>
      <c r="K39" s="87" t="s">
        <v>359</v>
      </c>
      <c r="L39" s="86" t="s">
        <v>373</v>
      </c>
      <c r="M39" s="87" t="s">
        <v>374</v>
      </c>
      <c r="N39" s="91">
        <v>0.7</v>
      </c>
      <c r="O39" s="91">
        <v>7.53</v>
      </c>
      <c r="P39" s="91">
        <f>N39*1000</f>
        <v>700</v>
      </c>
      <c r="Q39" s="92">
        <f>(G39*I39/144)*N39</f>
        <v>21.675694444444442</v>
      </c>
      <c r="R39" s="206">
        <f>IF(COUNTIFS('Master Data'!$S$8:$S$13,'Old Pricing - end 26-Jan-2026'!$M39)&gt;0,'Master Data'!$S$4,'Master Data'!$S$5)</f>
        <v>45</v>
      </c>
    </row>
    <row r="40" spans="1:18" x14ac:dyDescent="0.3">
      <c r="A40" s="96">
        <v>694672</v>
      </c>
      <c r="B40" s="12" t="str">
        <f t="shared" si="1"/>
        <v>G1S 694672</v>
      </c>
      <c r="C40" s="12" t="s">
        <v>357</v>
      </c>
      <c r="D40" s="11" t="s">
        <v>358</v>
      </c>
      <c r="E40" s="11" t="s">
        <v>359</v>
      </c>
      <c r="F40" s="11" t="s">
        <v>360</v>
      </c>
      <c r="G40" s="13">
        <v>49</v>
      </c>
      <c r="H40" s="14">
        <v>1245</v>
      </c>
      <c r="I40" s="15">
        <v>96</v>
      </c>
      <c r="J40" s="16">
        <v>2440</v>
      </c>
      <c r="K40" s="11" t="s">
        <v>359</v>
      </c>
      <c r="L40" s="12" t="s">
        <v>373</v>
      </c>
      <c r="M40" s="11" t="s">
        <v>374</v>
      </c>
      <c r="N40" s="17">
        <v>0.7</v>
      </c>
      <c r="O40" s="17">
        <v>7.53</v>
      </c>
      <c r="P40" s="17">
        <f t="shared" si="0"/>
        <v>700</v>
      </c>
      <c r="Q40" s="48">
        <f t="shared" si="2"/>
        <v>22.866666666666664</v>
      </c>
      <c r="R40" s="205">
        <f>IF(COUNTIFS('Master Data'!$S$8:$S$13,'Old Pricing - end 26-Jan-2026'!$M40)&gt;0,'Master Data'!$S$4,'Master Data'!$S$5)</f>
        <v>45</v>
      </c>
    </row>
    <row r="41" spans="1:18" x14ac:dyDescent="0.3">
      <c r="A41" s="96">
        <v>694673</v>
      </c>
      <c r="B41" s="12" t="str">
        <f t="shared" si="1"/>
        <v>G1S 694673</v>
      </c>
      <c r="C41" s="12" t="s">
        <v>357</v>
      </c>
      <c r="D41" s="11" t="s">
        <v>358</v>
      </c>
      <c r="E41" s="11" t="s">
        <v>359</v>
      </c>
      <c r="F41" s="11" t="s">
        <v>360</v>
      </c>
      <c r="G41" s="13">
        <v>49</v>
      </c>
      <c r="H41" s="14">
        <v>1245</v>
      </c>
      <c r="I41" s="15">
        <v>108</v>
      </c>
      <c r="J41" s="16">
        <v>2745</v>
      </c>
      <c r="K41" s="11" t="s">
        <v>359</v>
      </c>
      <c r="L41" s="12" t="s">
        <v>373</v>
      </c>
      <c r="M41" s="11" t="s">
        <v>374</v>
      </c>
      <c r="N41" s="17">
        <v>0.7</v>
      </c>
      <c r="O41" s="17">
        <v>7.53</v>
      </c>
      <c r="P41" s="17">
        <f t="shared" si="0"/>
        <v>700</v>
      </c>
      <c r="Q41" s="48">
        <f t="shared" si="2"/>
        <v>25.724999999999998</v>
      </c>
      <c r="R41" s="205">
        <f>IF(COUNTIFS('Master Data'!$S$8:$S$13,'Old Pricing - end 26-Jan-2026'!$M41)&gt;0,'Master Data'!$S$4,'Master Data'!$S$5)</f>
        <v>45</v>
      </c>
    </row>
    <row r="42" spans="1:18" x14ac:dyDescent="0.3">
      <c r="A42" s="96">
        <v>694674</v>
      </c>
      <c r="B42" s="12" t="str">
        <f t="shared" si="1"/>
        <v>G1S 694674</v>
      </c>
      <c r="C42" s="12" t="s">
        <v>357</v>
      </c>
      <c r="D42" s="11" t="s">
        <v>358</v>
      </c>
      <c r="E42" s="11" t="s">
        <v>359</v>
      </c>
      <c r="F42" s="11" t="s">
        <v>360</v>
      </c>
      <c r="G42" s="13">
        <v>49</v>
      </c>
      <c r="H42" s="14">
        <v>1245</v>
      </c>
      <c r="I42" s="15">
        <v>144</v>
      </c>
      <c r="J42" s="16">
        <v>3658</v>
      </c>
      <c r="K42" s="11" t="s">
        <v>359</v>
      </c>
      <c r="L42" s="12" t="s">
        <v>373</v>
      </c>
      <c r="M42" s="11" t="s">
        <v>374</v>
      </c>
      <c r="N42" s="17">
        <v>0.7</v>
      </c>
      <c r="O42" s="17">
        <v>7.53</v>
      </c>
      <c r="P42" s="17">
        <f t="shared" si="0"/>
        <v>700</v>
      </c>
      <c r="Q42" s="48">
        <f t="shared" si="2"/>
        <v>34.299999999999997</v>
      </c>
      <c r="R42" s="205">
        <f>IF(COUNTIFS('Master Data'!$S$8:$S$13,'Old Pricing - end 26-Jan-2026'!$M42)&gt;0,'Master Data'!$S$4,'Master Data'!$S$5)</f>
        <v>45</v>
      </c>
    </row>
    <row r="43" spans="1:18" x14ac:dyDescent="0.3">
      <c r="A43" s="96">
        <v>695165</v>
      </c>
      <c r="B43" s="12" t="str">
        <f t="shared" si="1"/>
        <v>G1S 695165</v>
      </c>
      <c r="C43" s="12" t="s">
        <v>357</v>
      </c>
      <c r="D43" s="11" t="s">
        <v>358</v>
      </c>
      <c r="E43" s="11" t="s">
        <v>359</v>
      </c>
      <c r="F43" s="11" t="s">
        <v>360</v>
      </c>
      <c r="G43" s="13">
        <v>49</v>
      </c>
      <c r="H43" s="14">
        <v>1245</v>
      </c>
      <c r="I43" s="15">
        <v>96</v>
      </c>
      <c r="J43" s="16">
        <v>2440</v>
      </c>
      <c r="K43" s="11" t="s">
        <v>359</v>
      </c>
      <c r="L43" s="12" t="s">
        <v>375</v>
      </c>
      <c r="M43" s="11" t="s">
        <v>376</v>
      </c>
      <c r="N43" s="17">
        <v>0.7</v>
      </c>
      <c r="O43" s="17">
        <v>7.53</v>
      </c>
      <c r="P43" s="17">
        <f t="shared" si="0"/>
        <v>700</v>
      </c>
      <c r="Q43" s="48">
        <f t="shared" si="2"/>
        <v>22.866666666666664</v>
      </c>
      <c r="R43" s="205">
        <f>IF(COUNTIFS('Master Data'!$S$8:$S$13,'Old Pricing - end 26-Jan-2026'!$M43)&gt;0,'Master Data'!$S$4,'Master Data'!$S$5)</f>
        <v>90</v>
      </c>
    </row>
    <row r="44" spans="1:18" x14ac:dyDescent="0.3">
      <c r="A44" s="114">
        <v>695619</v>
      </c>
      <c r="B44" s="115" t="str">
        <f t="shared" si="1"/>
        <v>G1S 695619</v>
      </c>
      <c r="C44" s="115" t="s">
        <v>357</v>
      </c>
      <c r="D44" s="116" t="s">
        <v>358</v>
      </c>
      <c r="E44" s="116" t="s">
        <v>359</v>
      </c>
      <c r="F44" s="116" t="s">
        <v>360</v>
      </c>
      <c r="G44" s="117">
        <v>49</v>
      </c>
      <c r="H44" s="118">
        <v>1245</v>
      </c>
      <c r="I44" s="119">
        <v>90</v>
      </c>
      <c r="J44" s="120">
        <v>2286</v>
      </c>
      <c r="K44" s="116" t="s">
        <v>359</v>
      </c>
      <c r="L44" s="115" t="s">
        <v>377</v>
      </c>
      <c r="M44" s="116" t="s">
        <v>378</v>
      </c>
      <c r="N44" s="121">
        <v>0.75</v>
      </c>
      <c r="O44" s="121">
        <v>8.07</v>
      </c>
      <c r="P44" s="121">
        <f t="shared" si="0"/>
        <v>750</v>
      </c>
      <c r="Q44" s="122">
        <f t="shared" si="2"/>
        <v>22.96875</v>
      </c>
      <c r="R44" s="205">
        <f>IF(COUNTIFS('Master Data'!$S$8:$S$13,'Old Pricing - end 26-Jan-2026'!$M44)&gt;0,'Master Data'!$S$4,'Master Data'!$S$5)</f>
        <v>45</v>
      </c>
    </row>
    <row r="45" spans="1:18" x14ac:dyDescent="0.3">
      <c r="A45" s="114">
        <v>718152</v>
      </c>
      <c r="B45" s="115" t="s">
        <v>379</v>
      </c>
      <c r="C45" s="115" t="s">
        <v>357</v>
      </c>
      <c r="D45" s="116" t="s">
        <v>358</v>
      </c>
      <c r="E45" s="116" t="s">
        <v>359</v>
      </c>
      <c r="F45" s="116" t="s">
        <v>360</v>
      </c>
      <c r="G45" s="117">
        <v>49</v>
      </c>
      <c r="H45" s="118">
        <v>1245</v>
      </c>
      <c r="I45" s="119">
        <v>90.5</v>
      </c>
      <c r="J45" s="120">
        <v>2300</v>
      </c>
      <c r="K45" s="116" t="s">
        <v>359</v>
      </c>
      <c r="L45" s="115" t="s">
        <v>377</v>
      </c>
      <c r="M45" s="116" t="s">
        <v>378</v>
      </c>
      <c r="N45" s="121">
        <v>0.77</v>
      </c>
      <c r="O45" s="121">
        <v>8.07</v>
      </c>
      <c r="P45" s="121">
        <v>770</v>
      </c>
      <c r="Q45" s="122">
        <v>23.5369989</v>
      </c>
      <c r="R45" s="205">
        <v>45</v>
      </c>
    </row>
    <row r="46" spans="1:18" x14ac:dyDescent="0.3">
      <c r="A46" s="114">
        <v>695620</v>
      </c>
      <c r="B46" s="115" t="str">
        <f t="shared" si="1"/>
        <v>G1S 695620</v>
      </c>
      <c r="C46" s="115" t="s">
        <v>357</v>
      </c>
      <c r="D46" s="116" t="s">
        <v>358</v>
      </c>
      <c r="E46" s="116" t="s">
        <v>359</v>
      </c>
      <c r="F46" s="116" t="s">
        <v>360</v>
      </c>
      <c r="G46" s="117">
        <v>49</v>
      </c>
      <c r="H46" s="118">
        <v>1245</v>
      </c>
      <c r="I46" s="119">
        <v>96</v>
      </c>
      <c r="J46" s="120">
        <v>2440</v>
      </c>
      <c r="K46" s="116" t="s">
        <v>359</v>
      </c>
      <c r="L46" s="115" t="s">
        <v>377</v>
      </c>
      <c r="M46" s="116" t="s">
        <v>378</v>
      </c>
      <c r="N46" s="121">
        <v>0.75</v>
      </c>
      <c r="O46" s="121">
        <v>8.07</v>
      </c>
      <c r="P46" s="121">
        <f t="shared" si="0"/>
        <v>750</v>
      </c>
      <c r="Q46" s="122">
        <f t="shared" si="2"/>
        <v>24.5</v>
      </c>
      <c r="R46" s="205">
        <f>IF(COUNTIFS('Master Data'!$S$8:$S$13,'Old Pricing - end 26-Jan-2026'!$M46)&gt;0,'Master Data'!$S$4,'Master Data'!$S$5)</f>
        <v>45</v>
      </c>
    </row>
    <row r="47" spans="1:18" x14ac:dyDescent="0.3">
      <c r="A47" s="114">
        <v>695621</v>
      </c>
      <c r="B47" s="115" t="str">
        <f t="shared" si="1"/>
        <v>G1S 695621</v>
      </c>
      <c r="C47" s="115" t="s">
        <v>357</v>
      </c>
      <c r="D47" s="116" t="s">
        <v>358</v>
      </c>
      <c r="E47" s="116" t="s">
        <v>359</v>
      </c>
      <c r="F47" s="116" t="s">
        <v>360</v>
      </c>
      <c r="G47" s="117">
        <v>49</v>
      </c>
      <c r="H47" s="118">
        <v>1245</v>
      </c>
      <c r="I47" s="119">
        <v>108</v>
      </c>
      <c r="J47" s="120">
        <v>2745</v>
      </c>
      <c r="K47" s="116" t="s">
        <v>359</v>
      </c>
      <c r="L47" s="115" t="s">
        <v>377</v>
      </c>
      <c r="M47" s="116" t="s">
        <v>378</v>
      </c>
      <c r="N47" s="121">
        <v>0.75</v>
      </c>
      <c r="O47" s="121">
        <v>8.07</v>
      </c>
      <c r="P47" s="121">
        <f t="shared" si="0"/>
        <v>750</v>
      </c>
      <c r="Q47" s="122">
        <f t="shared" si="2"/>
        <v>27.5625</v>
      </c>
      <c r="R47" s="205">
        <f>IF(COUNTIFS('Master Data'!$S$8:$S$13,'Old Pricing - end 26-Jan-2026'!$M47)&gt;0,'Master Data'!$S$4,'Master Data'!$S$5)</f>
        <v>45</v>
      </c>
    </row>
    <row r="48" spans="1:18" x14ac:dyDescent="0.3">
      <c r="A48" s="114">
        <v>695622</v>
      </c>
      <c r="B48" s="115" t="str">
        <f t="shared" si="1"/>
        <v>G1S 695622</v>
      </c>
      <c r="C48" s="115" t="s">
        <v>357</v>
      </c>
      <c r="D48" s="116" t="s">
        <v>358</v>
      </c>
      <c r="E48" s="116" t="s">
        <v>359</v>
      </c>
      <c r="F48" s="116" t="s">
        <v>360</v>
      </c>
      <c r="G48" s="117">
        <v>49</v>
      </c>
      <c r="H48" s="118">
        <v>1245</v>
      </c>
      <c r="I48" s="119">
        <v>144</v>
      </c>
      <c r="J48" s="120">
        <v>3658</v>
      </c>
      <c r="K48" s="116" t="s">
        <v>359</v>
      </c>
      <c r="L48" s="115" t="s">
        <v>377</v>
      </c>
      <c r="M48" s="116" t="s">
        <v>378</v>
      </c>
      <c r="N48" s="121">
        <v>0.75</v>
      </c>
      <c r="O48" s="121">
        <v>8.07</v>
      </c>
      <c r="P48" s="121">
        <f t="shared" si="0"/>
        <v>750</v>
      </c>
      <c r="Q48" s="122">
        <f t="shared" si="2"/>
        <v>36.75</v>
      </c>
      <c r="R48" s="205">
        <f>IF(COUNTIFS('Master Data'!$S$8:$S$13,'Old Pricing - end 26-Jan-2026'!$M48)&gt;0,'Master Data'!$S$4,'Master Data'!$S$5)</f>
        <v>45</v>
      </c>
    </row>
    <row r="49" spans="1:18" x14ac:dyDescent="0.3">
      <c r="A49" s="97">
        <v>697407</v>
      </c>
      <c r="B49" s="19" t="str">
        <f t="shared" si="1"/>
        <v>G1S 697407</v>
      </c>
      <c r="C49" s="19" t="s">
        <v>357</v>
      </c>
      <c r="D49" s="18" t="s">
        <v>358</v>
      </c>
      <c r="E49" s="18" t="s">
        <v>359</v>
      </c>
      <c r="F49" s="18" t="s">
        <v>360</v>
      </c>
      <c r="G49" s="20">
        <v>49</v>
      </c>
      <c r="H49" s="21">
        <v>1245</v>
      </c>
      <c r="I49" s="22">
        <v>90</v>
      </c>
      <c r="J49" s="23">
        <v>2286</v>
      </c>
      <c r="K49" s="18" t="s">
        <v>359</v>
      </c>
      <c r="L49" s="19" t="s">
        <v>380</v>
      </c>
      <c r="M49" s="18" t="s">
        <v>381</v>
      </c>
      <c r="N49" s="24">
        <v>0.75</v>
      </c>
      <c r="O49" s="25">
        <v>8.07</v>
      </c>
      <c r="P49" s="24">
        <f t="shared" si="0"/>
        <v>750</v>
      </c>
      <c r="Q49" s="49">
        <f t="shared" si="2"/>
        <v>22.96875</v>
      </c>
      <c r="R49" s="205">
        <f>IF(COUNTIFS('Master Data'!$S$8:$S$13,'Old Pricing - end 26-Jan-2026'!$M49)&gt;0,'Master Data'!$S$4,'Master Data'!$S$5)</f>
        <v>90</v>
      </c>
    </row>
    <row r="50" spans="1:18" x14ac:dyDescent="0.3">
      <c r="A50" s="97">
        <v>718722</v>
      </c>
      <c r="B50" s="19" t="s">
        <v>382</v>
      </c>
      <c r="C50" s="19" t="s">
        <v>357</v>
      </c>
      <c r="D50" s="18" t="s">
        <v>358</v>
      </c>
      <c r="E50" s="18" t="s">
        <v>359</v>
      </c>
      <c r="F50" s="18" t="s">
        <v>360</v>
      </c>
      <c r="G50" s="20">
        <v>49</v>
      </c>
      <c r="H50" s="21">
        <v>1245</v>
      </c>
      <c r="I50" s="22">
        <v>90.5</v>
      </c>
      <c r="J50" s="23">
        <v>2300</v>
      </c>
      <c r="K50" s="18" t="s">
        <v>359</v>
      </c>
      <c r="L50" s="19" t="s">
        <v>380</v>
      </c>
      <c r="M50" s="18" t="s">
        <v>381</v>
      </c>
      <c r="N50" s="24">
        <v>0.75</v>
      </c>
      <c r="O50" s="25">
        <v>8.07</v>
      </c>
      <c r="P50" s="24">
        <v>750</v>
      </c>
      <c r="Q50" s="49">
        <v>22.96875</v>
      </c>
      <c r="R50" s="205">
        <v>90</v>
      </c>
    </row>
    <row r="51" spans="1:18" x14ac:dyDescent="0.3">
      <c r="A51" s="97">
        <v>697408</v>
      </c>
      <c r="B51" s="19" t="str">
        <f t="shared" si="1"/>
        <v>G1S 697408</v>
      </c>
      <c r="C51" s="19" t="s">
        <v>357</v>
      </c>
      <c r="D51" s="18" t="s">
        <v>358</v>
      </c>
      <c r="E51" s="18" t="s">
        <v>359</v>
      </c>
      <c r="F51" s="18" t="s">
        <v>360</v>
      </c>
      <c r="G51" s="20">
        <v>49</v>
      </c>
      <c r="H51" s="21">
        <v>1245</v>
      </c>
      <c r="I51" s="22">
        <v>96</v>
      </c>
      <c r="J51" s="23">
        <v>2440</v>
      </c>
      <c r="K51" s="18" t="s">
        <v>359</v>
      </c>
      <c r="L51" s="19" t="s">
        <v>380</v>
      </c>
      <c r="M51" s="18" t="s">
        <v>381</v>
      </c>
      <c r="N51" s="24">
        <v>0.75</v>
      </c>
      <c r="O51" s="25">
        <v>8.07</v>
      </c>
      <c r="P51" s="24">
        <f t="shared" si="0"/>
        <v>750</v>
      </c>
      <c r="Q51" s="49">
        <f t="shared" si="2"/>
        <v>24.5</v>
      </c>
      <c r="R51" s="205">
        <f>IF(COUNTIFS('Master Data'!$S$8:$S$13,'Old Pricing - end 26-Jan-2026'!$M51)&gt;0,'Master Data'!$S$4,'Master Data'!$S$5)</f>
        <v>90</v>
      </c>
    </row>
    <row r="52" spans="1:18" x14ac:dyDescent="0.3">
      <c r="A52" s="97">
        <v>697405</v>
      </c>
      <c r="B52" s="19" t="str">
        <f t="shared" si="1"/>
        <v>G1S 697405</v>
      </c>
      <c r="C52" s="19" t="s">
        <v>357</v>
      </c>
      <c r="D52" s="18" t="s">
        <v>358</v>
      </c>
      <c r="E52" s="18" t="s">
        <v>359</v>
      </c>
      <c r="F52" s="18" t="s">
        <v>360</v>
      </c>
      <c r="G52" s="20">
        <v>49</v>
      </c>
      <c r="H52" s="21">
        <v>1245</v>
      </c>
      <c r="I52" s="22">
        <v>108</v>
      </c>
      <c r="J52" s="23">
        <v>2745</v>
      </c>
      <c r="K52" s="18" t="s">
        <v>359</v>
      </c>
      <c r="L52" s="19" t="s">
        <v>380</v>
      </c>
      <c r="M52" s="18" t="s">
        <v>381</v>
      </c>
      <c r="N52" s="24">
        <v>0.75</v>
      </c>
      <c r="O52" s="25">
        <v>8.07</v>
      </c>
      <c r="P52" s="24">
        <f t="shared" si="0"/>
        <v>750</v>
      </c>
      <c r="Q52" s="49">
        <f t="shared" si="2"/>
        <v>27.5625</v>
      </c>
      <c r="R52" s="205">
        <f>IF(COUNTIFS('Master Data'!$S$8:$S$13,'Old Pricing - end 26-Jan-2026'!$M52)&gt;0,'Master Data'!$S$4,'Master Data'!$S$5)</f>
        <v>90</v>
      </c>
    </row>
    <row r="53" spans="1:18" x14ac:dyDescent="0.3">
      <c r="A53" s="97">
        <v>697406</v>
      </c>
      <c r="B53" s="19" t="str">
        <f t="shared" si="1"/>
        <v>G1S 697406</v>
      </c>
      <c r="C53" s="19" t="s">
        <v>357</v>
      </c>
      <c r="D53" s="18" t="s">
        <v>358</v>
      </c>
      <c r="E53" s="18" t="s">
        <v>359</v>
      </c>
      <c r="F53" s="18" t="s">
        <v>360</v>
      </c>
      <c r="G53" s="20">
        <v>49</v>
      </c>
      <c r="H53" s="21">
        <v>1245</v>
      </c>
      <c r="I53" s="22">
        <v>144</v>
      </c>
      <c r="J53" s="23">
        <v>3658</v>
      </c>
      <c r="K53" s="18" t="s">
        <v>359</v>
      </c>
      <c r="L53" s="19" t="s">
        <v>380</v>
      </c>
      <c r="M53" s="18" t="s">
        <v>381</v>
      </c>
      <c r="N53" s="24">
        <v>0.75</v>
      </c>
      <c r="O53" s="25">
        <v>8.07</v>
      </c>
      <c r="P53" s="24">
        <f t="shared" si="0"/>
        <v>750</v>
      </c>
      <c r="Q53" s="49">
        <f t="shared" si="2"/>
        <v>36.75</v>
      </c>
      <c r="R53" s="205">
        <f>IF(COUNTIFS('Master Data'!$S$8:$S$13,'Old Pricing - end 26-Jan-2026'!$M53)&gt;0,'Master Data'!$S$4,'Master Data'!$S$5)</f>
        <v>90</v>
      </c>
    </row>
    <row r="54" spans="1:18" x14ac:dyDescent="0.3">
      <c r="A54" s="97">
        <v>697411</v>
      </c>
      <c r="B54" s="19" t="str">
        <f t="shared" si="1"/>
        <v>G1S 697411</v>
      </c>
      <c r="C54" s="19" t="s">
        <v>357</v>
      </c>
      <c r="D54" s="18" t="s">
        <v>358</v>
      </c>
      <c r="E54" s="18" t="s">
        <v>359</v>
      </c>
      <c r="F54" s="18" t="s">
        <v>360</v>
      </c>
      <c r="G54" s="20">
        <v>49</v>
      </c>
      <c r="H54" s="21">
        <v>1245</v>
      </c>
      <c r="I54" s="22">
        <v>90</v>
      </c>
      <c r="J54" s="23">
        <v>2286</v>
      </c>
      <c r="K54" s="18" t="s">
        <v>359</v>
      </c>
      <c r="L54" s="19" t="s">
        <v>383</v>
      </c>
      <c r="M54" s="18" t="s">
        <v>384</v>
      </c>
      <c r="N54" s="24">
        <v>0.75</v>
      </c>
      <c r="O54" s="25">
        <v>8.07</v>
      </c>
      <c r="P54" s="24">
        <f t="shared" si="0"/>
        <v>750</v>
      </c>
      <c r="Q54" s="49">
        <f t="shared" si="2"/>
        <v>22.96875</v>
      </c>
      <c r="R54" s="205">
        <f>IF(COUNTIFS('Master Data'!$S$8:$S$13,'Old Pricing - end 26-Jan-2026'!$M54)&gt;0,'Master Data'!$S$4,'Master Data'!$S$5)</f>
        <v>90</v>
      </c>
    </row>
    <row r="55" spans="1:18" x14ac:dyDescent="0.3">
      <c r="A55" s="97">
        <v>697412</v>
      </c>
      <c r="B55" s="19" t="str">
        <f t="shared" si="1"/>
        <v>G1S 697412</v>
      </c>
      <c r="C55" s="19" t="s">
        <v>357</v>
      </c>
      <c r="D55" s="18" t="s">
        <v>358</v>
      </c>
      <c r="E55" s="18" t="s">
        <v>359</v>
      </c>
      <c r="F55" s="18" t="s">
        <v>360</v>
      </c>
      <c r="G55" s="20">
        <v>49</v>
      </c>
      <c r="H55" s="21">
        <v>1245</v>
      </c>
      <c r="I55" s="22">
        <v>96</v>
      </c>
      <c r="J55" s="23">
        <v>2440</v>
      </c>
      <c r="K55" s="18" t="s">
        <v>359</v>
      </c>
      <c r="L55" s="19" t="s">
        <v>383</v>
      </c>
      <c r="M55" s="18" t="s">
        <v>384</v>
      </c>
      <c r="N55" s="24">
        <v>0.75</v>
      </c>
      <c r="O55" s="25">
        <v>8.07</v>
      </c>
      <c r="P55" s="24">
        <f t="shared" si="0"/>
        <v>750</v>
      </c>
      <c r="Q55" s="49">
        <f t="shared" si="2"/>
        <v>24.5</v>
      </c>
      <c r="R55" s="205">
        <f>IF(COUNTIFS('Master Data'!$S$8:$S$13,'Old Pricing - end 26-Jan-2026'!$M55)&gt;0,'Master Data'!$S$4,'Master Data'!$S$5)</f>
        <v>90</v>
      </c>
    </row>
    <row r="56" spans="1:18" x14ac:dyDescent="0.3">
      <c r="A56" s="97">
        <v>697409</v>
      </c>
      <c r="B56" s="19" t="str">
        <f t="shared" si="1"/>
        <v>G1S 697409</v>
      </c>
      <c r="C56" s="19" t="s">
        <v>357</v>
      </c>
      <c r="D56" s="18" t="s">
        <v>358</v>
      </c>
      <c r="E56" s="18" t="s">
        <v>359</v>
      </c>
      <c r="F56" s="18" t="s">
        <v>360</v>
      </c>
      <c r="G56" s="20">
        <v>49</v>
      </c>
      <c r="H56" s="21">
        <v>1245</v>
      </c>
      <c r="I56" s="22">
        <v>108</v>
      </c>
      <c r="J56" s="23">
        <v>2745</v>
      </c>
      <c r="K56" s="18" t="s">
        <v>359</v>
      </c>
      <c r="L56" s="19" t="s">
        <v>383</v>
      </c>
      <c r="M56" s="18" t="s">
        <v>384</v>
      </c>
      <c r="N56" s="24">
        <v>0.75</v>
      </c>
      <c r="O56" s="25">
        <v>8.07</v>
      </c>
      <c r="P56" s="24">
        <f t="shared" si="0"/>
        <v>750</v>
      </c>
      <c r="Q56" s="49">
        <f t="shared" si="2"/>
        <v>27.5625</v>
      </c>
      <c r="R56" s="205">
        <f>IF(COUNTIFS('Master Data'!$S$8:$S$13,'Old Pricing - end 26-Jan-2026'!$M56)&gt;0,'Master Data'!$S$4,'Master Data'!$S$5)</f>
        <v>90</v>
      </c>
    </row>
    <row r="57" spans="1:18" x14ac:dyDescent="0.3">
      <c r="A57" s="97">
        <v>697410</v>
      </c>
      <c r="B57" s="19" t="str">
        <f>"G1S "&amp;A57</f>
        <v>G1S 697410</v>
      </c>
      <c r="C57" s="19" t="s">
        <v>357</v>
      </c>
      <c r="D57" s="18" t="s">
        <v>358</v>
      </c>
      <c r="E57" s="18" t="s">
        <v>359</v>
      </c>
      <c r="F57" s="18" t="s">
        <v>360</v>
      </c>
      <c r="G57" s="20">
        <v>49</v>
      </c>
      <c r="H57" s="21">
        <v>1245</v>
      </c>
      <c r="I57" s="22">
        <v>144</v>
      </c>
      <c r="J57" s="23">
        <v>3658</v>
      </c>
      <c r="K57" s="18" t="s">
        <v>359</v>
      </c>
      <c r="L57" s="19" t="s">
        <v>383</v>
      </c>
      <c r="M57" s="18" t="s">
        <v>384</v>
      </c>
      <c r="N57" s="24">
        <v>0.75</v>
      </c>
      <c r="O57" s="25">
        <v>8.07</v>
      </c>
      <c r="P57" s="24">
        <f>N57*1000</f>
        <v>750</v>
      </c>
      <c r="Q57" s="49">
        <f>(G57*I57/144)*N57</f>
        <v>36.75</v>
      </c>
      <c r="R57" s="205">
        <f>IF(COUNTIFS('Master Data'!$S$8:$S$13,'Old Pricing - end 26-Jan-2026'!$M57)&gt;0,'Master Data'!$S$4,'Master Data'!$S$5)</f>
        <v>90</v>
      </c>
    </row>
    <row r="58" spans="1:18" x14ac:dyDescent="0.3">
      <c r="A58" s="186">
        <v>706750</v>
      </c>
      <c r="B58" s="187" t="str">
        <f>"G1S "&amp;A58</f>
        <v>G1S 706750</v>
      </c>
      <c r="C58" s="187" t="s">
        <v>357</v>
      </c>
      <c r="D58" s="188" t="s">
        <v>358</v>
      </c>
      <c r="E58" s="188" t="s">
        <v>359</v>
      </c>
      <c r="F58" s="188" t="s">
        <v>360</v>
      </c>
      <c r="G58" s="189">
        <v>49</v>
      </c>
      <c r="H58" s="190">
        <v>1245</v>
      </c>
      <c r="I58" s="191">
        <v>96</v>
      </c>
      <c r="J58" s="192">
        <v>2440</v>
      </c>
      <c r="K58" s="188" t="s">
        <v>359</v>
      </c>
      <c r="L58" s="187" t="s">
        <v>385</v>
      </c>
      <c r="M58" s="188" t="s">
        <v>386</v>
      </c>
      <c r="N58" s="193">
        <v>0.7</v>
      </c>
      <c r="O58" s="193">
        <v>7.53</v>
      </c>
      <c r="P58" s="193">
        <f>N58*1000</f>
        <v>700</v>
      </c>
      <c r="Q58" s="194">
        <f>(G58*I58/144)*N58</f>
        <v>22.866666666666664</v>
      </c>
      <c r="R58" s="205">
        <f>IF(COUNTIFS('Master Data'!$S$8:$S$13,'Old Pricing - end 26-Jan-2026'!$M58)&gt;0,'Master Data'!$S$4,'Master Data'!$S$5)</f>
        <v>90</v>
      </c>
    </row>
    <row r="59" spans="1:18" x14ac:dyDescent="0.3">
      <c r="A59" s="186">
        <v>706751</v>
      </c>
      <c r="B59" s="187" t="str">
        <f>"G1S "&amp;A59</f>
        <v>G1S 706751</v>
      </c>
      <c r="C59" s="187" t="s">
        <v>357</v>
      </c>
      <c r="D59" s="188" t="s">
        <v>358</v>
      </c>
      <c r="E59" s="188" t="s">
        <v>359</v>
      </c>
      <c r="F59" s="188" t="s">
        <v>360</v>
      </c>
      <c r="G59" s="189">
        <v>49</v>
      </c>
      <c r="H59" s="190">
        <v>1245</v>
      </c>
      <c r="I59" s="191">
        <v>96</v>
      </c>
      <c r="J59" s="192">
        <v>2440</v>
      </c>
      <c r="K59" s="188" t="s">
        <v>359</v>
      </c>
      <c r="L59" s="187" t="s">
        <v>387</v>
      </c>
      <c r="M59" s="188" t="s">
        <v>388</v>
      </c>
      <c r="N59" s="193">
        <v>0.7</v>
      </c>
      <c r="O59" s="193">
        <v>7.53</v>
      </c>
      <c r="P59" s="193">
        <f>N59*1000</f>
        <v>700</v>
      </c>
      <c r="Q59" s="194">
        <f>(G59*I59/144)*N59</f>
        <v>22.866666666666664</v>
      </c>
      <c r="R59" s="205">
        <f>IF(COUNTIFS('Master Data'!$S$8:$S$13,'Old Pricing - end 26-Jan-2026'!$M59)&gt;0,'Master Data'!$S$4,'Master Data'!$S$5)</f>
        <v>90</v>
      </c>
    </row>
    <row r="60" spans="1:18" ht="15" thickBot="1" x14ac:dyDescent="0.35">
      <c r="A60" s="195">
        <v>708236</v>
      </c>
      <c r="B60" s="196" t="str">
        <f>"G1S "&amp;A60</f>
        <v>G1S 708236</v>
      </c>
      <c r="C60" s="196" t="s">
        <v>357</v>
      </c>
      <c r="D60" s="197" t="s">
        <v>358</v>
      </c>
      <c r="E60" s="197" t="s">
        <v>359</v>
      </c>
      <c r="F60" s="197" t="s">
        <v>360</v>
      </c>
      <c r="G60" s="198">
        <v>49</v>
      </c>
      <c r="H60" s="199">
        <v>1245</v>
      </c>
      <c r="I60" s="200">
        <v>96</v>
      </c>
      <c r="J60" s="201">
        <v>2440</v>
      </c>
      <c r="K60" s="197" t="s">
        <v>359</v>
      </c>
      <c r="L60" s="196" t="s">
        <v>389</v>
      </c>
      <c r="M60" s="197" t="s">
        <v>390</v>
      </c>
      <c r="N60" s="202">
        <v>0.7</v>
      </c>
      <c r="O60" s="202">
        <v>7.53</v>
      </c>
      <c r="P60" s="202">
        <f>N60*1000</f>
        <v>700</v>
      </c>
      <c r="Q60" s="203">
        <f>(G60*I60/144)*N60</f>
        <v>22.866666666666664</v>
      </c>
      <c r="R60" s="207">
        <f>IF(COUNTIFS('Master Data'!$S$8:$S$13,'Old Pricing - end 26-Jan-2026'!$M60)&gt;0,'Master Data'!$S$4,'Master Data'!$S$5)</f>
        <v>90</v>
      </c>
    </row>
    <row r="61" spans="1:18" x14ac:dyDescent="0.3">
      <c r="A61" s="26"/>
      <c r="B61" s="26"/>
    </row>
    <row r="62" spans="1:18" x14ac:dyDescent="0.3">
      <c r="A62" s="29" t="s">
        <v>391</v>
      </c>
      <c r="B62" s="29"/>
    </row>
    <row r="63" spans="1:18" ht="15" customHeight="1" x14ac:dyDescent="0.3">
      <c r="A63" s="344" t="s">
        <v>392</v>
      </c>
      <c r="B63" s="344"/>
      <c r="C63" s="344"/>
      <c r="D63" s="344" t="s">
        <v>393</v>
      </c>
      <c r="E63" s="344" t="s">
        <v>393</v>
      </c>
      <c r="F63" s="344" t="s">
        <v>393</v>
      </c>
      <c r="G63" s="344" t="s">
        <v>393</v>
      </c>
      <c r="H63" s="344"/>
      <c r="I63" s="344"/>
      <c r="J63" s="344"/>
      <c r="K63" s="344"/>
    </row>
    <row r="64" spans="1:18" ht="14.7" customHeight="1" x14ac:dyDescent="0.3">
      <c r="A64" s="344" t="s">
        <v>393</v>
      </c>
      <c r="B64" s="344"/>
      <c r="C64" s="344"/>
      <c r="D64" s="344" t="s">
        <v>393</v>
      </c>
      <c r="E64" s="344" t="s">
        <v>393</v>
      </c>
      <c r="F64" s="344" t="s">
        <v>393</v>
      </c>
      <c r="G64" s="344" t="s">
        <v>393</v>
      </c>
      <c r="H64" s="344"/>
      <c r="I64" s="344"/>
      <c r="J64" s="344"/>
      <c r="K64" s="344"/>
    </row>
  </sheetData>
  <autoFilter ref="A1:R60" xr:uid="{719FDA34-361C-4BF6-B559-8300A10EF279}">
    <filterColumn colId="6" showButton="0"/>
    <filterColumn colId="8" showButton="0"/>
  </autoFilter>
  <mergeCells count="18">
    <mergeCell ref="T1:X2"/>
    <mergeCell ref="M1:M2"/>
    <mergeCell ref="N1:N2"/>
    <mergeCell ref="O1:O2"/>
    <mergeCell ref="R1:R2"/>
    <mergeCell ref="Q1:Q2"/>
    <mergeCell ref="P1:P2"/>
    <mergeCell ref="L1:L2"/>
    <mergeCell ref="A63:K64"/>
    <mergeCell ref="A1:A2"/>
    <mergeCell ref="C1:C2"/>
    <mergeCell ref="D1:D2"/>
    <mergeCell ref="E1:E2"/>
    <mergeCell ref="F1:F2"/>
    <mergeCell ref="G1:H1"/>
    <mergeCell ref="I1:J1"/>
    <mergeCell ref="K1:K2"/>
    <mergeCell ref="B1:B2"/>
  </mergeCells>
  <conditionalFormatting sqref="A3:A104">
    <cfRule type="expression" dxfId="0" priority="1">
      <formula>IF(COUNTIFS($A:$A,A3)&gt;1,1,0)</formula>
    </cfRule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A8487FC0DF8544A3E695D19676C510" ma:contentTypeVersion="3" ma:contentTypeDescription="Create a new document." ma:contentTypeScope="" ma:versionID="6ff10e7834e1879f73bd37d238c8d00f">
  <xsd:schema xmlns:xsd="http://www.w3.org/2001/XMLSchema" xmlns:xs="http://www.w3.org/2001/XMLSchema" xmlns:p="http://schemas.microsoft.com/office/2006/metadata/properties" xmlns:ns2="93b92de5-1a91-4edb-b6f6-4ce438948d1d" targetNamespace="http://schemas.microsoft.com/office/2006/metadata/properties" ma:root="true" ma:fieldsID="87c99a532427464446ec911648e7f177" ns2:_="">
    <xsd:import namespace="93b92de5-1a91-4edb-b6f6-4ce438948d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92de5-1a91-4edb-b6f6-4ce438948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BA7995-2092-43E7-9C08-003ED88CC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92de5-1a91-4edb-b6f6-4ce438948d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013AC0-C64B-4005-9532-5AE7DE99D9F2}">
  <ds:schemaRefs>
    <ds:schemaRef ds:uri="http://purl.org/dc/elements/1.1/"/>
    <ds:schemaRef ds:uri="93b92de5-1a91-4edb-b6f6-4ce438948d1d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F3C3561-1B6D-4F38-BAAE-ED2D9B75A2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2nd Batch rcvd 08.2025</vt:lpstr>
      <vt:lpstr>Dashboard</vt:lpstr>
      <vt:lpstr>Item Summary</vt:lpstr>
      <vt:lpstr>Order Summary</vt:lpstr>
      <vt:lpstr>Order Details</vt:lpstr>
      <vt:lpstr>Pricing Table - eff 27-Jan-2026</vt:lpstr>
      <vt:lpstr>Master Data</vt:lpstr>
      <vt:lpstr>Old Pricing - end 26-Jan-2026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Nyzza</dc:creator>
  <cp:keywords/>
  <dc:description/>
  <cp:lastModifiedBy>abitha@alubond.com</cp:lastModifiedBy>
  <cp:revision/>
  <dcterms:created xsi:type="dcterms:W3CDTF">2025-07-16T13:18:51Z</dcterms:created>
  <dcterms:modified xsi:type="dcterms:W3CDTF">2026-05-25T10:56:45Z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0x01010031A8487FC0DF8544A3E695D19676C510</vt:lpwstr>
  </property>
</Properties>
</file>