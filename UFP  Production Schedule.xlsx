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ulkholdingsfze.sharepoint.com/sites/AlubondTransportationMarketGalvanizedCompositePanels/Shared Documents/General/UFP/"/>
    </mc:Choice>
  </mc:AlternateContent>
  <xr:revisionPtr revIDLastSave="2183" documentId="8_{9B905473-69C0-4336-8801-E1B85C4A7A8A}" xr6:coauthVersionLast="47" xr6:coauthVersionMax="47" xr10:uidLastSave="{3753B4A4-1C27-4BD7-957B-6B507671B1C1}"/>
  <bookViews>
    <workbookView xWindow="-108" yWindow="-108" windowWidth="23256" windowHeight="12456" xr2:uid="{90063EE9-4ED3-4690-8E45-CD6DF846B54E}"/>
  </bookViews>
  <sheets>
    <sheet name="Order Level" sheetId="1" r:id="rId1"/>
  </sheets>
  <definedNames>
    <definedName name="_xlnm._FilterDatabase" localSheetId="0" hidden="1">'Order Level'!$A$4:$U$124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4" i="1" l="1"/>
  <c r="R123" i="1"/>
  <c r="Q124" i="1"/>
  <c r="Q123" i="1"/>
  <c r="Q122" i="1"/>
  <c r="R122" i="1"/>
  <c r="Q121" i="1"/>
  <c r="R121" i="1"/>
  <c r="R120" i="1"/>
  <c r="R119" i="1"/>
  <c r="R118" i="1"/>
  <c r="R117" i="1"/>
  <c r="R113" i="1" l="1"/>
  <c r="Q44" i="1"/>
  <c r="Q45" i="1"/>
  <c r="Q46" i="1"/>
  <c r="Q35" i="1" l="1"/>
  <c r="R34" i="1" l="1"/>
  <c r="Q64" i="1" l="1"/>
  <c r="R64" i="1"/>
  <c r="R65" i="1"/>
  <c r="R66" i="1" l="1"/>
  <c r="R67" i="1" l="1"/>
  <c r="R68" i="1" l="1"/>
  <c r="Q66" i="1"/>
  <c r="R69" i="1" l="1"/>
  <c r="R70" i="1" l="1"/>
  <c r="R71" i="1" l="1"/>
  <c r="R72" i="1" l="1"/>
  <c r="R73" i="1" l="1"/>
  <c r="R74" i="1" l="1"/>
  <c r="Q72" i="1"/>
  <c r="R75" i="1" l="1"/>
  <c r="R76" i="1" l="1"/>
  <c r="Q74" i="1"/>
  <c r="R77" i="1" l="1"/>
  <c r="R78" i="1" l="1"/>
  <c r="Q76" i="1"/>
  <c r="R79" i="1" l="1"/>
  <c r="R80" i="1" l="1"/>
  <c r="Q79" i="1" l="1"/>
  <c r="R81" i="1"/>
  <c r="R82" i="1" l="1"/>
  <c r="Q80" i="1"/>
  <c r="R83" i="1" l="1"/>
  <c r="R84" i="1" l="1"/>
  <c r="R85" i="1" l="1"/>
  <c r="R86" i="1" l="1"/>
  <c r="R87" i="1" l="1"/>
  <c r="R88" i="1" l="1"/>
  <c r="R89" i="1" l="1"/>
  <c r="R90" i="1" l="1"/>
  <c r="R91" i="1" l="1"/>
  <c r="R92" i="1" l="1"/>
  <c r="R93" i="1" l="1"/>
  <c r="R94" i="1" l="1"/>
  <c r="R95" i="1" l="1"/>
  <c r="R96" i="1" l="1"/>
  <c r="R97" i="1" l="1"/>
  <c r="R98" i="1" l="1"/>
  <c r="R99" i="1" l="1"/>
  <c r="R100" i="1" l="1"/>
  <c r="R101" i="1" l="1"/>
  <c r="R102" i="1" l="1"/>
  <c r="R103" i="1" l="1"/>
  <c r="R104" i="1" l="1"/>
  <c r="R105" i="1" l="1"/>
  <c r="R106" i="1" l="1"/>
  <c r="R107" i="1" l="1"/>
  <c r="R108" i="1" l="1"/>
  <c r="R109" i="1" l="1"/>
  <c r="R110" i="1" l="1"/>
  <c r="R111" i="1" l="1"/>
  <c r="R112" i="1" l="1"/>
  <c r="R114" i="1" l="1"/>
  <c r="R115" i="1" l="1"/>
  <c r="R116" i="1" l="1"/>
</calcChain>
</file>

<file path=xl/sharedStrings.xml><?xml version="1.0" encoding="utf-8"?>
<sst xmlns="http://schemas.openxmlformats.org/spreadsheetml/2006/main" count="935" uniqueCount="294">
  <si>
    <t xml:space="preserve">Estimated = </t>
  </si>
  <si>
    <t>Yellow</t>
  </si>
  <si>
    <t xml:space="preserve">Complete = </t>
  </si>
  <si>
    <t>Green</t>
  </si>
  <si>
    <t>SI No.</t>
  </si>
  <si>
    <t>PO#</t>
  </si>
  <si>
    <t xml:space="preserve">PI </t>
  </si>
  <si>
    <t>SO</t>
  </si>
  <si>
    <t>Rev#</t>
  </si>
  <si>
    <t>Order Status</t>
  </si>
  <si>
    <t>Date Ordered (PO Date)</t>
  </si>
  <si>
    <t>Active</t>
  </si>
  <si>
    <t>Qty of Skids</t>
  </si>
  <si>
    <t>Stocking Location</t>
  </si>
  <si>
    <t>Port of Destination</t>
  </si>
  <si>
    <t>M2</t>
  </si>
  <si>
    <t>Standard Colors Only?</t>
  </si>
  <si>
    <t>All Material Available</t>
  </si>
  <si>
    <t>Production Begin</t>
  </si>
  <si>
    <t>Production Complete</t>
  </si>
  <si>
    <t>Dispatch from Factory</t>
  </si>
  <si>
    <t>STATUS</t>
  </si>
  <si>
    <t>Notes</t>
  </si>
  <si>
    <t>NX/PI/25/09/972</t>
  </si>
  <si>
    <t>RL/NCSO/25/11/9</t>
  </si>
  <si>
    <t>In Production</t>
  </si>
  <si>
    <t>Yes</t>
  </si>
  <si>
    <t>Hillsboro, TX</t>
  </si>
  <si>
    <t>Houston</t>
  </si>
  <si>
    <t>SHIPPED</t>
  </si>
  <si>
    <t xml:space="preserve">Back-dated </t>
  </si>
  <si>
    <t>NX/PI/25/09/968</t>
  </si>
  <si>
    <t>RL/NCSO/25/11/4</t>
  </si>
  <si>
    <t>Granger, IN</t>
  </si>
  <si>
    <t>Baltimore</t>
  </si>
  <si>
    <t>NX/PI/25/09/973</t>
  </si>
  <si>
    <t>RL/NCSO/25/11/10</t>
  </si>
  <si>
    <t xml:space="preserve">0086 (1245*2745 mm) - 450 sheets not shipped - quality issue </t>
  </si>
  <si>
    <t>NX/PI/25/09/969</t>
  </si>
  <si>
    <t>RL/NCSO/25/11/5</t>
  </si>
  <si>
    <t>NX/PI/25/09/974</t>
  </si>
  <si>
    <t>RL/NCSO/25/11/11</t>
  </si>
  <si>
    <t>NX/PI/25/09/970</t>
  </si>
  <si>
    <t>RL/NCSO/25/11/7</t>
  </si>
  <si>
    <t>NX/PI/25/09/971</t>
  </si>
  <si>
    <t>RL/NCSO/25/11/8</t>
  </si>
  <si>
    <t>NX/PI/25/09/966</t>
  </si>
  <si>
    <t>RL/NCSO/25/11/2</t>
  </si>
  <si>
    <t>No</t>
  </si>
  <si>
    <t>NX/PI/25/09/975</t>
  </si>
  <si>
    <t>RL/NCSO/25/11/13</t>
  </si>
  <si>
    <t>NX/PI/25/09/967</t>
  </si>
  <si>
    <t>RL/NCSO/25/11/3</t>
  </si>
  <si>
    <r>
      <t xml:space="preserve">Replacing Victory Red with Indigo Blue,
</t>
    </r>
    <r>
      <rPr>
        <b/>
        <sz val="11"/>
        <color theme="1"/>
        <rFont val="Aptos Narrow"/>
        <family val="2"/>
        <scheme val="minor"/>
      </rPr>
      <t>Victory Red doesn’t need to be shipped again for these orders - Mr. Sarfaraz</t>
    </r>
  </si>
  <si>
    <t>NX/PI/25/09/976</t>
  </si>
  <si>
    <t>RL/NCSO/25/11/14</t>
  </si>
  <si>
    <r>
      <t xml:space="preserve">Replacing Victory Red with Indigo Blue 
</t>
    </r>
    <r>
      <rPr>
        <b/>
        <sz val="11"/>
        <color theme="1"/>
        <rFont val="Aptos Narrow"/>
        <family val="2"/>
        <scheme val="minor"/>
      </rPr>
      <t>Victory Red doesn’t need to be shipped again for these orders - Mr. Sarfaraz</t>
    </r>
  </si>
  <si>
    <t>NX/PI/25/09/977</t>
  </si>
  <si>
    <t>RL/NCSO/25/11/15</t>
  </si>
  <si>
    <r>
      <t xml:space="preserve">Replace Victory Red with 450 sheets of Charcoal Metallic (2745 mm/108")
</t>
    </r>
    <r>
      <rPr>
        <b/>
        <sz val="11"/>
        <color theme="1"/>
        <rFont val="Aptos Narrow"/>
        <family val="2"/>
        <scheme val="minor"/>
      </rPr>
      <t>Victory Red doesn’t need to be shipped again for these orders - Mr. Sarfaraz</t>
    </r>
  </si>
  <si>
    <t>NX/PI/25/09/978</t>
  </si>
  <si>
    <t>RL/NCSO/25/11/17</t>
  </si>
  <si>
    <t>Proforma Invoice Sent</t>
  </si>
  <si>
    <t>Minneota, MN</t>
  </si>
  <si>
    <t>NX/PI/25/09/979</t>
  </si>
  <si>
    <t>RL/NCSO/25/11/18</t>
  </si>
  <si>
    <t>NX/PI/25/09/980</t>
  </si>
  <si>
    <t>RL/NCSO/25/11/19</t>
  </si>
  <si>
    <r>
      <t xml:space="preserve">Not shipped - Indigo Blue - 400 sheets, Victory Red - 400 sheets ( 1245*2440)
</t>
    </r>
    <r>
      <rPr>
        <b/>
        <sz val="11"/>
        <color theme="1"/>
        <rFont val="Aptos Narrow"/>
        <family val="2"/>
        <scheme val="minor"/>
      </rPr>
      <t>Victory Red doesn’t need to be shipped again for these orders - Mr. Sarfaraz</t>
    </r>
  </si>
  <si>
    <t>NX/PI/25/08/981</t>
  </si>
  <si>
    <t>RL/NCSO/25/11/20</t>
  </si>
  <si>
    <t>Downpayment Received</t>
  </si>
  <si>
    <t>Nampa, ID</t>
  </si>
  <si>
    <t>Oakland</t>
  </si>
  <si>
    <t>NX/PI/25/08/982</t>
  </si>
  <si>
    <t>RL/NCSO/25/11/21</t>
  </si>
  <si>
    <t>NX/PI/25/08/983</t>
  </si>
  <si>
    <t>RL/NCSO/25/11/22</t>
  </si>
  <si>
    <t>NX/PI/25/08/984</t>
  </si>
  <si>
    <t>RL/NCSO/25/11/23</t>
  </si>
  <si>
    <t>NX/PI/25/08/985</t>
  </si>
  <si>
    <t>RL/NCSO/25/11/24</t>
  </si>
  <si>
    <t xml:space="preserve">Awaiting coils 0105 Indigo Blue, 0089 Red  </t>
  </si>
  <si>
    <t>NX/PI/25/09/986</t>
  </si>
  <si>
    <t>RL/NCSO/25/11/25</t>
  </si>
  <si>
    <t>NX/PI/25/12/987</t>
  </si>
  <si>
    <t>RL/NCSO/25/12/5</t>
  </si>
  <si>
    <t>NX/PI/26/01/1002</t>
  </si>
  <si>
    <t>RL/NCSO/26/01/3</t>
  </si>
  <si>
    <t>Ashburn, GA</t>
  </si>
  <si>
    <t>Savannah (ASHBURN)</t>
  </si>
  <si>
    <t>NX/PI/26/01/1003</t>
  </si>
  <si>
    <t>RL/NCSO/26/01/4</t>
  </si>
  <si>
    <t>NX/PI/26/01/1004</t>
  </si>
  <si>
    <t>RL/NCSO/26/01/5</t>
  </si>
  <si>
    <t>NX/PI/26/01/1005</t>
  </si>
  <si>
    <t>RL/NCSO/26/01/6</t>
  </si>
  <si>
    <t>NX/PI/26/01/1006</t>
  </si>
  <si>
    <t>RL/NCSO/26/01/7---- EU/NCSO/26/01/190</t>
  </si>
  <si>
    <t>NX/PI/26/01/1007</t>
  </si>
  <si>
    <t>RL/NCSO/26/01/8---- EU/NCSO/26/01/191</t>
  </si>
  <si>
    <t>NX/PI/26/01/1008</t>
  </si>
  <si>
    <t>RL/NCSO/26/01/23</t>
  </si>
  <si>
    <t>NX/PI/26/01/1009</t>
  </si>
  <si>
    <t>RL/NCSO/26/01/24</t>
  </si>
  <si>
    <t>NX/PI/26/01/1014</t>
  </si>
  <si>
    <t>RL/NCSO/26/02/6</t>
  </si>
  <si>
    <t>Houston, TX</t>
  </si>
  <si>
    <t>NX/PI/26/01/992</t>
  </si>
  <si>
    <t>RL/NCSO/26/01/9</t>
  </si>
  <si>
    <t>Savannah, GA</t>
  </si>
  <si>
    <t>Savannah</t>
  </si>
  <si>
    <t>NX/PI/26/01/1019</t>
  </si>
  <si>
    <t>RL/NCSO/26/02/11</t>
  </si>
  <si>
    <t>NX/PI/26/01/996</t>
  </si>
  <si>
    <t>RL/NCSO/26/01/17</t>
  </si>
  <si>
    <t>NX/PI/26/01/1012</t>
  </si>
  <si>
    <t>RL/NCSO/26/02/4</t>
  </si>
  <si>
    <t>NX/PI/26/01/993</t>
  </si>
  <si>
    <t>RL/NCSO/26/01/14</t>
  </si>
  <si>
    <t>NX/PI/26/01/1018</t>
  </si>
  <si>
    <t>RL/NCSO/26/02/10</t>
  </si>
  <si>
    <t>NX/PI/26/01/990</t>
  </si>
  <si>
    <t>RL/NCSO/26/01/11</t>
  </si>
  <si>
    <t>NX/PI/26/01/1016</t>
  </si>
  <si>
    <t>RL/NCSO/26/02/8</t>
  </si>
  <si>
    <t>NX/PI/26/01/989</t>
  </si>
  <si>
    <t>RL/NCSO/26/01/12</t>
  </si>
  <si>
    <t>NX/PI/26/01/994</t>
  </si>
  <si>
    <t>RL/NCSO/26/01/15</t>
  </si>
  <si>
    <t>NX/PI/26/01/1017</t>
  </si>
  <si>
    <t>RL/NCSO/26/02/9</t>
  </si>
  <si>
    <t>NX/PI/26/01/988</t>
  </si>
  <si>
    <t>RL/NCSO/26/01/13</t>
  </si>
  <si>
    <t>NX/PI/26/01/1021</t>
  </si>
  <si>
    <t>RL/NCSO/26/02/13</t>
  </si>
  <si>
    <t>NX/PI/26/01/1022</t>
  </si>
  <si>
    <t>NX/PI/26/01/1013</t>
  </si>
  <si>
    <t>RL/NCSO/26/02/5</t>
  </si>
  <si>
    <t>NX/PI/26/01/997</t>
  </si>
  <si>
    <t>RL/NCSO/26/01/18</t>
  </si>
  <si>
    <t>NX/PI/26/01/1001</t>
  </si>
  <si>
    <t>RL/NCSO/26/01/21</t>
  </si>
  <si>
    <t>NX/PI/26/01/1011</t>
  </si>
  <si>
    <t>RL/NCSO/26/02/3</t>
  </si>
  <si>
    <t>NX/PI/26/01/1000</t>
  </si>
  <si>
    <t>RL/NCSO/26/01/22</t>
  </si>
  <si>
    <t>NX/PI/26/01/998</t>
  </si>
  <si>
    <t>RL/NCSO/26/01/19</t>
  </si>
  <si>
    <t>NX/PI/26/01/1015</t>
  </si>
  <si>
    <t>RL/NCSO/26/02/7</t>
  </si>
  <si>
    <t>NX/PI/26/01/1020</t>
  </si>
  <si>
    <t>RL/NCSO/26/02/12</t>
  </si>
  <si>
    <t>NX/PI/26/01/999</t>
  </si>
  <si>
    <t>RL/NCSO/26/01/20</t>
  </si>
  <si>
    <t>NX/PI/26/01/995</t>
  </si>
  <si>
    <t>RL/NCSO/26/01/16</t>
  </si>
  <si>
    <t>NX/PI/26/01/1010</t>
  </si>
  <si>
    <t>RL/NCSO/26/02/2</t>
  </si>
  <si>
    <t>NX/PI/26/01/991</t>
  </si>
  <si>
    <t>RL/NCSO/26/01/10</t>
  </si>
  <si>
    <t>NX/PI/26/01/1023</t>
  </si>
  <si>
    <t>RL/NCSO/26/02/15</t>
  </si>
  <si>
    <t>NX/PI/26/01/1024</t>
  </si>
  <si>
    <t>RL/NCSO/26/02/16</t>
  </si>
  <si>
    <t>NX/PI/26/01/1025</t>
  </si>
  <si>
    <t>RL/NCSO/26/02/19</t>
  </si>
  <si>
    <t>NX/PI/26/01/1026</t>
  </si>
  <si>
    <t>RL/NCSO/26/02/20</t>
  </si>
  <si>
    <t>NX/PI/26/01/1027</t>
  </si>
  <si>
    <t>RL/NCSO/26/02/21</t>
  </si>
  <si>
    <t>NX/PI/26/01/1028</t>
  </si>
  <si>
    <t>RL/NCSO/26/02/22</t>
  </si>
  <si>
    <t>Twin Falls, ID</t>
  </si>
  <si>
    <t>NX/PI/26/01/1029</t>
  </si>
  <si>
    <t>RL/NCSO/26/02/23</t>
  </si>
  <si>
    <t>NX/PI/26/01/1030</t>
  </si>
  <si>
    <t>RL/NCSO/26/02/24</t>
  </si>
  <si>
    <t>NX/PI/26/01/1031</t>
  </si>
  <si>
    <t>RL/NCSO/26/02/25</t>
  </si>
  <si>
    <t>NX/PI/26/01/1032</t>
  </si>
  <si>
    <t>RL/NCSO/26/02/26</t>
  </si>
  <si>
    <t>NX/PI/26/01/1033</t>
  </si>
  <si>
    <t>RL/NCSO/26/02/27</t>
  </si>
  <si>
    <t>NX/PI/26/01/1034</t>
  </si>
  <si>
    <t>RL/NCSO/26/02/28</t>
  </si>
  <si>
    <t>NX/PI/26/01/1035</t>
  </si>
  <si>
    <t>RL/NCSO/26/02/29</t>
  </si>
  <si>
    <t>NX/PI/26/01/1036</t>
  </si>
  <si>
    <t>RL/NCSO/26/02/30</t>
  </si>
  <si>
    <t>NX/PI/26/01/1037</t>
  </si>
  <si>
    <t>RL/NCSO/26/02/31</t>
  </si>
  <si>
    <t>NX/PI/26/01/1038</t>
  </si>
  <si>
    <t>RL/NCSO/26/02/32</t>
  </si>
  <si>
    <t>NX/PI/26/01/1039</t>
  </si>
  <si>
    <t>RL/NCSO/26/02/33</t>
  </si>
  <si>
    <t>NX/PI/26/01/1040</t>
  </si>
  <si>
    <t>RL/NCSO/26/02/34</t>
  </si>
  <si>
    <t>NX/PI/26/01/1041</t>
  </si>
  <si>
    <t>RL/NCSO/26/02/35</t>
  </si>
  <si>
    <t>NX/PI/26/01/1042</t>
  </si>
  <si>
    <t>RL/NCSO/26/02/36</t>
  </si>
  <si>
    <t>NX/PI/26/01/1043</t>
  </si>
  <si>
    <t>RL/NCSO/26/02/37</t>
  </si>
  <si>
    <t>NX/PI/26/01/1044</t>
  </si>
  <si>
    <t>RL/NCSO/26/02/38</t>
  </si>
  <si>
    <t>NX/PI/26/01/1045</t>
  </si>
  <si>
    <t>RL/NCSO/26/02/39</t>
  </si>
  <si>
    <t>NX/PI/26/01/1046</t>
  </si>
  <si>
    <t>RL/NCSO/26/02/40</t>
  </si>
  <si>
    <t>NX/PI/26/01/1047</t>
  </si>
  <si>
    <t>RL/NCSO/26/02/41</t>
  </si>
  <si>
    <t>Gordon, PA</t>
  </si>
  <si>
    <t>NX/PI/26/01/1048</t>
  </si>
  <si>
    <t>RL/NCSO/26/02/42</t>
  </si>
  <si>
    <t>NX/PI/26/02/1049</t>
  </si>
  <si>
    <t>NX/PI/26/02/1050</t>
  </si>
  <si>
    <t>NX/PI/26/02/1051</t>
  </si>
  <si>
    <t>NX/PI/26/02/1052</t>
  </si>
  <si>
    <t>NX/PI/26/02/1053</t>
  </si>
  <si>
    <t>NX/PI/26/02/1054</t>
  </si>
  <si>
    <t>NX/PI/26/02/1055</t>
  </si>
  <si>
    <t>NX/PI/26/02/1056</t>
  </si>
  <si>
    <t>South Paris, ME</t>
  </si>
  <si>
    <t>NX/PI/26/02/1057</t>
  </si>
  <si>
    <t>NX/PI/26/02/1058</t>
  </si>
  <si>
    <t>NX/PI/26/02/1059</t>
  </si>
  <si>
    <t>NX/PI/26/02/1060</t>
  </si>
  <si>
    <t>NX/PI/26/02/1061</t>
  </si>
  <si>
    <t>RL/NCSO/26/02/46</t>
  </si>
  <si>
    <t>RL/NCSO/26/02/47</t>
  </si>
  <si>
    <t>RL/NCSO/26/02/48</t>
  </si>
  <si>
    <t>RL/NCSO/26/02/49</t>
  </si>
  <si>
    <t>RL/NCSO/26/02/50</t>
  </si>
  <si>
    <t>RL/NCSO/26/02/51</t>
  </si>
  <si>
    <t>RL/NCSO/26/02/52</t>
  </si>
  <si>
    <t>RL/NCSO/26/02/53</t>
  </si>
  <si>
    <t>RL/NCSO/26/02/54</t>
  </si>
  <si>
    <t>RL/NCSO/26/02/55</t>
  </si>
  <si>
    <t>RL/NCSO/26/02/56</t>
  </si>
  <si>
    <t>RL/NCSO/26/02/57</t>
  </si>
  <si>
    <t>RL/NCSO/26/02/58</t>
  </si>
  <si>
    <t>Awaiting coils 0105 Indigo Blue, 0089 Red  (meant to start production on 16/03/2026 but awaiting coils)</t>
  </si>
  <si>
    <t>PI Sent?</t>
  </si>
  <si>
    <t>PI DATE</t>
  </si>
  <si>
    <t>NX/PI/26/03/1062</t>
  </si>
  <si>
    <t>NX/PI/26/03/1063</t>
  </si>
  <si>
    <t>NX/PI/26/03/1064</t>
  </si>
  <si>
    <t>NX/PI/26/03/1065</t>
  </si>
  <si>
    <t>NX/PI/26/03/1066</t>
  </si>
  <si>
    <t>NX/PI/26/03/1067</t>
  </si>
  <si>
    <t>NX/PI/26/03/1068</t>
  </si>
  <si>
    <t>NX/PI/26/03/1069</t>
  </si>
  <si>
    <t>NX/PI/26/03/1070</t>
  </si>
  <si>
    <t>NX/PI/26/03/1071</t>
  </si>
  <si>
    <t>NX/PI/26/03/1072</t>
  </si>
  <si>
    <t>NX/PI/26/03/1073</t>
  </si>
  <si>
    <t>NX/PI/26/03/1074</t>
  </si>
  <si>
    <t>NX/PI/26/03/1075</t>
  </si>
  <si>
    <t>NX/PI/26/03/1076</t>
  </si>
  <si>
    <t>NX/PI/26/03/1077</t>
  </si>
  <si>
    <t>NX/PI/26/03/1078</t>
  </si>
  <si>
    <t>OLD STOCK</t>
  </si>
  <si>
    <t>RL/NCSO/26/02/14</t>
  </si>
  <si>
    <t>Blue</t>
  </si>
  <si>
    <t>Pink</t>
  </si>
  <si>
    <t>Non-Standard Colours</t>
  </si>
  <si>
    <t>Down-Payment Received</t>
  </si>
  <si>
    <t>NX/PI/26/04/1079</t>
  </si>
  <si>
    <t>NX/PI/26/04/1080</t>
  </si>
  <si>
    <t>NX/PI/26/04/1081</t>
  </si>
  <si>
    <t>dispatched from factory on 11-04-2026 (Back dated)</t>
  </si>
  <si>
    <t>Part quantity produced</t>
  </si>
  <si>
    <t xml:space="preserve">CONTAINER BOOKED </t>
  </si>
  <si>
    <t>Regular supplier material will arrive between late May and mid-June</t>
  </si>
  <si>
    <t>PRODUCTION COMPLETE</t>
  </si>
  <si>
    <t>UNDER PRODUCTION</t>
  </si>
  <si>
    <t>ON HOLD</t>
  </si>
  <si>
    <t>Jurf ( 23.05.2026) 1</t>
  </si>
  <si>
    <t>23-05-2026 ( Jurf) 1</t>
  </si>
  <si>
    <t xml:space="preserve">UNDER PRODUCTION </t>
  </si>
  <si>
    <t>WHITE 03-06-2026 JURF</t>
  </si>
  <si>
    <t xml:space="preserve">WHITE 03-06-2026  HAMRIYAH </t>
  </si>
  <si>
    <t>03-06-2026 JURF</t>
  </si>
  <si>
    <t xml:space="preserve">03-06-2026 JURF </t>
  </si>
  <si>
    <t>03-06-2026  HAMRIYAH</t>
  </si>
  <si>
    <t>03-06-2026 HAMRIYAH</t>
  </si>
  <si>
    <t xml:space="preserve">Jurf ( 22.05.2026) 1 </t>
  </si>
  <si>
    <t>Jurf ( 23.05.2026) 1  (black coil - 314.24 m2 short</t>
  </si>
  <si>
    <t>Revised</t>
  </si>
  <si>
    <t>NX/PI/26/05/1082</t>
  </si>
  <si>
    <t>NX/PI/26/05/1083</t>
  </si>
  <si>
    <t>NX/PI/26/05/1084</t>
  </si>
  <si>
    <t>NX/PI/26/05/1085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</si>
</sst>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9">
    <xf numFmtId="0" fontId="0" fillId="0" borderId="0" xfId="0"/>
    <xf numFmtId="0" fontId="8" fillId="2" borderId="3" xfId="0" applyFont="1" applyFill="1" applyBorder="1" applyAlignment="1">
      <alignment horizontal="left" wrapText="1"/>
    </xf>
    <xf numFmtId="14" fontId="8" fillId="2" borderId="3" xfId="0" applyNumberFormat="1" applyFont="1" applyFill="1" applyBorder="1" applyAlignment="1">
      <alignment horizontal="left" wrapText="1"/>
    </xf>
    <xf numFmtId="14" fontId="8" fillId="2" borderId="6" xfId="0" applyNumberFormat="1" applyFont="1" applyFill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2" fontId="2" fillId="0" borderId="5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2" fontId="2" fillId="0" borderId="1" xfId="1" applyNumberFormat="1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2" fontId="2" fillId="0" borderId="1" xfId="1" applyNumberFormat="1" applyFont="1" applyFill="1" applyBorder="1" applyAlignment="1">
      <alignment horizontal="left"/>
    </xf>
    <xf numFmtId="2" fontId="4" fillId="0" borderId="5" xfId="0" applyNumberFormat="1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64" fontId="2" fillId="3" borderId="5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164" fontId="2" fillId="3" borderId="7" xfId="0" applyNumberFormat="1" applyFont="1" applyFill="1" applyBorder="1" applyAlignment="1">
      <alignment horizontal="left"/>
    </xf>
    <xf numFmtId="164" fontId="2" fillId="3" borderId="2" xfId="0" quotePrefix="1" applyNumberFormat="1" applyFont="1" applyFill="1" applyBorder="1" applyAlignment="1">
      <alignment horizontal="left"/>
    </xf>
    <xf numFmtId="0" fontId="8" fillId="2" borderId="11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164" fontId="2" fillId="0" borderId="14" xfId="0" applyNumberFormat="1" applyFont="1" applyBorder="1" applyAlignment="1">
      <alignment horizontal="left"/>
    </xf>
    <xf numFmtId="2" fontId="4" fillId="0" borderId="17" xfId="0" applyNumberFormat="1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14" fontId="2" fillId="0" borderId="18" xfId="0" applyNumberFormat="1" applyFont="1" applyBorder="1" applyAlignment="1">
      <alignment horizontal="left"/>
    </xf>
    <xf numFmtId="0" fontId="0" fillId="0" borderId="16" xfId="0" applyBorder="1"/>
    <xf numFmtId="164" fontId="2" fillId="3" borderId="1" xfId="0" applyNumberFormat="1" applyFont="1" applyFill="1" applyBorder="1" applyAlignment="1">
      <alignment horizontal="left"/>
    </xf>
    <xf numFmtId="15" fontId="4" fillId="3" borderId="5" xfId="0" applyNumberFormat="1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4" fillId="0" borderId="8" xfId="0" applyFont="1" applyBorder="1" applyAlignment="1">
      <alignment horizontal="left"/>
    </xf>
    <xf numFmtId="0" fontId="0" fillId="5" borderId="0" xfId="0" applyFill="1" applyAlignment="1">
      <alignment horizontal="left"/>
    </xf>
    <xf numFmtId="0" fontId="4" fillId="0" borderId="2" xfId="0" applyFont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left"/>
    </xf>
    <xf numFmtId="164" fontId="2" fillId="6" borderId="5" xfId="0" applyNumberFormat="1" applyFont="1" applyFill="1" applyBorder="1" applyAlignment="1">
      <alignment horizontal="left"/>
    </xf>
    <xf numFmtId="15" fontId="4" fillId="6" borderId="5" xfId="0" applyNumberFormat="1" applyFont="1" applyFill="1" applyBorder="1" applyAlignment="1">
      <alignment horizontal="left"/>
    </xf>
    <xf numFmtId="164" fontId="2" fillId="6" borderId="4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2" xfId="1" applyNumberFormat="1" applyFont="1" applyFill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2" fontId="2" fillId="0" borderId="2" xfId="1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5" fontId="4" fillId="3" borderId="2" xfId="0" applyNumberFormat="1" applyFont="1" applyFill="1" applyBorder="1" applyAlignment="1">
      <alignment horizontal="left"/>
    </xf>
    <xf numFmtId="15" fontId="4" fillId="3" borderId="1" xfId="0" applyNumberFormat="1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15" fontId="4" fillId="0" borderId="5" xfId="0" applyNumberFormat="1" applyFont="1" applyBorder="1" applyAlignment="1">
      <alignment horizontal="left"/>
    </xf>
    <xf numFmtId="164" fontId="2" fillId="0" borderId="25" xfId="0" applyNumberFormat="1" applyFont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9" fillId="8" borderId="1" xfId="0" applyFont="1" applyFill="1" applyBorder="1"/>
    <xf numFmtId="0" fontId="9" fillId="7" borderId="1" xfId="0" applyFont="1" applyFill="1" applyBorder="1"/>
    <xf numFmtId="0" fontId="4" fillId="0" borderId="4" xfId="0" applyFont="1" applyBorder="1" applyAlignment="1">
      <alignment horizontal="left" wrapText="1"/>
    </xf>
    <xf numFmtId="0" fontId="4" fillId="0" borderId="15" xfId="0" applyFont="1" applyBorder="1" applyAlignment="1">
      <alignment horizontal="left"/>
    </xf>
    <xf numFmtId="164" fontId="2" fillId="3" borderId="14" xfId="0" applyNumberFormat="1" applyFont="1" applyFill="1" applyBorder="1" applyAlignment="1">
      <alignment horizontal="left"/>
    </xf>
    <xf numFmtId="16" fontId="4" fillId="0" borderId="4" xfId="0" applyNumberFormat="1" applyFont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  <color rgb="FFFDF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0F3FD9D-6A32-4B3D-AE2D-939D2817284F}">
    <nsvFilter filterId="{C20EB863-AD48-4899-B78A-F43AE9F20413}" ref="A4:U124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B863-AD48-4899-B78A-F43AE9F20413}">
  <dimension ref="A1:U124"/>
  <sheetViews>
    <sheetView tabSelected="1" zoomScale="70" zoomScaleNormal="70" workbookViewId="0">
      <pane ySplit="4" topLeftCell="A12" activePane="bottomLeft" state="frozen"/>
      <selection pane="bottomLeft" activeCell="T5" sqref="T5"/>
    </sheetView>
  </sheetViews>
  <sheetFormatPr defaultRowHeight="15" customHeight="1" x14ac:dyDescent="0.3"/>
  <cols>
    <col min="1" max="1" width="7.44140625" bestFit="1" customWidth="1"/>
    <col min="2" max="2" width="12.88671875" bestFit="1" customWidth="1"/>
    <col min="3" max="3" width="21.44140625" customWidth="1"/>
    <col min="4" max="4" width="27" customWidth="1"/>
    <col min="5" max="5" width="6.109375" customWidth="1"/>
    <col min="6" max="6" width="28" hidden="1" customWidth="1"/>
    <col min="7" max="7" width="16.6640625" customWidth="1"/>
    <col min="8" max="8" width="7.5546875" hidden="1" customWidth="1"/>
    <col min="9" max="9" width="7.109375" hidden="1" customWidth="1"/>
    <col min="10" max="10" width="24.5546875" customWidth="1"/>
    <col min="11" max="11" width="25.44140625" customWidth="1"/>
    <col min="12" max="12" width="12" customWidth="1"/>
    <col min="13" max="13" width="11" customWidth="1"/>
    <col min="14" max="14" width="13.88671875" customWidth="1"/>
    <col min="15" max="17" width="17" customWidth="1"/>
    <col min="18" max="19" width="17.109375" customWidth="1"/>
    <col min="20" max="20" width="29.44140625" bestFit="1" customWidth="1"/>
    <col min="21" max="21" width="101.33203125" bestFit="1" customWidth="1"/>
  </cols>
  <sheetData>
    <row r="1" spans="1:21" ht="28.95" customHeight="1" thickBot="1" x14ac:dyDescent="0.35">
      <c r="J1" s="81" t="s">
        <v>266</v>
      </c>
      <c r="K1" s="81" t="s">
        <v>265</v>
      </c>
      <c r="N1" s="89" t="s">
        <v>0</v>
      </c>
      <c r="O1" s="90"/>
      <c r="P1" s="93" t="s">
        <v>1</v>
      </c>
      <c r="Q1" s="94"/>
      <c r="R1" s="95"/>
    </row>
    <row r="2" spans="1:21" ht="28.95" customHeight="1" thickBot="1" x14ac:dyDescent="0.35">
      <c r="J2" s="82" t="s">
        <v>267</v>
      </c>
      <c r="K2" s="82" t="s">
        <v>264</v>
      </c>
      <c r="N2" s="91" t="s">
        <v>2</v>
      </c>
      <c r="O2" s="92"/>
      <c r="P2" s="96" t="s">
        <v>3</v>
      </c>
      <c r="Q2" s="97"/>
      <c r="R2" s="98"/>
    </row>
    <row r="3" spans="1:21" ht="28.95" customHeight="1" x14ac:dyDescent="0.3">
      <c r="N3" s="38"/>
      <c r="O3" s="38"/>
      <c r="P3" s="38"/>
      <c r="Q3" s="38"/>
      <c r="R3" s="38"/>
      <c r="S3" s="38"/>
    </row>
    <row r="4" spans="1:21" ht="54.6" thickBot="1" x14ac:dyDescent="0.4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2" t="s">
        <v>10</v>
      </c>
      <c r="H4" s="2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37" t="s">
        <v>17</v>
      </c>
      <c r="O4" s="37" t="s">
        <v>18</v>
      </c>
      <c r="P4" s="37" t="s">
        <v>19</v>
      </c>
      <c r="Q4" s="37" t="s">
        <v>20</v>
      </c>
      <c r="R4" s="37" t="s">
        <v>244</v>
      </c>
      <c r="S4" s="37" t="s">
        <v>243</v>
      </c>
      <c r="T4" s="1" t="s">
        <v>21</v>
      </c>
      <c r="U4" s="3" t="s">
        <v>22</v>
      </c>
    </row>
    <row r="5" spans="1:21" ht="18.600000000000001" thickTop="1" x14ac:dyDescent="0.35">
      <c r="A5" s="4">
        <v>1</v>
      </c>
      <c r="B5" s="4">
        <v>52954707</v>
      </c>
      <c r="C5" s="5" t="s">
        <v>23</v>
      </c>
      <c r="D5" s="6" t="s">
        <v>24</v>
      </c>
      <c r="E5" s="4">
        <v>0</v>
      </c>
      <c r="F5" s="4" t="s">
        <v>25</v>
      </c>
      <c r="G5" s="7">
        <v>45961</v>
      </c>
      <c r="H5" s="8" t="s">
        <v>26</v>
      </c>
      <c r="I5" s="9">
        <v>13</v>
      </c>
      <c r="J5" s="4" t="s">
        <v>27</v>
      </c>
      <c r="K5" s="4" t="s">
        <v>28</v>
      </c>
      <c r="L5" s="10">
        <v>8143.6072500000009</v>
      </c>
      <c r="M5" s="11" t="s">
        <v>26</v>
      </c>
      <c r="N5" s="31" t="s">
        <v>26</v>
      </c>
      <c r="O5" s="32">
        <v>46009</v>
      </c>
      <c r="P5" s="32">
        <v>46017</v>
      </c>
      <c r="Q5" s="32">
        <v>46017</v>
      </c>
      <c r="R5" s="68"/>
      <c r="S5" s="68" t="s">
        <v>26</v>
      </c>
      <c r="T5" s="12" t="s">
        <v>29</v>
      </c>
      <c r="U5" s="13" t="s">
        <v>30</v>
      </c>
    </row>
    <row r="6" spans="1:21" ht="18" x14ac:dyDescent="0.35">
      <c r="A6" s="14">
        <v>2</v>
      </c>
      <c r="B6" s="14">
        <v>24099925</v>
      </c>
      <c r="C6" s="5" t="s">
        <v>31</v>
      </c>
      <c r="D6" s="6" t="s">
        <v>32</v>
      </c>
      <c r="E6" s="14">
        <v>0</v>
      </c>
      <c r="F6" s="14" t="s">
        <v>25</v>
      </c>
      <c r="G6" s="15">
        <v>45964</v>
      </c>
      <c r="H6" s="16" t="s">
        <v>26</v>
      </c>
      <c r="I6" s="17">
        <v>10</v>
      </c>
      <c r="J6" s="14" t="s">
        <v>33</v>
      </c>
      <c r="K6" s="14" t="s">
        <v>34</v>
      </c>
      <c r="L6" s="18">
        <v>7971.7350000000006</v>
      </c>
      <c r="M6" s="19" t="s">
        <v>26</v>
      </c>
      <c r="N6" s="33" t="s">
        <v>26</v>
      </c>
      <c r="O6" s="34">
        <v>46009</v>
      </c>
      <c r="P6" s="32">
        <v>46020</v>
      </c>
      <c r="Q6" s="32">
        <v>46020</v>
      </c>
      <c r="R6" s="68"/>
      <c r="S6" s="68" t="s">
        <v>26</v>
      </c>
      <c r="T6" s="12" t="s">
        <v>29</v>
      </c>
      <c r="U6" s="13" t="s">
        <v>30</v>
      </c>
    </row>
    <row r="7" spans="1:21" ht="18" x14ac:dyDescent="0.35">
      <c r="A7" s="14">
        <v>3</v>
      </c>
      <c r="B7" s="14">
        <v>52954705</v>
      </c>
      <c r="C7" s="5" t="s">
        <v>35</v>
      </c>
      <c r="D7" s="6" t="s">
        <v>36</v>
      </c>
      <c r="E7" s="14">
        <v>0</v>
      </c>
      <c r="F7" s="14" t="s">
        <v>25</v>
      </c>
      <c r="G7" s="15">
        <v>45961</v>
      </c>
      <c r="H7" s="16" t="s">
        <v>26</v>
      </c>
      <c r="I7" s="17">
        <v>13</v>
      </c>
      <c r="J7" s="14" t="s">
        <v>27</v>
      </c>
      <c r="K7" s="14" t="s">
        <v>28</v>
      </c>
      <c r="L7" s="18">
        <v>6232.719000000001</v>
      </c>
      <c r="M7" s="19" t="s">
        <v>26</v>
      </c>
      <c r="N7" s="33" t="s">
        <v>26</v>
      </c>
      <c r="O7" s="34">
        <v>46012</v>
      </c>
      <c r="P7" s="34">
        <v>46022</v>
      </c>
      <c r="Q7" s="34">
        <v>46022</v>
      </c>
      <c r="R7" s="68"/>
      <c r="S7" s="68" t="s">
        <v>26</v>
      </c>
      <c r="T7" s="12" t="s">
        <v>29</v>
      </c>
      <c r="U7" s="13" t="s">
        <v>37</v>
      </c>
    </row>
    <row r="8" spans="1:21" ht="18" x14ac:dyDescent="0.35">
      <c r="A8" s="14">
        <v>4</v>
      </c>
      <c r="B8" s="14">
        <v>24104813</v>
      </c>
      <c r="C8" s="5" t="s">
        <v>38</v>
      </c>
      <c r="D8" s="6" t="s">
        <v>39</v>
      </c>
      <c r="E8" s="14">
        <v>0</v>
      </c>
      <c r="F8" s="14" t="s">
        <v>25</v>
      </c>
      <c r="G8" s="15">
        <v>45964</v>
      </c>
      <c r="H8" s="16" t="s">
        <v>26</v>
      </c>
      <c r="I8" s="17">
        <v>15</v>
      </c>
      <c r="J8" s="14" t="s">
        <v>33</v>
      </c>
      <c r="K8" s="14" t="s">
        <v>34</v>
      </c>
      <c r="L8" s="18">
        <v>8590.5</v>
      </c>
      <c r="M8" s="19" t="s">
        <v>26</v>
      </c>
      <c r="N8" s="33" t="s">
        <v>26</v>
      </c>
      <c r="O8" s="34">
        <v>46015</v>
      </c>
      <c r="P8" s="34">
        <v>46022</v>
      </c>
      <c r="Q8" s="34">
        <v>46022</v>
      </c>
      <c r="R8" s="68"/>
      <c r="S8" s="68" t="s">
        <v>26</v>
      </c>
      <c r="T8" s="12" t="s">
        <v>29</v>
      </c>
      <c r="U8" s="13"/>
    </row>
    <row r="9" spans="1:21" ht="18" x14ac:dyDescent="0.35">
      <c r="A9" s="14">
        <v>5</v>
      </c>
      <c r="B9" s="14">
        <v>52954701</v>
      </c>
      <c r="C9" s="5" t="s">
        <v>40</v>
      </c>
      <c r="D9" s="6" t="s">
        <v>41</v>
      </c>
      <c r="E9" s="14">
        <v>0</v>
      </c>
      <c r="F9" s="14" t="s">
        <v>25</v>
      </c>
      <c r="G9" s="15">
        <v>45964</v>
      </c>
      <c r="H9" s="16" t="s">
        <v>26</v>
      </c>
      <c r="I9" s="17">
        <v>14</v>
      </c>
      <c r="J9" s="14" t="s">
        <v>27</v>
      </c>
      <c r="K9" s="14" t="s">
        <v>28</v>
      </c>
      <c r="L9" s="18">
        <v>8378.1652500000018</v>
      </c>
      <c r="M9" s="19" t="s">
        <v>26</v>
      </c>
      <c r="N9" s="33" t="s">
        <v>26</v>
      </c>
      <c r="O9" s="34">
        <v>46019</v>
      </c>
      <c r="P9" s="34">
        <v>46031</v>
      </c>
      <c r="Q9" s="34">
        <v>46030</v>
      </c>
      <c r="R9" s="68"/>
      <c r="S9" s="68" t="s">
        <v>26</v>
      </c>
      <c r="T9" s="12" t="s">
        <v>29</v>
      </c>
      <c r="U9" s="13"/>
    </row>
    <row r="10" spans="1:21" ht="18" x14ac:dyDescent="0.35">
      <c r="A10" s="4">
        <v>6</v>
      </c>
      <c r="B10" s="14">
        <v>24104818</v>
      </c>
      <c r="C10" s="5" t="s">
        <v>42</v>
      </c>
      <c r="D10" s="6" t="s">
        <v>43</v>
      </c>
      <c r="E10" s="14">
        <v>0</v>
      </c>
      <c r="F10" s="14" t="s">
        <v>25</v>
      </c>
      <c r="G10" s="15">
        <v>45964</v>
      </c>
      <c r="H10" s="16" t="s">
        <v>26</v>
      </c>
      <c r="I10" s="17">
        <v>15</v>
      </c>
      <c r="J10" s="14" t="s">
        <v>33</v>
      </c>
      <c r="K10" s="14" t="s">
        <v>34</v>
      </c>
      <c r="L10" s="18">
        <v>8590.5</v>
      </c>
      <c r="M10" s="19" t="s">
        <v>26</v>
      </c>
      <c r="N10" s="33" t="s">
        <v>26</v>
      </c>
      <c r="O10" s="34">
        <v>46020</v>
      </c>
      <c r="P10" s="34">
        <v>46031</v>
      </c>
      <c r="Q10" s="34">
        <v>46030</v>
      </c>
      <c r="R10" s="68"/>
      <c r="S10" s="68" t="s">
        <v>26</v>
      </c>
      <c r="T10" s="12" t="s">
        <v>29</v>
      </c>
      <c r="U10" s="13"/>
    </row>
    <row r="11" spans="1:21" ht="18" x14ac:dyDescent="0.35">
      <c r="A11" s="14">
        <v>7</v>
      </c>
      <c r="B11" s="14">
        <v>24116019</v>
      </c>
      <c r="C11" s="5" t="s">
        <v>44</v>
      </c>
      <c r="D11" s="6" t="s">
        <v>45</v>
      </c>
      <c r="E11" s="14">
        <v>0</v>
      </c>
      <c r="F11" s="14" t="s">
        <v>25</v>
      </c>
      <c r="G11" s="15">
        <v>45964</v>
      </c>
      <c r="H11" s="16" t="s">
        <v>26</v>
      </c>
      <c r="I11" s="17">
        <v>11</v>
      </c>
      <c r="J11" s="14" t="s">
        <v>33</v>
      </c>
      <c r="K11" s="14" t="s">
        <v>34</v>
      </c>
      <c r="L11" s="18">
        <v>8200.0680000000011</v>
      </c>
      <c r="M11" s="19" t="s">
        <v>26</v>
      </c>
      <c r="N11" s="33" t="s">
        <v>26</v>
      </c>
      <c r="O11" s="34">
        <v>46020</v>
      </c>
      <c r="P11" s="34">
        <v>46034</v>
      </c>
      <c r="Q11" s="34">
        <v>46030</v>
      </c>
      <c r="R11" s="68"/>
      <c r="S11" s="68" t="s">
        <v>26</v>
      </c>
      <c r="T11" s="12" t="s">
        <v>29</v>
      </c>
      <c r="U11" s="13"/>
    </row>
    <row r="12" spans="1:21" ht="18" x14ac:dyDescent="0.35">
      <c r="A12" s="14">
        <v>8</v>
      </c>
      <c r="B12" s="14">
        <v>24099911</v>
      </c>
      <c r="C12" s="5" t="s">
        <v>46</v>
      </c>
      <c r="D12" s="6" t="s">
        <v>47</v>
      </c>
      <c r="E12" s="14">
        <v>0</v>
      </c>
      <c r="F12" s="14" t="s">
        <v>25</v>
      </c>
      <c r="G12" s="15">
        <v>45964</v>
      </c>
      <c r="H12" s="16" t="s">
        <v>26</v>
      </c>
      <c r="I12" s="17">
        <v>14</v>
      </c>
      <c r="J12" s="14" t="s">
        <v>33</v>
      </c>
      <c r="K12" s="14" t="s">
        <v>34</v>
      </c>
      <c r="L12" s="18">
        <v>8505.84</v>
      </c>
      <c r="M12" s="19" t="s">
        <v>48</v>
      </c>
      <c r="N12" s="33" t="s">
        <v>26</v>
      </c>
      <c r="O12" s="34">
        <v>46020</v>
      </c>
      <c r="P12" s="34">
        <v>46039</v>
      </c>
      <c r="Q12" s="34">
        <v>46032</v>
      </c>
      <c r="R12" s="68"/>
      <c r="S12" s="68" t="s">
        <v>26</v>
      </c>
      <c r="T12" s="12" t="s">
        <v>29</v>
      </c>
      <c r="U12" s="13"/>
    </row>
    <row r="13" spans="1:21" ht="18" x14ac:dyDescent="0.35">
      <c r="A13" s="14">
        <v>9</v>
      </c>
      <c r="B13" s="14">
        <v>52954697</v>
      </c>
      <c r="C13" s="5" t="s">
        <v>49</v>
      </c>
      <c r="D13" s="6" t="s">
        <v>50</v>
      </c>
      <c r="E13" s="14">
        <v>0</v>
      </c>
      <c r="F13" s="14" t="s">
        <v>25</v>
      </c>
      <c r="G13" s="15">
        <v>45964</v>
      </c>
      <c r="H13" s="16" t="s">
        <v>26</v>
      </c>
      <c r="I13" s="17">
        <v>14</v>
      </c>
      <c r="J13" s="14" t="s">
        <v>27</v>
      </c>
      <c r="K13" s="14" t="s">
        <v>28</v>
      </c>
      <c r="L13" s="18">
        <v>8495.1952500000007</v>
      </c>
      <c r="M13" s="19" t="s">
        <v>48</v>
      </c>
      <c r="N13" s="33" t="s">
        <v>26</v>
      </c>
      <c r="O13" s="34">
        <v>46032</v>
      </c>
      <c r="P13" s="34">
        <v>46039</v>
      </c>
      <c r="Q13" s="34">
        <v>46037</v>
      </c>
      <c r="R13" s="68"/>
      <c r="S13" s="68" t="s">
        <v>26</v>
      </c>
      <c r="T13" s="12" t="s">
        <v>29</v>
      </c>
      <c r="U13" s="13"/>
    </row>
    <row r="14" spans="1:21" ht="29.4" x14ac:dyDescent="0.35">
      <c r="A14" s="14">
        <v>10</v>
      </c>
      <c r="B14" s="17">
        <v>24099879</v>
      </c>
      <c r="C14" s="5" t="s">
        <v>51</v>
      </c>
      <c r="D14" s="6" t="s">
        <v>52</v>
      </c>
      <c r="E14" s="14">
        <v>0</v>
      </c>
      <c r="F14" s="14" t="s">
        <v>25</v>
      </c>
      <c r="G14" s="15">
        <v>45964</v>
      </c>
      <c r="H14" s="16" t="s">
        <v>26</v>
      </c>
      <c r="I14" s="17">
        <v>14</v>
      </c>
      <c r="J14" s="14" t="s">
        <v>33</v>
      </c>
      <c r="K14" s="14" t="s">
        <v>34</v>
      </c>
      <c r="L14" s="18">
        <v>8505.84</v>
      </c>
      <c r="M14" s="19" t="s">
        <v>48</v>
      </c>
      <c r="N14" s="33" t="s">
        <v>26</v>
      </c>
      <c r="O14" s="34">
        <v>46035</v>
      </c>
      <c r="P14" s="34">
        <v>46039</v>
      </c>
      <c r="Q14" s="34">
        <v>46037</v>
      </c>
      <c r="R14" s="68"/>
      <c r="S14" s="68" t="s">
        <v>26</v>
      </c>
      <c r="T14" s="12" t="s">
        <v>29</v>
      </c>
      <c r="U14" s="20" t="s">
        <v>53</v>
      </c>
    </row>
    <row r="15" spans="1:21" ht="29.4" x14ac:dyDescent="0.35">
      <c r="A15" s="4">
        <v>11</v>
      </c>
      <c r="B15" s="14">
        <v>52963984</v>
      </c>
      <c r="C15" s="5" t="s">
        <v>54</v>
      </c>
      <c r="D15" s="6" t="s">
        <v>55</v>
      </c>
      <c r="E15" s="14">
        <v>0</v>
      </c>
      <c r="F15" s="14" t="s">
        <v>25</v>
      </c>
      <c r="G15" s="15">
        <v>45965</v>
      </c>
      <c r="H15" s="16" t="s">
        <v>26</v>
      </c>
      <c r="I15" s="17">
        <v>13</v>
      </c>
      <c r="J15" s="14" t="s">
        <v>27</v>
      </c>
      <c r="K15" s="14" t="s">
        <v>28</v>
      </c>
      <c r="L15" s="21">
        <v>8494.3860000000004</v>
      </c>
      <c r="M15" s="19" t="s">
        <v>48</v>
      </c>
      <c r="N15" s="33" t="s">
        <v>26</v>
      </c>
      <c r="O15" s="34">
        <v>46038</v>
      </c>
      <c r="P15" s="34">
        <v>46045</v>
      </c>
      <c r="Q15" s="34">
        <v>46044</v>
      </c>
      <c r="R15" s="68"/>
      <c r="S15" s="68" t="s">
        <v>26</v>
      </c>
      <c r="T15" s="12" t="s">
        <v>29</v>
      </c>
      <c r="U15" s="20" t="s">
        <v>56</v>
      </c>
    </row>
    <row r="16" spans="1:21" ht="29.4" x14ac:dyDescent="0.35">
      <c r="A16" s="14">
        <v>12</v>
      </c>
      <c r="B16" s="14">
        <v>52963980</v>
      </c>
      <c r="C16" s="5" t="s">
        <v>57</v>
      </c>
      <c r="D16" s="6" t="s">
        <v>58</v>
      </c>
      <c r="E16" s="14">
        <v>1</v>
      </c>
      <c r="F16" s="14" t="s">
        <v>25</v>
      </c>
      <c r="G16" s="15">
        <v>45965</v>
      </c>
      <c r="H16" s="16" t="s">
        <v>26</v>
      </c>
      <c r="I16" s="17">
        <v>14</v>
      </c>
      <c r="J16" s="14" t="s">
        <v>27</v>
      </c>
      <c r="K16" s="14" t="s">
        <v>28</v>
      </c>
      <c r="L16" s="18">
        <v>8982.9862499999999</v>
      </c>
      <c r="M16" s="19" t="s">
        <v>48</v>
      </c>
      <c r="N16" s="33" t="s">
        <v>26</v>
      </c>
      <c r="O16" s="34">
        <v>45677</v>
      </c>
      <c r="P16" s="34">
        <v>46045</v>
      </c>
      <c r="Q16" s="34">
        <v>46044</v>
      </c>
      <c r="R16" s="68"/>
      <c r="S16" s="68" t="s">
        <v>26</v>
      </c>
      <c r="T16" s="12" t="s">
        <v>29</v>
      </c>
      <c r="U16" s="20" t="s">
        <v>59</v>
      </c>
    </row>
    <row r="17" spans="1:21" ht="18" x14ac:dyDescent="0.35">
      <c r="A17" s="14">
        <v>13</v>
      </c>
      <c r="B17" s="5">
        <v>52952099</v>
      </c>
      <c r="C17" s="5" t="s">
        <v>60</v>
      </c>
      <c r="D17" s="6" t="s">
        <v>61</v>
      </c>
      <c r="E17" s="5">
        <v>0</v>
      </c>
      <c r="F17" s="5" t="s">
        <v>62</v>
      </c>
      <c r="G17" s="22">
        <v>45970</v>
      </c>
      <c r="H17" s="5" t="s">
        <v>26</v>
      </c>
      <c r="I17" s="17">
        <v>13</v>
      </c>
      <c r="J17" s="5" t="s">
        <v>63</v>
      </c>
      <c r="K17" s="5" t="s">
        <v>28</v>
      </c>
      <c r="L17" s="23">
        <v>8429.8950000000004</v>
      </c>
      <c r="M17" s="19" t="s">
        <v>26</v>
      </c>
      <c r="N17" s="33" t="s">
        <v>26</v>
      </c>
      <c r="O17" s="34">
        <v>46042</v>
      </c>
      <c r="P17" s="34">
        <v>46053</v>
      </c>
      <c r="Q17" s="34">
        <v>46045</v>
      </c>
      <c r="R17" s="69"/>
      <c r="S17" s="68" t="s">
        <v>26</v>
      </c>
      <c r="T17" s="24" t="s">
        <v>29</v>
      </c>
      <c r="U17" s="13"/>
    </row>
    <row r="18" spans="1:21" ht="18" x14ac:dyDescent="0.35">
      <c r="A18" s="14">
        <v>14</v>
      </c>
      <c r="B18" s="5">
        <v>24092839</v>
      </c>
      <c r="C18" s="5" t="s">
        <v>64</v>
      </c>
      <c r="D18" s="6" t="s">
        <v>65</v>
      </c>
      <c r="E18" s="5">
        <v>0</v>
      </c>
      <c r="F18" s="5" t="s">
        <v>62</v>
      </c>
      <c r="G18" s="22">
        <v>45970</v>
      </c>
      <c r="H18" s="5" t="s">
        <v>26</v>
      </c>
      <c r="I18" s="17">
        <v>14</v>
      </c>
      <c r="J18" s="5" t="s">
        <v>33</v>
      </c>
      <c r="K18" s="5" t="s">
        <v>34</v>
      </c>
      <c r="L18" s="23">
        <v>8505.84</v>
      </c>
      <c r="M18" s="19" t="s">
        <v>26</v>
      </c>
      <c r="N18" s="33" t="s">
        <v>26</v>
      </c>
      <c r="O18" s="34">
        <v>46045</v>
      </c>
      <c r="P18" s="34">
        <v>46048</v>
      </c>
      <c r="Q18" s="34">
        <v>46048</v>
      </c>
      <c r="R18" s="68"/>
      <c r="S18" s="68" t="s">
        <v>26</v>
      </c>
      <c r="T18" s="12" t="s">
        <v>29</v>
      </c>
      <c r="U18" s="13"/>
    </row>
    <row r="19" spans="1:21" ht="29.4" x14ac:dyDescent="0.35">
      <c r="A19" s="14">
        <v>15</v>
      </c>
      <c r="B19" s="5">
        <v>24092848</v>
      </c>
      <c r="C19" s="5" t="s">
        <v>66</v>
      </c>
      <c r="D19" s="6" t="s">
        <v>67</v>
      </c>
      <c r="E19" s="5">
        <v>0</v>
      </c>
      <c r="F19" s="5" t="s">
        <v>62</v>
      </c>
      <c r="G19" s="22">
        <v>45970</v>
      </c>
      <c r="H19" s="5" t="s">
        <v>26</v>
      </c>
      <c r="I19" s="17">
        <v>14</v>
      </c>
      <c r="J19" s="5" t="s">
        <v>33</v>
      </c>
      <c r="K19" s="5" t="s">
        <v>34</v>
      </c>
      <c r="L19" s="23">
        <v>8505.84</v>
      </c>
      <c r="M19" s="19" t="s">
        <v>48</v>
      </c>
      <c r="N19" s="33" t="s">
        <v>26</v>
      </c>
      <c r="O19" s="34">
        <v>46048</v>
      </c>
      <c r="P19" s="34">
        <v>46066</v>
      </c>
      <c r="Q19" s="34">
        <v>46064</v>
      </c>
      <c r="R19" s="69"/>
      <c r="S19" s="68" t="s">
        <v>26</v>
      </c>
      <c r="T19" s="24" t="s">
        <v>29</v>
      </c>
      <c r="U19" s="20" t="s">
        <v>68</v>
      </c>
    </row>
    <row r="20" spans="1:21" ht="18" x14ac:dyDescent="0.35">
      <c r="A20" s="4">
        <v>16</v>
      </c>
      <c r="B20" s="5">
        <v>52970942</v>
      </c>
      <c r="C20" s="5" t="s">
        <v>69</v>
      </c>
      <c r="D20" s="6" t="s">
        <v>70</v>
      </c>
      <c r="E20" s="5">
        <v>0</v>
      </c>
      <c r="F20" s="5" t="s">
        <v>71</v>
      </c>
      <c r="G20" s="22">
        <v>45985</v>
      </c>
      <c r="H20" s="5" t="s">
        <v>26</v>
      </c>
      <c r="I20" s="17">
        <v>13</v>
      </c>
      <c r="J20" s="5" t="s">
        <v>72</v>
      </c>
      <c r="K20" s="5" t="s">
        <v>73</v>
      </c>
      <c r="L20" s="23">
        <v>7806.1500000000005</v>
      </c>
      <c r="M20" s="19" t="s">
        <v>26</v>
      </c>
      <c r="N20" s="33" t="s">
        <v>26</v>
      </c>
      <c r="O20" s="34">
        <v>46058</v>
      </c>
      <c r="P20" s="34">
        <v>46077</v>
      </c>
      <c r="Q20" s="35">
        <v>46070</v>
      </c>
      <c r="R20" s="69"/>
      <c r="S20" s="68" t="s">
        <v>26</v>
      </c>
      <c r="T20" s="24" t="s">
        <v>29</v>
      </c>
      <c r="U20" s="13"/>
    </row>
    <row r="21" spans="1:21" ht="18" x14ac:dyDescent="0.35">
      <c r="A21" s="14">
        <v>17</v>
      </c>
      <c r="B21" s="5">
        <v>52970945</v>
      </c>
      <c r="C21" s="5" t="s">
        <v>74</v>
      </c>
      <c r="D21" s="6" t="s">
        <v>75</v>
      </c>
      <c r="E21" s="5">
        <v>0</v>
      </c>
      <c r="F21" s="5" t="s">
        <v>71</v>
      </c>
      <c r="G21" s="22">
        <v>45985</v>
      </c>
      <c r="H21" s="5" t="s">
        <v>26</v>
      </c>
      <c r="I21" s="17">
        <v>13</v>
      </c>
      <c r="J21" s="5" t="s">
        <v>72</v>
      </c>
      <c r="K21" s="5" t="s">
        <v>73</v>
      </c>
      <c r="L21" s="23">
        <v>8255.0969999999998</v>
      </c>
      <c r="M21" s="19" t="s">
        <v>26</v>
      </c>
      <c r="N21" s="33" t="s">
        <v>26</v>
      </c>
      <c r="O21" s="34">
        <v>46054</v>
      </c>
      <c r="P21" s="34">
        <v>46066</v>
      </c>
      <c r="Q21" s="34">
        <v>46065</v>
      </c>
      <c r="R21" s="69"/>
      <c r="S21" s="68" t="s">
        <v>26</v>
      </c>
      <c r="T21" s="24" t="s">
        <v>29</v>
      </c>
      <c r="U21" s="13"/>
    </row>
    <row r="22" spans="1:21" ht="18" x14ac:dyDescent="0.35">
      <c r="A22" s="14">
        <v>18</v>
      </c>
      <c r="B22" s="5">
        <v>52970947</v>
      </c>
      <c r="C22" s="5" t="s">
        <v>76</v>
      </c>
      <c r="D22" s="6" t="s">
        <v>77</v>
      </c>
      <c r="E22" s="5">
        <v>0</v>
      </c>
      <c r="F22" s="5" t="s">
        <v>71</v>
      </c>
      <c r="G22" s="22">
        <v>45985</v>
      </c>
      <c r="H22" s="5" t="s">
        <v>26</v>
      </c>
      <c r="I22" s="17">
        <v>13</v>
      </c>
      <c r="J22" s="5" t="s">
        <v>72</v>
      </c>
      <c r="K22" s="5" t="s">
        <v>73</v>
      </c>
      <c r="L22" s="23">
        <v>7923.1800000000012</v>
      </c>
      <c r="M22" s="19" t="s">
        <v>26</v>
      </c>
      <c r="N22" s="33" t="s">
        <v>26</v>
      </c>
      <c r="O22" s="36">
        <v>46070</v>
      </c>
      <c r="P22" s="34">
        <v>46077</v>
      </c>
      <c r="Q22" s="35">
        <v>46070</v>
      </c>
      <c r="R22" s="69"/>
      <c r="S22" s="68" t="s">
        <v>26</v>
      </c>
      <c r="T22" s="24" t="s">
        <v>29</v>
      </c>
      <c r="U22" s="13"/>
    </row>
    <row r="23" spans="1:21" ht="18" x14ac:dyDescent="0.35">
      <c r="A23" s="14">
        <v>19</v>
      </c>
      <c r="B23" s="5">
        <v>52970948</v>
      </c>
      <c r="C23" s="5" t="s">
        <v>78</v>
      </c>
      <c r="D23" s="6" t="s">
        <v>79</v>
      </c>
      <c r="E23" s="5">
        <v>0</v>
      </c>
      <c r="F23" s="5" t="s">
        <v>71</v>
      </c>
      <c r="G23" s="22">
        <v>45985</v>
      </c>
      <c r="H23" s="5" t="s">
        <v>26</v>
      </c>
      <c r="I23" s="17">
        <v>13</v>
      </c>
      <c r="J23" s="5" t="s">
        <v>72</v>
      </c>
      <c r="K23" s="5" t="s">
        <v>73</v>
      </c>
      <c r="L23" s="23">
        <v>8260.8240000000005</v>
      </c>
      <c r="M23" s="19" t="s">
        <v>26</v>
      </c>
      <c r="N23" s="33" t="s">
        <v>26</v>
      </c>
      <c r="O23" s="34">
        <v>46060</v>
      </c>
      <c r="P23" s="34">
        <v>46064</v>
      </c>
      <c r="Q23" s="34">
        <v>46065</v>
      </c>
      <c r="R23" s="69"/>
      <c r="S23" s="68" t="s">
        <v>26</v>
      </c>
      <c r="T23" s="24" t="s">
        <v>29</v>
      </c>
      <c r="U23" s="13"/>
    </row>
    <row r="24" spans="1:21" ht="18" x14ac:dyDescent="0.35">
      <c r="A24" s="14">
        <v>23</v>
      </c>
      <c r="B24" s="5">
        <v>24160596</v>
      </c>
      <c r="C24" s="5" t="s">
        <v>87</v>
      </c>
      <c r="D24" s="6" t="s">
        <v>88</v>
      </c>
      <c r="E24" s="5">
        <v>0</v>
      </c>
      <c r="F24" s="13"/>
      <c r="G24" s="15">
        <v>46022</v>
      </c>
      <c r="H24" s="13"/>
      <c r="I24" s="13"/>
      <c r="J24" s="14" t="s">
        <v>89</v>
      </c>
      <c r="K24" s="5" t="s">
        <v>90</v>
      </c>
      <c r="L24" s="61">
        <v>7461.2850000000008</v>
      </c>
      <c r="M24" s="53" t="s">
        <v>26</v>
      </c>
      <c r="N24" s="64" t="s">
        <v>26</v>
      </c>
      <c r="O24" s="65">
        <v>46062</v>
      </c>
      <c r="P24" s="34">
        <v>46063</v>
      </c>
      <c r="Q24" s="48">
        <v>46086</v>
      </c>
      <c r="R24" s="69"/>
      <c r="S24" s="68" t="s">
        <v>26</v>
      </c>
      <c r="T24" s="24" t="s">
        <v>29</v>
      </c>
      <c r="U24" s="13" t="s">
        <v>82</v>
      </c>
    </row>
    <row r="25" spans="1:21" ht="18" x14ac:dyDescent="0.35">
      <c r="A25" s="4">
        <v>21</v>
      </c>
      <c r="B25" s="5">
        <v>52971845</v>
      </c>
      <c r="C25" s="5" t="s">
        <v>83</v>
      </c>
      <c r="D25" s="6" t="s">
        <v>84</v>
      </c>
      <c r="E25" s="5">
        <v>0</v>
      </c>
      <c r="F25" s="5" t="s">
        <v>62</v>
      </c>
      <c r="G25" s="22">
        <v>45985</v>
      </c>
      <c r="H25" s="5" t="s">
        <v>26</v>
      </c>
      <c r="I25" s="17">
        <v>12</v>
      </c>
      <c r="J25" s="5" t="s">
        <v>63</v>
      </c>
      <c r="K25" s="5" t="s">
        <v>28</v>
      </c>
      <c r="L25" s="23">
        <v>8202.0600000000013</v>
      </c>
      <c r="M25" s="19" t="s">
        <v>26</v>
      </c>
      <c r="N25" s="33" t="s">
        <v>26</v>
      </c>
      <c r="O25" s="34">
        <v>46059</v>
      </c>
      <c r="P25" s="34">
        <v>46066</v>
      </c>
      <c r="Q25" s="34">
        <v>46066</v>
      </c>
      <c r="R25" s="69"/>
      <c r="S25" s="68" t="s">
        <v>26</v>
      </c>
      <c r="T25" s="24" t="s">
        <v>29</v>
      </c>
      <c r="U25" s="13"/>
    </row>
    <row r="26" spans="1:21" ht="18" x14ac:dyDescent="0.35">
      <c r="A26" s="14">
        <v>24</v>
      </c>
      <c r="B26" s="5">
        <v>24160605</v>
      </c>
      <c r="C26" s="5" t="s">
        <v>91</v>
      </c>
      <c r="D26" s="6" t="s">
        <v>92</v>
      </c>
      <c r="E26" s="5">
        <v>0</v>
      </c>
      <c r="F26" s="13"/>
      <c r="G26" s="15">
        <v>46022</v>
      </c>
      <c r="H26" s="13"/>
      <c r="I26" s="13"/>
      <c r="J26" s="14" t="s">
        <v>89</v>
      </c>
      <c r="K26" s="5" t="s">
        <v>90</v>
      </c>
      <c r="L26" s="63">
        <v>7461.2850000000008</v>
      </c>
      <c r="M26" s="53" t="s">
        <v>26</v>
      </c>
      <c r="N26" s="64" t="s">
        <v>26</v>
      </c>
      <c r="O26" s="65">
        <v>46062</v>
      </c>
      <c r="P26" s="48">
        <v>46063</v>
      </c>
      <c r="Q26" s="48">
        <v>46086</v>
      </c>
      <c r="R26" s="70"/>
      <c r="S26" s="68" t="s">
        <v>26</v>
      </c>
      <c r="T26" s="24" t="s">
        <v>29</v>
      </c>
      <c r="U26" s="13" t="s">
        <v>82</v>
      </c>
    </row>
    <row r="27" spans="1:21" ht="18" x14ac:dyDescent="0.35">
      <c r="A27" s="14">
        <v>25</v>
      </c>
      <c r="B27" s="25">
        <v>24160553</v>
      </c>
      <c r="C27" s="5" t="s">
        <v>93</v>
      </c>
      <c r="D27" s="51" t="s">
        <v>94</v>
      </c>
      <c r="E27" s="5">
        <v>0</v>
      </c>
      <c r="F27" s="26"/>
      <c r="G27" s="15">
        <v>46022</v>
      </c>
      <c r="H27" s="26"/>
      <c r="I27" s="26"/>
      <c r="J27" s="14" t="s">
        <v>89</v>
      </c>
      <c r="K27" s="25" t="s">
        <v>90</v>
      </c>
      <c r="L27" s="21">
        <v>7461.2850000000008</v>
      </c>
      <c r="M27" s="25" t="s">
        <v>26</v>
      </c>
      <c r="N27" s="31" t="s">
        <v>26</v>
      </c>
      <c r="O27" s="49">
        <v>46062</v>
      </c>
      <c r="P27" s="34">
        <v>46063</v>
      </c>
      <c r="Q27" s="48">
        <v>46086</v>
      </c>
      <c r="R27" s="69"/>
      <c r="S27" s="68" t="s">
        <v>26</v>
      </c>
      <c r="T27" s="24" t="s">
        <v>29</v>
      </c>
      <c r="U27" s="13"/>
    </row>
    <row r="28" spans="1:21" ht="18" x14ac:dyDescent="0.35">
      <c r="A28" s="14">
        <v>26</v>
      </c>
      <c r="B28" s="25">
        <v>24160610</v>
      </c>
      <c r="C28" s="5" t="s">
        <v>95</v>
      </c>
      <c r="D28" s="6" t="s">
        <v>96</v>
      </c>
      <c r="E28" s="5">
        <v>0</v>
      </c>
      <c r="F28" s="50"/>
      <c r="G28" s="15">
        <v>46022</v>
      </c>
      <c r="H28" s="50"/>
      <c r="I28" s="50"/>
      <c r="J28" s="14" t="s">
        <v>89</v>
      </c>
      <c r="K28" s="25" t="s">
        <v>90</v>
      </c>
      <c r="L28" s="27">
        <v>7461.2850000000008</v>
      </c>
      <c r="M28" s="25" t="s">
        <v>26</v>
      </c>
      <c r="N28" s="31" t="s">
        <v>26</v>
      </c>
      <c r="O28" s="49">
        <v>46062</v>
      </c>
      <c r="P28" s="34">
        <v>46063</v>
      </c>
      <c r="Q28" s="48">
        <v>46088</v>
      </c>
      <c r="R28" s="69"/>
      <c r="S28" s="68" t="s">
        <v>26</v>
      </c>
      <c r="T28" s="24" t="s">
        <v>29</v>
      </c>
      <c r="U28" s="13"/>
    </row>
    <row r="29" spans="1:21" ht="18" x14ac:dyDescent="0.35">
      <c r="A29" s="14">
        <v>33</v>
      </c>
      <c r="B29" s="25">
        <v>24160657</v>
      </c>
      <c r="C29" s="5" t="s">
        <v>108</v>
      </c>
      <c r="D29" s="6" t="s">
        <v>109</v>
      </c>
      <c r="E29" s="5">
        <v>0</v>
      </c>
      <c r="F29" s="52"/>
      <c r="G29" s="15">
        <v>46022</v>
      </c>
      <c r="H29" s="52"/>
      <c r="I29" s="52"/>
      <c r="J29" s="14" t="s">
        <v>110</v>
      </c>
      <c r="K29" s="25" t="s">
        <v>111</v>
      </c>
      <c r="L29" s="27">
        <v>8505.84</v>
      </c>
      <c r="M29" s="25" t="s">
        <v>26</v>
      </c>
      <c r="N29" s="32" t="s">
        <v>26</v>
      </c>
      <c r="O29" s="49">
        <v>46085</v>
      </c>
      <c r="P29" s="65">
        <v>46087</v>
      </c>
      <c r="Q29" s="48">
        <v>46089</v>
      </c>
      <c r="R29" s="69"/>
      <c r="S29" s="68" t="s">
        <v>26</v>
      </c>
      <c r="T29" s="24" t="s">
        <v>29</v>
      </c>
      <c r="U29" s="13"/>
    </row>
    <row r="30" spans="1:21" ht="18" x14ac:dyDescent="0.35">
      <c r="A30" s="4">
        <v>31</v>
      </c>
      <c r="B30" s="25">
        <v>24160667</v>
      </c>
      <c r="C30" s="5" t="s">
        <v>122</v>
      </c>
      <c r="D30" s="6" t="s">
        <v>123</v>
      </c>
      <c r="E30" s="5">
        <v>0</v>
      </c>
      <c r="F30" s="26"/>
      <c r="G30" s="15">
        <v>46022</v>
      </c>
      <c r="H30" s="26"/>
      <c r="I30" s="26"/>
      <c r="J30" s="14" t="s">
        <v>110</v>
      </c>
      <c r="K30" s="25" t="s">
        <v>111</v>
      </c>
      <c r="L30" s="21">
        <v>8202.0600000000013</v>
      </c>
      <c r="M30" s="25" t="s">
        <v>26</v>
      </c>
      <c r="N30" s="32" t="s">
        <v>26</v>
      </c>
      <c r="O30" s="49">
        <v>46088</v>
      </c>
      <c r="P30" s="65">
        <v>46090</v>
      </c>
      <c r="Q30" s="48">
        <v>46095</v>
      </c>
      <c r="R30" s="69"/>
      <c r="S30" s="68" t="s">
        <v>26</v>
      </c>
      <c r="T30" s="24" t="s">
        <v>29</v>
      </c>
      <c r="U30" s="13"/>
    </row>
    <row r="31" spans="1:21" ht="36" x14ac:dyDescent="0.35">
      <c r="A31" s="14">
        <v>27</v>
      </c>
      <c r="B31" s="25">
        <v>24160612</v>
      </c>
      <c r="C31" s="5" t="s">
        <v>97</v>
      </c>
      <c r="D31" s="83" t="s">
        <v>98</v>
      </c>
      <c r="E31" s="5">
        <v>0</v>
      </c>
      <c r="F31" s="26"/>
      <c r="G31" s="15">
        <v>46022</v>
      </c>
      <c r="H31" s="26"/>
      <c r="I31" s="26"/>
      <c r="J31" s="14" t="s">
        <v>89</v>
      </c>
      <c r="K31" s="25" t="s">
        <v>90</v>
      </c>
      <c r="L31" s="21">
        <v>7350.4800000000005</v>
      </c>
      <c r="M31" s="25" t="s">
        <v>26</v>
      </c>
      <c r="N31" s="31" t="s">
        <v>26</v>
      </c>
      <c r="O31" s="49">
        <v>46055</v>
      </c>
      <c r="P31" s="34">
        <v>46066</v>
      </c>
      <c r="Q31" s="48">
        <v>46066</v>
      </c>
      <c r="R31" s="69"/>
      <c r="S31" s="68" t="s">
        <v>26</v>
      </c>
      <c r="T31" s="24" t="s">
        <v>29</v>
      </c>
      <c r="U31" s="13"/>
    </row>
    <row r="32" spans="1:21" ht="36" x14ac:dyDescent="0.35">
      <c r="A32" s="14">
        <v>28</v>
      </c>
      <c r="B32" s="25">
        <v>24160600</v>
      </c>
      <c r="C32" s="5" t="s">
        <v>99</v>
      </c>
      <c r="D32" s="83" t="s">
        <v>100</v>
      </c>
      <c r="E32" s="5">
        <v>0</v>
      </c>
      <c r="F32" s="26"/>
      <c r="G32" s="15">
        <v>46022</v>
      </c>
      <c r="H32" s="26"/>
      <c r="I32" s="26"/>
      <c r="J32" s="14" t="s">
        <v>89</v>
      </c>
      <c r="K32" s="25" t="s">
        <v>90</v>
      </c>
      <c r="L32" s="21">
        <v>7350.4800000000005</v>
      </c>
      <c r="M32" s="25" t="s">
        <v>26</v>
      </c>
      <c r="N32" s="31" t="s">
        <v>26</v>
      </c>
      <c r="O32" s="49">
        <v>46055</v>
      </c>
      <c r="P32" s="34">
        <v>46066</v>
      </c>
      <c r="Q32" s="48">
        <v>46066</v>
      </c>
      <c r="R32" s="69"/>
      <c r="S32" s="68" t="s">
        <v>26</v>
      </c>
      <c r="T32" s="24" t="s">
        <v>29</v>
      </c>
      <c r="U32" s="13"/>
    </row>
    <row r="33" spans="1:21" ht="18" x14ac:dyDescent="0.35">
      <c r="A33" s="14">
        <v>30</v>
      </c>
      <c r="B33" s="5">
        <v>24160660</v>
      </c>
      <c r="C33" s="5" t="s">
        <v>126</v>
      </c>
      <c r="D33" s="6" t="s">
        <v>127</v>
      </c>
      <c r="E33" s="5">
        <v>0</v>
      </c>
      <c r="F33" s="26"/>
      <c r="G33" s="15">
        <v>46022</v>
      </c>
      <c r="H33" s="26"/>
      <c r="I33" s="26"/>
      <c r="J33" s="14" t="s">
        <v>110</v>
      </c>
      <c r="K33" s="5" t="s">
        <v>111</v>
      </c>
      <c r="L33" s="27">
        <v>8505.84</v>
      </c>
      <c r="M33" s="5" t="s">
        <v>26</v>
      </c>
      <c r="N33" s="48" t="s">
        <v>26</v>
      </c>
      <c r="O33" s="66">
        <v>46089</v>
      </c>
      <c r="P33" s="66">
        <v>46091</v>
      </c>
      <c r="Q33" s="48">
        <v>46095</v>
      </c>
      <c r="R33" s="69"/>
      <c r="S33" s="68" t="s">
        <v>26</v>
      </c>
      <c r="T33" s="24" t="s">
        <v>29</v>
      </c>
      <c r="U33" s="13" t="s">
        <v>242</v>
      </c>
    </row>
    <row r="34" spans="1:21" ht="18" x14ac:dyDescent="0.35">
      <c r="A34" s="14">
        <v>60</v>
      </c>
      <c r="B34" s="14">
        <v>52996151</v>
      </c>
      <c r="C34" s="73" t="s">
        <v>165</v>
      </c>
      <c r="D34" s="6" t="s">
        <v>166</v>
      </c>
      <c r="E34" s="5">
        <v>1</v>
      </c>
      <c r="F34" s="26"/>
      <c r="G34" s="15">
        <v>46056</v>
      </c>
      <c r="H34" s="26"/>
      <c r="I34" s="26"/>
      <c r="J34" s="14" t="s">
        <v>72</v>
      </c>
      <c r="K34" s="5" t="s">
        <v>73</v>
      </c>
      <c r="L34" s="28">
        <v>7455.06</v>
      </c>
      <c r="M34" s="25" t="s">
        <v>26</v>
      </c>
      <c r="N34" s="32">
        <v>46116</v>
      </c>
      <c r="O34" s="48">
        <v>46114</v>
      </c>
      <c r="P34" s="49">
        <v>46116</v>
      </c>
      <c r="Q34" s="48">
        <v>46128</v>
      </c>
      <c r="R34" s="69">
        <f>O34-(14*7)</f>
        <v>46016</v>
      </c>
      <c r="S34" s="68" t="s">
        <v>26</v>
      </c>
      <c r="T34" s="24" t="s">
        <v>29</v>
      </c>
      <c r="U34" s="13"/>
    </row>
    <row r="35" spans="1:21" ht="18" x14ac:dyDescent="0.35">
      <c r="A35" s="14">
        <v>44</v>
      </c>
      <c r="B35" s="76">
        <v>24169135</v>
      </c>
      <c r="C35" s="73" t="s">
        <v>103</v>
      </c>
      <c r="D35" s="6" t="s">
        <v>104</v>
      </c>
      <c r="E35" s="5">
        <v>0</v>
      </c>
      <c r="F35" s="26"/>
      <c r="G35" s="15">
        <v>46032</v>
      </c>
      <c r="H35" s="26"/>
      <c r="I35" s="26"/>
      <c r="J35" s="14" t="s">
        <v>33</v>
      </c>
      <c r="K35" s="5" t="s">
        <v>34</v>
      </c>
      <c r="L35" s="21">
        <v>8202.0600000000013</v>
      </c>
      <c r="M35" s="5" t="s">
        <v>48</v>
      </c>
      <c r="N35" s="48">
        <v>46114</v>
      </c>
      <c r="O35" s="55">
        <v>46115</v>
      </c>
      <c r="P35" s="55">
        <v>46165</v>
      </c>
      <c r="Q35" s="55">
        <f>P35+1</f>
        <v>46166</v>
      </c>
      <c r="R35" s="69"/>
      <c r="S35" s="68" t="s">
        <v>26</v>
      </c>
      <c r="T35" s="24" t="s">
        <v>277</v>
      </c>
      <c r="U35" s="13" t="s">
        <v>272</v>
      </c>
    </row>
    <row r="36" spans="1:21" ht="18" x14ac:dyDescent="0.35">
      <c r="A36" s="14">
        <v>49</v>
      </c>
      <c r="B36" s="14">
        <v>24174781</v>
      </c>
      <c r="C36" s="73" t="s">
        <v>105</v>
      </c>
      <c r="D36" s="6" t="s">
        <v>106</v>
      </c>
      <c r="E36" s="5">
        <v>0</v>
      </c>
      <c r="F36" s="26"/>
      <c r="G36" s="15">
        <v>46042</v>
      </c>
      <c r="H36" s="26"/>
      <c r="I36" s="26"/>
      <c r="J36" s="14" t="s">
        <v>107</v>
      </c>
      <c r="K36" s="5" t="s">
        <v>28</v>
      </c>
      <c r="L36" s="28">
        <v>8505.84</v>
      </c>
      <c r="M36" s="25" t="s">
        <v>26</v>
      </c>
      <c r="N36" s="48">
        <v>46116</v>
      </c>
      <c r="O36" s="48">
        <v>46117</v>
      </c>
      <c r="P36" s="48">
        <v>46119</v>
      </c>
      <c r="Q36" s="48">
        <v>46129</v>
      </c>
      <c r="R36" s="69"/>
      <c r="S36" s="68" t="s">
        <v>26</v>
      </c>
      <c r="T36" s="24" t="s">
        <v>29</v>
      </c>
      <c r="U36" s="13"/>
    </row>
    <row r="37" spans="1:21" ht="18" x14ac:dyDescent="0.35">
      <c r="A37" s="14">
        <v>29</v>
      </c>
      <c r="B37" s="25">
        <v>24160651</v>
      </c>
      <c r="C37" s="5" t="s">
        <v>132</v>
      </c>
      <c r="D37" s="6" t="s">
        <v>133</v>
      </c>
      <c r="E37" s="5">
        <v>0</v>
      </c>
      <c r="F37" s="50"/>
      <c r="G37" s="15">
        <v>46022</v>
      </c>
      <c r="H37" s="50"/>
      <c r="I37" s="50"/>
      <c r="J37" s="14" t="s">
        <v>110</v>
      </c>
      <c r="K37" s="25" t="s">
        <v>111</v>
      </c>
      <c r="L37" s="27">
        <v>8505.84</v>
      </c>
      <c r="M37" s="25" t="s">
        <v>26</v>
      </c>
      <c r="N37" s="31" t="s">
        <v>26</v>
      </c>
      <c r="O37" s="49">
        <v>46082</v>
      </c>
      <c r="P37" s="49">
        <v>46084</v>
      </c>
      <c r="Q37" s="48">
        <v>46088</v>
      </c>
      <c r="R37" s="69"/>
      <c r="S37" s="68" t="s">
        <v>26</v>
      </c>
      <c r="T37" s="24" t="s">
        <v>29</v>
      </c>
      <c r="U37" s="13"/>
    </row>
    <row r="38" spans="1:21" ht="18" x14ac:dyDescent="0.35">
      <c r="A38" s="14">
        <v>54</v>
      </c>
      <c r="B38" s="14">
        <v>24174793</v>
      </c>
      <c r="C38" s="73" t="s">
        <v>112</v>
      </c>
      <c r="D38" s="6" t="s">
        <v>113</v>
      </c>
      <c r="E38" s="5">
        <v>0</v>
      </c>
      <c r="F38" s="26"/>
      <c r="G38" s="15">
        <v>46042</v>
      </c>
      <c r="H38" s="26"/>
      <c r="I38" s="26"/>
      <c r="J38" s="14" t="s">
        <v>107</v>
      </c>
      <c r="K38" s="5" t="s">
        <v>28</v>
      </c>
      <c r="L38" s="28">
        <v>8202.0600000000013</v>
      </c>
      <c r="M38" s="25" t="s">
        <v>26</v>
      </c>
      <c r="N38" s="48">
        <v>46116</v>
      </c>
      <c r="O38" s="48">
        <v>46121</v>
      </c>
      <c r="P38" s="48">
        <v>46123</v>
      </c>
      <c r="Q38" s="48">
        <v>46144</v>
      </c>
      <c r="R38" s="69"/>
      <c r="S38" s="68" t="s">
        <v>26</v>
      </c>
      <c r="T38" s="24" t="s">
        <v>29</v>
      </c>
      <c r="U38" s="13"/>
    </row>
    <row r="39" spans="1:21" ht="18" x14ac:dyDescent="0.35">
      <c r="A39" s="14">
        <v>37</v>
      </c>
      <c r="B39" s="25">
        <v>24160669</v>
      </c>
      <c r="C39" s="73" t="s">
        <v>114</v>
      </c>
      <c r="D39" s="6" t="s">
        <v>115</v>
      </c>
      <c r="E39" s="5">
        <v>0</v>
      </c>
      <c r="F39" s="26"/>
      <c r="G39" s="15">
        <v>46022</v>
      </c>
      <c r="H39" s="26"/>
      <c r="I39" s="26"/>
      <c r="J39" s="14" t="s">
        <v>110</v>
      </c>
      <c r="K39" s="25" t="s">
        <v>111</v>
      </c>
      <c r="L39" s="21">
        <v>8202.0600000000013</v>
      </c>
      <c r="M39" s="25" t="s">
        <v>26</v>
      </c>
      <c r="N39" s="48">
        <v>46116</v>
      </c>
      <c r="O39" s="48">
        <v>46127</v>
      </c>
      <c r="P39" s="48">
        <v>46136</v>
      </c>
      <c r="Q39" s="48">
        <v>46144</v>
      </c>
      <c r="R39" s="69"/>
      <c r="S39" s="68" t="s">
        <v>26</v>
      </c>
      <c r="T39" s="24" t="s">
        <v>29</v>
      </c>
      <c r="U39" s="13"/>
    </row>
    <row r="40" spans="1:21" ht="18" x14ac:dyDescent="0.35">
      <c r="A40" s="14">
        <v>47</v>
      </c>
      <c r="B40" s="14">
        <v>24174777</v>
      </c>
      <c r="C40" s="73" t="s">
        <v>116</v>
      </c>
      <c r="D40" s="6" t="s">
        <v>117</v>
      </c>
      <c r="E40" s="5">
        <v>0</v>
      </c>
      <c r="F40" s="26"/>
      <c r="G40" s="15">
        <v>46042</v>
      </c>
      <c r="H40" s="26"/>
      <c r="I40" s="26"/>
      <c r="J40" s="14" t="s">
        <v>107</v>
      </c>
      <c r="K40" s="5" t="s">
        <v>28</v>
      </c>
      <c r="L40" s="28">
        <v>8505.84</v>
      </c>
      <c r="M40" s="25" t="s">
        <v>26</v>
      </c>
      <c r="N40" s="48">
        <v>46116</v>
      </c>
      <c r="O40" s="48">
        <v>46126</v>
      </c>
      <c r="P40" s="48">
        <v>46128</v>
      </c>
      <c r="Q40" s="48">
        <v>46143</v>
      </c>
      <c r="R40" s="69"/>
      <c r="S40" s="68" t="s">
        <v>26</v>
      </c>
      <c r="T40" s="24" t="s">
        <v>29</v>
      </c>
      <c r="U40" s="13"/>
    </row>
    <row r="41" spans="1:21" ht="18" x14ac:dyDescent="0.35">
      <c r="A41" s="14">
        <v>34</v>
      </c>
      <c r="B41" s="25">
        <v>24160655</v>
      </c>
      <c r="C41" s="73" t="s">
        <v>118</v>
      </c>
      <c r="D41" s="6" t="s">
        <v>119</v>
      </c>
      <c r="E41" s="5">
        <v>0</v>
      </c>
      <c r="F41" s="26"/>
      <c r="G41" s="15">
        <v>46022</v>
      </c>
      <c r="H41" s="26"/>
      <c r="I41" s="26"/>
      <c r="J41" s="14" t="s">
        <v>110</v>
      </c>
      <c r="K41" s="25" t="s">
        <v>111</v>
      </c>
      <c r="L41" s="21">
        <v>8505.84</v>
      </c>
      <c r="M41" s="25" t="s">
        <v>26</v>
      </c>
      <c r="N41" s="48">
        <v>46116</v>
      </c>
      <c r="O41" s="49">
        <v>46128</v>
      </c>
      <c r="P41" s="49">
        <v>46147</v>
      </c>
      <c r="Q41" s="48">
        <v>46161</v>
      </c>
      <c r="R41" s="69"/>
      <c r="S41" s="68" t="s">
        <v>26</v>
      </c>
      <c r="T41" s="24" t="s">
        <v>29</v>
      </c>
      <c r="U41" s="13"/>
    </row>
    <row r="42" spans="1:21" ht="18" x14ac:dyDescent="0.35">
      <c r="A42" s="14">
        <v>53</v>
      </c>
      <c r="B42" s="14">
        <v>24174791</v>
      </c>
      <c r="C42" s="73" t="s">
        <v>120</v>
      </c>
      <c r="D42" s="6" t="s">
        <v>121</v>
      </c>
      <c r="E42" s="5">
        <v>0</v>
      </c>
      <c r="F42" s="26"/>
      <c r="G42" s="15">
        <v>46042</v>
      </c>
      <c r="H42" s="26"/>
      <c r="I42" s="26"/>
      <c r="J42" s="14" t="s">
        <v>107</v>
      </c>
      <c r="K42" s="5" t="s">
        <v>28</v>
      </c>
      <c r="L42" s="28">
        <v>8202.0600000000013</v>
      </c>
      <c r="M42" s="25" t="s">
        <v>26</v>
      </c>
      <c r="N42" s="48">
        <v>46116</v>
      </c>
      <c r="O42" s="49">
        <v>46154</v>
      </c>
      <c r="P42" s="49">
        <v>46159</v>
      </c>
      <c r="Q42" s="48">
        <v>46165</v>
      </c>
      <c r="R42" s="69"/>
      <c r="S42" s="68" t="s">
        <v>26</v>
      </c>
      <c r="T42" s="24" t="s">
        <v>29</v>
      </c>
      <c r="U42" s="13" t="s">
        <v>278</v>
      </c>
    </row>
    <row r="43" spans="1:21" ht="18" x14ac:dyDescent="0.35">
      <c r="A43" s="4">
        <v>32</v>
      </c>
      <c r="B43" s="25">
        <v>24160671</v>
      </c>
      <c r="C43" s="5" t="s">
        <v>159</v>
      </c>
      <c r="D43" s="6" t="s">
        <v>160</v>
      </c>
      <c r="E43" s="5">
        <v>0</v>
      </c>
      <c r="F43" s="26"/>
      <c r="G43" s="15">
        <v>46022</v>
      </c>
      <c r="H43" s="26"/>
      <c r="I43" s="26"/>
      <c r="J43" s="14" t="s">
        <v>110</v>
      </c>
      <c r="K43" s="25" t="s">
        <v>111</v>
      </c>
      <c r="L43" s="27">
        <v>8202.0600000000013</v>
      </c>
      <c r="M43" s="25" t="s">
        <v>26</v>
      </c>
      <c r="N43" s="48" t="s">
        <v>26</v>
      </c>
      <c r="O43" s="49">
        <v>46077</v>
      </c>
      <c r="P43" s="49">
        <v>46080</v>
      </c>
      <c r="Q43" s="48">
        <v>46089</v>
      </c>
      <c r="R43" s="69"/>
      <c r="S43" s="68" t="s">
        <v>26</v>
      </c>
      <c r="T43" s="24" t="s">
        <v>29</v>
      </c>
      <c r="U43" s="13"/>
    </row>
    <row r="44" spans="1:21" ht="18" x14ac:dyDescent="0.35">
      <c r="A44" s="4">
        <v>20</v>
      </c>
      <c r="B44" s="78">
        <v>52970952</v>
      </c>
      <c r="C44" s="73" t="s">
        <v>80</v>
      </c>
      <c r="D44" s="6" t="s">
        <v>81</v>
      </c>
      <c r="E44" s="5">
        <v>0</v>
      </c>
      <c r="F44" s="59" t="s">
        <v>71</v>
      </c>
      <c r="G44" s="22">
        <v>45985</v>
      </c>
      <c r="H44" s="59" t="s">
        <v>26</v>
      </c>
      <c r="I44" s="60">
        <v>12</v>
      </c>
      <c r="J44" s="5" t="s">
        <v>72</v>
      </c>
      <c r="K44" s="5" t="s">
        <v>73</v>
      </c>
      <c r="L44" s="28">
        <v>8055.3990000000013</v>
      </c>
      <c r="M44" s="11" t="s">
        <v>48</v>
      </c>
      <c r="N44" s="55"/>
      <c r="O44" s="56">
        <v>46167</v>
      </c>
      <c r="P44" s="56">
        <v>46170</v>
      </c>
      <c r="Q44" s="55">
        <f>P44+1</f>
        <v>46171</v>
      </c>
      <c r="R44" s="69"/>
      <c r="S44" s="68" t="s">
        <v>26</v>
      </c>
      <c r="T44" s="24" t="s">
        <v>277</v>
      </c>
      <c r="U44" s="13" t="s">
        <v>274</v>
      </c>
    </row>
    <row r="45" spans="1:21" ht="18" x14ac:dyDescent="0.35">
      <c r="A45" s="14">
        <v>22</v>
      </c>
      <c r="B45" s="79">
        <v>24143625</v>
      </c>
      <c r="C45" s="73" t="s">
        <v>85</v>
      </c>
      <c r="D45" s="6" t="s">
        <v>86</v>
      </c>
      <c r="E45" s="5">
        <v>0</v>
      </c>
      <c r="F45" s="59" t="s">
        <v>62</v>
      </c>
      <c r="G45" s="22">
        <v>45994</v>
      </c>
      <c r="H45" s="59" t="s">
        <v>26</v>
      </c>
      <c r="I45" s="60">
        <v>12</v>
      </c>
      <c r="J45" s="5" t="s">
        <v>33</v>
      </c>
      <c r="K45" s="25" t="s">
        <v>34</v>
      </c>
      <c r="L45" s="62">
        <v>8202.0600000000013</v>
      </c>
      <c r="M45" s="11" t="s">
        <v>48</v>
      </c>
      <c r="N45" s="55"/>
      <c r="O45" s="56">
        <v>46170</v>
      </c>
      <c r="P45" s="56">
        <v>46173</v>
      </c>
      <c r="Q45" s="55">
        <f>P45+1</f>
        <v>46174</v>
      </c>
      <c r="R45" s="69"/>
      <c r="S45" s="68" t="s">
        <v>26</v>
      </c>
      <c r="T45" s="24" t="s">
        <v>277</v>
      </c>
      <c r="U45" s="13"/>
    </row>
    <row r="46" spans="1:21" ht="18" x14ac:dyDescent="0.35">
      <c r="A46" s="14">
        <v>43</v>
      </c>
      <c r="B46" s="80">
        <v>24169131</v>
      </c>
      <c r="C46" s="73" t="s">
        <v>101</v>
      </c>
      <c r="D46" s="6" t="s">
        <v>102</v>
      </c>
      <c r="E46" s="5">
        <v>1</v>
      </c>
      <c r="F46" s="26"/>
      <c r="G46" s="15">
        <v>46032</v>
      </c>
      <c r="H46" s="26"/>
      <c r="I46" s="26"/>
      <c r="J46" s="14" t="s">
        <v>33</v>
      </c>
      <c r="K46" s="25" t="s">
        <v>34</v>
      </c>
      <c r="L46" s="21">
        <v>8202.0600000000013</v>
      </c>
      <c r="M46" s="25" t="s">
        <v>48</v>
      </c>
      <c r="N46" s="55"/>
      <c r="O46" s="56">
        <v>46174</v>
      </c>
      <c r="P46" s="56">
        <v>46176</v>
      </c>
      <c r="Q46" s="55">
        <f>P46+1</f>
        <v>46177</v>
      </c>
      <c r="R46" s="69"/>
      <c r="S46" s="68" t="s">
        <v>26</v>
      </c>
      <c r="T46" s="24" t="s">
        <v>277</v>
      </c>
      <c r="U46" s="13"/>
    </row>
    <row r="47" spans="1:21" ht="18" x14ac:dyDescent="0.35">
      <c r="A47" s="14">
        <v>51</v>
      </c>
      <c r="B47" s="14">
        <v>24174787</v>
      </c>
      <c r="C47" s="5" t="s">
        <v>124</v>
      </c>
      <c r="D47" s="6" t="s">
        <v>125</v>
      </c>
      <c r="E47" s="5">
        <v>0</v>
      </c>
      <c r="F47" s="26"/>
      <c r="G47" s="15">
        <v>46042</v>
      </c>
      <c r="H47" s="26"/>
      <c r="I47" s="26"/>
      <c r="J47" s="14" t="s">
        <v>107</v>
      </c>
      <c r="K47" s="5" t="s">
        <v>28</v>
      </c>
      <c r="L47" s="28">
        <v>8505.84</v>
      </c>
      <c r="M47" s="25" t="s">
        <v>26</v>
      </c>
      <c r="N47" s="48" t="s">
        <v>262</v>
      </c>
      <c r="O47" s="66">
        <v>46112</v>
      </c>
      <c r="P47" s="66">
        <v>46114</v>
      </c>
      <c r="Q47" s="48">
        <v>46129</v>
      </c>
      <c r="R47" s="69"/>
      <c r="S47" s="68" t="s">
        <v>26</v>
      </c>
      <c r="T47" s="24" t="s">
        <v>29</v>
      </c>
      <c r="U47" s="13"/>
    </row>
    <row r="48" spans="1:21" ht="18" x14ac:dyDescent="0.35">
      <c r="A48" s="14">
        <v>35</v>
      </c>
      <c r="B48" s="53">
        <v>24160670</v>
      </c>
      <c r="C48" s="73" t="s">
        <v>128</v>
      </c>
      <c r="D48" s="6" t="s">
        <v>129</v>
      </c>
      <c r="E48" s="5">
        <v>0</v>
      </c>
      <c r="F48" s="26"/>
      <c r="G48" s="15">
        <v>46022</v>
      </c>
      <c r="H48" s="26"/>
      <c r="I48" s="26"/>
      <c r="J48" s="14" t="s">
        <v>110</v>
      </c>
      <c r="K48" s="53" t="s">
        <v>111</v>
      </c>
      <c r="L48" s="21">
        <v>8202.0600000000013</v>
      </c>
      <c r="M48" s="53" t="s">
        <v>26</v>
      </c>
      <c r="N48" s="32">
        <v>46114</v>
      </c>
      <c r="O48" s="49">
        <v>46116</v>
      </c>
      <c r="P48" s="49">
        <v>46118</v>
      </c>
      <c r="Q48" s="48">
        <v>46128</v>
      </c>
      <c r="R48" s="69"/>
      <c r="S48" s="68" t="s">
        <v>26</v>
      </c>
      <c r="T48" s="24" t="s">
        <v>29</v>
      </c>
      <c r="U48" s="13"/>
    </row>
    <row r="49" spans="1:21" ht="18" x14ac:dyDescent="0.35">
      <c r="A49" s="4">
        <v>52</v>
      </c>
      <c r="B49" s="14">
        <v>24174788</v>
      </c>
      <c r="C49" s="5" t="s">
        <v>130</v>
      </c>
      <c r="D49" s="6" t="s">
        <v>131</v>
      </c>
      <c r="E49" s="5">
        <v>0</v>
      </c>
      <c r="F49" s="26"/>
      <c r="G49" s="15">
        <v>46042</v>
      </c>
      <c r="H49" s="26"/>
      <c r="I49" s="26"/>
      <c r="J49" s="14" t="s">
        <v>107</v>
      </c>
      <c r="K49" s="5" t="s">
        <v>28</v>
      </c>
      <c r="L49" s="28">
        <v>8505.84</v>
      </c>
      <c r="M49" s="25" t="s">
        <v>26</v>
      </c>
      <c r="N49" s="54">
        <v>46061</v>
      </c>
      <c r="O49" s="54">
        <v>46103</v>
      </c>
      <c r="P49" s="54">
        <v>46110</v>
      </c>
      <c r="Q49" s="48">
        <v>46123</v>
      </c>
      <c r="R49" s="69"/>
      <c r="S49" s="68" t="s">
        <v>26</v>
      </c>
      <c r="T49" s="24" t="s">
        <v>29</v>
      </c>
      <c r="U49" s="13" t="s">
        <v>271</v>
      </c>
    </row>
    <row r="50" spans="1:21" ht="18" x14ac:dyDescent="0.35">
      <c r="A50" s="14">
        <v>56</v>
      </c>
      <c r="B50" s="14">
        <v>24174796</v>
      </c>
      <c r="C50" s="5" t="s">
        <v>134</v>
      </c>
      <c r="D50" s="6" t="s">
        <v>135</v>
      </c>
      <c r="E50" s="5">
        <v>0</v>
      </c>
      <c r="F50" s="26"/>
      <c r="G50" s="15">
        <v>46042</v>
      </c>
      <c r="H50" s="26"/>
      <c r="I50" s="26"/>
      <c r="J50" s="14" t="s">
        <v>107</v>
      </c>
      <c r="K50" s="5" t="s">
        <v>28</v>
      </c>
      <c r="L50" s="28">
        <v>8202.0600000000013</v>
      </c>
      <c r="M50" s="25" t="s">
        <v>26</v>
      </c>
      <c r="N50" s="54">
        <v>46061</v>
      </c>
      <c r="O50" s="54">
        <v>46092</v>
      </c>
      <c r="P50" s="54">
        <v>46094</v>
      </c>
      <c r="Q50" s="48">
        <v>46123</v>
      </c>
      <c r="R50" s="69"/>
      <c r="S50" s="68" t="s">
        <v>26</v>
      </c>
      <c r="T50" s="24" t="s">
        <v>29</v>
      </c>
      <c r="U50" s="13" t="s">
        <v>271</v>
      </c>
    </row>
    <row r="51" spans="1:21" ht="18" x14ac:dyDescent="0.35">
      <c r="A51" s="14">
        <v>48</v>
      </c>
      <c r="B51" s="14">
        <v>24174780</v>
      </c>
      <c r="C51" s="73" t="s">
        <v>137</v>
      </c>
      <c r="D51" s="6" t="s">
        <v>138</v>
      </c>
      <c r="E51" s="5">
        <v>0</v>
      </c>
      <c r="F51" s="26"/>
      <c r="G51" s="15">
        <v>46042</v>
      </c>
      <c r="H51" s="26"/>
      <c r="I51" s="26"/>
      <c r="J51" s="14" t="s">
        <v>107</v>
      </c>
      <c r="K51" s="5" t="s">
        <v>28</v>
      </c>
      <c r="L51" s="28">
        <v>8505.84</v>
      </c>
      <c r="M51" s="25" t="s">
        <v>26</v>
      </c>
      <c r="N51" s="48" t="s">
        <v>26</v>
      </c>
      <c r="O51" s="48">
        <v>46127</v>
      </c>
      <c r="P51" s="48">
        <v>46142</v>
      </c>
      <c r="Q51" s="48">
        <v>46144</v>
      </c>
      <c r="R51" s="69"/>
      <c r="S51" s="68" t="s">
        <v>26</v>
      </c>
      <c r="T51" s="24" t="s">
        <v>29</v>
      </c>
      <c r="U51" s="13"/>
    </row>
    <row r="52" spans="1:21" ht="18" x14ac:dyDescent="0.35">
      <c r="A52" s="14">
        <v>38</v>
      </c>
      <c r="B52" s="25">
        <v>24160658</v>
      </c>
      <c r="C52" s="73" t="s">
        <v>139</v>
      </c>
      <c r="D52" s="6" t="s">
        <v>140</v>
      </c>
      <c r="E52" s="5">
        <v>0</v>
      </c>
      <c r="F52" s="26"/>
      <c r="G52" s="15">
        <v>46022</v>
      </c>
      <c r="H52" s="26"/>
      <c r="I52" s="26"/>
      <c r="J52" s="14" t="s">
        <v>110</v>
      </c>
      <c r="K52" s="25" t="s">
        <v>111</v>
      </c>
      <c r="L52" s="21">
        <v>8505.84</v>
      </c>
      <c r="M52" s="25" t="s">
        <v>26</v>
      </c>
      <c r="N52" s="56"/>
      <c r="O52" s="48">
        <v>46143</v>
      </c>
      <c r="P52" s="49">
        <v>46146</v>
      </c>
      <c r="Q52" s="55">
        <v>46176</v>
      </c>
      <c r="R52" s="69"/>
      <c r="S52" s="68" t="s">
        <v>26</v>
      </c>
      <c r="T52" s="24" t="s">
        <v>273</v>
      </c>
      <c r="U52" s="13" t="s">
        <v>283</v>
      </c>
    </row>
    <row r="53" spans="1:21" ht="18" x14ac:dyDescent="0.35">
      <c r="A53" s="14">
        <v>42</v>
      </c>
      <c r="B53" s="25">
        <v>24160656</v>
      </c>
      <c r="C53" s="73" t="s">
        <v>141</v>
      </c>
      <c r="D53" s="6" t="s">
        <v>142</v>
      </c>
      <c r="E53" s="5">
        <v>0</v>
      </c>
      <c r="F53" s="26"/>
      <c r="G53" s="15">
        <v>46022</v>
      </c>
      <c r="H53" s="26"/>
      <c r="I53" s="26"/>
      <c r="J53" s="14" t="s">
        <v>110</v>
      </c>
      <c r="K53" s="25" t="s">
        <v>111</v>
      </c>
      <c r="L53" s="21">
        <v>8505.84</v>
      </c>
      <c r="M53" s="25" t="s">
        <v>26</v>
      </c>
      <c r="N53" s="55"/>
      <c r="O53" s="48">
        <v>46158</v>
      </c>
      <c r="P53" s="49">
        <v>46162</v>
      </c>
      <c r="Q53" s="55">
        <v>46176</v>
      </c>
      <c r="R53" s="69"/>
      <c r="S53" s="68" t="s">
        <v>26</v>
      </c>
      <c r="T53" s="24" t="s">
        <v>280</v>
      </c>
      <c r="U53" s="13" t="s">
        <v>283</v>
      </c>
    </row>
    <row r="54" spans="1:21" ht="18" x14ac:dyDescent="0.35">
      <c r="A54" s="4">
        <v>57</v>
      </c>
      <c r="B54" s="14">
        <v>24174797</v>
      </c>
      <c r="C54" s="73" t="s">
        <v>136</v>
      </c>
      <c r="D54" s="86" t="s">
        <v>263</v>
      </c>
      <c r="E54" s="5">
        <v>0</v>
      </c>
      <c r="F54" s="26"/>
      <c r="G54" s="15">
        <v>46042</v>
      </c>
      <c r="H54" s="26"/>
      <c r="I54" s="26"/>
      <c r="J54" s="14" t="s">
        <v>107</v>
      </c>
      <c r="K54" s="5" t="s">
        <v>28</v>
      </c>
      <c r="L54" s="28">
        <v>8197.5780000000013</v>
      </c>
      <c r="M54" s="25" t="s">
        <v>26</v>
      </c>
      <c r="N54" s="55"/>
      <c r="O54" s="48">
        <v>46155</v>
      </c>
      <c r="P54" s="48">
        <v>46162</v>
      </c>
      <c r="Q54" s="48">
        <v>46165</v>
      </c>
      <c r="R54" s="69"/>
      <c r="S54" s="68" t="s">
        <v>26</v>
      </c>
      <c r="T54" s="24" t="s">
        <v>29</v>
      </c>
      <c r="U54" s="13" t="s">
        <v>288</v>
      </c>
    </row>
    <row r="55" spans="1:21" ht="18" x14ac:dyDescent="0.35">
      <c r="A55" s="4">
        <v>41</v>
      </c>
      <c r="B55" s="25">
        <v>24160677</v>
      </c>
      <c r="C55" s="73" t="s">
        <v>145</v>
      </c>
      <c r="D55" s="6" t="s">
        <v>146</v>
      </c>
      <c r="E55" s="5">
        <v>0</v>
      </c>
      <c r="F55" s="26"/>
      <c r="G55" s="15">
        <v>46022</v>
      </c>
      <c r="H55" s="26"/>
      <c r="I55" s="26"/>
      <c r="J55" s="14" t="s">
        <v>110</v>
      </c>
      <c r="K55" s="25" t="s">
        <v>111</v>
      </c>
      <c r="L55" s="21">
        <v>8197.5780000000013</v>
      </c>
      <c r="M55" s="25" t="s">
        <v>26</v>
      </c>
      <c r="N55" s="32" t="s">
        <v>26</v>
      </c>
      <c r="O55" s="48">
        <v>46139</v>
      </c>
      <c r="P55" s="49">
        <v>46152</v>
      </c>
      <c r="Q55" s="48">
        <v>46161</v>
      </c>
      <c r="R55" s="69"/>
      <c r="S55" s="68" t="s">
        <v>26</v>
      </c>
      <c r="T55" s="24" t="s">
        <v>29</v>
      </c>
      <c r="U55" s="13"/>
    </row>
    <row r="56" spans="1:21" ht="18" x14ac:dyDescent="0.35">
      <c r="A56" s="14">
        <v>39</v>
      </c>
      <c r="B56" s="25">
        <v>24160659</v>
      </c>
      <c r="C56" s="73" t="s">
        <v>147</v>
      </c>
      <c r="D56" s="6" t="s">
        <v>148</v>
      </c>
      <c r="E56" s="5">
        <v>0</v>
      </c>
      <c r="F56" s="26"/>
      <c r="G56" s="15">
        <v>46022</v>
      </c>
      <c r="H56" s="26"/>
      <c r="I56" s="26"/>
      <c r="J56" s="14" t="s">
        <v>110</v>
      </c>
      <c r="K56" s="25" t="s">
        <v>111</v>
      </c>
      <c r="L56" s="21">
        <v>8505.84</v>
      </c>
      <c r="M56" s="25" t="s">
        <v>26</v>
      </c>
      <c r="N56" s="32" t="s">
        <v>26</v>
      </c>
      <c r="O56" s="48">
        <v>46131</v>
      </c>
      <c r="P56" s="49">
        <v>46134</v>
      </c>
      <c r="Q56" s="48">
        <v>46143</v>
      </c>
      <c r="R56" s="69"/>
      <c r="S56" s="68" t="s">
        <v>26</v>
      </c>
      <c r="T56" s="24" t="s">
        <v>29</v>
      </c>
      <c r="U56" s="13"/>
    </row>
    <row r="57" spans="1:21" ht="18" x14ac:dyDescent="0.35">
      <c r="A57" s="14">
        <v>46</v>
      </c>
      <c r="B57" s="14">
        <v>24174773</v>
      </c>
      <c r="C57" s="5" t="s">
        <v>143</v>
      </c>
      <c r="D57" s="6" t="s">
        <v>144</v>
      </c>
      <c r="E57" s="5">
        <v>0</v>
      </c>
      <c r="F57" s="26"/>
      <c r="G57" s="15">
        <v>46042</v>
      </c>
      <c r="H57" s="26"/>
      <c r="I57" s="26"/>
      <c r="J57" s="14" t="s">
        <v>107</v>
      </c>
      <c r="K57" s="5" t="s">
        <v>28</v>
      </c>
      <c r="L57" s="28">
        <v>8505.84</v>
      </c>
      <c r="M57" s="25" t="s">
        <v>26</v>
      </c>
      <c r="N57" s="54">
        <v>46114</v>
      </c>
      <c r="O57" s="54">
        <v>46115</v>
      </c>
      <c r="P57" s="54">
        <v>46117</v>
      </c>
      <c r="Q57" s="48">
        <v>46129</v>
      </c>
      <c r="R57" s="69"/>
      <c r="S57" s="68" t="s">
        <v>26</v>
      </c>
      <c r="T57" s="24" t="s">
        <v>29</v>
      </c>
      <c r="U57" s="13"/>
    </row>
    <row r="58" spans="1:21" ht="18" x14ac:dyDescent="0.35">
      <c r="A58" s="14">
        <v>55</v>
      </c>
      <c r="B58" s="14">
        <v>24174794</v>
      </c>
      <c r="C58" s="5" t="s">
        <v>151</v>
      </c>
      <c r="D58" s="6" t="s">
        <v>152</v>
      </c>
      <c r="E58" s="5">
        <v>0</v>
      </c>
      <c r="F58" s="26"/>
      <c r="G58" s="15">
        <v>46042</v>
      </c>
      <c r="H58" s="26"/>
      <c r="I58" s="26"/>
      <c r="J58" s="14" t="s">
        <v>107</v>
      </c>
      <c r="K58" s="5" t="s">
        <v>28</v>
      </c>
      <c r="L58" s="28">
        <v>8202.0600000000013</v>
      </c>
      <c r="M58" s="25" t="s">
        <v>26</v>
      </c>
      <c r="N58" s="54">
        <v>46061</v>
      </c>
      <c r="O58" s="48">
        <v>46095</v>
      </c>
      <c r="P58" s="48">
        <v>46097</v>
      </c>
      <c r="Q58" s="48">
        <v>46123</v>
      </c>
      <c r="R58" s="69"/>
      <c r="S58" s="68" t="s">
        <v>26</v>
      </c>
      <c r="T58" s="24" t="s">
        <v>29</v>
      </c>
      <c r="U58" s="13" t="s">
        <v>271</v>
      </c>
    </row>
    <row r="59" spans="1:21" ht="18" x14ac:dyDescent="0.35">
      <c r="A59" s="14">
        <v>40</v>
      </c>
      <c r="B59" s="25">
        <v>24160674</v>
      </c>
      <c r="C59" s="73" t="s">
        <v>153</v>
      </c>
      <c r="D59" s="6" t="s">
        <v>154</v>
      </c>
      <c r="E59" s="5">
        <v>0</v>
      </c>
      <c r="F59" s="26"/>
      <c r="G59" s="15">
        <v>46022</v>
      </c>
      <c r="H59" s="26"/>
      <c r="I59" s="26"/>
      <c r="J59" s="14" t="s">
        <v>110</v>
      </c>
      <c r="K59" s="25" t="s">
        <v>111</v>
      </c>
      <c r="L59" s="21">
        <v>8197.5780000000013</v>
      </c>
      <c r="M59" s="25" t="s">
        <v>26</v>
      </c>
      <c r="N59" s="56"/>
      <c r="O59" s="48">
        <v>46157</v>
      </c>
      <c r="P59" s="49">
        <v>46162</v>
      </c>
      <c r="Q59" s="48">
        <v>46164</v>
      </c>
      <c r="R59" s="69"/>
      <c r="S59" s="68" t="s">
        <v>26</v>
      </c>
      <c r="T59" s="24" t="s">
        <v>29</v>
      </c>
      <c r="U59" s="13" t="s">
        <v>287</v>
      </c>
    </row>
    <row r="60" spans="1:21" ht="18" x14ac:dyDescent="0.35">
      <c r="A60" s="4">
        <v>36</v>
      </c>
      <c r="B60" s="25">
        <v>24160661</v>
      </c>
      <c r="C60" s="73" t="s">
        <v>155</v>
      </c>
      <c r="D60" s="6" t="s">
        <v>156</v>
      </c>
      <c r="E60" s="5">
        <v>0</v>
      </c>
      <c r="F60" s="26"/>
      <c r="G60" s="15">
        <v>46022</v>
      </c>
      <c r="H60" s="26"/>
      <c r="I60" s="26"/>
      <c r="J60" s="14" t="s">
        <v>110</v>
      </c>
      <c r="K60" s="25" t="s">
        <v>111</v>
      </c>
      <c r="L60" s="21">
        <v>8505.84</v>
      </c>
      <c r="M60" s="25" t="s">
        <v>26</v>
      </c>
      <c r="N60" s="32" t="s">
        <v>26</v>
      </c>
      <c r="O60" s="49">
        <v>46129</v>
      </c>
      <c r="P60" s="49">
        <v>46131</v>
      </c>
      <c r="Q60" s="48">
        <v>46143</v>
      </c>
      <c r="R60" s="71"/>
      <c r="S60" s="68" t="s">
        <v>26</v>
      </c>
      <c r="T60" s="24" t="s">
        <v>29</v>
      </c>
      <c r="U60" s="13"/>
    </row>
    <row r="61" spans="1:21" ht="18" x14ac:dyDescent="0.35">
      <c r="A61" s="14">
        <v>50</v>
      </c>
      <c r="B61" s="14">
        <v>24174783</v>
      </c>
      <c r="C61" s="5" t="s">
        <v>149</v>
      </c>
      <c r="D61" s="6" t="s">
        <v>150</v>
      </c>
      <c r="E61" s="5">
        <v>0</v>
      </c>
      <c r="F61" s="26"/>
      <c r="G61" s="15">
        <v>46042</v>
      </c>
      <c r="H61" s="26"/>
      <c r="I61" s="26"/>
      <c r="J61" s="14" t="s">
        <v>107</v>
      </c>
      <c r="K61" s="5" t="s">
        <v>28</v>
      </c>
      <c r="L61" s="28">
        <v>8505.84</v>
      </c>
      <c r="M61" s="25" t="s">
        <v>26</v>
      </c>
      <c r="N61" s="54">
        <v>46061</v>
      </c>
      <c r="O61" s="67">
        <v>46094</v>
      </c>
      <c r="P61" s="67">
        <v>46096</v>
      </c>
      <c r="Q61" s="48">
        <v>46123</v>
      </c>
      <c r="R61" s="69"/>
      <c r="S61" s="68" t="s">
        <v>26</v>
      </c>
      <c r="T61" s="24" t="s">
        <v>29</v>
      </c>
      <c r="U61" s="13" t="s">
        <v>271</v>
      </c>
    </row>
    <row r="62" spans="1:21" ht="18" x14ac:dyDescent="0.35">
      <c r="A62" s="14">
        <v>45</v>
      </c>
      <c r="B62" s="11">
        <v>24174768</v>
      </c>
      <c r="C62" s="5" t="s">
        <v>157</v>
      </c>
      <c r="D62" s="6" t="s">
        <v>158</v>
      </c>
      <c r="E62" s="5">
        <v>0</v>
      </c>
      <c r="F62" s="26"/>
      <c r="G62" s="15">
        <v>46042</v>
      </c>
      <c r="H62" s="26"/>
      <c r="I62" s="26"/>
      <c r="J62" s="14" t="s">
        <v>107</v>
      </c>
      <c r="K62" s="25" t="s">
        <v>28</v>
      </c>
      <c r="L62" s="62">
        <v>8505.84</v>
      </c>
      <c r="M62" s="25" t="s">
        <v>26</v>
      </c>
      <c r="N62" s="54">
        <v>46061</v>
      </c>
      <c r="O62" s="49">
        <v>46104</v>
      </c>
      <c r="P62" s="49">
        <v>46107</v>
      </c>
      <c r="Q62" s="48">
        <v>46123</v>
      </c>
      <c r="R62" s="69"/>
      <c r="S62" s="68" t="s">
        <v>26</v>
      </c>
      <c r="T62" s="24" t="s">
        <v>29</v>
      </c>
      <c r="U62" s="13" t="s">
        <v>271</v>
      </c>
    </row>
    <row r="63" spans="1:21" s="47" customFormat="1" ht="18.600000000000001" thickBot="1" x14ac:dyDescent="0.4">
      <c r="A63" s="40">
        <v>58</v>
      </c>
      <c r="B63" s="40">
        <v>24174799</v>
      </c>
      <c r="C63" s="74" t="s">
        <v>161</v>
      </c>
      <c r="D63" s="84" t="s">
        <v>162</v>
      </c>
      <c r="E63" s="41">
        <v>0</v>
      </c>
      <c r="F63" s="42"/>
      <c r="G63" s="43">
        <v>46042</v>
      </c>
      <c r="H63" s="42"/>
      <c r="I63" s="42"/>
      <c r="J63" s="40" t="s">
        <v>107</v>
      </c>
      <c r="K63" s="41" t="s">
        <v>28</v>
      </c>
      <c r="L63" s="44">
        <v>8197.5780000000013</v>
      </c>
      <c r="M63" s="45" t="s">
        <v>26</v>
      </c>
      <c r="N63" s="85" t="s">
        <v>26</v>
      </c>
      <c r="O63" s="85">
        <v>46132</v>
      </c>
      <c r="P63" s="85">
        <v>46150</v>
      </c>
      <c r="Q63" s="85">
        <v>46160</v>
      </c>
      <c r="R63" s="72"/>
      <c r="S63" s="43" t="s">
        <v>26</v>
      </c>
      <c r="T63" s="46" t="s">
        <v>29</v>
      </c>
      <c r="U63" s="13"/>
    </row>
    <row r="64" spans="1:21" ht="18" x14ac:dyDescent="0.35">
      <c r="A64" s="4">
        <v>59</v>
      </c>
      <c r="B64" s="77">
        <v>52990927</v>
      </c>
      <c r="C64" s="75" t="s">
        <v>163</v>
      </c>
      <c r="D64" s="6" t="s">
        <v>164</v>
      </c>
      <c r="E64" s="6">
        <v>0</v>
      </c>
      <c r="F64" s="26"/>
      <c r="G64" s="7">
        <v>46050</v>
      </c>
      <c r="H64" s="26"/>
      <c r="I64" s="26"/>
      <c r="J64" s="4" t="s">
        <v>27</v>
      </c>
      <c r="K64" s="6" t="s">
        <v>28</v>
      </c>
      <c r="L64" s="29">
        <v>7537.0432500000015</v>
      </c>
      <c r="M64" s="6" t="s">
        <v>48</v>
      </c>
      <c r="N64" s="56"/>
      <c r="O64" s="55">
        <v>46161</v>
      </c>
      <c r="P64" s="57">
        <v>46164</v>
      </c>
      <c r="Q64" s="58">
        <f t="shared" ref="Q64:Q80" si="0">P64+1</f>
        <v>46165</v>
      </c>
      <c r="R64" s="69">
        <f t="shared" ref="R64:R95" si="1">O64-(14*7)</f>
        <v>46063</v>
      </c>
      <c r="S64" s="68" t="s">
        <v>26</v>
      </c>
      <c r="T64" s="12"/>
      <c r="U64" s="39"/>
    </row>
    <row r="65" spans="1:21" ht="18" x14ac:dyDescent="0.35">
      <c r="A65" s="4">
        <v>61</v>
      </c>
      <c r="B65" s="14">
        <v>52996157</v>
      </c>
      <c r="C65" s="73" t="s">
        <v>167</v>
      </c>
      <c r="D65" s="6" t="s">
        <v>168</v>
      </c>
      <c r="E65" s="5">
        <v>0</v>
      </c>
      <c r="F65" s="26"/>
      <c r="G65" s="15">
        <v>46056</v>
      </c>
      <c r="H65" s="26"/>
      <c r="I65" s="26"/>
      <c r="J65" s="14" t="s">
        <v>72</v>
      </c>
      <c r="K65" s="5" t="s">
        <v>73</v>
      </c>
      <c r="L65" s="28">
        <v>8138.5650000000005</v>
      </c>
      <c r="M65" s="25" t="s">
        <v>26</v>
      </c>
      <c r="N65" s="32" t="s">
        <v>26</v>
      </c>
      <c r="O65" s="48">
        <v>46135</v>
      </c>
      <c r="P65" s="49">
        <v>46137</v>
      </c>
      <c r="Q65" s="48">
        <v>46160</v>
      </c>
      <c r="R65" s="69">
        <f t="shared" si="1"/>
        <v>46037</v>
      </c>
      <c r="S65" s="68" t="s">
        <v>26</v>
      </c>
      <c r="T65" s="24" t="s">
        <v>29</v>
      </c>
      <c r="U65" s="13"/>
    </row>
    <row r="66" spans="1:21" ht="18" x14ac:dyDescent="0.35">
      <c r="A66" s="14">
        <v>62</v>
      </c>
      <c r="B66" s="76">
        <v>52996236</v>
      </c>
      <c r="C66" s="73" t="s">
        <v>169</v>
      </c>
      <c r="D66" s="6" t="s">
        <v>170</v>
      </c>
      <c r="E66" s="5">
        <v>0</v>
      </c>
      <c r="F66" s="26"/>
      <c r="G66" s="15">
        <v>46056</v>
      </c>
      <c r="H66" s="26"/>
      <c r="I66" s="26"/>
      <c r="J66" s="14" t="s">
        <v>72</v>
      </c>
      <c r="K66" s="5" t="s">
        <v>73</v>
      </c>
      <c r="L66" s="29">
        <v>8062.6200000000008</v>
      </c>
      <c r="M66" s="5" t="s">
        <v>48</v>
      </c>
      <c r="N66" s="56"/>
      <c r="O66" s="55">
        <v>46166</v>
      </c>
      <c r="P66" s="57">
        <v>46169</v>
      </c>
      <c r="Q66" s="55">
        <f t="shared" si="0"/>
        <v>46170</v>
      </c>
      <c r="R66" s="69">
        <f t="shared" si="1"/>
        <v>46068</v>
      </c>
      <c r="S66" s="68" t="s">
        <v>26</v>
      </c>
      <c r="T66" s="24"/>
      <c r="U66" s="13"/>
    </row>
    <row r="67" spans="1:21" ht="18" x14ac:dyDescent="0.35">
      <c r="A67" s="14">
        <v>63</v>
      </c>
      <c r="B67" s="87">
        <v>53000257</v>
      </c>
      <c r="C67" s="73" t="s">
        <v>171</v>
      </c>
      <c r="D67" s="6" t="s">
        <v>172</v>
      </c>
      <c r="E67" s="5">
        <v>0</v>
      </c>
      <c r="F67" s="26">
        <v>46063</v>
      </c>
      <c r="G67" s="15">
        <v>46063</v>
      </c>
      <c r="H67" s="26">
        <v>14</v>
      </c>
      <c r="I67" s="26" t="s">
        <v>173</v>
      </c>
      <c r="J67" s="14" t="s">
        <v>173</v>
      </c>
      <c r="K67" s="5" t="s">
        <v>73</v>
      </c>
      <c r="L67" s="28">
        <v>8505.84</v>
      </c>
      <c r="M67" s="25" t="s">
        <v>26</v>
      </c>
      <c r="N67" s="56"/>
      <c r="O67" s="48">
        <v>46156</v>
      </c>
      <c r="P67" s="57">
        <v>46162</v>
      </c>
      <c r="Q67" s="55">
        <v>46176</v>
      </c>
      <c r="R67" s="69">
        <f t="shared" si="1"/>
        <v>46058</v>
      </c>
      <c r="S67" s="68" t="s">
        <v>26</v>
      </c>
      <c r="T67" s="24" t="s">
        <v>276</v>
      </c>
      <c r="U67" s="13" t="s">
        <v>281</v>
      </c>
    </row>
    <row r="68" spans="1:21" ht="18" x14ac:dyDescent="0.35">
      <c r="A68" s="14">
        <v>64</v>
      </c>
      <c r="B68" s="87">
        <v>53000258</v>
      </c>
      <c r="C68" s="73" t="s">
        <v>174</v>
      </c>
      <c r="D68" s="6" t="s">
        <v>175</v>
      </c>
      <c r="E68" s="5">
        <v>0</v>
      </c>
      <c r="F68" s="26">
        <v>46063</v>
      </c>
      <c r="G68" s="15">
        <v>46063</v>
      </c>
      <c r="H68" s="26">
        <v>12</v>
      </c>
      <c r="I68" s="26" t="s">
        <v>173</v>
      </c>
      <c r="J68" s="14" t="s">
        <v>173</v>
      </c>
      <c r="K68" s="5" t="s">
        <v>73</v>
      </c>
      <c r="L68" s="28">
        <v>8202.0600000000013</v>
      </c>
      <c r="M68" s="25" t="s">
        <v>26</v>
      </c>
      <c r="N68" s="56"/>
      <c r="O68" s="48">
        <v>46157</v>
      </c>
      <c r="P68" s="57">
        <v>46163</v>
      </c>
      <c r="Q68" s="55">
        <v>46176</v>
      </c>
      <c r="R68" s="69">
        <f t="shared" si="1"/>
        <v>46059</v>
      </c>
      <c r="S68" s="68" t="s">
        <v>26</v>
      </c>
      <c r="T68" s="24" t="s">
        <v>276</v>
      </c>
      <c r="U68" s="13" t="s">
        <v>282</v>
      </c>
    </row>
    <row r="69" spans="1:21" ht="18" x14ac:dyDescent="0.35">
      <c r="A69" s="14">
        <v>65</v>
      </c>
      <c r="B69" s="87">
        <v>53000259</v>
      </c>
      <c r="C69" s="73" t="s">
        <v>176</v>
      </c>
      <c r="D69" s="6" t="s">
        <v>177</v>
      </c>
      <c r="E69" s="5">
        <v>0</v>
      </c>
      <c r="F69" s="26">
        <v>46063</v>
      </c>
      <c r="G69" s="15">
        <v>46063</v>
      </c>
      <c r="H69" s="26">
        <v>14</v>
      </c>
      <c r="I69" s="26" t="s">
        <v>173</v>
      </c>
      <c r="J69" s="14" t="s">
        <v>173</v>
      </c>
      <c r="K69" s="5" t="s">
        <v>73</v>
      </c>
      <c r="L69" s="28">
        <v>8017.8</v>
      </c>
      <c r="M69" s="25" t="s">
        <v>26</v>
      </c>
      <c r="N69" s="56"/>
      <c r="O69" s="48">
        <v>46156</v>
      </c>
      <c r="P69" s="57">
        <v>46171</v>
      </c>
      <c r="Q69" s="55">
        <v>46176</v>
      </c>
      <c r="R69" s="69">
        <f t="shared" si="1"/>
        <v>46058</v>
      </c>
      <c r="S69" s="68" t="s">
        <v>26</v>
      </c>
      <c r="T69" s="24" t="s">
        <v>276</v>
      </c>
      <c r="U69" s="13" t="s">
        <v>283</v>
      </c>
    </row>
    <row r="70" spans="1:21" ht="18" x14ac:dyDescent="0.35">
      <c r="A70" s="14">
        <v>66</v>
      </c>
      <c r="B70" s="87">
        <v>53000260</v>
      </c>
      <c r="C70" s="73" t="s">
        <v>178</v>
      </c>
      <c r="D70" s="6" t="s">
        <v>179</v>
      </c>
      <c r="E70" s="5">
        <v>0</v>
      </c>
      <c r="F70" s="26">
        <v>46063</v>
      </c>
      <c r="G70" s="15">
        <v>46063</v>
      </c>
      <c r="H70" s="26">
        <v>13</v>
      </c>
      <c r="I70" s="26" t="s">
        <v>173</v>
      </c>
      <c r="J70" s="14" t="s">
        <v>173</v>
      </c>
      <c r="K70" s="5" t="s">
        <v>73</v>
      </c>
      <c r="L70" s="28">
        <v>7910.7300000000005</v>
      </c>
      <c r="M70" s="25" t="s">
        <v>26</v>
      </c>
      <c r="N70" s="32" t="s">
        <v>26</v>
      </c>
      <c r="O70" s="48">
        <v>46137</v>
      </c>
      <c r="P70" s="49">
        <v>46139</v>
      </c>
      <c r="Q70" s="55">
        <v>46176</v>
      </c>
      <c r="R70" s="69">
        <f t="shared" si="1"/>
        <v>46039</v>
      </c>
      <c r="S70" s="68" t="s">
        <v>26</v>
      </c>
      <c r="T70" s="24" t="s">
        <v>273</v>
      </c>
      <c r="U70" s="13" t="s">
        <v>284</v>
      </c>
    </row>
    <row r="71" spans="1:21" ht="18" x14ac:dyDescent="0.35">
      <c r="A71" s="4">
        <v>67</v>
      </c>
      <c r="B71" s="14">
        <v>53000261</v>
      </c>
      <c r="C71" s="73" t="s">
        <v>180</v>
      </c>
      <c r="D71" s="6" t="s">
        <v>181</v>
      </c>
      <c r="E71" s="5">
        <v>0</v>
      </c>
      <c r="F71" s="26">
        <v>46063</v>
      </c>
      <c r="G71" s="15">
        <v>46063</v>
      </c>
      <c r="H71" s="26">
        <v>13</v>
      </c>
      <c r="I71" s="26" t="s">
        <v>173</v>
      </c>
      <c r="J71" s="14" t="s">
        <v>173</v>
      </c>
      <c r="K71" s="5" t="s">
        <v>73</v>
      </c>
      <c r="L71" s="28">
        <v>7910.7300000000005</v>
      </c>
      <c r="M71" s="25" t="s">
        <v>26</v>
      </c>
      <c r="N71" s="32" t="s">
        <v>26</v>
      </c>
      <c r="O71" s="48">
        <v>46134</v>
      </c>
      <c r="P71" s="49">
        <v>46136</v>
      </c>
      <c r="Q71" s="48">
        <v>46161</v>
      </c>
      <c r="R71" s="69">
        <f t="shared" si="1"/>
        <v>46036</v>
      </c>
      <c r="S71" s="68" t="s">
        <v>26</v>
      </c>
      <c r="T71" s="24" t="s">
        <v>29</v>
      </c>
      <c r="U71" s="13"/>
    </row>
    <row r="72" spans="1:21" ht="18" x14ac:dyDescent="0.35">
      <c r="A72" s="14">
        <v>68</v>
      </c>
      <c r="B72" s="14">
        <v>53000262</v>
      </c>
      <c r="C72" s="73" t="s">
        <v>182</v>
      </c>
      <c r="D72" s="6" t="s">
        <v>183</v>
      </c>
      <c r="E72" s="5">
        <v>0</v>
      </c>
      <c r="F72" s="26">
        <v>46063</v>
      </c>
      <c r="G72" s="15">
        <v>46063</v>
      </c>
      <c r="H72" s="26">
        <v>13</v>
      </c>
      <c r="I72" s="26" t="s">
        <v>173</v>
      </c>
      <c r="J72" s="14" t="s">
        <v>173</v>
      </c>
      <c r="K72" s="5" t="s">
        <v>73</v>
      </c>
      <c r="L72" s="28">
        <v>7910.7300000000005</v>
      </c>
      <c r="M72" s="25" t="s">
        <v>26</v>
      </c>
      <c r="N72" s="56"/>
      <c r="O72" s="55">
        <v>46178</v>
      </c>
      <c r="P72" s="57">
        <v>46181</v>
      </c>
      <c r="Q72" s="55">
        <f t="shared" si="0"/>
        <v>46182</v>
      </c>
      <c r="R72" s="69">
        <f t="shared" si="1"/>
        <v>46080</v>
      </c>
      <c r="S72" s="68" t="s">
        <v>26</v>
      </c>
      <c r="T72" s="24"/>
      <c r="U72" s="13"/>
    </row>
    <row r="73" spans="1:21" ht="18" x14ac:dyDescent="0.35">
      <c r="A73" s="14">
        <v>69</v>
      </c>
      <c r="B73" s="14">
        <v>24190749</v>
      </c>
      <c r="C73" s="5" t="s">
        <v>184</v>
      </c>
      <c r="D73" s="6" t="s">
        <v>185</v>
      </c>
      <c r="E73" s="5">
        <v>0</v>
      </c>
      <c r="F73" s="26">
        <v>46063</v>
      </c>
      <c r="G73" s="15">
        <v>46063</v>
      </c>
      <c r="H73" s="26">
        <v>13</v>
      </c>
      <c r="I73" s="26" t="s">
        <v>89</v>
      </c>
      <c r="J73" s="14" t="s">
        <v>89</v>
      </c>
      <c r="K73" s="5" t="s">
        <v>111</v>
      </c>
      <c r="L73" s="28">
        <v>7461.2850000000008</v>
      </c>
      <c r="M73" s="25" t="s">
        <v>26</v>
      </c>
      <c r="N73" s="56"/>
      <c r="O73" s="48">
        <v>46157</v>
      </c>
      <c r="P73" s="57">
        <v>46164</v>
      </c>
      <c r="Q73" s="55">
        <v>46176</v>
      </c>
      <c r="R73" s="69">
        <f t="shared" si="1"/>
        <v>46059</v>
      </c>
      <c r="S73" s="68" t="s">
        <v>26</v>
      </c>
      <c r="T73" s="24" t="s">
        <v>276</v>
      </c>
      <c r="U73" s="13" t="s">
        <v>285</v>
      </c>
    </row>
    <row r="74" spans="1:21" ht="18" x14ac:dyDescent="0.35">
      <c r="A74" s="14">
        <v>70</v>
      </c>
      <c r="B74" s="14">
        <v>24190757</v>
      </c>
      <c r="C74" s="5" t="s">
        <v>186</v>
      </c>
      <c r="D74" s="6" t="s">
        <v>187</v>
      </c>
      <c r="E74" s="5">
        <v>1</v>
      </c>
      <c r="F74" s="26">
        <v>46063</v>
      </c>
      <c r="G74" s="15">
        <v>46063</v>
      </c>
      <c r="H74" s="26">
        <v>13</v>
      </c>
      <c r="I74" s="26" t="s">
        <v>89</v>
      </c>
      <c r="J74" s="14" t="s">
        <v>89</v>
      </c>
      <c r="K74" s="5" t="s">
        <v>111</v>
      </c>
      <c r="L74" s="28">
        <v>8331.5400000000009</v>
      </c>
      <c r="M74" s="25" t="s">
        <v>26</v>
      </c>
      <c r="N74" s="56"/>
      <c r="O74" s="55">
        <v>46184</v>
      </c>
      <c r="P74" s="57">
        <v>46187</v>
      </c>
      <c r="Q74" s="55">
        <f t="shared" si="0"/>
        <v>46188</v>
      </c>
      <c r="R74" s="69">
        <f t="shared" si="1"/>
        <v>46086</v>
      </c>
      <c r="S74" s="68" t="s">
        <v>26</v>
      </c>
      <c r="T74" s="24"/>
      <c r="U74" s="13"/>
    </row>
    <row r="75" spans="1:21" ht="18" x14ac:dyDescent="0.35">
      <c r="A75" s="14">
        <v>71</v>
      </c>
      <c r="B75" s="14">
        <v>24190763</v>
      </c>
      <c r="C75" s="5" t="s">
        <v>188</v>
      </c>
      <c r="D75" s="6" t="s">
        <v>189</v>
      </c>
      <c r="E75" s="5">
        <v>0</v>
      </c>
      <c r="F75" s="26">
        <v>46063</v>
      </c>
      <c r="G75" s="15">
        <v>46063</v>
      </c>
      <c r="H75" s="26">
        <v>13</v>
      </c>
      <c r="I75" s="26" t="s">
        <v>89</v>
      </c>
      <c r="J75" s="14" t="s">
        <v>89</v>
      </c>
      <c r="K75" s="5" t="s">
        <v>111</v>
      </c>
      <c r="L75" s="28">
        <v>7350.4800000000005</v>
      </c>
      <c r="M75" s="25" t="s">
        <v>26</v>
      </c>
      <c r="N75" s="56"/>
      <c r="O75" s="48">
        <v>46152</v>
      </c>
      <c r="P75" s="49">
        <v>46156</v>
      </c>
      <c r="Q75" s="55">
        <v>46176</v>
      </c>
      <c r="R75" s="69">
        <f t="shared" si="1"/>
        <v>46054</v>
      </c>
      <c r="S75" s="68" t="s">
        <v>26</v>
      </c>
      <c r="T75" s="24" t="s">
        <v>275</v>
      </c>
      <c r="U75" s="13" t="s">
        <v>286</v>
      </c>
    </row>
    <row r="76" spans="1:21" ht="18" x14ac:dyDescent="0.35">
      <c r="A76" s="14">
        <v>72</v>
      </c>
      <c r="B76" s="14">
        <v>52998960</v>
      </c>
      <c r="C76" s="5" t="s">
        <v>190</v>
      </c>
      <c r="D76" s="6" t="s">
        <v>191</v>
      </c>
      <c r="E76" s="5">
        <v>0</v>
      </c>
      <c r="F76" s="26">
        <v>46063</v>
      </c>
      <c r="G76" s="15">
        <v>46063</v>
      </c>
      <c r="H76" s="26">
        <v>14</v>
      </c>
      <c r="I76" s="26" t="s">
        <v>72</v>
      </c>
      <c r="J76" s="14" t="s">
        <v>72</v>
      </c>
      <c r="K76" s="5" t="s">
        <v>73</v>
      </c>
      <c r="L76" s="28">
        <v>8705.0400000000009</v>
      </c>
      <c r="M76" s="30" t="s">
        <v>48</v>
      </c>
      <c r="N76" s="56"/>
      <c r="O76" s="55">
        <v>46190</v>
      </c>
      <c r="P76" s="57">
        <v>46193</v>
      </c>
      <c r="Q76" s="55">
        <f t="shared" si="0"/>
        <v>46194</v>
      </c>
      <c r="R76" s="69">
        <f t="shared" si="1"/>
        <v>46092</v>
      </c>
      <c r="S76" s="68" t="s">
        <v>26</v>
      </c>
      <c r="T76" s="24"/>
      <c r="U76" s="13"/>
    </row>
    <row r="77" spans="1:21" ht="18" x14ac:dyDescent="0.35">
      <c r="A77" s="4">
        <v>73</v>
      </c>
      <c r="B77" s="14">
        <v>52999837</v>
      </c>
      <c r="C77" s="5" t="s">
        <v>192</v>
      </c>
      <c r="D77" s="6" t="s">
        <v>193</v>
      </c>
      <c r="E77" s="5">
        <v>0</v>
      </c>
      <c r="F77" s="26">
        <v>46063</v>
      </c>
      <c r="G77" s="15">
        <v>46063</v>
      </c>
      <c r="H77" s="26">
        <v>13</v>
      </c>
      <c r="I77" s="26" t="s">
        <v>72</v>
      </c>
      <c r="J77" s="14" t="s">
        <v>72</v>
      </c>
      <c r="K77" s="5" t="s">
        <v>73</v>
      </c>
      <c r="L77" s="28">
        <v>8021.5350000000008</v>
      </c>
      <c r="M77" s="25" t="s">
        <v>26</v>
      </c>
      <c r="N77" s="56"/>
      <c r="O77" s="55">
        <v>46193</v>
      </c>
      <c r="P77" s="57">
        <v>46196</v>
      </c>
      <c r="Q77" s="55">
        <v>46176</v>
      </c>
      <c r="R77" s="69">
        <f t="shared" si="1"/>
        <v>46095</v>
      </c>
      <c r="S77" s="68" t="s">
        <v>26</v>
      </c>
      <c r="T77" s="24" t="s">
        <v>280</v>
      </c>
      <c r="U77" s="13" t="s">
        <v>281</v>
      </c>
    </row>
    <row r="78" spans="1:21" ht="18" x14ac:dyDescent="0.35">
      <c r="A78" s="14">
        <v>74</v>
      </c>
      <c r="B78" s="14">
        <v>52999845</v>
      </c>
      <c r="C78" s="5" t="s">
        <v>194</v>
      </c>
      <c r="D78" s="6" t="s">
        <v>195</v>
      </c>
      <c r="E78" s="5">
        <v>0</v>
      </c>
      <c r="F78" s="26">
        <v>46063</v>
      </c>
      <c r="G78" s="15">
        <v>46063</v>
      </c>
      <c r="H78" s="26">
        <v>13</v>
      </c>
      <c r="I78" s="26" t="s">
        <v>72</v>
      </c>
      <c r="J78" s="14" t="s">
        <v>72</v>
      </c>
      <c r="K78" s="5" t="s">
        <v>73</v>
      </c>
      <c r="L78" s="28">
        <v>8021.5350000000008</v>
      </c>
      <c r="M78" s="25" t="s">
        <v>26</v>
      </c>
      <c r="N78" s="56"/>
      <c r="O78" s="55">
        <v>46196</v>
      </c>
      <c r="P78" s="57">
        <v>46199</v>
      </c>
      <c r="Q78" s="55">
        <v>46176</v>
      </c>
      <c r="R78" s="69">
        <f t="shared" si="1"/>
        <v>46098</v>
      </c>
      <c r="S78" s="68" t="s">
        <v>26</v>
      </c>
      <c r="T78" s="24" t="s">
        <v>280</v>
      </c>
      <c r="U78" s="13" t="s">
        <v>281</v>
      </c>
    </row>
    <row r="79" spans="1:21" ht="18" x14ac:dyDescent="0.35">
      <c r="A79" s="14">
        <v>75</v>
      </c>
      <c r="B79" s="14">
        <v>52999849</v>
      </c>
      <c r="C79" s="5" t="s">
        <v>196</v>
      </c>
      <c r="D79" s="6" t="s">
        <v>197</v>
      </c>
      <c r="E79" s="5">
        <v>0</v>
      </c>
      <c r="F79" s="26">
        <v>46063</v>
      </c>
      <c r="G79" s="15">
        <v>46063</v>
      </c>
      <c r="H79" s="26">
        <v>13</v>
      </c>
      <c r="I79" s="26" t="s">
        <v>72</v>
      </c>
      <c r="J79" s="14" t="s">
        <v>72</v>
      </c>
      <c r="K79" s="5" t="s">
        <v>73</v>
      </c>
      <c r="L79" s="28">
        <v>8021.5350000000008</v>
      </c>
      <c r="M79" s="25" t="s">
        <v>26</v>
      </c>
      <c r="N79" s="56"/>
      <c r="O79" s="55">
        <v>46199</v>
      </c>
      <c r="P79" s="57">
        <v>46202</v>
      </c>
      <c r="Q79" s="55">
        <f t="shared" si="0"/>
        <v>46203</v>
      </c>
      <c r="R79" s="69">
        <f t="shared" si="1"/>
        <v>46101</v>
      </c>
      <c r="S79" s="68" t="s">
        <v>26</v>
      </c>
      <c r="T79" s="24"/>
      <c r="U79" s="13"/>
    </row>
    <row r="80" spans="1:21" ht="18" x14ac:dyDescent="0.35">
      <c r="A80" s="14">
        <v>76</v>
      </c>
      <c r="B80" s="14">
        <v>52999869</v>
      </c>
      <c r="C80" s="5" t="s">
        <v>198</v>
      </c>
      <c r="D80" s="6" t="s">
        <v>199</v>
      </c>
      <c r="E80" s="5">
        <v>0</v>
      </c>
      <c r="F80" s="26">
        <v>46063</v>
      </c>
      <c r="G80" s="15">
        <v>46063</v>
      </c>
      <c r="H80" s="26">
        <v>13</v>
      </c>
      <c r="I80" s="26" t="s">
        <v>72</v>
      </c>
      <c r="J80" s="14" t="s">
        <v>72</v>
      </c>
      <c r="K80" s="5" t="s">
        <v>73</v>
      </c>
      <c r="L80" s="28">
        <v>8021.5350000000008</v>
      </c>
      <c r="M80" s="25" t="s">
        <v>26</v>
      </c>
      <c r="N80" s="56"/>
      <c r="O80" s="55">
        <v>46202</v>
      </c>
      <c r="P80" s="57">
        <v>46205</v>
      </c>
      <c r="Q80" s="55">
        <f t="shared" si="0"/>
        <v>46206</v>
      </c>
      <c r="R80" s="69">
        <f t="shared" si="1"/>
        <v>46104</v>
      </c>
      <c r="S80" s="68" t="s">
        <v>26</v>
      </c>
      <c r="T80" s="24"/>
      <c r="U80" s="13"/>
    </row>
    <row r="81" spans="1:21" ht="18" x14ac:dyDescent="0.35">
      <c r="A81" s="14">
        <v>77</v>
      </c>
      <c r="B81" s="87">
        <v>52999872</v>
      </c>
      <c r="C81" s="5" t="s">
        <v>200</v>
      </c>
      <c r="D81" s="6" t="s">
        <v>201</v>
      </c>
      <c r="E81" s="5">
        <v>0</v>
      </c>
      <c r="F81" s="26">
        <v>46063</v>
      </c>
      <c r="G81" s="15">
        <v>46063</v>
      </c>
      <c r="H81" s="26">
        <v>13</v>
      </c>
      <c r="I81" s="26" t="s">
        <v>72</v>
      </c>
      <c r="J81" s="14" t="s">
        <v>72</v>
      </c>
      <c r="K81" s="5" t="s">
        <v>73</v>
      </c>
      <c r="L81" s="28">
        <v>8021.5350000000008</v>
      </c>
      <c r="M81" s="25" t="s">
        <v>26</v>
      </c>
      <c r="N81" s="32" t="s">
        <v>26</v>
      </c>
      <c r="O81" s="48">
        <v>46135</v>
      </c>
      <c r="P81" s="49">
        <v>46138</v>
      </c>
      <c r="Q81" s="55">
        <v>46176</v>
      </c>
      <c r="R81" s="69">
        <f t="shared" si="1"/>
        <v>46037</v>
      </c>
      <c r="S81" s="68" t="s">
        <v>26</v>
      </c>
      <c r="T81" s="24" t="s">
        <v>273</v>
      </c>
      <c r="U81" s="13" t="s">
        <v>284</v>
      </c>
    </row>
    <row r="82" spans="1:21" ht="18" x14ac:dyDescent="0.35">
      <c r="A82" s="14">
        <v>78</v>
      </c>
      <c r="B82" s="14">
        <v>52999875</v>
      </c>
      <c r="C82" s="5" t="s">
        <v>202</v>
      </c>
      <c r="D82" s="6" t="s">
        <v>203</v>
      </c>
      <c r="E82" s="5">
        <v>0</v>
      </c>
      <c r="F82" s="26">
        <v>46063</v>
      </c>
      <c r="G82" s="15">
        <v>46063</v>
      </c>
      <c r="H82" s="26">
        <v>13</v>
      </c>
      <c r="I82" s="26" t="s">
        <v>72</v>
      </c>
      <c r="J82" s="14" t="s">
        <v>72</v>
      </c>
      <c r="K82" s="5" t="s">
        <v>73</v>
      </c>
      <c r="L82" s="28">
        <v>8021.5350000000008</v>
      </c>
      <c r="M82" s="25" t="s">
        <v>26</v>
      </c>
      <c r="N82" s="56"/>
      <c r="O82" s="48">
        <v>46151</v>
      </c>
      <c r="P82" s="49">
        <v>46154</v>
      </c>
      <c r="Q82" s="48">
        <v>46164</v>
      </c>
      <c r="R82" s="69">
        <f t="shared" si="1"/>
        <v>46053</v>
      </c>
      <c r="S82" s="68" t="s">
        <v>26</v>
      </c>
      <c r="T82" s="24" t="s">
        <v>29</v>
      </c>
      <c r="U82" s="13" t="s">
        <v>279</v>
      </c>
    </row>
    <row r="83" spans="1:21" ht="18" x14ac:dyDescent="0.35">
      <c r="A83" s="4">
        <v>79</v>
      </c>
      <c r="B83" s="14">
        <v>52999878</v>
      </c>
      <c r="C83" s="5" t="s">
        <v>204</v>
      </c>
      <c r="D83" s="6" t="s">
        <v>205</v>
      </c>
      <c r="E83" s="5">
        <v>0</v>
      </c>
      <c r="F83" s="26">
        <v>46063</v>
      </c>
      <c r="G83" s="15">
        <v>46063</v>
      </c>
      <c r="H83" s="26">
        <v>13</v>
      </c>
      <c r="I83" s="26" t="s">
        <v>72</v>
      </c>
      <c r="J83" s="14" t="s">
        <v>72</v>
      </c>
      <c r="K83" s="5" t="s">
        <v>73</v>
      </c>
      <c r="L83" s="28">
        <v>8021.5350000000008</v>
      </c>
      <c r="M83" s="25" t="s">
        <v>26</v>
      </c>
      <c r="N83" s="56"/>
      <c r="O83" s="55">
        <v>46208</v>
      </c>
      <c r="P83" s="57">
        <v>46211</v>
      </c>
      <c r="Q83" s="55">
        <v>46212</v>
      </c>
      <c r="R83" s="69">
        <f t="shared" si="1"/>
        <v>46110</v>
      </c>
      <c r="S83" s="68" t="s">
        <v>26</v>
      </c>
      <c r="T83" s="24"/>
      <c r="U83" s="13"/>
    </row>
    <row r="84" spans="1:21" ht="18" x14ac:dyDescent="0.35">
      <c r="A84" s="14">
        <v>80</v>
      </c>
      <c r="B84" s="14">
        <v>52999884</v>
      </c>
      <c r="C84" s="5" t="s">
        <v>206</v>
      </c>
      <c r="D84" s="6" t="s">
        <v>207</v>
      </c>
      <c r="E84" s="5">
        <v>0</v>
      </c>
      <c r="F84" s="26">
        <v>46063</v>
      </c>
      <c r="G84" s="15">
        <v>46063</v>
      </c>
      <c r="H84" s="26">
        <v>13</v>
      </c>
      <c r="I84" s="26" t="s">
        <v>72</v>
      </c>
      <c r="J84" s="14" t="s">
        <v>72</v>
      </c>
      <c r="K84" s="5" t="s">
        <v>73</v>
      </c>
      <c r="L84" s="28">
        <v>8021.5350000000008</v>
      </c>
      <c r="M84" s="25" t="s">
        <v>26</v>
      </c>
      <c r="N84" s="56"/>
      <c r="O84" s="55">
        <v>46211</v>
      </c>
      <c r="P84" s="57">
        <v>46214</v>
      </c>
      <c r="Q84" s="55">
        <v>46215</v>
      </c>
      <c r="R84" s="69">
        <f t="shared" si="1"/>
        <v>46113</v>
      </c>
      <c r="S84" s="68" t="s">
        <v>26</v>
      </c>
      <c r="T84" s="24"/>
      <c r="U84" s="13"/>
    </row>
    <row r="85" spans="1:21" ht="18" x14ac:dyDescent="0.35">
      <c r="A85" s="14">
        <v>81</v>
      </c>
      <c r="B85" s="14">
        <v>52999889</v>
      </c>
      <c r="C85" s="5" t="s">
        <v>208</v>
      </c>
      <c r="D85" s="6" t="s">
        <v>209</v>
      </c>
      <c r="E85" s="5">
        <v>0</v>
      </c>
      <c r="F85" s="26">
        <v>46063</v>
      </c>
      <c r="G85" s="15">
        <v>46063</v>
      </c>
      <c r="H85" s="26">
        <v>13</v>
      </c>
      <c r="I85" s="26" t="s">
        <v>72</v>
      </c>
      <c r="J85" s="14" t="s">
        <v>72</v>
      </c>
      <c r="K85" s="5" t="s">
        <v>73</v>
      </c>
      <c r="L85" s="28">
        <v>8278.005000000001</v>
      </c>
      <c r="M85" s="30" t="s">
        <v>48</v>
      </c>
      <c r="N85" s="56"/>
      <c r="O85" s="55">
        <v>46214</v>
      </c>
      <c r="P85" s="57">
        <v>46217</v>
      </c>
      <c r="Q85" s="55">
        <v>46218</v>
      </c>
      <c r="R85" s="69">
        <f t="shared" si="1"/>
        <v>46116</v>
      </c>
      <c r="S85" s="68" t="s">
        <v>26</v>
      </c>
      <c r="T85" s="24"/>
      <c r="U85" s="13"/>
    </row>
    <row r="86" spans="1:21" ht="18" x14ac:dyDescent="0.35">
      <c r="A86" s="14">
        <v>82</v>
      </c>
      <c r="B86" s="14">
        <v>24189318</v>
      </c>
      <c r="C86" s="5" t="s">
        <v>210</v>
      </c>
      <c r="D86" s="6" t="s">
        <v>211</v>
      </c>
      <c r="E86" s="5">
        <v>0</v>
      </c>
      <c r="F86" s="26">
        <v>46063</v>
      </c>
      <c r="G86" s="15">
        <v>46063</v>
      </c>
      <c r="H86" s="26">
        <v>12</v>
      </c>
      <c r="I86" s="26" t="s">
        <v>212</v>
      </c>
      <c r="J86" s="14" t="s">
        <v>212</v>
      </c>
      <c r="K86" s="5" t="s">
        <v>34</v>
      </c>
      <c r="L86" s="28">
        <v>7898.2800000000007</v>
      </c>
      <c r="M86" s="25" t="s">
        <v>26</v>
      </c>
      <c r="N86" s="56"/>
      <c r="O86" s="55">
        <v>46217</v>
      </c>
      <c r="P86" s="57">
        <v>46220</v>
      </c>
      <c r="Q86" s="55">
        <v>46221</v>
      </c>
      <c r="R86" s="69">
        <f t="shared" si="1"/>
        <v>46119</v>
      </c>
      <c r="S86" s="68" t="s">
        <v>26</v>
      </c>
      <c r="T86" s="24"/>
      <c r="U86" s="13"/>
    </row>
    <row r="87" spans="1:21" ht="18" x14ac:dyDescent="0.35">
      <c r="A87" s="14">
        <v>83</v>
      </c>
      <c r="B87" s="14">
        <v>52996502</v>
      </c>
      <c r="C87" s="5" t="s">
        <v>213</v>
      </c>
      <c r="D87" s="6" t="s">
        <v>214</v>
      </c>
      <c r="E87" s="5">
        <v>0</v>
      </c>
      <c r="F87" s="26">
        <v>46063</v>
      </c>
      <c r="G87" s="15">
        <v>46063</v>
      </c>
      <c r="H87" s="26">
        <v>14</v>
      </c>
      <c r="I87" s="26" t="s">
        <v>27</v>
      </c>
      <c r="J87" s="14" t="s">
        <v>27</v>
      </c>
      <c r="K87" s="5" t="s">
        <v>28</v>
      </c>
      <c r="L87" s="28">
        <v>8229.8857500000013</v>
      </c>
      <c r="M87" s="30" t="s">
        <v>48</v>
      </c>
      <c r="N87" s="56"/>
      <c r="O87" s="55">
        <v>46220</v>
      </c>
      <c r="P87" s="57">
        <v>46223</v>
      </c>
      <c r="Q87" s="55">
        <v>46224</v>
      </c>
      <c r="R87" s="69">
        <f t="shared" si="1"/>
        <v>46122</v>
      </c>
      <c r="S87" s="68" t="s">
        <v>26</v>
      </c>
      <c r="T87" s="24"/>
      <c r="U87" s="13"/>
    </row>
    <row r="88" spans="1:21" ht="18" x14ac:dyDescent="0.35">
      <c r="A88" s="14">
        <v>84</v>
      </c>
      <c r="B88" s="14">
        <v>24202598</v>
      </c>
      <c r="C88" s="14" t="s">
        <v>215</v>
      </c>
      <c r="D88" s="14" t="s">
        <v>229</v>
      </c>
      <c r="E88" s="14">
        <v>0</v>
      </c>
      <c r="F88" s="14"/>
      <c r="G88" s="15">
        <v>46073</v>
      </c>
      <c r="H88" s="14"/>
      <c r="I88" s="14"/>
      <c r="J88" s="14" t="s">
        <v>212</v>
      </c>
      <c r="K88" s="5" t="s">
        <v>34</v>
      </c>
      <c r="L88" s="14">
        <v>8505.84</v>
      </c>
      <c r="M88" s="14" t="s">
        <v>26</v>
      </c>
      <c r="N88" s="56"/>
      <c r="O88" s="55">
        <v>46223</v>
      </c>
      <c r="P88" s="57">
        <v>46226</v>
      </c>
      <c r="Q88" s="55">
        <v>46227</v>
      </c>
      <c r="R88" s="69">
        <f t="shared" si="1"/>
        <v>46125</v>
      </c>
      <c r="S88" s="68" t="s">
        <v>26</v>
      </c>
      <c r="T88" s="14"/>
      <c r="U88" s="14"/>
    </row>
    <row r="89" spans="1:21" ht="18" x14ac:dyDescent="0.35">
      <c r="A89" s="14">
        <v>85</v>
      </c>
      <c r="B89" s="14">
        <v>24202599</v>
      </c>
      <c r="C89" s="14" t="s">
        <v>216</v>
      </c>
      <c r="D89" s="14" t="s">
        <v>230</v>
      </c>
      <c r="E89" s="14">
        <v>0</v>
      </c>
      <c r="F89" s="14"/>
      <c r="G89" s="15">
        <v>46073</v>
      </c>
      <c r="H89" s="14"/>
      <c r="I89" s="14"/>
      <c r="J89" s="14" t="s">
        <v>212</v>
      </c>
      <c r="K89" s="5" t="s">
        <v>34</v>
      </c>
      <c r="L89" s="14">
        <v>8505.84</v>
      </c>
      <c r="M89" s="14" t="s">
        <v>26</v>
      </c>
      <c r="N89" s="56"/>
      <c r="O89" s="55">
        <v>46226</v>
      </c>
      <c r="P89" s="57">
        <v>46229</v>
      </c>
      <c r="Q89" s="55">
        <v>46230</v>
      </c>
      <c r="R89" s="69">
        <f t="shared" si="1"/>
        <v>46128</v>
      </c>
      <c r="S89" s="68" t="s">
        <v>26</v>
      </c>
      <c r="T89" s="14"/>
      <c r="U89" s="14"/>
    </row>
    <row r="90" spans="1:21" ht="18" x14ac:dyDescent="0.35">
      <c r="A90" s="14">
        <v>86</v>
      </c>
      <c r="B90" s="14">
        <v>24202600</v>
      </c>
      <c r="C90" s="14" t="s">
        <v>217</v>
      </c>
      <c r="D90" s="14" t="s">
        <v>231</v>
      </c>
      <c r="E90" s="14">
        <v>0</v>
      </c>
      <c r="F90" s="14"/>
      <c r="G90" s="15">
        <v>46073</v>
      </c>
      <c r="H90" s="14"/>
      <c r="I90" s="14"/>
      <c r="J90" s="14" t="s">
        <v>212</v>
      </c>
      <c r="K90" s="5" t="s">
        <v>34</v>
      </c>
      <c r="L90" s="14">
        <v>8202.0600000000013</v>
      </c>
      <c r="M90" s="14" t="s">
        <v>26</v>
      </c>
      <c r="N90" s="56"/>
      <c r="O90" s="55">
        <v>46229</v>
      </c>
      <c r="P90" s="57">
        <v>46232</v>
      </c>
      <c r="Q90" s="55">
        <v>46233</v>
      </c>
      <c r="R90" s="69">
        <f t="shared" si="1"/>
        <v>46131</v>
      </c>
      <c r="S90" s="68" t="s">
        <v>26</v>
      </c>
      <c r="T90" s="14"/>
      <c r="U90" s="14"/>
    </row>
    <row r="91" spans="1:21" ht="18" x14ac:dyDescent="0.35">
      <c r="A91" s="14">
        <v>87</v>
      </c>
      <c r="B91" s="14">
        <v>24202605</v>
      </c>
      <c r="C91" s="14" t="s">
        <v>218</v>
      </c>
      <c r="D91" s="14" t="s">
        <v>232</v>
      </c>
      <c r="E91" s="14">
        <v>0</v>
      </c>
      <c r="F91" s="14"/>
      <c r="G91" s="15">
        <v>46073</v>
      </c>
      <c r="H91" s="14"/>
      <c r="I91" s="14"/>
      <c r="J91" s="14" t="s">
        <v>212</v>
      </c>
      <c r="K91" s="5" t="s">
        <v>34</v>
      </c>
      <c r="L91" s="14">
        <v>8202.0600000000013</v>
      </c>
      <c r="M91" s="14" t="s">
        <v>26</v>
      </c>
      <c r="N91" s="56"/>
      <c r="O91" s="55">
        <v>46232</v>
      </c>
      <c r="P91" s="57">
        <v>46235</v>
      </c>
      <c r="Q91" s="55">
        <v>46236</v>
      </c>
      <c r="R91" s="69">
        <f t="shared" si="1"/>
        <v>46134</v>
      </c>
      <c r="S91" s="68" t="s">
        <v>26</v>
      </c>
      <c r="T91" s="14"/>
      <c r="U91" s="14"/>
    </row>
    <row r="92" spans="1:21" ht="18" x14ac:dyDescent="0.35">
      <c r="A92" s="14">
        <v>88</v>
      </c>
      <c r="B92" s="14">
        <v>24202656</v>
      </c>
      <c r="C92" s="14" t="s">
        <v>219</v>
      </c>
      <c r="D92" s="14" t="s">
        <v>233</v>
      </c>
      <c r="E92" s="14">
        <v>0</v>
      </c>
      <c r="F92" s="14"/>
      <c r="G92" s="15">
        <v>46073</v>
      </c>
      <c r="H92" s="14"/>
      <c r="I92" s="14"/>
      <c r="J92" s="14" t="s">
        <v>212</v>
      </c>
      <c r="K92" s="5" t="s">
        <v>34</v>
      </c>
      <c r="L92" s="14">
        <v>8505.84</v>
      </c>
      <c r="M92" s="14" t="s">
        <v>26</v>
      </c>
      <c r="N92" s="56"/>
      <c r="O92" s="55">
        <v>46235</v>
      </c>
      <c r="P92" s="57">
        <v>46238</v>
      </c>
      <c r="Q92" s="55">
        <v>46239</v>
      </c>
      <c r="R92" s="69">
        <f t="shared" si="1"/>
        <v>46137</v>
      </c>
      <c r="S92" s="68" t="s">
        <v>26</v>
      </c>
      <c r="T92" s="14"/>
      <c r="U92" s="14"/>
    </row>
    <row r="93" spans="1:21" ht="18" x14ac:dyDescent="0.35">
      <c r="A93" s="14">
        <v>89</v>
      </c>
      <c r="B93" s="14">
        <v>24202686</v>
      </c>
      <c r="C93" s="14" t="s">
        <v>220</v>
      </c>
      <c r="D93" s="14" t="s">
        <v>234</v>
      </c>
      <c r="E93" s="14">
        <v>1</v>
      </c>
      <c r="F93" s="14"/>
      <c r="G93" s="15">
        <v>46073</v>
      </c>
      <c r="H93" s="14"/>
      <c r="I93" s="14"/>
      <c r="J93" s="14" t="s">
        <v>212</v>
      </c>
      <c r="K93" s="5" t="s">
        <v>34</v>
      </c>
      <c r="L93" s="14">
        <v>8505.84</v>
      </c>
      <c r="M93" s="14" t="s">
        <v>48</v>
      </c>
      <c r="N93" s="56"/>
      <c r="O93" s="55">
        <v>46238</v>
      </c>
      <c r="P93" s="57">
        <v>46241</v>
      </c>
      <c r="Q93" s="55">
        <v>46242</v>
      </c>
      <c r="R93" s="69">
        <f t="shared" si="1"/>
        <v>46140</v>
      </c>
      <c r="S93" s="68" t="s">
        <v>26</v>
      </c>
      <c r="T93" s="14"/>
      <c r="U93" s="14"/>
    </row>
    <row r="94" spans="1:21" ht="18" x14ac:dyDescent="0.35">
      <c r="A94" s="14">
        <v>90</v>
      </c>
      <c r="B94" s="14">
        <v>24202721</v>
      </c>
      <c r="C94" s="14" t="s">
        <v>221</v>
      </c>
      <c r="D94" s="14" t="s">
        <v>235</v>
      </c>
      <c r="E94" s="14">
        <v>1</v>
      </c>
      <c r="F94" s="14"/>
      <c r="G94" s="15">
        <v>46073</v>
      </c>
      <c r="H94" s="14"/>
      <c r="I94" s="14"/>
      <c r="J94" s="14" t="s">
        <v>212</v>
      </c>
      <c r="K94" s="5" t="s">
        <v>34</v>
      </c>
      <c r="L94" s="14">
        <v>8505.84</v>
      </c>
      <c r="M94" s="14" t="s">
        <v>48</v>
      </c>
      <c r="N94" s="56"/>
      <c r="O94" s="55">
        <v>46241</v>
      </c>
      <c r="P94" s="57">
        <v>46244</v>
      </c>
      <c r="Q94" s="55">
        <v>46245</v>
      </c>
      <c r="R94" s="69">
        <f t="shared" si="1"/>
        <v>46143</v>
      </c>
      <c r="S94" s="68" t="s">
        <v>26</v>
      </c>
      <c r="T94" s="14"/>
      <c r="U94" s="14"/>
    </row>
    <row r="95" spans="1:21" ht="18" x14ac:dyDescent="0.35">
      <c r="A95" s="14">
        <v>91</v>
      </c>
      <c r="B95" s="14">
        <v>24202860</v>
      </c>
      <c r="C95" s="14" t="s">
        <v>222</v>
      </c>
      <c r="D95" s="14" t="s">
        <v>236</v>
      </c>
      <c r="E95" s="14">
        <v>0</v>
      </c>
      <c r="F95" s="14"/>
      <c r="G95" s="15">
        <v>46073</v>
      </c>
      <c r="H95" s="14"/>
      <c r="I95" s="14"/>
      <c r="J95" s="14" t="s">
        <v>223</v>
      </c>
      <c r="K95" s="5" t="s">
        <v>34</v>
      </c>
      <c r="L95" s="14">
        <v>8202.0600000000013</v>
      </c>
      <c r="M95" s="14" t="s">
        <v>26</v>
      </c>
      <c r="N95" s="56"/>
      <c r="O95" s="55">
        <v>46244</v>
      </c>
      <c r="P95" s="57">
        <v>46247</v>
      </c>
      <c r="Q95" s="55">
        <v>46248</v>
      </c>
      <c r="R95" s="69">
        <f t="shared" si="1"/>
        <v>46146</v>
      </c>
      <c r="S95" s="68" t="s">
        <v>26</v>
      </c>
      <c r="T95" s="14"/>
      <c r="U95" s="14"/>
    </row>
    <row r="96" spans="1:21" ht="18" x14ac:dyDescent="0.35">
      <c r="A96" s="14">
        <v>92</v>
      </c>
      <c r="B96" s="14">
        <v>53004426</v>
      </c>
      <c r="C96" s="14" t="s">
        <v>224</v>
      </c>
      <c r="D96" s="14" t="s">
        <v>237</v>
      </c>
      <c r="E96" s="14">
        <v>0</v>
      </c>
      <c r="F96" s="14"/>
      <c r="G96" s="15">
        <v>46073</v>
      </c>
      <c r="H96" s="14"/>
      <c r="I96" s="14"/>
      <c r="J96" s="14" t="s">
        <v>27</v>
      </c>
      <c r="K96" s="5" t="s">
        <v>28</v>
      </c>
      <c r="L96" s="14">
        <v>8087.6445000000022</v>
      </c>
      <c r="M96" s="14" t="s">
        <v>48</v>
      </c>
      <c r="N96" s="56"/>
      <c r="O96" s="55">
        <v>46247</v>
      </c>
      <c r="P96" s="57">
        <v>46250</v>
      </c>
      <c r="Q96" s="55">
        <v>46251</v>
      </c>
      <c r="R96" s="69">
        <f t="shared" ref="R96:R116" si="2">O96-(14*7)</f>
        <v>46149</v>
      </c>
      <c r="S96" s="68" t="s">
        <v>26</v>
      </c>
      <c r="T96" s="14"/>
      <c r="U96" s="14"/>
    </row>
    <row r="97" spans="1:21" ht="18" x14ac:dyDescent="0.35">
      <c r="A97" s="14">
        <v>93</v>
      </c>
      <c r="B97" s="14">
        <v>24199456</v>
      </c>
      <c r="C97" s="14" t="s">
        <v>225</v>
      </c>
      <c r="D97" s="14" t="s">
        <v>238</v>
      </c>
      <c r="E97" s="14">
        <v>0</v>
      </c>
      <c r="F97" s="14"/>
      <c r="G97" s="15">
        <v>46073</v>
      </c>
      <c r="H97" s="14"/>
      <c r="I97" s="14"/>
      <c r="J97" s="14" t="s">
        <v>212</v>
      </c>
      <c r="K97" s="5" t="s">
        <v>34</v>
      </c>
      <c r="L97" s="14">
        <v>8505.84</v>
      </c>
      <c r="M97" s="14" t="s">
        <v>26</v>
      </c>
      <c r="N97" s="56"/>
      <c r="O97" s="55">
        <v>46250</v>
      </c>
      <c r="P97" s="57">
        <v>46253</v>
      </c>
      <c r="Q97" s="55">
        <v>46254</v>
      </c>
      <c r="R97" s="69">
        <f t="shared" si="2"/>
        <v>46152</v>
      </c>
      <c r="S97" s="68" t="s">
        <v>26</v>
      </c>
      <c r="T97" s="14"/>
      <c r="U97" s="14"/>
    </row>
    <row r="98" spans="1:21" ht="18" x14ac:dyDescent="0.35">
      <c r="A98" s="14">
        <v>94</v>
      </c>
      <c r="B98" s="14">
        <v>24202634</v>
      </c>
      <c r="C98" s="14" t="s">
        <v>226</v>
      </c>
      <c r="D98" s="14" t="s">
        <v>240</v>
      </c>
      <c r="E98" s="14">
        <v>1</v>
      </c>
      <c r="F98" s="14"/>
      <c r="G98" s="15">
        <v>46076</v>
      </c>
      <c r="H98" s="14"/>
      <c r="I98" s="14"/>
      <c r="J98" s="14" t="s">
        <v>212</v>
      </c>
      <c r="K98" s="5" t="s">
        <v>34</v>
      </c>
      <c r="L98" s="14">
        <v>8202.0600000000013</v>
      </c>
      <c r="M98" s="14" t="s">
        <v>48</v>
      </c>
      <c r="N98" s="56"/>
      <c r="O98" s="55">
        <v>46253</v>
      </c>
      <c r="P98" s="57">
        <v>46256</v>
      </c>
      <c r="Q98" s="55">
        <v>46257</v>
      </c>
      <c r="R98" s="69">
        <f t="shared" si="2"/>
        <v>46155</v>
      </c>
      <c r="S98" s="68" t="s">
        <v>26</v>
      </c>
      <c r="T98" s="14"/>
      <c r="U98" s="14"/>
    </row>
    <row r="99" spans="1:21" ht="18" x14ac:dyDescent="0.35">
      <c r="A99" s="14">
        <v>95</v>
      </c>
      <c r="B99" s="14">
        <v>24202873</v>
      </c>
      <c r="C99" s="14" t="s">
        <v>227</v>
      </c>
      <c r="D99" s="14" t="s">
        <v>239</v>
      </c>
      <c r="E99" s="14">
        <v>0</v>
      </c>
      <c r="F99" s="14"/>
      <c r="G99" s="15">
        <v>46076</v>
      </c>
      <c r="H99" s="14"/>
      <c r="I99" s="14"/>
      <c r="J99" s="14" t="s">
        <v>223</v>
      </c>
      <c r="K99" s="5" t="s">
        <v>34</v>
      </c>
      <c r="L99" s="14">
        <v>8505.84</v>
      </c>
      <c r="M99" s="14" t="s">
        <v>26</v>
      </c>
      <c r="N99" s="56"/>
      <c r="O99" s="55">
        <v>46256</v>
      </c>
      <c r="P99" s="57">
        <v>46259</v>
      </c>
      <c r="Q99" s="55">
        <v>46260</v>
      </c>
      <c r="R99" s="69">
        <f t="shared" si="2"/>
        <v>46158</v>
      </c>
      <c r="S99" s="68" t="s">
        <v>26</v>
      </c>
      <c r="T99" s="14"/>
      <c r="U99" s="14"/>
    </row>
    <row r="100" spans="1:21" ht="18" x14ac:dyDescent="0.35">
      <c r="A100" s="14">
        <v>96</v>
      </c>
      <c r="B100" s="14">
        <v>24202608</v>
      </c>
      <c r="C100" s="14" t="s">
        <v>228</v>
      </c>
      <c r="D100" s="14" t="s">
        <v>241</v>
      </c>
      <c r="E100" s="14">
        <v>1</v>
      </c>
      <c r="F100" s="14"/>
      <c r="G100" s="15">
        <v>46076</v>
      </c>
      <c r="H100" s="14"/>
      <c r="I100" s="14"/>
      <c r="J100" s="14" t="s">
        <v>212</v>
      </c>
      <c r="K100" s="5" t="s">
        <v>34</v>
      </c>
      <c r="L100" s="14">
        <v>8278.005000000001</v>
      </c>
      <c r="M100" s="14" t="s">
        <v>48</v>
      </c>
      <c r="N100" s="56"/>
      <c r="O100" s="55">
        <v>46259</v>
      </c>
      <c r="P100" s="57">
        <v>46262</v>
      </c>
      <c r="Q100" s="55">
        <v>46263</v>
      </c>
      <c r="R100" s="69">
        <f t="shared" si="2"/>
        <v>46161</v>
      </c>
      <c r="S100" s="68" t="s">
        <v>26</v>
      </c>
      <c r="T100" s="14"/>
      <c r="U100" s="14"/>
    </row>
    <row r="101" spans="1:21" ht="18" x14ac:dyDescent="0.35">
      <c r="A101" s="14">
        <v>97</v>
      </c>
      <c r="B101" s="88">
        <v>24272114</v>
      </c>
      <c r="C101" s="14" t="s">
        <v>245</v>
      </c>
      <c r="D101" s="14"/>
      <c r="E101" s="14">
        <v>0</v>
      </c>
      <c r="G101" s="15">
        <v>46099</v>
      </c>
      <c r="J101" s="14" t="s">
        <v>33</v>
      </c>
      <c r="K101" s="5" t="s">
        <v>111</v>
      </c>
      <c r="L101" s="14">
        <v>7909.7340000000013</v>
      </c>
      <c r="M101" s="14" t="s">
        <v>26</v>
      </c>
      <c r="N101" s="56"/>
      <c r="O101" s="55">
        <v>46262</v>
      </c>
      <c r="P101" s="57">
        <v>46265</v>
      </c>
      <c r="Q101" s="56">
        <v>46266</v>
      </c>
      <c r="R101" s="69">
        <f t="shared" si="2"/>
        <v>46164</v>
      </c>
      <c r="S101" s="68" t="s">
        <v>48</v>
      </c>
      <c r="T101" s="14"/>
      <c r="U101" s="14"/>
    </row>
    <row r="102" spans="1:21" ht="18" x14ac:dyDescent="0.35">
      <c r="A102" s="14">
        <v>98</v>
      </c>
      <c r="B102" s="88">
        <v>24272103</v>
      </c>
      <c r="C102" s="14" t="s">
        <v>246</v>
      </c>
      <c r="D102" s="14"/>
      <c r="E102" s="14">
        <v>0</v>
      </c>
      <c r="G102" s="15">
        <v>46099</v>
      </c>
      <c r="J102" s="14" t="s">
        <v>33</v>
      </c>
      <c r="K102" s="5" t="s">
        <v>28</v>
      </c>
      <c r="L102" s="14">
        <v>8027.76</v>
      </c>
      <c r="M102" s="14" t="s">
        <v>26</v>
      </c>
      <c r="N102" s="56"/>
      <c r="O102" s="55">
        <v>46265</v>
      </c>
      <c r="P102" s="57">
        <v>46268</v>
      </c>
      <c r="Q102" s="56">
        <v>46269</v>
      </c>
      <c r="R102" s="69">
        <f t="shared" si="2"/>
        <v>46167</v>
      </c>
      <c r="S102" s="68" t="s">
        <v>48</v>
      </c>
      <c r="T102" s="14"/>
      <c r="U102" s="14"/>
    </row>
    <row r="103" spans="1:21" ht="18" x14ac:dyDescent="0.35">
      <c r="A103" s="14">
        <v>99</v>
      </c>
      <c r="B103" s="88">
        <v>53036815</v>
      </c>
      <c r="C103" s="14" t="s">
        <v>247</v>
      </c>
      <c r="D103" s="14"/>
      <c r="E103" s="14">
        <v>0</v>
      </c>
      <c r="G103" s="15">
        <v>46099</v>
      </c>
      <c r="J103" s="14" t="s">
        <v>63</v>
      </c>
      <c r="K103" s="5" t="s">
        <v>28</v>
      </c>
      <c r="L103" s="14">
        <v>8278.005000000001</v>
      </c>
      <c r="M103" s="14" t="s">
        <v>26</v>
      </c>
      <c r="N103" s="56"/>
      <c r="O103" s="55">
        <v>46268</v>
      </c>
      <c r="P103" s="57">
        <v>46271</v>
      </c>
      <c r="Q103" s="56">
        <v>46272</v>
      </c>
      <c r="R103" s="69">
        <f t="shared" si="2"/>
        <v>46170</v>
      </c>
      <c r="S103" s="68" t="s">
        <v>48</v>
      </c>
      <c r="T103" s="14"/>
      <c r="U103" s="14"/>
    </row>
    <row r="104" spans="1:21" ht="18" x14ac:dyDescent="0.35">
      <c r="A104" s="14">
        <v>100</v>
      </c>
      <c r="B104" s="88">
        <v>53036803</v>
      </c>
      <c r="C104" s="14" t="s">
        <v>248</v>
      </c>
      <c r="D104" s="14"/>
      <c r="E104" s="14">
        <v>0</v>
      </c>
      <c r="G104" s="15">
        <v>46099</v>
      </c>
      <c r="J104" s="14" t="s">
        <v>72</v>
      </c>
      <c r="K104" s="5" t="s">
        <v>73</v>
      </c>
      <c r="L104" s="14">
        <v>8366.4000000000015</v>
      </c>
      <c r="M104" s="14" t="s">
        <v>26</v>
      </c>
      <c r="N104" s="56"/>
      <c r="O104" s="55">
        <v>46271</v>
      </c>
      <c r="P104" s="57">
        <v>46274</v>
      </c>
      <c r="Q104" s="56">
        <v>46275</v>
      </c>
      <c r="R104" s="69">
        <f t="shared" si="2"/>
        <v>46173</v>
      </c>
      <c r="S104" s="68" t="s">
        <v>48</v>
      </c>
      <c r="T104" s="14"/>
      <c r="U104" s="14"/>
    </row>
    <row r="105" spans="1:21" ht="18" x14ac:dyDescent="0.35">
      <c r="A105" s="14">
        <v>101</v>
      </c>
      <c r="B105" s="88">
        <v>24272132</v>
      </c>
      <c r="C105" s="14" t="s">
        <v>249</v>
      </c>
      <c r="D105" s="14"/>
      <c r="E105" s="14">
        <v>0</v>
      </c>
      <c r="G105" s="15">
        <v>46099</v>
      </c>
      <c r="J105" s="14" t="s">
        <v>223</v>
      </c>
      <c r="K105" s="5" t="s">
        <v>34</v>
      </c>
      <c r="L105" s="14">
        <v>8505.840000000002</v>
      </c>
      <c r="M105" s="14" t="s">
        <v>26</v>
      </c>
      <c r="N105" s="56"/>
      <c r="O105" s="55">
        <v>46274</v>
      </c>
      <c r="P105" s="57">
        <v>46277</v>
      </c>
      <c r="Q105" s="56">
        <v>46278</v>
      </c>
      <c r="R105" s="69">
        <f t="shared" si="2"/>
        <v>46176</v>
      </c>
      <c r="S105" s="68" t="s">
        <v>48</v>
      </c>
      <c r="T105" s="14"/>
      <c r="U105" s="14"/>
    </row>
    <row r="106" spans="1:21" ht="18" x14ac:dyDescent="0.35">
      <c r="A106" s="14">
        <v>102</v>
      </c>
      <c r="B106" s="88">
        <v>24272121</v>
      </c>
      <c r="C106" s="14" t="s">
        <v>250</v>
      </c>
      <c r="D106" s="14"/>
      <c r="E106" s="14">
        <v>0</v>
      </c>
      <c r="G106" s="15">
        <v>46099</v>
      </c>
      <c r="J106" s="14" t="s">
        <v>33</v>
      </c>
      <c r="K106" s="5" t="s">
        <v>34</v>
      </c>
      <c r="L106" s="14">
        <v>7971.7350000000006</v>
      </c>
      <c r="M106" s="14" t="s">
        <v>26</v>
      </c>
      <c r="N106" s="56"/>
      <c r="O106" s="55">
        <v>46277</v>
      </c>
      <c r="P106" s="57">
        <v>46280</v>
      </c>
      <c r="Q106" s="56">
        <v>46281</v>
      </c>
      <c r="R106" s="69">
        <f t="shared" si="2"/>
        <v>46179</v>
      </c>
      <c r="S106" s="68" t="s">
        <v>48</v>
      </c>
      <c r="T106" s="14"/>
      <c r="U106" s="14"/>
    </row>
    <row r="107" spans="1:21" ht="18" x14ac:dyDescent="0.35">
      <c r="A107" s="14">
        <v>103</v>
      </c>
      <c r="B107" s="88">
        <v>53036808</v>
      </c>
      <c r="C107" s="14" t="s">
        <v>251</v>
      </c>
      <c r="D107" s="14"/>
      <c r="E107" s="14">
        <v>0</v>
      </c>
      <c r="G107" s="15">
        <v>46099</v>
      </c>
      <c r="J107" s="14" t="s">
        <v>27</v>
      </c>
      <c r="K107" s="5" t="s">
        <v>28</v>
      </c>
      <c r="L107" s="14">
        <v>8130.8460000000005</v>
      </c>
      <c r="M107" s="14" t="s">
        <v>26</v>
      </c>
      <c r="N107" s="56"/>
      <c r="O107" s="55">
        <v>46280</v>
      </c>
      <c r="P107" s="57">
        <v>46283</v>
      </c>
      <c r="Q107" s="56">
        <v>46284</v>
      </c>
      <c r="R107" s="69">
        <f t="shared" si="2"/>
        <v>46182</v>
      </c>
      <c r="S107" s="68" t="s">
        <v>48</v>
      </c>
      <c r="T107" s="14"/>
      <c r="U107" s="14"/>
    </row>
    <row r="108" spans="1:21" ht="18" x14ac:dyDescent="0.35">
      <c r="A108" s="14">
        <v>104</v>
      </c>
      <c r="B108" s="88">
        <v>53036798</v>
      </c>
      <c r="C108" s="14" t="s">
        <v>252</v>
      </c>
      <c r="D108" s="14"/>
      <c r="E108" s="14">
        <v>0</v>
      </c>
      <c r="G108" s="15">
        <v>46099</v>
      </c>
      <c r="J108" s="14" t="s">
        <v>173</v>
      </c>
      <c r="K108" s="5" t="s">
        <v>73</v>
      </c>
      <c r="L108" s="14">
        <v>8050.170000000001</v>
      </c>
      <c r="M108" s="14" t="s">
        <v>26</v>
      </c>
      <c r="N108" s="56"/>
      <c r="O108" s="55">
        <v>46283</v>
      </c>
      <c r="P108" s="57">
        <v>46286</v>
      </c>
      <c r="Q108" s="56">
        <v>46287</v>
      </c>
      <c r="R108" s="69">
        <f t="shared" si="2"/>
        <v>46185</v>
      </c>
      <c r="S108" s="68" t="s">
        <v>48</v>
      </c>
      <c r="T108" s="14"/>
      <c r="U108" s="14"/>
    </row>
    <row r="109" spans="1:21" ht="18" x14ac:dyDescent="0.35">
      <c r="A109" s="14">
        <v>105</v>
      </c>
      <c r="B109" s="88">
        <v>24272100</v>
      </c>
      <c r="C109" s="14" t="s">
        <v>253</v>
      </c>
      <c r="D109" s="14"/>
      <c r="E109" s="14">
        <v>0</v>
      </c>
      <c r="G109" s="15">
        <v>46099</v>
      </c>
      <c r="J109" s="14" t="s">
        <v>33</v>
      </c>
      <c r="K109" s="5" t="s">
        <v>34</v>
      </c>
      <c r="L109" s="14">
        <v>8505.84</v>
      </c>
      <c r="M109" s="14" t="s">
        <v>26</v>
      </c>
      <c r="N109" s="56"/>
      <c r="O109" s="55">
        <v>46286</v>
      </c>
      <c r="P109" s="57">
        <v>46289</v>
      </c>
      <c r="Q109" s="56">
        <v>46290</v>
      </c>
      <c r="R109" s="69">
        <f t="shared" si="2"/>
        <v>46188</v>
      </c>
      <c r="S109" s="68" t="s">
        <v>48</v>
      </c>
      <c r="T109" s="14"/>
      <c r="U109" s="14" t="s">
        <v>289</v>
      </c>
    </row>
    <row r="110" spans="1:21" ht="18" x14ac:dyDescent="0.35">
      <c r="A110" s="14">
        <v>106</v>
      </c>
      <c r="B110" s="14">
        <v>53013961</v>
      </c>
      <c r="C110" s="14" t="s">
        <v>254</v>
      </c>
      <c r="D110" s="14"/>
      <c r="E110" s="14">
        <v>1</v>
      </c>
      <c r="G110" s="15">
        <v>46099</v>
      </c>
      <c r="J110" s="14" t="s">
        <v>63</v>
      </c>
      <c r="K110" s="5" t="s">
        <v>28</v>
      </c>
      <c r="L110" s="14">
        <v>8202.0600000000013</v>
      </c>
      <c r="M110" s="14" t="s">
        <v>26</v>
      </c>
      <c r="N110" s="56"/>
      <c r="O110" s="55">
        <v>46289</v>
      </c>
      <c r="P110" s="57">
        <v>46292</v>
      </c>
      <c r="Q110" s="56">
        <v>46293</v>
      </c>
      <c r="R110" s="69">
        <f t="shared" si="2"/>
        <v>46191</v>
      </c>
      <c r="S110" s="68" t="s">
        <v>48</v>
      </c>
      <c r="T110" s="14"/>
      <c r="U110" s="14"/>
    </row>
    <row r="111" spans="1:21" ht="18" x14ac:dyDescent="0.35">
      <c r="A111" s="14">
        <v>107</v>
      </c>
      <c r="B111" s="14">
        <v>53014919</v>
      </c>
      <c r="C111" s="14" t="s">
        <v>255</v>
      </c>
      <c r="D111" s="14"/>
      <c r="E111" s="14">
        <v>0</v>
      </c>
      <c r="G111" s="15">
        <v>46099</v>
      </c>
      <c r="J111" s="14" t="s">
        <v>72</v>
      </c>
      <c r="K111" s="5" t="s">
        <v>73</v>
      </c>
      <c r="L111" s="14">
        <v>7455.0600000000013</v>
      </c>
      <c r="M111" s="14" t="s">
        <v>48</v>
      </c>
      <c r="N111" s="56"/>
      <c r="O111" s="55">
        <v>46292</v>
      </c>
      <c r="P111" s="57">
        <v>46295</v>
      </c>
      <c r="Q111" s="56">
        <v>46296</v>
      </c>
      <c r="R111" s="69">
        <f t="shared" si="2"/>
        <v>46194</v>
      </c>
      <c r="S111" s="68" t="s">
        <v>48</v>
      </c>
      <c r="T111" s="14"/>
      <c r="U111" s="14"/>
    </row>
    <row r="112" spans="1:21" ht="18" x14ac:dyDescent="0.35">
      <c r="A112" s="14">
        <v>108</v>
      </c>
      <c r="B112" s="14">
        <v>53016427</v>
      </c>
      <c r="C112" s="14" t="s">
        <v>256</v>
      </c>
      <c r="D112" s="14"/>
      <c r="E112" s="14">
        <v>0</v>
      </c>
      <c r="G112" s="15">
        <v>46099</v>
      </c>
      <c r="J112" s="14" t="s">
        <v>27</v>
      </c>
      <c r="K112" s="5" t="s">
        <v>28</v>
      </c>
      <c r="L112" s="14">
        <v>8201.5620000000017</v>
      </c>
      <c r="M112" s="14" t="s">
        <v>26</v>
      </c>
      <c r="N112" s="56"/>
      <c r="O112" s="55">
        <v>46295</v>
      </c>
      <c r="P112" s="57">
        <v>46298</v>
      </c>
      <c r="Q112" s="56">
        <v>46299</v>
      </c>
      <c r="R112" s="69">
        <f t="shared" si="2"/>
        <v>46197</v>
      </c>
      <c r="S112" s="68" t="s">
        <v>48</v>
      </c>
      <c r="T112" s="14"/>
      <c r="U112" s="14"/>
    </row>
    <row r="113" spans="1:21" ht="18" x14ac:dyDescent="0.35">
      <c r="A113" s="14">
        <v>109</v>
      </c>
      <c r="B113" s="14">
        <v>53016422</v>
      </c>
      <c r="C113" s="14" t="s">
        <v>257</v>
      </c>
      <c r="D113" s="14"/>
      <c r="E113" s="14">
        <v>0</v>
      </c>
      <c r="G113" s="15">
        <v>46099</v>
      </c>
      <c r="J113" s="14" t="s">
        <v>27</v>
      </c>
      <c r="K113" s="5" t="s">
        <v>28</v>
      </c>
      <c r="L113" s="14">
        <v>7974.2250000000013</v>
      </c>
      <c r="M113" s="14" t="s">
        <v>26</v>
      </c>
      <c r="N113" s="56"/>
      <c r="O113" s="55">
        <v>46298</v>
      </c>
      <c r="P113" s="57">
        <v>46301</v>
      </c>
      <c r="Q113" s="56">
        <v>46302</v>
      </c>
      <c r="R113" s="69">
        <f t="shared" si="2"/>
        <v>46200</v>
      </c>
      <c r="S113" s="68" t="s">
        <v>48</v>
      </c>
      <c r="T113" s="14"/>
      <c r="U113" s="14"/>
    </row>
    <row r="114" spans="1:21" ht="18" x14ac:dyDescent="0.35">
      <c r="A114" s="14">
        <v>110</v>
      </c>
      <c r="B114" s="14">
        <v>53016418</v>
      </c>
      <c r="C114" s="14" t="s">
        <v>258</v>
      </c>
      <c r="D114" s="14"/>
      <c r="E114" s="14">
        <v>0</v>
      </c>
      <c r="G114" s="15">
        <v>46099</v>
      </c>
      <c r="J114" s="14" t="s">
        <v>27</v>
      </c>
      <c r="K114" s="5" t="s">
        <v>28</v>
      </c>
      <c r="L114" s="14">
        <v>8277.5070000000014</v>
      </c>
      <c r="M114" s="14" t="s">
        <v>26</v>
      </c>
      <c r="N114" s="56"/>
      <c r="O114" s="55">
        <v>46301</v>
      </c>
      <c r="P114" s="57">
        <v>46304</v>
      </c>
      <c r="Q114" s="56">
        <v>46305</v>
      </c>
      <c r="R114" s="69">
        <f t="shared" si="2"/>
        <v>46203</v>
      </c>
      <c r="S114" s="68" t="s">
        <v>48</v>
      </c>
      <c r="T114" s="14"/>
      <c r="U114" s="14"/>
    </row>
    <row r="115" spans="1:21" ht="18" x14ac:dyDescent="0.35">
      <c r="A115" s="14">
        <v>111</v>
      </c>
      <c r="B115" s="14">
        <v>53016428</v>
      </c>
      <c r="C115" s="14" t="s">
        <v>259</v>
      </c>
      <c r="D115" s="14"/>
      <c r="E115" s="14">
        <v>0</v>
      </c>
      <c r="G115" s="15">
        <v>46099</v>
      </c>
      <c r="J115" s="14" t="s">
        <v>27</v>
      </c>
      <c r="K115" s="5" t="s">
        <v>28</v>
      </c>
      <c r="L115" s="14">
        <v>8242.6470000000008</v>
      </c>
      <c r="M115" s="14" t="s">
        <v>48</v>
      </c>
      <c r="N115" s="56"/>
      <c r="O115" s="55">
        <v>46304</v>
      </c>
      <c r="P115" s="57">
        <v>46307</v>
      </c>
      <c r="Q115" s="56">
        <v>46308</v>
      </c>
      <c r="R115" s="69">
        <f t="shared" si="2"/>
        <v>46206</v>
      </c>
      <c r="S115" s="68" t="s">
        <v>48</v>
      </c>
      <c r="T115" s="14"/>
      <c r="U115" s="14"/>
    </row>
    <row r="116" spans="1:21" ht="18" x14ac:dyDescent="0.35">
      <c r="A116" s="14">
        <v>112</v>
      </c>
      <c r="B116" s="14">
        <v>53016435</v>
      </c>
      <c r="C116" s="14" t="s">
        <v>260</v>
      </c>
      <c r="D116" s="14"/>
      <c r="E116" s="14">
        <v>0</v>
      </c>
      <c r="G116" s="15">
        <v>46099</v>
      </c>
      <c r="J116" s="14" t="s">
        <v>27</v>
      </c>
      <c r="K116" s="5" t="s">
        <v>28</v>
      </c>
      <c r="L116" s="14">
        <v>7363.6770000000006</v>
      </c>
      <c r="M116" s="14" t="s">
        <v>48</v>
      </c>
      <c r="N116" s="56"/>
      <c r="O116" s="55">
        <v>46307</v>
      </c>
      <c r="P116" s="57">
        <v>46310</v>
      </c>
      <c r="Q116" s="56">
        <v>46311</v>
      </c>
      <c r="R116" s="69">
        <f t="shared" si="2"/>
        <v>46209</v>
      </c>
      <c r="S116" s="68" t="s">
        <v>48</v>
      </c>
      <c r="T116" s="14"/>
      <c r="U116" s="14"/>
    </row>
    <row r="117" spans="1:21" ht="18" x14ac:dyDescent="0.35">
      <c r="A117" s="14">
        <v>113</v>
      </c>
      <c r="B117" s="14">
        <v>24233947</v>
      </c>
      <c r="C117" s="14" t="s">
        <v>261</v>
      </c>
      <c r="D117" s="14"/>
      <c r="E117" s="14">
        <v>0</v>
      </c>
      <c r="G117" s="15">
        <v>46106</v>
      </c>
      <c r="J117" s="14" t="s">
        <v>212</v>
      </c>
      <c r="K117" s="5" t="s">
        <v>34</v>
      </c>
      <c r="L117" s="14">
        <v>8017.8000000000011</v>
      </c>
      <c r="M117" s="14" t="s">
        <v>26</v>
      </c>
      <c r="N117" s="56"/>
      <c r="O117" s="55">
        <v>46310</v>
      </c>
      <c r="P117" s="57">
        <v>46313</v>
      </c>
      <c r="Q117" s="56">
        <v>46314</v>
      </c>
      <c r="R117" s="69">
        <f>O117-(14*7)</f>
        <v>46212</v>
      </c>
      <c r="S117" s="68" t="s">
        <v>48</v>
      </c>
      <c r="T117" s="14"/>
      <c r="U117" s="14"/>
    </row>
    <row r="118" spans="1:21" ht="18" x14ac:dyDescent="0.35">
      <c r="A118" s="14">
        <v>114</v>
      </c>
      <c r="B118" s="14">
        <v>53022400</v>
      </c>
      <c r="C118" s="14" t="s">
        <v>268</v>
      </c>
      <c r="D118" s="14"/>
      <c r="E118" s="14">
        <v>0</v>
      </c>
      <c r="F118" s="14"/>
      <c r="G118" s="15">
        <v>46112</v>
      </c>
      <c r="J118" s="14" t="s">
        <v>63</v>
      </c>
      <c r="K118" s="5" t="s">
        <v>28</v>
      </c>
      <c r="L118" s="14">
        <v>8505.84</v>
      </c>
      <c r="M118" s="14" t="s">
        <v>26</v>
      </c>
      <c r="N118" s="56"/>
      <c r="O118" s="55">
        <v>46313</v>
      </c>
      <c r="P118" s="57">
        <v>46316</v>
      </c>
      <c r="Q118" s="56">
        <v>46317</v>
      </c>
      <c r="R118" s="69">
        <f>O118-(14*7)</f>
        <v>46215</v>
      </c>
      <c r="S118" s="69" t="s">
        <v>48</v>
      </c>
      <c r="T118" s="14"/>
      <c r="U118" s="14"/>
    </row>
    <row r="119" spans="1:21" ht="18" x14ac:dyDescent="0.35">
      <c r="A119" s="14">
        <v>115</v>
      </c>
      <c r="B119" s="14">
        <v>53023614</v>
      </c>
      <c r="C119" s="14" t="s">
        <v>269</v>
      </c>
      <c r="D119" s="14"/>
      <c r="E119" s="14">
        <v>0</v>
      </c>
      <c r="F119" s="14"/>
      <c r="G119" s="15">
        <v>46115</v>
      </c>
      <c r="J119" s="14" t="s">
        <v>27</v>
      </c>
      <c r="K119" s="5" t="s">
        <v>28</v>
      </c>
      <c r="L119" s="14">
        <v>8103.2070000000012</v>
      </c>
      <c r="M119" s="14" t="s">
        <v>48</v>
      </c>
      <c r="N119" s="56"/>
      <c r="O119" s="55">
        <v>46316</v>
      </c>
      <c r="P119" s="57">
        <v>46319</v>
      </c>
      <c r="Q119" s="56">
        <v>46320</v>
      </c>
      <c r="R119" s="69">
        <f>O119-(14*7)</f>
        <v>46218</v>
      </c>
      <c r="S119" s="69" t="s">
        <v>48</v>
      </c>
      <c r="T119" s="14"/>
      <c r="U119" s="14"/>
    </row>
    <row r="120" spans="1:21" ht="18" x14ac:dyDescent="0.35">
      <c r="A120" s="14">
        <v>116</v>
      </c>
      <c r="B120" s="14">
        <v>53023619</v>
      </c>
      <c r="C120" s="14" t="s">
        <v>270</v>
      </c>
      <c r="D120" s="14"/>
      <c r="E120" s="14">
        <v>0</v>
      </c>
      <c r="F120" s="14"/>
      <c r="G120" s="15">
        <v>46115</v>
      </c>
      <c r="J120" s="14" t="s">
        <v>27</v>
      </c>
      <c r="K120" s="5" t="s">
        <v>28</v>
      </c>
      <c r="L120" s="14">
        <v>8191.1040000000012</v>
      </c>
      <c r="M120" s="14" t="s">
        <v>26</v>
      </c>
      <c r="N120" s="56"/>
      <c r="O120" s="55">
        <v>46319</v>
      </c>
      <c r="P120" s="57">
        <v>46322</v>
      </c>
      <c r="Q120" s="56">
        <v>46323</v>
      </c>
      <c r="R120" s="69">
        <f>O120-(14*7)</f>
        <v>46221</v>
      </c>
      <c r="S120" s="69" t="s">
        <v>48</v>
      </c>
      <c r="T120" s="14"/>
      <c r="U120" s="14"/>
    </row>
    <row r="121" spans="1:21" ht="18" x14ac:dyDescent="0.35">
      <c r="A121" s="14">
        <v>117</v>
      </c>
      <c r="B121" s="14">
        <v>53036679</v>
      </c>
      <c r="C121" s="14" t="s">
        <v>290</v>
      </c>
      <c r="D121" s="14"/>
      <c r="E121" s="14">
        <v>0</v>
      </c>
      <c r="F121" s="14"/>
      <c r="G121" s="15">
        <v>46149</v>
      </c>
      <c r="J121" s="14" t="s">
        <v>33</v>
      </c>
      <c r="K121" s="5" t="s">
        <v>34</v>
      </c>
      <c r="L121" s="14">
        <v>8505.84</v>
      </c>
      <c r="M121" s="14" t="s">
        <v>26</v>
      </c>
      <c r="N121" s="56"/>
      <c r="O121" s="55">
        <v>46322</v>
      </c>
      <c r="P121" s="57">
        <v>46325</v>
      </c>
      <c r="Q121" s="56">
        <f>P121+1</f>
        <v>46326</v>
      </c>
      <c r="R121" s="69">
        <f>O121-(14*7)</f>
        <v>46224</v>
      </c>
      <c r="S121" s="69" t="s">
        <v>48</v>
      </c>
      <c r="T121" s="14"/>
      <c r="U121" s="14"/>
    </row>
    <row r="122" spans="1:21" ht="18" x14ac:dyDescent="0.35">
      <c r="A122" s="14">
        <v>118</v>
      </c>
      <c r="B122" s="14">
        <v>53036684</v>
      </c>
      <c r="C122" s="14" t="s">
        <v>291</v>
      </c>
      <c r="D122" s="14"/>
      <c r="E122" s="14">
        <v>0</v>
      </c>
      <c r="F122" s="14"/>
      <c r="G122" s="15">
        <v>46149</v>
      </c>
      <c r="J122" s="14" t="s">
        <v>63</v>
      </c>
      <c r="K122" s="5" t="s">
        <v>28</v>
      </c>
      <c r="L122" s="14">
        <v>8505.84</v>
      </c>
      <c r="M122" s="14" t="s">
        <v>26</v>
      </c>
      <c r="N122" s="56"/>
      <c r="O122" s="55">
        <v>46326</v>
      </c>
      <c r="P122" s="57">
        <v>46328</v>
      </c>
      <c r="Q122" s="56">
        <f t="shared" ref="Q122:Q124" si="3">P122+1</f>
        <v>46329</v>
      </c>
      <c r="R122" s="69">
        <f>O122-(14*7)</f>
        <v>46228</v>
      </c>
      <c r="S122" s="69" t="s">
        <v>48</v>
      </c>
      <c r="T122" s="14"/>
      <c r="U122" s="14"/>
    </row>
    <row r="123" spans="1:21" ht="18" x14ac:dyDescent="0.35">
      <c r="A123" s="14">
        <v>119</v>
      </c>
      <c r="B123" s="14">
        <v>53036682</v>
      </c>
      <c r="C123" s="14" t="s">
        <v>292</v>
      </c>
      <c r="D123" s="14"/>
      <c r="E123" s="14">
        <v>0</v>
      </c>
      <c r="F123" s="14"/>
      <c r="G123" s="15">
        <v>46149</v>
      </c>
      <c r="J123" s="14" t="s">
        <v>63</v>
      </c>
      <c r="K123" s="5" t="s">
        <v>28</v>
      </c>
      <c r="L123" s="14">
        <v>8505.84</v>
      </c>
      <c r="M123" s="14" t="s">
        <v>26</v>
      </c>
      <c r="N123" s="56"/>
      <c r="O123" s="55">
        <v>46328</v>
      </c>
      <c r="P123" s="57">
        <v>46331</v>
      </c>
      <c r="Q123" s="56">
        <f t="shared" si="3"/>
        <v>46332</v>
      </c>
      <c r="R123" s="69">
        <f>O123-(14*7)</f>
        <v>46230</v>
      </c>
      <c r="S123" s="69" t="s">
        <v>48</v>
      </c>
      <c r="T123" s="14"/>
      <c r="U123" s="14"/>
    </row>
    <row r="124" spans="1:21" ht="18" x14ac:dyDescent="0.35">
      <c r="A124" s="14">
        <v>120</v>
      </c>
      <c r="B124" s="14">
        <v>53036685</v>
      </c>
      <c r="C124" s="14" t="s">
        <v>293</v>
      </c>
      <c r="D124" s="14"/>
      <c r="E124" s="14">
        <v>0</v>
      </c>
      <c r="F124" s="14"/>
      <c r="G124" s="15">
        <v>46149</v>
      </c>
      <c r="J124" s="14" t="s">
        <v>63</v>
      </c>
      <c r="K124" s="5" t="s">
        <v>28</v>
      </c>
      <c r="L124" s="14">
        <v>8505.84</v>
      </c>
      <c r="M124" s="14" t="s">
        <v>26</v>
      </c>
      <c r="N124" s="56"/>
      <c r="O124" s="55">
        <v>46331</v>
      </c>
      <c r="P124" s="57">
        <v>46334</v>
      </c>
      <c r="Q124" s="56">
        <f t="shared" si="3"/>
        <v>46335</v>
      </c>
      <c r="R124" s="69">
        <f>O124-(14*7)</f>
        <v>46233</v>
      </c>
      <c r="S124" s="69" t="s">
        <v>48</v>
      </c>
      <c r="T124" s="14"/>
      <c r="U124" s="14"/>
    </row>
  </sheetData>
  <autoFilter ref="A4:U124" xr:uid="{C20EB863-AD48-4899-B78A-F43AE9F20413}"/>
  <mergeCells count="4">
    <mergeCell ref="N1:O1"/>
    <mergeCell ref="N2:O2"/>
    <mergeCell ref="P1:R1"/>
    <mergeCell ref="P2:R2"/>
  </mergeCells>
  <phoneticPr fontId="5" type="noConversion"/>
  <conditionalFormatting sqref="R34:S34">
    <cfRule type="expression" dxfId="1" priority="9">
      <formula>IF(AND($R34&lt;TODAY(),$S34="No"),1,0)</formula>
    </cfRule>
  </conditionalFormatting>
  <conditionalFormatting sqref="R64:S300">
    <cfRule type="expression" dxfId="0" priority="1">
      <formula>IF(AND($R64&lt;TODAY(),$S64="No"),1,0)</formula>
    </cfRule>
  </conditionalFormatting>
  <dataValidations count="1">
    <dataValidation type="list" allowBlank="1" showInputMessage="1" showErrorMessage="1" sqref="S5:S1048576" xr:uid="{D948D6DD-AE1D-4EAD-81E6-139431F1DDDC}">
      <formula1>"Yes,No"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A8487FC0DF8544A3E695D19676C510" ma:contentTypeVersion="3" ma:contentTypeDescription="Create a new document." ma:contentTypeScope="" ma:versionID="6ff10e7834e1879f73bd37d238c8d00f">
  <xsd:schema xmlns:xsd="http://www.w3.org/2001/XMLSchema" xmlns:xs="http://www.w3.org/2001/XMLSchema" xmlns:p="http://schemas.microsoft.com/office/2006/metadata/properties" xmlns:ns2="93b92de5-1a91-4edb-b6f6-4ce438948d1d" targetNamespace="http://schemas.microsoft.com/office/2006/metadata/properties" ma:root="true" ma:fieldsID="87c99a532427464446ec911648e7f177" ns2:_="">
    <xsd:import namespace="93b92de5-1a91-4edb-b6f6-4ce438948d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92de5-1a91-4edb-b6f6-4ce438948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BFE19-CAB5-4E10-8D71-E2FC57762BC5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93b92de5-1a91-4edb-b6f6-4ce438948d1d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78A6423-1C48-4EF4-B394-27BCE703C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A1D31-87F6-49BC-9C7B-CACF8CD67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92de5-1a91-4edb-b6f6-4ce438948d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Pinakin@alubond.com</dc:creator>
  <cp:keywords/>
  <dc:description/>
  <cp:lastModifiedBy>abitha@alubond.com</cp:lastModifiedBy>
  <cp:revision/>
  <dcterms:created xsi:type="dcterms:W3CDTF">2025-12-16T18:32:50Z</dcterms:created>
  <dcterms:modified xsi:type="dcterms:W3CDTF">2026-05-25T12:31:48Z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0x01010031A8487FC0DF8544A3E695D19676C510</vt:lpwstr>
  </property>
</Properties>
</file>